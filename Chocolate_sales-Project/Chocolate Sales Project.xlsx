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71\EXCELCNV\cce69c44-d8b9-458d-b480-13417cf1fb04\"/>
    </mc:Choice>
  </mc:AlternateContent>
  <xr:revisionPtr revIDLastSave="0" documentId="8_{B6602B7F-26DB-41D5-9390-A9766D4FAF9D}" xr6:coauthVersionLast="47" xr6:coauthVersionMax="47" xr10:uidLastSave="{00000000-0000-0000-0000-000000000000}"/>
  <bookViews>
    <workbookView xWindow="-60" yWindow="-60" windowWidth="15480" windowHeight="11640" firstSheet="2" activeTab="3" xr2:uid="{98865376-66E6-4F3E-8D27-3221B7FAC1C6}"/>
  </bookViews>
  <sheets>
    <sheet name="Chocolate sale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1" hidden="1">'Working Sheet'!$A$1:$P$3283</definedName>
  </definedNames>
  <calcPr calcId="191028"/>
  <pivotCaches>
    <pivotCache cacheId="55" r:id="rId5"/>
    <pivotCache cacheId="5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1" i="3" l="1"/>
  <c r="R48" i="3"/>
  <c r="R45" i="3"/>
  <c r="R42" i="3"/>
  <c r="R23" i="3"/>
  <c r="R7" i="3"/>
  <c r="R28" i="3"/>
  <c r="R27" i="3"/>
  <c r="R26" i="3"/>
  <c r="R29" i="3"/>
  <c r="R30" i="3"/>
  <c r="R31" i="3"/>
  <c r="R32" i="3"/>
  <c r="R33" i="3"/>
  <c r="R34" i="3"/>
  <c r="R25" i="3"/>
  <c r="R24" i="3"/>
  <c r="R17" i="3"/>
  <c r="R16" i="3"/>
  <c r="R15" i="3"/>
  <c r="R14" i="3"/>
  <c r="R13" i="3"/>
  <c r="R12" i="3"/>
  <c r="R11" i="3"/>
  <c r="R10" i="3"/>
  <c r="R9" i="3"/>
  <c r="R8" i="3"/>
  <c r="T8" i="4"/>
  <c r="T9" i="4"/>
  <c r="T7" i="4"/>
  <c r="T6" i="4"/>
  <c r="T5" i="4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2" i="2"/>
  <c r="L2" i="2"/>
  <c r="K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G1611" i="2" s="1"/>
  <c r="E1612" i="2"/>
  <c r="G1612" i="2" s="1"/>
  <c r="E1613" i="2"/>
  <c r="G1613" i="2" s="1"/>
  <c r="E1614" i="2"/>
  <c r="G1614" i="2" s="1"/>
  <c r="E1615" i="2"/>
  <c r="G1615" i="2" s="1"/>
  <c r="E1616" i="2"/>
  <c r="G1616" i="2" s="1"/>
  <c r="E1617" i="2"/>
  <c r="G1617" i="2" s="1"/>
  <c r="E1618" i="2"/>
  <c r="G1618" i="2" s="1"/>
  <c r="E1619" i="2"/>
  <c r="G1619" i="2" s="1"/>
  <c r="E1620" i="2"/>
  <c r="G1620" i="2" s="1"/>
  <c r="E1621" i="2"/>
  <c r="G1621" i="2" s="1"/>
  <c r="E1622" i="2"/>
  <c r="G1622" i="2" s="1"/>
  <c r="E1623" i="2"/>
  <c r="G1623" i="2" s="1"/>
  <c r="E1624" i="2"/>
  <c r="G1624" i="2" s="1"/>
  <c r="E1625" i="2"/>
  <c r="G1625" i="2" s="1"/>
  <c r="E1626" i="2"/>
  <c r="G1626" i="2" s="1"/>
  <c r="E1627" i="2"/>
  <c r="G1627" i="2" s="1"/>
  <c r="E1628" i="2"/>
  <c r="G1628" i="2" s="1"/>
  <c r="E1629" i="2"/>
  <c r="G1629" i="2" s="1"/>
  <c r="E1630" i="2"/>
  <c r="G1630" i="2" s="1"/>
  <c r="E1631" i="2"/>
  <c r="G1631" i="2" s="1"/>
  <c r="E1632" i="2"/>
  <c r="G1632" i="2" s="1"/>
  <c r="E1633" i="2"/>
  <c r="G1633" i="2" s="1"/>
  <c r="E1634" i="2"/>
  <c r="G1634" i="2" s="1"/>
  <c r="E1635" i="2"/>
  <c r="G1635" i="2" s="1"/>
  <c r="E1636" i="2"/>
  <c r="G1636" i="2" s="1"/>
  <c r="E1637" i="2"/>
  <c r="G1637" i="2" s="1"/>
  <c r="E1638" i="2"/>
  <c r="G1638" i="2" s="1"/>
  <c r="E1639" i="2"/>
  <c r="G1639" i="2" s="1"/>
  <c r="E1640" i="2"/>
  <c r="G1640" i="2" s="1"/>
  <c r="E1641" i="2"/>
  <c r="G1641" i="2" s="1"/>
  <c r="E1642" i="2"/>
  <c r="G1642" i="2" s="1"/>
  <c r="E1643" i="2"/>
  <c r="G1643" i="2" s="1"/>
  <c r="E1644" i="2"/>
  <c r="G1644" i="2" s="1"/>
  <c r="E1645" i="2"/>
  <c r="G1645" i="2" s="1"/>
  <c r="E1646" i="2"/>
  <c r="G1646" i="2" s="1"/>
  <c r="E1647" i="2"/>
  <c r="G1647" i="2" s="1"/>
  <c r="E1648" i="2"/>
  <c r="G1648" i="2" s="1"/>
  <c r="E1649" i="2"/>
  <c r="G1649" i="2" s="1"/>
  <c r="E1650" i="2"/>
  <c r="G1650" i="2" s="1"/>
  <c r="E1651" i="2"/>
  <c r="G1651" i="2" s="1"/>
  <c r="E1652" i="2"/>
  <c r="G1652" i="2" s="1"/>
  <c r="E1653" i="2"/>
  <c r="G1653" i="2" s="1"/>
  <c r="E1654" i="2"/>
  <c r="G1654" i="2" s="1"/>
  <c r="E1655" i="2"/>
  <c r="G1655" i="2" s="1"/>
  <c r="E1656" i="2"/>
  <c r="G1656" i="2" s="1"/>
  <c r="E1657" i="2"/>
  <c r="G1657" i="2" s="1"/>
  <c r="E1658" i="2"/>
  <c r="G1658" i="2" s="1"/>
  <c r="E1659" i="2"/>
  <c r="G1659" i="2" s="1"/>
  <c r="E1660" i="2"/>
  <c r="G1660" i="2" s="1"/>
  <c r="E1661" i="2"/>
  <c r="G1661" i="2" s="1"/>
  <c r="E1662" i="2"/>
  <c r="G1662" i="2" s="1"/>
  <c r="E1663" i="2"/>
  <c r="G1663" i="2" s="1"/>
  <c r="E1664" i="2"/>
  <c r="G1664" i="2" s="1"/>
  <c r="E1665" i="2"/>
  <c r="G1665" i="2" s="1"/>
  <c r="E1666" i="2"/>
  <c r="G1666" i="2" s="1"/>
  <c r="E1667" i="2"/>
  <c r="G1667" i="2" s="1"/>
  <c r="E1668" i="2"/>
  <c r="G1668" i="2" s="1"/>
  <c r="E1669" i="2"/>
  <c r="G1669" i="2" s="1"/>
  <c r="E1670" i="2"/>
  <c r="G1670" i="2" s="1"/>
  <c r="E1671" i="2"/>
  <c r="G1671" i="2" s="1"/>
  <c r="E1672" i="2"/>
  <c r="G1672" i="2" s="1"/>
  <c r="E1673" i="2"/>
  <c r="G1673" i="2" s="1"/>
  <c r="E1674" i="2"/>
  <c r="G1674" i="2" s="1"/>
  <c r="E1675" i="2"/>
  <c r="G1675" i="2" s="1"/>
  <c r="E1676" i="2"/>
  <c r="G1676" i="2" s="1"/>
  <c r="E1677" i="2"/>
  <c r="G1677" i="2" s="1"/>
  <c r="E1678" i="2"/>
  <c r="G1678" i="2" s="1"/>
  <c r="E1679" i="2"/>
  <c r="G1679" i="2" s="1"/>
  <c r="E1680" i="2"/>
  <c r="G1680" i="2" s="1"/>
  <c r="E1681" i="2"/>
  <c r="G1681" i="2" s="1"/>
  <c r="E1682" i="2"/>
  <c r="G1682" i="2" s="1"/>
  <c r="E1683" i="2"/>
  <c r="G1683" i="2" s="1"/>
  <c r="E1684" i="2"/>
  <c r="G1684" i="2" s="1"/>
  <c r="E1685" i="2"/>
  <c r="G1685" i="2" s="1"/>
  <c r="E1686" i="2"/>
  <c r="G1686" i="2" s="1"/>
  <c r="E1687" i="2"/>
  <c r="G1687" i="2" s="1"/>
  <c r="E1688" i="2"/>
  <c r="G1688" i="2" s="1"/>
  <c r="E1689" i="2"/>
  <c r="G1689" i="2" s="1"/>
  <c r="E1690" i="2"/>
  <c r="G1690" i="2" s="1"/>
  <c r="E1691" i="2"/>
  <c r="G1691" i="2" s="1"/>
  <c r="E1692" i="2"/>
  <c r="G1692" i="2" s="1"/>
  <c r="E1693" i="2"/>
  <c r="G1693" i="2" s="1"/>
  <c r="E1694" i="2"/>
  <c r="G1694" i="2" s="1"/>
  <c r="E1695" i="2"/>
  <c r="G1695" i="2" s="1"/>
  <c r="E1696" i="2"/>
  <c r="G1696" i="2" s="1"/>
  <c r="E1697" i="2"/>
  <c r="G1697" i="2" s="1"/>
  <c r="E1698" i="2"/>
  <c r="G1698" i="2" s="1"/>
  <c r="E1699" i="2"/>
  <c r="G1699" i="2" s="1"/>
  <c r="E1700" i="2"/>
  <c r="G1700" i="2" s="1"/>
  <c r="E1701" i="2"/>
  <c r="G1701" i="2" s="1"/>
  <c r="E1702" i="2"/>
  <c r="G1702" i="2" s="1"/>
  <c r="E1703" i="2"/>
  <c r="G1703" i="2" s="1"/>
  <c r="E1704" i="2"/>
  <c r="G1704" i="2" s="1"/>
  <c r="E1705" i="2"/>
  <c r="G1705" i="2" s="1"/>
  <c r="E1706" i="2"/>
  <c r="G1706" i="2" s="1"/>
  <c r="E1707" i="2"/>
  <c r="G1707" i="2" s="1"/>
  <c r="E1708" i="2"/>
  <c r="G1708" i="2" s="1"/>
  <c r="E1709" i="2"/>
  <c r="G1709" i="2" s="1"/>
  <c r="E1710" i="2"/>
  <c r="G1710" i="2" s="1"/>
  <c r="E1711" i="2"/>
  <c r="G1711" i="2" s="1"/>
  <c r="E1712" i="2"/>
  <c r="G1712" i="2" s="1"/>
  <c r="E1713" i="2"/>
  <c r="G1713" i="2" s="1"/>
  <c r="E1714" i="2"/>
  <c r="G1714" i="2" s="1"/>
  <c r="E1715" i="2"/>
  <c r="G1715" i="2" s="1"/>
  <c r="E1716" i="2"/>
  <c r="G1716" i="2" s="1"/>
  <c r="E1717" i="2"/>
  <c r="G1717" i="2" s="1"/>
  <c r="E1718" i="2"/>
  <c r="G1718" i="2" s="1"/>
  <c r="E1719" i="2"/>
  <c r="G1719" i="2" s="1"/>
  <c r="E1720" i="2"/>
  <c r="G1720" i="2" s="1"/>
  <c r="E1721" i="2"/>
  <c r="G1721" i="2" s="1"/>
  <c r="E1722" i="2"/>
  <c r="G1722" i="2" s="1"/>
  <c r="E1723" i="2"/>
  <c r="G1723" i="2" s="1"/>
  <c r="E1724" i="2"/>
  <c r="G1724" i="2" s="1"/>
  <c r="E1725" i="2"/>
  <c r="G1725" i="2" s="1"/>
  <c r="E1726" i="2"/>
  <c r="G1726" i="2" s="1"/>
  <c r="E1727" i="2"/>
  <c r="G1727" i="2" s="1"/>
  <c r="E1728" i="2"/>
  <c r="G1728" i="2" s="1"/>
  <c r="E1729" i="2"/>
  <c r="G1729" i="2" s="1"/>
  <c r="E1730" i="2"/>
  <c r="G1730" i="2" s="1"/>
  <c r="E1731" i="2"/>
  <c r="G1731" i="2" s="1"/>
  <c r="E1732" i="2"/>
  <c r="G1732" i="2" s="1"/>
  <c r="E1733" i="2"/>
  <c r="G1733" i="2" s="1"/>
  <c r="E1734" i="2"/>
  <c r="G1734" i="2" s="1"/>
  <c r="E1735" i="2"/>
  <c r="G1735" i="2" s="1"/>
  <c r="E1736" i="2"/>
  <c r="G1736" i="2" s="1"/>
  <c r="E1737" i="2"/>
  <c r="G1737" i="2" s="1"/>
  <c r="E1738" i="2"/>
  <c r="G1738" i="2" s="1"/>
  <c r="E1739" i="2"/>
  <c r="G1739" i="2" s="1"/>
  <c r="E1740" i="2"/>
  <c r="G1740" i="2" s="1"/>
  <c r="E1741" i="2"/>
  <c r="G1741" i="2" s="1"/>
  <c r="E1742" i="2"/>
  <c r="G1742" i="2" s="1"/>
  <c r="E1743" i="2"/>
  <c r="G1743" i="2" s="1"/>
  <c r="E1744" i="2"/>
  <c r="G1744" i="2" s="1"/>
  <c r="E1745" i="2"/>
  <c r="G1745" i="2" s="1"/>
  <c r="E1746" i="2"/>
  <c r="G1746" i="2" s="1"/>
  <c r="E1747" i="2"/>
  <c r="G1747" i="2" s="1"/>
  <c r="E1748" i="2"/>
  <c r="G1748" i="2" s="1"/>
  <c r="E1749" i="2"/>
  <c r="G1749" i="2" s="1"/>
  <c r="E1750" i="2"/>
  <c r="G1750" i="2" s="1"/>
  <c r="E1751" i="2"/>
  <c r="G1751" i="2" s="1"/>
  <c r="E1752" i="2"/>
  <c r="G1752" i="2" s="1"/>
  <c r="E1753" i="2"/>
  <c r="G1753" i="2" s="1"/>
  <c r="E1754" i="2"/>
  <c r="G1754" i="2" s="1"/>
  <c r="E1755" i="2"/>
  <c r="G1755" i="2" s="1"/>
  <c r="E1756" i="2"/>
  <c r="G1756" i="2" s="1"/>
  <c r="E1757" i="2"/>
  <c r="G1757" i="2" s="1"/>
  <c r="E1758" i="2"/>
  <c r="G1758" i="2" s="1"/>
  <c r="E1759" i="2"/>
  <c r="G1759" i="2" s="1"/>
  <c r="E1760" i="2"/>
  <c r="G1760" i="2" s="1"/>
  <c r="E1761" i="2"/>
  <c r="G1761" i="2" s="1"/>
  <c r="E1762" i="2"/>
  <c r="G1762" i="2" s="1"/>
  <c r="E1763" i="2"/>
  <c r="G1763" i="2" s="1"/>
  <c r="E1764" i="2"/>
  <c r="G1764" i="2" s="1"/>
  <c r="E1765" i="2"/>
  <c r="G1765" i="2" s="1"/>
  <c r="E1766" i="2"/>
  <c r="G1766" i="2" s="1"/>
  <c r="E1767" i="2"/>
  <c r="G1767" i="2" s="1"/>
  <c r="E1768" i="2"/>
  <c r="G1768" i="2" s="1"/>
  <c r="E1769" i="2"/>
  <c r="G1769" i="2" s="1"/>
  <c r="E1770" i="2"/>
  <c r="G1770" i="2" s="1"/>
  <c r="E1771" i="2"/>
  <c r="G1771" i="2" s="1"/>
  <c r="E1772" i="2"/>
  <c r="G1772" i="2" s="1"/>
  <c r="E1773" i="2"/>
  <c r="G1773" i="2" s="1"/>
  <c r="E1774" i="2"/>
  <c r="G1774" i="2" s="1"/>
  <c r="E1775" i="2"/>
  <c r="G1775" i="2" s="1"/>
  <c r="E1776" i="2"/>
  <c r="G1776" i="2" s="1"/>
  <c r="E1777" i="2"/>
  <c r="G1777" i="2" s="1"/>
  <c r="E1778" i="2"/>
  <c r="G1778" i="2" s="1"/>
  <c r="E1779" i="2"/>
  <c r="G1779" i="2" s="1"/>
  <c r="E1780" i="2"/>
  <c r="G1780" i="2" s="1"/>
  <c r="E1781" i="2"/>
  <c r="G1781" i="2" s="1"/>
  <c r="E1782" i="2"/>
  <c r="G1782" i="2" s="1"/>
  <c r="E1783" i="2"/>
  <c r="G1783" i="2" s="1"/>
  <c r="E1784" i="2"/>
  <c r="G1784" i="2" s="1"/>
  <c r="E1785" i="2"/>
  <c r="G1785" i="2" s="1"/>
  <c r="E1786" i="2"/>
  <c r="G1786" i="2" s="1"/>
  <c r="E1787" i="2"/>
  <c r="G1787" i="2" s="1"/>
  <c r="E1788" i="2"/>
  <c r="G1788" i="2" s="1"/>
  <c r="E1789" i="2"/>
  <c r="G1789" i="2" s="1"/>
  <c r="E1790" i="2"/>
  <c r="G1790" i="2" s="1"/>
  <c r="E1791" i="2"/>
  <c r="G1791" i="2" s="1"/>
  <c r="E1792" i="2"/>
  <c r="G1792" i="2" s="1"/>
  <c r="E1793" i="2"/>
  <c r="G1793" i="2" s="1"/>
  <c r="E1794" i="2"/>
  <c r="G1794" i="2" s="1"/>
  <c r="E1795" i="2"/>
  <c r="G1795" i="2" s="1"/>
  <c r="E1796" i="2"/>
  <c r="G1796" i="2" s="1"/>
  <c r="E1797" i="2"/>
  <c r="G1797" i="2" s="1"/>
  <c r="E1798" i="2"/>
  <c r="G1798" i="2" s="1"/>
  <c r="E1799" i="2"/>
  <c r="G1799" i="2" s="1"/>
  <c r="E1800" i="2"/>
  <c r="G1800" i="2" s="1"/>
  <c r="E1801" i="2"/>
  <c r="G1801" i="2" s="1"/>
  <c r="E1802" i="2"/>
  <c r="G1802" i="2" s="1"/>
  <c r="E1803" i="2"/>
  <c r="G1803" i="2" s="1"/>
  <c r="E1804" i="2"/>
  <c r="G1804" i="2" s="1"/>
  <c r="E1805" i="2"/>
  <c r="G1805" i="2" s="1"/>
  <c r="E1806" i="2"/>
  <c r="G1806" i="2" s="1"/>
  <c r="E1807" i="2"/>
  <c r="G1807" i="2" s="1"/>
  <c r="E1808" i="2"/>
  <c r="G1808" i="2" s="1"/>
  <c r="E1809" i="2"/>
  <c r="G1809" i="2" s="1"/>
  <c r="E1810" i="2"/>
  <c r="G1810" i="2" s="1"/>
  <c r="E1811" i="2"/>
  <c r="G1811" i="2" s="1"/>
  <c r="E1812" i="2"/>
  <c r="G1812" i="2" s="1"/>
  <c r="E1813" i="2"/>
  <c r="G1813" i="2" s="1"/>
  <c r="E1814" i="2"/>
  <c r="G1814" i="2" s="1"/>
  <c r="E1815" i="2"/>
  <c r="G1815" i="2" s="1"/>
  <c r="E1816" i="2"/>
  <c r="G1816" i="2" s="1"/>
  <c r="E1817" i="2"/>
  <c r="G1817" i="2" s="1"/>
  <c r="E1818" i="2"/>
  <c r="G1818" i="2" s="1"/>
  <c r="E1819" i="2"/>
  <c r="G1819" i="2" s="1"/>
  <c r="E1820" i="2"/>
  <c r="G1820" i="2" s="1"/>
  <c r="E1821" i="2"/>
  <c r="G1821" i="2" s="1"/>
  <c r="E1822" i="2"/>
  <c r="G1822" i="2" s="1"/>
  <c r="E1823" i="2"/>
  <c r="G1823" i="2" s="1"/>
  <c r="E1824" i="2"/>
  <c r="G1824" i="2" s="1"/>
  <c r="E1825" i="2"/>
  <c r="G1825" i="2" s="1"/>
  <c r="E1826" i="2"/>
  <c r="G1826" i="2" s="1"/>
  <c r="E1827" i="2"/>
  <c r="G1827" i="2" s="1"/>
  <c r="E1828" i="2"/>
  <c r="G1828" i="2" s="1"/>
  <c r="E1829" i="2"/>
  <c r="G1829" i="2" s="1"/>
  <c r="E1830" i="2"/>
  <c r="G1830" i="2" s="1"/>
  <c r="E1831" i="2"/>
  <c r="G1831" i="2" s="1"/>
  <c r="E1832" i="2"/>
  <c r="G1832" i="2" s="1"/>
  <c r="E1833" i="2"/>
  <c r="G1833" i="2" s="1"/>
  <c r="E1834" i="2"/>
  <c r="G1834" i="2" s="1"/>
  <c r="E1835" i="2"/>
  <c r="G1835" i="2" s="1"/>
  <c r="E1836" i="2"/>
  <c r="G1836" i="2" s="1"/>
  <c r="E1837" i="2"/>
  <c r="G1837" i="2" s="1"/>
  <c r="E1838" i="2"/>
  <c r="G1838" i="2" s="1"/>
  <c r="E1839" i="2"/>
  <c r="G1839" i="2" s="1"/>
  <c r="E1840" i="2"/>
  <c r="G1840" i="2" s="1"/>
  <c r="E1841" i="2"/>
  <c r="G1841" i="2" s="1"/>
  <c r="E1842" i="2"/>
  <c r="G1842" i="2" s="1"/>
  <c r="E1843" i="2"/>
  <c r="G1843" i="2" s="1"/>
  <c r="E1844" i="2"/>
  <c r="G1844" i="2" s="1"/>
  <c r="E1845" i="2"/>
  <c r="G1845" i="2" s="1"/>
  <c r="E1846" i="2"/>
  <c r="G1846" i="2" s="1"/>
  <c r="E1847" i="2"/>
  <c r="G1847" i="2" s="1"/>
  <c r="E1848" i="2"/>
  <c r="G1848" i="2" s="1"/>
  <c r="E1849" i="2"/>
  <c r="G1849" i="2" s="1"/>
  <c r="E1850" i="2"/>
  <c r="G1850" i="2" s="1"/>
  <c r="E1851" i="2"/>
  <c r="G1851" i="2" s="1"/>
  <c r="E1852" i="2"/>
  <c r="G1852" i="2" s="1"/>
  <c r="E1853" i="2"/>
  <c r="G1853" i="2" s="1"/>
  <c r="E1854" i="2"/>
  <c r="G1854" i="2" s="1"/>
  <c r="E1855" i="2"/>
  <c r="G1855" i="2" s="1"/>
  <c r="E1856" i="2"/>
  <c r="G1856" i="2" s="1"/>
  <c r="E1857" i="2"/>
  <c r="G1857" i="2" s="1"/>
  <c r="E1858" i="2"/>
  <c r="G1858" i="2" s="1"/>
  <c r="E1859" i="2"/>
  <c r="G1859" i="2" s="1"/>
  <c r="E1860" i="2"/>
  <c r="G1860" i="2" s="1"/>
  <c r="E1861" i="2"/>
  <c r="G1861" i="2" s="1"/>
  <c r="E1862" i="2"/>
  <c r="G1862" i="2" s="1"/>
  <c r="E1863" i="2"/>
  <c r="G1863" i="2" s="1"/>
  <c r="E1864" i="2"/>
  <c r="G1864" i="2" s="1"/>
  <c r="E1865" i="2"/>
  <c r="G1865" i="2" s="1"/>
  <c r="E1866" i="2"/>
  <c r="G1866" i="2" s="1"/>
  <c r="E1867" i="2"/>
  <c r="G1867" i="2" s="1"/>
  <c r="E1868" i="2"/>
  <c r="G1868" i="2" s="1"/>
  <c r="E1869" i="2"/>
  <c r="G1869" i="2" s="1"/>
  <c r="E1870" i="2"/>
  <c r="G1870" i="2" s="1"/>
  <c r="E1871" i="2"/>
  <c r="G1871" i="2" s="1"/>
  <c r="E1872" i="2"/>
  <c r="G1872" i="2" s="1"/>
  <c r="E1873" i="2"/>
  <c r="G1873" i="2" s="1"/>
  <c r="E1874" i="2"/>
  <c r="G1874" i="2" s="1"/>
  <c r="E1875" i="2"/>
  <c r="G1875" i="2" s="1"/>
  <c r="E1876" i="2"/>
  <c r="G1876" i="2" s="1"/>
  <c r="E1877" i="2"/>
  <c r="G1877" i="2" s="1"/>
  <c r="E1878" i="2"/>
  <c r="G1878" i="2" s="1"/>
  <c r="E1879" i="2"/>
  <c r="G1879" i="2" s="1"/>
  <c r="E1880" i="2"/>
  <c r="G1880" i="2" s="1"/>
  <c r="E1881" i="2"/>
  <c r="G1881" i="2" s="1"/>
  <c r="E1882" i="2"/>
  <c r="G1882" i="2" s="1"/>
  <c r="E1883" i="2"/>
  <c r="G1883" i="2" s="1"/>
  <c r="E1884" i="2"/>
  <c r="G1884" i="2" s="1"/>
  <c r="E1885" i="2"/>
  <c r="G1885" i="2" s="1"/>
  <c r="E1886" i="2"/>
  <c r="G1886" i="2" s="1"/>
  <c r="E1887" i="2"/>
  <c r="G1887" i="2" s="1"/>
  <c r="E1888" i="2"/>
  <c r="G1888" i="2" s="1"/>
  <c r="E1889" i="2"/>
  <c r="G1889" i="2" s="1"/>
  <c r="E1890" i="2"/>
  <c r="G1890" i="2" s="1"/>
  <c r="E1891" i="2"/>
  <c r="G1891" i="2" s="1"/>
  <c r="E1892" i="2"/>
  <c r="G1892" i="2" s="1"/>
  <c r="E1893" i="2"/>
  <c r="G1893" i="2" s="1"/>
  <c r="E1894" i="2"/>
  <c r="G1894" i="2" s="1"/>
  <c r="E1895" i="2"/>
  <c r="G1895" i="2" s="1"/>
  <c r="E1896" i="2"/>
  <c r="G1896" i="2" s="1"/>
  <c r="E1897" i="2"/>
  <c r="G1897" i="2" s="1"/>
  <c r="E1898" i="2"/>
  <c r="G1898" i="2" s="1"/>
  <c r="E1899" i="2"/>
  <c r="G1899" i="2" s="1"/>
  <c r="E1900" i="2"/>
  <c r="G1900" i="2" s="1"/>
  <c r="E1901" i="2"/>
  <c r="G1901" i="2" s="1"/>
  <c r="E1902" i="2"/>
  <c r="G1902" i="2" s="1"/>
  <c r="E1903" i="2"/>
  <c r="G1903" i="2" s="1"/>
  <c r="E1904" i="2"/>
  <c r="G1904" i="2" s="1"/>
  <c r="E1905" i="2"/>
  <c r="G1905" i="2" s="1"/>
  <c r="E1906" i="2"/>
  <c r="G1906" i="2" s="1"/>
  <c r="E1907" i="2"/>
  <c r="G1907" i="2" s="1"/>
  <c r="E1908" i="2"/>
  <c r="G1908" i="2" s="1"/>
  <c r="E1909" i="2"/>
  <c r="G1909" i="2" s="1"/>
  <c r="E1910" i="2"/>
  <c r="G1910" i="2" s="1"/>
  <c r="E1911" i="2"/>
  <c r="G1911" i="2" s="1"/>
  <c r="E1912" i="2"/>
  <c r="G1912" i="2" s="1"/>
  <c r="E1913" i="2"/>
  <c r="G1913" i="2" s="1"/>
  <c r="E1914" i="2"/>
  <c r="G1914" i="2" s="1"/>
  <c r="E1915" i="2"/>
  <c r="G1915" i="2" s="1"/>
  <c r="E1916" i="2"/>
  <c r="G1916" i="2" s="1"/>
  <c r="E1917" i="2"/>
  <c r="G1917" i="2" s="1"/>
  <c r="E1918" i="2"/>
  <c r="G1918" i="2" s="1"/>
  <c r="E1919" i="2"/>
  <c r="G1919" i="2" s="1"/>
  <c r="E1920" i="2"/>
  <c r="G1920" i="2" s="1"/>
  <c r="E1921" i="2"/>
  <c r="G1921" i="2" s="1"/>
  <c r="E1922" i="2"/>
  <c r="G1922" i="2" s="1"/>
  <c r="E1923" i="2"/>
  <c r="G1923" i="2" s="1"/>
  <c r="E1924" i="2"/>
  <c r="G1924" i="2" s="1"/>
  <c r="E1925" i="2"/>
  <c r="G1925" i="2" s="1"/>
  <c r="E1926" i="2"/>
  <c r="G1926" i="2" s="1"/>
  <c r="E1927" i="2"/>
  <c r="G1927" i="2" s="1"/>
  <c r="E1928" i="2"/>
  <c r="G1928" i="2" s="1"/>
  <c r="E1929" i="2"/>
  <c r="G1929" i="2" s="1"/>
  <c r="E1930" i="2"/>
  <c r="G1930" i="2" s="1"/>
  <c r="E1931" i="2"/>
  <c r="G1931" i="2" s="1"/>
  <c r="E1932" i="2"/>
  <c r="G1932" i="2" s="1"/>
  <c r="E1933" i="2"/>
  <c r="G1933" i="2" s="1"/>
  <c r="E1934" i="2"/>
  <c r="G1934" i="2" s="1"/>
  <c r="E1935" i="2"/>
  <c r="G1935" i="2" s="1"/>
  <c r="E1936" i="2"/>
  <c r="G1936" i="2" s="1"/>
  <c r="E1937" i="2"/>
  <c r="G1937" i="2" s="1"/>
  <c r="E1938" i="2"/>
  <c r="G1938" i="2" s="1"/>
  <c r="E1939" i="2"/>
  <c r="G1939" i="2" s="1"/>
  <c r="E1940" i="2"/>
  <c r="G1940" i="2" s="1"/>
  <c r="E1941" i="2"/>
  <c r="G1941" i="2" s="1"/>
  <c r="E1942" i="2"/>
  <c r="G1942" i="2" s="1"/>
  <c r="E1943" i="2"/>
  <c r="G1943" i="2" s="1"/>
  <c r="E1944" i="2"/>
  <c r="G1944" i="2" s="1"/>
  <c r="E1945" i="2"/>
  <c r="G1945" i="2" s="1"/>
  <c r="E1946" i="2"/>
  <c r="G1946" i="2" s="1"/>
  <c r="E1947" i="2"/>
  <c r="G1947" i="2" s="1"/>
  <c r="E1948" i="2"/>
  <c r="G1948" i="2" s="1"/>
  <c r="E1949" i="2"/>
  <c r="G1949" i="2" s="1"/>
  <c r="E1950" i="2"/>
  <c r="G1950" i="2" s="1"/>
  <c r="E1951" i="2"/>
  <c r="G1951" i="2" s="1"/>
  <c r="E1952" i="2"/>
  <c r="G1952" i="2" s="1"/>
  <c r="E1953" i="2"/>
  <c r="G1953" i="2" s="1"/>
  <c r="E1954" i="2"/>
  <c r="G1954" i="2" s="1"/>
  <c r="E1955" i="2"/>
  <c r="G1955" i="2" s="1"/>
  <c r="E1956" i="2"/>
  <c r="G1956" i="2" s="1"/>
  <c r="E1957" i="2"/>
  <c r="G1957" i="2" s="1"/>
  <c r="E1958" i="2"/>
  <c r="G1958" i="2" s="1"/>
  <c r="E1959" i="2"/>
  <c r="G1959" i="2" s="1"/>
  <c r="E1960" i="2"/>
  <c r="G1960" i="2" s="1"/>
  <c r="E1961" i="2"/>
  <c r="G1961" i="2" s="1"/>
  <c r="E1962" i="2"/>
  <c r="G1962" i="2" s="1"/>
  <c r="E1963" i="2"/>
  <c r="G1963" i="2" s="1"/>
  <c r="E1964" i="2"/>
  <c r="G1964" i="2" s="1"/>
  <c r="E1965" i="2"/>
  <c r="G1965" i="2" s="1"/>
  <c r="E1966" i="2"/>
  <c r="G1966" i="2" s="1"/>
  <c r="E1967" i="2"/>
  <c r="G1967" i="2" s="1"/>
  <c r="E1968" i="2"/>
  <c r="G1968" i="2" s="1"/>
  <c r="E1969" i="2"/>
  <c r="G1969" i="2" s="1"/>
  <c r="E1970" i="2"/>
  <c r="G1970" i="2" s="1"/>
  <c r="E1971" i="2"/>
  <c r="G1971" i="2" s="1"/>
  <c r="E1972" i="2"/>
  <c r="G1972" i="2" s="1"/>
  <c r="E1973" i="2"/>
  <c r="G1973" i="2" s="1"/>
  <c r="E1974" i="2"/>
  <c r="G1974" i="2" s="1"/>
  <c r="E1975" i="2"/>
  <c r="G1975" i="2" s="1"/>
  <c r="E1976" i="2"/>
  <c r="G1976" i="2" s="1"/>
  <c r="E1977" i="2"/>
  <c r="G1977" i="2" s="1"/>
  <c r="E1978" i="2"/>
  <c r="G1978" i="2" s="1"/>
  <c r="E1979" i="2"/>
  <c r="G1979" i="2" s="1"/>
  <c r="E1980" i="2"/>
  <c r="G1980" i="2" s="1"/>
  <c r="E1981" i="2"/>
  <c r="G1981" i="2" s="1"/>
  <c r="E1982" i="2"/>
  <c r="G1982" i="2" s="1"/>
  <c r="E1983" i="2"/>
  <c r="G1983" i="2" s="1"/>
  <c r="E1984" i="2"/>
  <c r="G1984" i="2" s="1"/>
  <c r="E1985" i="2"/>
  <c r="G1985" i="2" s="1"/>
  <c r="E1986" i="2"/>
  <c r="G1986" i="2" s="1"/>
  <c r="E1987" i="2"/>
  <c r="G1987" i="2" s="1"/>
  <c r="E1988" i="2"/>
  <c r="G1988" i="2" s="1"/>
  <c r="E1989" i="2"/>
  <c r="G1989" i="2" s="1"/>
  <c r="E1990" i="2"/>
  <c r="G1990" i="2" s="1"/>
  <c r="E1991" i="2"/>
  <c r="G1991" i="2" s="1"/>
  <c r="E1992" i="2"/>
  <c r="G1992" i="2" s="1"/>
  <c r="E1993" i="2"/>
  <c r="G1993" i="2" s="1"/>
  <c r="E1994" i="2"/>
  <c r="G1994" i="2" s="1"/>
  <c r="E1995" i="2"/>
  <c r="G1995" i="2" s="1"/>
  <c r="E1996" i="2"/>
  <c r="G1996" i="2" s="1"/>
  <c r="E1997" i="2"/>
  <c r="G1997" i="2" s="1"/>
  <c r="E1998" i="2"/>
  <c r="G1998" i="2" s="1"/>
  <c r="E1999" i="2"/>
  <c r="G1999" i="2" s="1"/>
  <c r="E2000" i="2"/>
  <c r="G2000" i="2" s="1"/>
  <c r="E2001" i="2"/>
  <c r="G2001" i="2" s="1"/>
  <c r="E2002" i="2"/>
  <c r="G2002" i="2" s="1"/>
  <c r="E2003" i="2"/>
  <c r="G2003" i="2" s="1"/>
  <c r="E2004" i="2"/>
  <c r="G2004" i="2" s="1"/>
  <c r="E2005" i="2"/>
  <c r="G2005" i="2" s="1"/>
  <c r="E2006" i="2"/>
  <c r="G2006" i="2" s="1"/>
  <c r="E2007" i="2"/>
  <c r="G2007" i="2" s="1"/>
  <c r="E2008" i="2"/>
  <c r="G2008" i="2" s="1"/>
  <c r="E2009" i="2"/>
  <c r="G2009" i="2" s="1"/>
  <c r="E2010" i="2"/>
  <c r="G2010" i="2" s="1"/>
  <c r="E2011" i="2"/>
  <c r="G2011" i="2" s="1"/>
  <c r="E2012" i="2"/>
  <c r="G2012" i="2" s="1"/>
  <c r="E2013" i="2"/>
  <c r="G2013" i="2" s="1"/>
  <c r="E2014" i="2"/>
  <c r="G2014" i="2" s="1"/>
  <c r="E2015" i="2"/>
  <c r="G2015" i="2" s="1"/>
  <c r="E2016" i="2"/>
  <c r="G2016" i="2" s="1"/>
  <c r="E2017" i="2"/>
  <c r="G2017" i="2" s="1"/>
  <c r="E2018" i="2"/>
  <c r="G2018" i="2" s="1"/>
  <c r="E2019" i="2"/>
  <c r="G2019" i="2" s="1"/>
  <c r="E2020" i="2"/>
  <c r="G2020" i="2" s="1"/>
  <c r="E2021" i="2"/>
  <c r="G2021" i="2" s="1"/>
  <c r="E2022" i="2"/>
  <c r="G2022" i="2" s="1"/>
  <c r="E2023" i="2"/>
  <c r="G2023" i="2" s="1"/>
  <c r="E2024" i="2"/>
  <c r="G2024" i="2" s="1"/>
  <c r="E2025" i="2"/>
  <c r="G2025" i="2" s="1"/>
  <c r="E2026" i="2"/>
  <c r="G2026" i="2" s="1"/>
  <c r="E2027" i="2"/>
  <c r="G2027" i="2" s="1"/>
  <c r="E2028" i="2"/>
  <c r="G2028" i="2" s="1"/>
  <c r="E2029" i="2"/>
  <c r="G2029" i="2" s="1"/>
  <c r="E2030" i="2"/>
  <c r="G2030" i="2" s="1"/>
  <c r="E2031" i="2"/>
  <c r="G2031" i="2" s="1"/>
  <c r="E2032" i="2"/>
  <c r="G2032" i="2" s="1"/>
  <c r="E2033" i="2"/>
  <c r="G2033" i="2" s="1"/>
  <c r="E2034" i="2"/>
  <c r="G2034" i="2" s="1"/>
  <c r="E2035" i="2"/>
  <c r="G2035" i="2" s="1"/>
  <c r="E2036" i="2"/>
  <c r="G2036" i="2" s="1"/>
  <c r="E2037" i="2"/>
  <c r="G2037" i="2" s="1"/>
  <c r="E2038" i="2"/>
  <c r="G2038" i="2" s="1"/>
  <c r="E2039" i="2"/>
  <c r="G2039" i="2" s="1"/>
  <c r="E2040" i="2"/>
  <c r="G2040" i="2" s="1"/>
  <c r="E2041" i="2"/>
  <c r="G2041" i="2" s="1"/>
  <c r="E2042" i="2"/>
  <c r="G2042" i="2" s="1"/>
  <c r="E2043" i="2"/>
  <c r="G2043" i="2" s="1"/>
  <c r="E2044" i="2"/>
  <c r="G2044" i="2" s="1"/>
  <c r="E2045" i="2"/>
  <c r="G2045" i="2" s="1"/>
  <c r="E2046" i="2"/>
  <c r="G2046" i="2" s="1"/>
  <c r="E2047" i="2"/>
  <c r="G2047" i="2" s="1"/>
  <c r="E2048" i="2"/>
  <c r="G2048" i="2" s="1"/>
  <c r="E2049" i="2"/>
  <c r="G2049" i="2" s="1"/>
  <c r="E2050" i="2"/>
  <c r="G2050" i="2" s="1"/>
  <c r="E2051" i="2"/>
  <c r="G2051" i="2" s="1"/>
  <c r="E2052" i="2"/>
  <c r="G2052" i="2" s="1"/>
  <c r="E2053" i="2"/>
  <c r="G2053" i="2" s="1"/>
  <c r="E2054" i="2"/>
  <c r="G2054" i="2" s="1"/>
  <c r="E2055" i="2"/>
  <c r="G2055" i="2" s="1"/>
  <c r="E2056" i="2"/>
  <c r="G2056" i="2" s="1"/>
  <c r="E2057" i="2"/>
  <c r="G2057" i="2" s="1"/>
  <c r="E2058" i="2"/>
  <c r="G2058" i="2" s="1"/>
  <c r="E2059" i="2"/>
  <c r="G2059" i="2" s="1"/>
  <c r="E2060" i="2"/>
  <c r="G2060" i="2" s="1"/>
  <c r="E2061" i="2"/>
  <c r="G2061" i="2" s="1"/>
  <c r="E2062" i="2"/>
  <c r="G2062" i="2" s="1"/>
  <c r="E2063" i="2"/>
  <c r="G2063" i="2" s="1"/>
  <c r="E2064" i="2"/>
  <c r="G2064" i="2" s="1"/>
  <c r="E2065" i="2"/>
  <c r="G2065" i="2" s="1"/>
  <c r="E2066" i="2"/>
  <c r="G2066" i="2" s="1"/>
  <c r="E2067" i="2"/>
  <c r="G2067" i="2" s="1"/>
  <c r="E2068" i="2"/>
  <c r="G2068" i="2" s="1"/>
  <c r="E2069" i="2"/>
  <c r="G2069" i="2" s="1"/>
  <c r="E2070" i="2"/>
  <c r="G2070" i="2" s="1"/>
  <c r="E2071" i="2"/>
  <c r="G2071" i="2" s="1"/>
  <c r="E2072" i="2"/>
  <c r="G2072" i="2" s="1"/>
  <c r="E2073" i="2"/>
  <c r="G2073" i="2" s="1"/>
  <c r="E2074" i="2"/>
  <c r="G2074" i="2" s="1"/>
  <c r="E2075" i="2"/>
  <c r="G2075" i="2" s="1"/>
  <c r="E2076" i="2"/>
  <c r="G2076" i="2" s="1"/>
  <c r="E2077" i="2"/>
  <c r="G2077" i="2" s="1"/>
  <c r="E2078" i="2"/>
  <c r="G2078" i="2" s="1"/>
  <c r="E2079" i="2"/>
  <c r="G2079" i="2" s="1"/>
  <c r="E2080" i="2"/>
  <c r="G2080" i="2" s="1"/>
  <c r="E2081" i="2"/>
  <c r="G2081" i="2" s="1"/>
  <c r="E2082" i="2"/>
  <c r="G2082" i="2" s="1"/>
  <c r="E2083" i="2"/>
  <c r="G2083" i="2" s="1"/>
  <c r="E2084" i="2"/>
  <c r="G2084" i="2" s="1"/>
  <c r="E2085" i="2"/>
  <c r="G2085" i="2" s="1"/>
  <c r="E2086" i="2"/>
  <c r="G2086" i="2" s="1"/>
  <c r="E2087" i="2"/>
  <c r="G2087" i="2" s="1"/>
  <c r="E2088" i="2"/>
  <c r="G2088" i="2" s="1"/>
  <c r="E2089" i="2"/>
  <c r="G2089" i="2" s="1"/>
  <c r="E2090" i="2"/>
  <c r="G2090" i="2" s="1"/>
  <c r="E2091" i="2"/>
  <c r="G2091" i="2" s="1"/>
  <c r="E2092" i="2"/>
  <c r="G2092" i="2" s="1"/>
  <c r="E2093" i="2"/>
  <c r="G2093" i="2" s="1"/>
  <c r="E2094" i="2"/>
  <c r="G2094" i="2" s="1"/>
  <c r="E2095" i="2"/>
  <c r="G2095" i="2" s="1"/>
  <c r="E2096" i="2"/>
  <c r="G2096" i="2" s="1"/>
  <c r="E2097" i="2"/>
  <c r="G2097" i="2" s="1"/>
  <c r="E2098" i="2"/>
  <c r="G2098" i="2" s="1"/>
  <c r="E2099" i="2"/>
  <c r="G2099" i="2" s="1"/>
  <c r="E2100" i="2"/>
  <c r="G2100" i="2" s="1"/>
  <c r="E2101" i="2"/>
  <c r="G2101" i="2" s="1"/>
  <c r="E2102" i="2"/>
  <c r="G2102" i="2" s="1"/>
  <c r="E2103" i="2"/>
  <c r="G2103" i="2" s="1"/>
  <c r="E2104" i="2"/>
  <c r="G2104" i="2" s="1"/>
  <c r="E2105" i="2"/>
  <c r="G2105" i="2" s="1"/>
  <c r="E2106" i="2"/>
  <c r="G2106" i="2" s="1"/>
  <c r="E2107" i="2"/>
  <c r="G2107" i="2" s="1"/>
  <c r="E2108" i="2"/>
  <c r="G2108" i="2" s="1"/>
  <c r="E2109" i="2"/>
  <c r="G2109" i="2" s="1"/>
  <c r="E2110" i="2"/>
  <c r="G2110" i="2" s="1"/>
  <c r="E2111" i="2"/>
  <c r="G2111" i="2" s="1"/>
  <c r="E2112" i="2"/>
  <c r="G2112" i="2" s="1"/>
  <c r="E2113" i="2"/>
  <c r="G2113" i="2" s="1"/>
  <c r="E2114" i="2"/>
  <c r="G2114" i="2" s="1"/>
  <c r="E2115" i="2"/>
  <c r="G2115" i="2" s="1"/>
  <c r="E2116" i="2"/>
  <c r="G2116" i="2" s="1"/>
  <c r="E2117" i="2"/>
  <c r="G2117" i="2" s="1"/>
  <c r="E2118" i="2"/>
  <c r="G2118" i="2" s="1"/>
  <c r="E2119" i="2"/>
  <c r="G2119" i="2" s="1"/>
  <c r="E2120" i="2"/>
  <c r="G2120" i="2" s="1"/>
  <c r="E2121" i="2"/>
  <c r="G2121" i="2" s="1"/>
  <c r="E2122" i="2"/>
  <c r="G2122" i="2" s="1"/>
  <c r="E2123" i="2"/>
  <c r="G2123" i="2" s="1"/>
  <c r="E2124" i="2"/>
  <c r="G2124" i="2" s="1"/>
  <c r="E2125" i="2"/>
  <c r="G2125" i="2" s="1"/>
  <c r="E2126" i="2"/>
  <c r="G2126" i="2" s="1"/>
  <c r="E2127" i="2"/>
  <c r="G2127" i="2" s="1"/>
  <c r="E2128" i="2"/>
  <c r="G2128" i="2" s="1"/>
  <c r="E2129" i="2"/>
  <c r="G2129" i="2" s="1"/>
  <c r="E2130" i="2"/>
  <c r="G2130" i="2" s="1"/>
  <c r="E2131" i="2"/>
  <c r="G2131" i="2" s="1"/>
  <c r="E2132" i="2"/>
  <c r="G2132" i="2" s="1"/>
  <c r="E2133" i="2"/>
  <c r="G2133" i="2" s="1"/>
  <c r="E2134" i="2"/>
  <c r="G2134" i="2" s="1"/>
  <c r="E2135" i="2"/>
  <c r="G2135" i="2" s="1"/>
  <c r="E2136" i="2"/>
  <c r="G2136" i="2" s="1"/>
  <c r="E2137" i="2"/>
  <c r="G2137" i="2" s="1"/>
  <c r="E2138" i="2"/>
  <c r="G2138" i="2" s="1"/>
  <c r="E2139" i="2"/>
  <c r="G2139" i="2" s="1"/>
  <c r="E2140" i="2"/>
  <c r="G2140" i="2" s="1"/>
  <c r="E2141" i="2"/>
  <c r="G2141" i="2" s="1"/>
  <c r="E2142" i="2"/>
  <c r="G2142" i="2" s="1"/>
  <c r="E2143" i="2"/>
  <c r="G2143" i="2" s="1"/>
  <c r="E2144" i="2"/>
  <c r="G2144" i="2" s="1"/>
  <c r="E2145" i="2"/>
  <c r="G2145" i="2" s="1"/>
  <c r="E2146" i="2"/>
  <c r="G2146" i="2" s="1"/>
  <c r="E2147" i="2"/>
  <c r="G2147" i="2" s="1"/>
  <c r="E2148" i="2"/>
  <c r="G2148" i="2" s="1"/>
  <c r="E2149" i="2"/>
  <c r="G2149" i="2" s="1"/>
  <c r="E2150" i="2"/>
  <c r="G2150" i="2" s="1"/>
  <c r="E2151" i="2"/>
  <c r="G2151" i="2" s="1"/>
  <c r="E2152" i="2"/>
  <c r="G2152" i="2" s="1"/>
  <c r="E2153" i="2"/>
  <c r="G2153" i="2" s="1"/>
  <c r="E2154" i="2"/>
  <c r="G2154" i="2" s="1"/>
  <c r="E2155" i="2"/>
  <c r="G2155" i="2" s="1"/>
  <c r="E2156" i="2"/>
  <c r="G2156" i="2" s="1"/>
  <c r="E2157" i="2"/>
  <c r="G2157" i="2" s="1"/>
  <c r="E2158" i="2"/>
  <c r="G2158" i="2" s="1"/>
  <c r="E2159" i="2"/>
  <c r="G2159" i="2" s="1"/>
  <c r="E2160" i="2"/>
  <c r="G2160" i="2" s="1"/>
  <c r="E2161" i="2"/>
  <c r="G2161" i="2" s="1"/>
  <c r="E2162" i="2"/>
  <c r="G2162" i="2" s="1"/>
  <c r="E2163" i="2"/>
  <c r="G2163" i="2" s="1"/>
  <c r="E2164" i="2"/>
  <c r="G2164" i="2" s="1"/>
  <c r="E2165" i="2"/>
  <c r="G2165" i="2" s="1"/>
  <c r="E2166" i="2"/>
  <c r="G2166" i="2" s="1"/>
  <c r="E2167" i="2"/>
  <c r="G2167" i="2" s="1"/>
  <c r="E2168" i="2"/>
  <c r="G2168" i="2" s="1"/>
  <c r="E2169" i="2"/>
  <c r="G2169" i="2" s="1"/>
  <c r="E2170" i="2"/>
  <c r="G2170" i="2" s="1"/>
  <c r="E2171" i="2"/>
  <c r="G2171" i="2" s="1"/>
  <c r="E2172" i="2"/>
  <c r="G2172" i="2" s="1"/>
  <c r="E2173" i="2"/>
  <c r="G2173" i="2" s="1"/>
  <c r="E2174" i="2"/>
  <c r="G2174" i="2" s="1"/>
  <c r="E2175" i="2"/>
  <c r="G2175" i="2" s="1"/>
  <c r="E2176" i="2"/>
  <c r="G2176" i="2" s="1"/>
  <c r="E2177" i="2"/>
  <c r="G2177" i="2" s="1"/>
  <c r="E2178" i="2"/>
  <c r="G2178" i="2" s="1"/>
  <c r="E2179" i="2"/>
  <c r="G2179" i="2" s="1"/>
  <c r="E2180" i="2"/>
  <c r="G2180" i="2" s="1"/>
  <c r="E2181" i="2"/>
  <c r="G2181" i="2" s="1"/>
  <c r="E2182" i="2"/>
  <c r="G2182" i="2" s="1"/>
  <c r="E2183" i="2"/>
  <c r="G2183" i="2" s="1"/>
  <c r="E2184" i="2"/>
  <c r="G2184" i="2" s="1"/>
  <c r="E2185" i="2"/>
  <c r="G2185" i="2" s="1"/>
  <c r="E2186" i="2"/>
  <c r="G2186" i="2" s="1"/>
  <c r="E2187" i="2"/>
  <c r="G2187" i="2" s="1"/>
  <c r="E2188" i="2"/>
  <c r="G2188" i="2" s="1"/>
  <c r="E2189" i="2"/>
  <c r="G2189" i="2" s="1"/>
  <c r="E2190" i="2"/>
  <c r="G2190" i="2" s="1"/>
  <c r="E2191" i="2"/>
  <c r="G2191" i="2" s="1"/>
  <c r="E2192" i="2"/>
  <c r="G2192" i="2" s="1"/>
  <c r="E2193" i="2"/>
  <c r="G2193" i="2" s="1"/>
  <c r="E2194" i="2"/>
  <c r="G2194" i="2" s="1"/>
  <c r="E2195" i="2"/>
  <c r="G2195" i="2" s="1"/>
  <c r="E2196" i="2"/>
  <c r="G2196" i="2" s="1"/>
  <c r="E2197" i="2"/>
  <c r="G2197" i="2" s="1"/>
  <c r="E2198" i="2"/>
  <c r="G2198" i="2" s="1"/>
  <c r="E2199" i="2"/>
  <c r="G2199" i="2" s="1"/>
  <c r="E2200" i="2"/>
  <c r="G2200" i="2" s="1"/>
  <c r="E2201" i="2"/>
  <c r="G2201" i="2" s="1"/>
  <c r="E2202" i="2"/>
  <c r="G2202" i="2" s="1"/>
  <c r="E2203" i="2"/>
  <c r="G2203" i="2" s="1"/>
  <c r="E2204" i="2"/>
  <c r="G2204" i="2" s="1"/>
  <c r="E2205" i="2"/>
  <c r="G2205" i="2" s="1"/>
  <c r="E2206" i="2"/>
  <c r="G2206" i="2" s="1"/>
  <c r="E2207" i="2"/>
  <c r="G2207" i="2" s="1"/>
  <c r="E2208" i="2"/>
  <c r="G2208" i="2" s="1"/>
  <c r="E2209" i="2"/>
  <c r="G2209" i="2" s="1"/>
  <c r="E2210" i="2"/>
  <c r="G2210" i="2" s="1"/>
  <c r="E2211" i="2"/>
  <c r="G2211" i="2" s="1"/>
  <c r="E2212" i="2"/>
  <c r="G2212" i="2" s="1"/>
  <c r="E2213" i="2"/>
  <c r="G2213" i="2" s="1"/>
  <c r="E2214" i="2"/>
  <c r="G2214" i="2" s="1"/>
  <c r="E2215" i="2"/>
  <c r="G2215" i="2" s="1"/>
  <c r="E2216" i="2"/>
  <c r="G2216" i="2" s="1"/>
  <c r="E2217" i="2"/>
  <c r="G2217" i="2" s="1"/>
  <c r="E2218" i="2"/>
  <c r="G2218" i="2" s="1"/>
  <c r="E2219" i="2"/>
  <c r="G2219" i="2" s="1"/>
  <c r="E2220" i="2"/>
  <c r="G2220" i="2" s="1"/>
  <c r="E2221" i="2"/>
  <c r="G2221" i="2" s="1"/>
  <c r="E2222" i="2"/>
  <c r="G2222" i="2" s="1"/>
  <c r="E2223" i="2"/>
  <c r="G2223" i="2" s="1"/>
  <c r="E2224" i="2"/>
  <c r="G2224" i="2" s="1"/>
  <c r="E2225" i="2"/>
  <c r="G2225" i="2" s="1"/>
  <c r="E2226" i="2"/>
  <c r="G2226" i="2" s="1"/>
  <c r="E2227" i="2"/>
  <c r="G2227" i="2" s="1"/>
  <c r="E2228" i="2"/>
  <c r="G2228" i="2" s="1"/>
  <c r="E2229" i="2"/>
  <c r="G2229" i="2" s="1"/>
  <c r="E2230" i="2"/>
  <c r="G2230" i="2" s="1"/>
  <c r="E2231" i="2"/>
  <c r="G2231" i="2" s="1"/>
  <c r="E2232" i="2"/>
  <c r="G2232" i="2" s="1"/>
  <c r="E2233" i="2"/>
  <c r="G2233" i="2" s="1"/>
  <c r="E2234" i="2"/>
  <c r="G2234" i="2" s="1"/>
  <c r="E2235" i="2"/>
  <c r="G2235" i="2" s="1"/>
  <c r="E2236" i="2"/>
  <c r="G2236" i="2" s="1"/>
  <c r="E2237" i="2"/>
  <c r="G2237" i="2" s="1"/>
  <c r="E2238" i="2"/>
  <c r="G2238" i="2" s="1"/>
  <c r="E2239" i="2"/>
  <c r="G2239" i="2" s="1"/>
  <c r="E2240" i="2"/>
  <c r="G2240" i="2" s="1"/>
  <c r="E2241" i="2"/>
  <c r="G2241" i="2" s="1"/>
  <c r="E2242" i="2"/>
  <c r="G2242" i="2" s="1"/>
  <c r="E2243" i="2"/>
  <c r="G2243" i="2" s="1"/>
  <c r="E2244" i="2"/>
  <c r="G2244" i="2" s="1"/>
  <c r="E2245" i="2"/>
  <c r="G2245" i="2" s="1"/>
  <c r="E2246" i="2"/>
  <c r="G2246" i="2" s="1"/>
  <c r="E2247" i="2"/>
  <c r="G2247" i="2" s="1"/>
  <c r="E2248" i="2"/>
  <c r="G2248" i="2" s="1"/>
  <c r="E2249" i="2"/>
  <c r="G2249" i="2" s="1"/>
  <c r="E2250" i="2"/>
  <c r="G2250" i="2" s="1"/>
  <c r="E2251" i="2"/>
  <c r="G2251" i="2" s="1"/>
  <c r="E2252" i="2"/>
  <c r="G2252" i="2" s="1"/>
  <c r="E2253" i="2"/>
  <c r="G2253" i="2" s="1"/>
  <c r="E2254" i="2"/>
  <c r="G2254" i="2" s="1"/>
  <c r="E2255" i="2"/>
  <c r="G2255" i="2" s="1"/>
  <c r="E2256" i="2"/>
  <c r="G2256" i="2" s="1"/>
  <c r="E2257" i="2"/>
  <c r="G2257" i="2" s="1"/>
  <c r="E2258" i="2"/>
  <c r="G2258" i="2" s="1"/>
  <c r="E2259" i="2"/>
  <c r="G2259" i="2" s="1"/>
  <c r="E2260" i="2"/>
  <c r="G2260" i="2" s="1"/>
  <c r="E2261" i="2"/>
  <c r="G2261" i="2" s="1"/>
  <c r="E2262" i="2"/>
  <c r="G2262" i="2" s="1"/>
  <c r="E2263" i="2"/>
  <c r="G2263" i="2" s="1"/>
  <c r="E2264" i="2"/>
  <c r="G2264" i="2" s="1"/>
  <c r="E2265" i="2"/>
  <c r="G2265" i="2" s="1"/>
  <c r="E2266" i="2"/>
  <c r="G2266" i="2" s="1"/>
  <c r="E2267" i="2"/>
  <c r="G2267" i="2" s="1"/>
  <c r="E2268" i="2"/>
  <c r="G2268" i="2" s="1"/>
  <c r="E2269" i="2"/>
  <c r="G2269" i="2" s="1"/>
  <c r="E2270" i="2"/>
  <c r="G2270" i="2" s="1"/>
  <c r="E2271" i="2"/>
  <c r="G2271" i="2" s="1"/>
  <c r="E2272" i="2"/>
  <c r="G2272" i="2" s="1"/>
  <c r="E2273" i="2"/>
  <c r="G2273" i="2" s="1"/>
  <c r="E2274" i="2"/>
  <c r="G2274" i="2" s="1"/>
  <c r="E2275" i="2"/>
  <c r="G2275" i="2" s="1"/>
  <c r="E2276" i="2"/>
  <c r="G2276" i="2" s="1"/>
  <c r="E2277" i="2"/>
  <c r="G2277" i="2" s="1"/>
  <c r="E2278" i="2"/>
  <c r="G2278" i="2" s="1"/>
  <c r="E2279" i="2"/>
  <c r="G2279" i="2" s="1"/>
  <c r="E2280" i="2"/>
  <c r="G2280" i="2" s="1"/>
  <c r="E2281" i="2"/>
  <c r="G2281" i="2" s="1"/>
  <c r="E2282" i="2"/>
  <c r="G2282" i="2" s="1"/>
  <c r="E2283" i="2"/>
  <c r="G2283" i="2" s="1"/>
  <c r="E2284" i="2"/>
  <c r="G2284" i="2" s="1"/>
  <c r="E2285" i="2"/>
  <c r="G2285" i="2" s="1"/>
  <c r="E2286" i="2"/>
  <c r="G2286" i="2" s="1"/>
  <c r="E2287" i="2"/>
  <c r="G2287" i="2" s="1"/>
  <c r="E2288" i="2"/>
  <c r="G2288" i="2" s="1"/>
  <c r="E2289" i="2"/>
  <c r="G2289" i="2" s="1"/>
  <c r="E2290" i="2"/>
  <c r="G2290" i="2" s="1"/>
  <c r="E2291" i="2"/>
  <c r="G2291" i="2" s="1"/>
  <c r="E2292" i="2"/>
  <c r="G2292" i="2" s="1"/>
  <c r="E2293" i="2"/>
  <c r="G2293" i="2" s="1"/>
  <c r="E2294" i="2"/>
  <c r="G2294" i="2" s="1"/>
  <c r="E2295" i="2"/>
  <c r="G2295" i="2" s="1"/>
  <c r="E2296" i="2"/>
  <c r="G2296" i="2" s="1"/>
  <c r="E2297" i="2"/>
  <c r="G2297" i="2" s="1"/>
  <c r="E2298" i="2"/>
  <c r="G2298" i="2" s="1"/>
  <c r="E2299" i="2"/>
  <c r="G2299" i="2" s="1"/>
  <c r="E2300" i="2"/>
  <c r="G2300" i="2" s="1"/>
  <c r="E2301" i="2"/>
  <c r="G2301" i="2" s="1"/>
  <c r="E2302" i="2"/>
  <c r="G2302" i="2" s="1"/>
  <c r="E2303" i="2"/>
  <c r="G2303" i="2" s="1"/>
  <c r="E2304" i="2"/>
  <c r="G2304" i="2" s="1"/>
  <c r="E2305" i="2"/>
  <c r="G2305" i="2" s="1"/>
  <c r="E2306" i="2"/>
  <c r="G2306" i="2" s="1"/>
  <c r="E2307" i="2"/>
  <c r="G2307" i="2" s="1"/>
  <c r="E2308" i="2"/>
  <c r="G2308" i="2" s="1"/>
  <c r="E2309" i="2"/>
  <c r="G2309" i="2" s="1"/>
  <c r="E2310" i="2"/>
  <c r="G2310" i="2" s="1"/>
  <c r="E2311" i="2"/>
  <c r="G2311" i="2" s="1"/>
  <c r="E2312" i="2"/>
  <c r="G2312" i="2" s="1"/>
  <c r="E2313" i="2"/>
  <c r="G2313" i="2" s="1"/>
  <c r="E2314" i="2"/>
  <c r="G2314" i="2" s="1"/>
  <c r="E2315" i="2"/>
  <c r="G2315" i="2" s="1"/>
  <c r="E2316" i="2"/>
  <c r="G2316" i="2" s="1"/>
  <c r="E2317" i="2"/>
  <c r="G2317" i="2" s="1"/>
  <c r="E2318" i="2"/>
  <c r="G2318" i="2" s="1"/>
  <c r="E2319" i="2"/>
  <c r="G2319" i="2" s="1"/>
  <c r="E2320" i="2"/>
  <c r="G2320" i="2" s="1"/>
  <c r="E2321" i="2"/>
  <c r="G2321" i="2" s="1"/>
  <c r="E2322" i="2"/>
  <c r="G2322" i="2" s="1"/>
  <c r="E2323" i="2"/>
  <c r="G2323" i="2" s="1"/>
  <c r="E2324" i="2"/>
  <c r="G2324" i="2" s="1"/>
  <c r="E2325" i="2"/>
  <c r="G2325" i="2" s="1"/>
  <c r="E2326" i="2"/>
  <c r="G2326" i="2" s="1"/>
  <c r="E2327" i="2"/>
  <c r="G2327" i="2" s="1"/>
  <c r="E2328" i="2"/>
  <c r="G2328" i="2" s="1"/>
  <c r="E2329" i="2"/>
  <c r="G2329" i="2" s="1"/>
  <c r="E2330" i="2"/>
  <c r="G2330" i="2" s="1"/>
  <c r="E2331" i="2"/>
  <c r="G2331" i="2" s="1"/>
  <c r="E2332" i="2"/>
  <c r="G2332" i="2" s="1"/>
  <c r="E2333" i="2"/>
  <c r="G2333" i="2" s="1"/>
  <c r="E2334" i="2"/>
  <c r="G2334" i="2" s="1"/>
  <c r="E2335" i="2"/>
  <c r="G2335" i="2" s="1"/>
  <c r="E2336" i="2"/>
  <c r="G2336" i="2" s="1"/>
  <c r="E2337" i="2"/>
  <c r="G2337" i="2" s="1"/>
  <c r="E2338" i="2"/>
  <c r="G2338" i="2" s="1"/>
  <c r="E2339" i="2"/>
  <c r="G2339" i="2" s="1"/>
  <c r="E2340" i="2"/>
  <c r="G2340" i="2" s="1"/>
  <c r="E2341" i="2"/>
  <c r="G2341" i="2" s="1"/>
  <c r="E2342" i="2"/>
  <c r="G2342" i="2" s="1"/>
  <c r="E2343" i="2"/>
  <c r="G2343" i="2" s="1"/>
  <c r="E2344" i="2"/>
  <c r="G2344" i="2" s="1"/>
  <c r="E2345" i="2"/>
  <c r="G2345" i="2" s="1"/>
  <c r="E2346" i="2"/>
  <c r="G2346" i="2" s="1"/>
  <c r="E2347" i="2"/>
  <c r="G2347" i="2" s="1"/>
  <c r="E2348" i="2"/>
  <c r="G2348" i="2" s="1"/>
  <c r="E2349" i="2"/>
  <c r="G2349" i="2" s="1"/>
  <c r="E2350" i="2"/>
  <c r="G2350" i="2" s="1"/>
  <c r="E2351" i="2"/>
  <c r="G2351" i="2" s="1"/>
  <c r="E2352" i="2"/>
  <c r="G2352" i="2" s="1"/>
  <c r="E2353" i="2"/>
  <c r="G2353" i="2" s="1"/>
  <c r="E2354" i="2"/>
  <c r="G2354" i="2" s="1"/>
  <c r="E2355" i="2"/>
  <c r="G2355" i="2" s="1"/>
  <c r="E2356" i="2"/>
  <c r="G2356" i="2" s="1"/>
  <c r="E2357" i="2"/>
  <c r="G2357" i="2" s="1"/>
  <c r="E2358" i="2"/>
  <c r="G2358" i="2" s="1"/>
  <c r="E2359" i="2"/>
  <c r="G2359" i="2" s="1"/>
  <c r="E2360" i="2"/>
  <c r="G2360" i="2" s="1"/>
  <c r="E2361" i="2"/>
  <c r="G2361" i="2" s="1"/>
  <c r="E2362" i="2"/>
  <c r="G2362" i="2" s="1"/>
  <c r="E2363" i="2"/>
  <c r="G2363" i="2" s="1"/>
  <c r="E2364" i="2"/>
  <c r="G2364" i="2" s="1"/>
  <c r="E2365" i="2"/>
  <c r="G2365" i="2" s="1"/>
  <c r="E2366" i="2"/>
  <c r="G2366" i="2" s="1"/>
  <c r="E2367" i="2"/>
  <c r="G2367" i="2" s="1"/>
  <c r="E2368" i="2"/>
  <c r="G2368" i="2" s="1"/>
  <c r="E2369" i="2"/>
  <c r="G2369" i="2" s="1"/>
  <c r="E2370" i="2"/>
  <c r="G2370" i="2" s="1"/>
  <c r="E2371" i="2"/>
  <c r="G2371" i="2" s="1"/>
  <c r="E2372" i="2"/>
  <c r="G2372" i="2" s="1"/>
  <c r="E2373" i="2"/>
  <c r="G2373" i="2" s="1"/>
  <c r="E2374" i="2"/>
  <c r="G2374" i="2" s="1"/>
  <c r="E2375" i="2"/>
  <c r="G2375" i="2" s="1"/>
  <c r="E2376" i="2"/>
  <c r="G2376" i="2" s="1"/>
  <c r="E2377" i="2"/>
  <c r="G2377" i="2" s="1"/>
  <c r="E2378" i="2"/>
  <c r="G2378" i="2" s="1"/>
  <c r="E2379" i="2"/>
  <c r="G2379" i="2" s="1"/>
  <c r="E2380" i="2"/>
  <c r="G2380" i="2" s="1"/>
  <c r="E2381" i="2"/>
  <c r="G2381" i="2" s="1"/>
  <c r="E2382" i="2"/>
  <c r="G2382" i="2" s="1"/>
  <c r="E2383" i="2"/>
  <c r="G2383" i="2" s="1"/>
  <c r="E2384" i="2"/>
  <c r="G2384" i="2" s="1"/>
  <c r="E2385" i="2"/>
  <c r="G2385" i="2" s="1"/>
  <c r="E2386" i="2"/>
  <c r="G2386" i="2" s="1"/>
  <c r="E2387" i="2"/>
  <c r="G2387" i="2" s="1"/>
  <c r="E2388" i="2"/>
  <c r="G2388" i="2" s="1"/>
  <c r="E2389" i="2"/>
  <c r="G2389" i="2" s="1"/>
  <c r="E2390" i="2"/>
  <c r="G2390" i="2" s="1"/>
  <c r="E2391" i="2"/>
  <c r="G2391" i="2" s="1"/>
  <c r="E2392" i="2"/>
  <c r="G2392" i="2" s="1"/>
  <c r="E2393" i="2"/>
  <c r="G2393" i="2" s="1"/>
  <c r="E2394" i="2"/>
  <c r="G2394" i="2" s="1"/>
  <c r="E2395" i="2"/>
  <c r="G2395" i="2" s="1"/>
  <c r="E2396" i="2"/>
  <c r="G2396" i="2" s="1"/>
  <c r="E2397" i="2"/>
  <c r="G2397" i="2" s="1"/>
  <c r="E2398" i="2"/>
  <c r="G2398" i="2" s="1"/>
  <c r="E2399" i="2"/>
  <c r="G2399" i="2" s="1"/>
  <c r="E2400" i="2"/>
  <c r="G2400" i="2" s="1"/>
  <c r="E2401" i="2"/>
  <c r="G2401" i="2" s="1"/>
  <c r="E2402" i="2"/>
  <c r="G2402" i="2" s="1"/>
  <c r="E2403" i="2"/>
  <c r="G2403" i="2" s="1"/>
  <c r="E2404" i="2"/>
  <c r="G2404" i="2" s="1"/>
  <c r="E2405" i="2"/>
  <c r="G2405" i="2" s="1"/>
  <c r="E2406" i="2"/>
  <c r="G2406" i="2" s="1"/>
  <c r="E2407" i="2"/>
  <c r="G2407" i="2" s="1"/>
  <c r="E2408" i="2"/>
  <c r="G2408" i="2" s="1"/>
  <c r="E2409" i="2"/>
  <c r="G2409" i="2" s="1"/>
  <c r="E2410" i="2"/>
  <c r="G2410" i="2" s="1"/>
  <c r="E2411" i="2"/>
  <c r="G2411" i="2" s="1"/>
  <c r="E2412" i="2"/>
  <c r="G2412" i="2" s="1"/>
  <c r="E2413" i="2"/>
  <c r="G2413" i="2" s="1"/>
  <c r="E2414" i="2"/>
  <c r="G2414" i="2" s="1"/>
  <c r="E2415" i="2"/>
  <c r="G2415" i="2" s="1"/>
  <c r="E2416" i="2"/>
  <c r="G2416" i="2" s="1"/>
  <c r="E2417" i="2"/>
  <c r="G2417" i="2" s="1"/>
  <c r="E2418" i="2"/>
  <c r="G2418" i="2" s="1"/>
  <c r="E2419" i="2"/>
  <c r="G2419" i="2" s="1"/>
  <c r="E2420" i="2"/>
  <c r="G2420" i="2" s="1"/>
  <c r="E2421" i="2"/>
  <c r="G2421" i="2" s="1"/>
  <c r="E2422" i="2"/>
  <c r="G2422" i="2" s="1"/>
  <c r="E2423" i="2"/>
  <c r="G2423" i="2" s="1"/>
  <c r="E2424" i="2"/>
  <c r="G2424" i="2" s="1"/>
  <c r="E2425" i="2"/>
  <c r="G2425" i="2" s="1"/>
  <c r="E2426" i="2"/>
  <c r="G2426" i="2" s="1"/>
  <c r="E2427" i="2"/>
  <c r="G2427" i="2" s="1"/>
  <c r="E2428" i="2"/>
  <c r="G2428" i="2" s="1"/>
  <c r="E2429" i="2"/>
  <c r="G2429" i="2" s="1"/>
  <c r="E2430" i="2"/>
  <c r="G2430" i="2" s="1"/>
  <c r="E2431" i="2"/>
  <c r="G2431" i="2" s="1"/>
  <c r="E2432" i="2"/>
  <c r="G2432" i="2" s="1"/>
  <c r="E2433" i="2"/>
  <c r="G2433" i="2" s="1"/>
  <c r="E2434" i="2"/>
  <c r="G2434" i="2" s="1"/>
  <c r="E2435" i="2"/>
  <c r="G2435" i="2" s="1"/>
  <c r="E2436" i="2"/>
  <c r="G2436" i="2" s="1"/>
  <c r="E2437" i="2"/>
  <c r="G2437" i="2" s="1"/>
  <c r="E2438" i="2"/>
  <c r="G2438" i="2" s="1"/>
  <c r="E2439" i="2"/>
  <c r="G2439" i="2" s="1"/>
  <c r="E2440" i="2"/>
  <c r="G2440" i="2" s="1"/>
  <c r="E2441" i="2"/>
  <c r="G2441" i="2" s="1"/>
  <c r="E2442" i="2"/>
  <c r="G2442" i="2" s="1"/>
  <c r="E2443" i="2"/>
  <c r="G2443" i="2" s="1"/>
  <c r="E2444" i="2"/>
  <c r="G2444" i="2" s="1"/>
  <c r="E2445" i="2"/>
  <c r="G2445" i="2" s="1"/>
  <c r="E2446" i="2"/>
  <c r="G2446" i="2" s="1"/>
  <c r="E2447" i="2"/>
  <c r="G2447" i="2" s="1"/>
  <c r="E2448" i="2"/>
  <c r="G2448" i="2" s="1"/>
  <c r="E2449" i="2"/>
  <c r="G2449" i="2" s="1"/>
  <c r="E2450" i="2"/>
  <c r="G2450" i="2" s="1"/>
  <c r="E2451" i="2"/>
  <c r="G2451" i="2" s="1"/>
  <c r="E2452" i="2"/>
  <c r="G2452" i="2" s="1"/>
  <c r="E2453" i="2"/>
  <c r="G2453" i="2" s="1"/>
  <c r="E2454" i="2"/>
  <c r="G2454" i="2" s="1"/>
  <c r="E2455" i="2"/>
  <c r="G2455" i="2" s="1"/>
  <c r="E2456" i="2"/>
  <c r="G2456" i="2" s="1"/>
  <c r="E2457" i="2"/>
  <c r="G2457" i="2" s="1"/>
  <c r="E2458" i="2"/>
  <c r="G2458" i="2" s="1"/>
  <c r="E2459" i="2"/>
  <c r="G2459" i="2" s="1"/>
  <c r="E2460" i="2"/>
  <c r="G2460" i="2" s="1"/>
  <c r="E2461" i="2"/>
  <c r="G2461" i="2" s="1"/>
  <c r="E2462" i="2"/>
  <c r="G2462" i="2" s="1"/>
  <c r="E2463" i="2"/>
  <c r="G2463" i="2" s="1"/>
  <c r="E2464" i="2"/>
  <c r="G2464" i="2" s="1"/>
  <c r="E2465" i="2"/>
  <c r="G2465" i="2" s="1"/>
  <c r="E2466" i="2"/>
  <c r="G2466" i="2" s="1"/>
  <c r="E2467" i="2"/>
  <c r="G2467" i="2" s="1"/>
  <c r="E2468" i="2"/>
  <c r="G2468" i="2" s="1"/>
  <c r="E2469" i="2"/>
  <c r="G2469" i="2" s="1"/>
  <c r="E2470" i="2"/>
  <c r="G2470" i="2" s="1"/>
  <c r="E2471" i="2"/>
  <c r="G2471" i="2" s="1"/>
  <c r="E2472" i="2"/>
  <c r="G2472" i="2" s="1"/>
  <c r="E2473" i="2"/>
  <c r="G2473" i="2" s="1"/>
  <c r="E2474" i="2"/>
  <c r="G2474" i="2" s="1"/>
  <c r="E2475" i="2"/>
  <c r="G2475" i="2" s="1"/>
  <c r="E2476" i="2"/>
  <c r="G2476" i="2" s="1"/>
  <c r="E2477" i="2"/>
  <c r="G2477" i="2" s="1"/>
  <c r="E2478" i="2"/>
  <c r="G2478" i="2" s="1"/>
  <c r="E2479" i="2"/>
  <c r="G2479" i="2" s="1"/>
  <c r="E2480" i="2"/>
  <c r="G2480" i="2" s="1"/>
  <c r="E2481" i="2"/>
  <c r="G2481" i="2" s="1"/>
  <c r="E2482" i="2"/>
  <c r="G2482" i="2" s="1"/>
  <c r="E2483" i="2"/>
  <c r="G2483" i="2" s="1"/>
  <c r="E2484" i="2"/>
  <c r="G2484" i="2" s="1"/>
  <c r="E2485" i="2"/>
  <c r="G2485" i="2" s="1"/>
  <c r="E2486" i="2"/>
  <c r="G2486" i="2" s="1"/>
  <c r="E2487" i="2"/>
  <c r="G2487" i="2" s="1"/>
  <c r="E2488" i="2"/>
  <c r="G2488" i="2" s="1"/>
  <c r="E2489" i="2"/>
  <c r="G2489" i="2" s="1"/>
  <c r="E2490" i="2"/>
  <c r="G2490" i="2" s="1"/>
  <c r="E2491" i="2"/>
  <c r="G2491" i="2" s="1"/>
  <c r="E2492" i="2"/>
  <c r="G2492" i="2" s="1"/>
  <c r="E2493" i="2"/>
  <c r="G2493" i="2" s="1"/>
  <c r="E2494" i="2"/>
  <c r="G2494" i="2" s="1"/>
  <c r="E2495" i="2"/>
  <c r="G2495" i="2" s="1"/>
  <c r="E2496" i="2"/>
  <c r="G2496" i="2" s="1"/>
  <c r="E2497" i="2"/>
  <c r="G2497" i="2" s="1"/>
  <c r="E2498" i="2"/>
  <c r="G2498" i="2" s="1"/>
  <c r="E2499" i="2"/>
  <c r="G2499" i="2" s="1"/>
  <c r="E2500" i="2"/>
  <c r="G2500" i="2" s="1"/>
  <c r="E2501" i="2"/>
  <c r="G2501" i="2" s="1"/>
  <c r="E2502" i="2"/>
  <c r="G2502" i="2" s="1"/>
  <c r="E2503" i="2"/>
  <c r="G2503" i="2" s="1"/>
  <c r="E2504" i="2"/>
  <c r="G2504" i="2" s="1"/>
  <c r="E2505" i="2"/>
  <c r="G2505" i="2" s="1"/>
  <c r="E2506" i="2"/>
  <c r="G2506" i="2" s="1"/>
  <c r="E2507" i="2"/>
  <c r="G2507" i="2" s="1"/>
  <c r="E2508" i="2"/>
  <c r="G2508" i="2" s="1"/>
  <c r="E2509" i="2"/>
  <c r="G2509" i="2" s="1"/>
  <c r="E2510" i="2"/>
  <c r="G2510" i="2" s="1"/>
  <c r="E2511" i="2"/>
  <c r="G2511" i="2" s="1"/>
  <c r="E2512" i="2"/>
  <c r="G2512" i="2" s="1"/>
  <c r="E2513" i="2"/>
  <c r="G2513" i="2" s="1"/>
  <c r="E2514" i="2"/>
  <c r="G2514" i="2" s="1"/>
  <c r="E2515" i="2"/>
  <c r="G2515" i="2" s="1"/>
  <c r="E2516" i="2"/>
  <c r="G2516" i="2" s="1"/>
  <c r="E2517" i="2"/>
  <c r="G2517" i="2" s="1"/>
  <c r="E2518" i="2"/>
  <c r="G2518" i="2" s="1"/>
  <c r="E2519" i="2"/>
  <c r="G2519" i="2" s="1"/>
  <c r="E2520" i="2"/>
  <c r="G2520" i="2" s="1"/>
  <c r="E2521" i="2"/>
  <c r="G2521" i="2" s="1"/>
  <c r="E2522" i="2"/>
  <c r="G2522" i="2" s="1"/>
  <c r="E2523" i="2"/>
  <c r="G2523" i="2" s="1"/>
  <c r="E2524" i="2"/>
  <c r="G2524" i="2" s="1"/>
  <c r="E2525" i="2"/>
  <c r="G2525" i="2" s="1"/>
  <c r="E2526" i="2"/>
  <c r="G2526" i="2" s="1"/>
  <c r="E2527" i="2"/>
  <c r="G2527" i="2" s="1"/>
  <c r="E2528" i="2"/>
  <c r="G2528" i="2" s="1"/>
  <c r="E2529" i="2"/>
  <c r="G2529" i="2" s="1"/>
  <c r="E2530" i="2"/>
  <c r="G2530" i="2" s="1"/>
  <c r="E2531" i="2"/>
  <c r="G2531" i="2" s="1"/>
  <c r="E2532" i="2"/>
  <c r="G2532" i="2" s="1"/>
  <c r="E2533" i="2"/>
  <c r="G2533" i="2" s="1"/>
  <c r="E2534" i="2"/>
  <c r="G2534" i="2" s="1"/>
  <c r="E2535" i="2"/>
  <c r="G2535" i="2" s="1"/>
  <c r="E2536" i="2"/>
  <c r="G2536" i="2" s="1"/>
  <c r="E2537" i="2"/>
  <c r="G2537" i="2" s="1"/>
  <c r="E2538" i="2"/>
  <c r="G2538" i="2" s="1"/>
  <c r="E2539" i="2"/>
  <c r="G2539" i="2" s="1"/>
  <c r="E2540" i="2"/>
  <c r="G2540" i="2" s="1"/>
  <c r="E2541" i="2"/>
  <c r="G2541" i="2" s="1"/>
  <c r="E2542" i="2"/>
  <c r="G2542" i="2" s="1"/>
  <c r="E2543" i="2"/>
  <c r="G2543" i="2" s="1"/>
  <c r="E2544" i="2"/>
  <c r="G2544" i="2" s="1"/>
  <c r="E2545" i="2"/>
  <c r="G2545" i="2" s="1"/>
  <c r="E2546" i="2"/>
  <c r="G2546" i="2" s="1"/>
  <c r="E2547" i="2"/>
  <c r="G2547" i="2" s="1"/>
  <c r="E2548" i="2"/>
  <c r="G2548" i="2" s="1"/>
  <c r="E2549" i="2"/>
  <c r="G2549" i="2" s="1"/>
  <c r="E2550" i="2"/>
  <c r="G2550" i="2" s="1"/>
  <c r="E2551" i="2"/>
  <c r="G2551" i="2" s="1"/>
  <c r="E2552" i="2"/>
  <c r="G2552" i="2" s="1"/>
  <c r="E2553" i="2"/>
  <c r="G2553" i="2" s="1"/>
  <c r="E2554" i="2"/>
  <c r="G2554" i="2" s="1"/>
  <c r="E2555" i="2"/>
  <c r="G2555" i="2" s="1"/>
  <c r="E2556" i="2"/>
  <c r="G2556" i="2" s="1"/>
  <c r="E2557" i="2"/>
  <c r="G2557" i="2" s="1"/>
  <c r="E2558" i="2"/>
  <c r="G2558" i="2" s="1"/>
  <c r="E2559" i="2"/>
  <c r="G2559" i="2" s="1"/>
  <c r="E2560" i="2"/>
  <c r="G2560" i="2" s="1"/>
  <c r="E2561" i="2"/>
  <c r="G2561" i="2" s="1"/>
  <c r="E2562" i="2"/>
  <c r="G2562" i="2" s="1"/>
  <c r="E2563" i="2"/>
  <c r="G2563" i="2" s="1"/>
  <c r="E2564" i="2"/>
  <c r="G2564" i="2" s="1"/>
  <c r="E2565" i="2"/>
  <c r="G2565" i="2" s="1"/>
  <c r="E2566" i="2"/>
  <c r="G2566" i="2" s="1"/>
  <c r="E2567" i="2"/>
  <c r="G2567" i="2" s="1"/>
  <c r="E2568" i="2"/>
  <c r="G2568" i="2" s="1"/>
  <c r="E2569" i="2"/>
  <c r="G2569" i="2" s="1"/>
  <c r="E2570" i="2"/>
  <c r="G2570" i="2" s="1"/>
  <c r="E2571" i="2"/>
  <c r="G2571" i="2" s="1"/>
  <c r="E2572" i="2"/>
  <c r="G2572" i="2" s="1"/>
  <c r="E2573" i="2"/>
  <c r="G2573" i="2" s="1"/>
  <c r="E2574" i="2"/>
  <c r="G2574" i="2" s="1"/>
  <c r="E2575" i="2"/>
  <c r="G2575" i="2" s="1"/>
  <c r="E2576" i="2"/>
  <c r="G2576" i="2" s="1"/>
  <c r="E2577" i="2"/>
  <c r="G2577" i="2" s="1"/>
  <c r="E2578" i="2"/>
  <c r="G2578" i="2" s="1"/>
  <c r="E2579" i="2"/>
  <c r="G2579" i="2" s="1"/>
  <c r="E2580" i="2"/>
  <c r="G2580" i="2" s="1"/>
  <c r="E2581" i="2"/>
  <c r="G2581" i="2" s="1"/>
  <c r="E2582" i="2"/>
  <c r="G2582" i="2" s="1"/>
  <c r="E2583" i="2"/>
  <c r="G2583" i="2" s="1"/>
  <c r="E2584" i="2"/>
  <c r="G2584" i="2" s="1"/>
  <c r="E2585" i="2"/>
  <c r="G2585" i="2" s="1"/>
  <c r="E2586" i="2"/>
  <c r="G2586" i="2" s="1"/>
  <c r="E2587" i="2"/>
  <c r="G2587" i="2" s="1"/>
  <c r="E2588" i="2"/>
  <c r="G2588" i="2" s="1"/>
  <c r="E2589" i="2"/>
  <c r="G2589" i="2" s="1"/>
  <c r="E2590" i="2"/>
  <c r="G2590" i="2" s="1"/>
  <c r="E2591" i="2"/>
  <c r="G2591" i="2" s="1"/>
  <c r="E2592" i="2"/>
  <c r="G2592" i="2" s="1"/>
  <c r="E2593" i="2"/>
  <c r="G2593" i="2" s="1"/>
  <c r="E2594" i="2"/>
  <c r="G2594" i="2" s="1"/>
  <c r="E2595" i="2"/>
  <c r="G2595" i="2" s="1"/>
  <c r="E2596" i="2"/>
  <c r="G2596" i="2" s="1"/>
  <c r="E2597" i="2"/>
  <c r="G2597" i="2" s="1"/>
  <c r="E2598" i="2"/>
  <c r="G2598" i="2" s="1"/>
  <c r="E2599" i="2"/>
  <c r="G2599" i="2" s="1"/>
  <c r="E2600" i="2"/>
  <c r="G2600" i="2" s="1"/>
  <c r="E2601" i="2"/>
  <c r="G2601" i="2" s="1"/>
  <c r="E2602" i="2"/>
  <c r="G2602" i="2" s="1"/>
  <c r="E2603" i="2"/>
  <c r="G2603" i="2" s="1"/>
  <c r="E2604" i="2"/>
  <c r="G2604" i="2" s="1"/>
  <c r="E2605" i="2"/>
  <c r="G2605" i="2" s="1"/>
  <c r="E2606" i="2"/>
  <c r="G2606" i="2" s="1"/>
  <c r="E2607" i="2"/>
  <c r="G2607" i="2" s="1"/>
  <c r="E2608" i="2"/>
  <c r="G2608" i="2" s="1"/>
  <c r="E2609" i="2"/>
  <c r="G2609" i="2" s="1"/>
  <c r="E2610" i="2"/>
  <c r="G2610" i="2" s="1"/>
  <c r="E2611" i="2"/>
  <c r="G2611" i="2" s="1"/>
  <c r="E2612" i="2"/>
  <c r="G2612" i="2" s="1"/>
  <c r="E2613" i="2"/>
  <c r="G2613" i="2" s="1"/>
  <c r="E2614" i="2"/>
  <c r="G2614" i="2" s="1"/>
  <c r="E2615" i="2"/>
  <c r="G2615" i="2" s="1"/>
  <c r="E2616" i="2"/>
  <c r="G2616" i="2" s="1"/>
  <c r="E2617" i="2"/>
  <c r="G2617" i="2" s="1"/>
  <c r="E2618" i="2"/>
  <c r="G2618" i="2" s="1"/>
  <c r="E2619" i="2"/>
  <c r="G2619" i="2" s="1"/>
  <c r="E2620" i="2"/>
  <c r="G2620" i="2" s="1"/>
  <c r="E2621" i="2"/>
  <c r="G2621" i="2" s="1"/>
  <c r="E2622" i="2"/>
  <c r="G2622" i="2" s="1"/>
  <c r="E2623" i="2"/>
  <c r="G2623" i="2" s="1"/>
  <c r="E2624" i="2"/>
  <c r="G2624" i="2" s="1"/>
  <c r="E2625" i="2"/>
  <c r="G2625" i="2" s="1"/>
  <c r="E2626" i="2"/>
  <c r="G2626" i="2" s="1"/>
  <c r="E2627" i="2"/>
  <c r="G2627" i="2" s="1"/>
  <c r="E2628" i="2"/>
  <c r="G2628" i="2" s="1"/>
  <c r="E2629" i="2"/>
  <c r="G2629" i="2" s="1"/>
  <c r="E2630" i="2"/>
  <c r="G2630" i="2" s="1"/>
  <c r="E2631" i="2"/>
  <c r="G2631" i="2" s="1"/>
  <c r="E2632" i="2"/>
  <c r="G2632" i="2" s="1"/>
  <c r="E2633" i="2"/>
  <c r="G2633" i="2" s="1"/>
  <c r="E2634" i="2"/>
  <c r="G2634" i="2" s="1"/>
  <c r="E2635" i="2"/>
  <c r="G2635" i="2" s="1"/>
  <c r="E2636" i="2"/>
  <c r="G2636" i="2" s="1"/>
  <c r="E2637" i="2"/>
  <c r="G2637" i="2" s="1"/>
  <c r="E2638" i="2"/>
  <c r="G2638" i="2" s="1"/>
  <c r="E2639" i="2"/>
  <c r="G2639" i="2" s="1"/>
  <c r="E2640" i="2"/>
  <c r="G2640" i="2" s="1"/>
  <c r="E2641" i="2"/>
  <c r="G2641" i="2" s="1"/>
  <c r="E2642" i="2"/>
  <c r="G2642" i="2" s="1"/>
  <c r="E2643" i="2"/>
  <c r="G2643" i="2" s="1"/>
  <c r="E2644" i="2"/>
  <c r="G2644" i="2" s="1"/>
  <c r="E2645" i="2"/>
  <c r="G2645" i="2" s="1"/>
  <c r="E2646" i="2"/>
  <c r="G2646" i="2" s="1"/>
  <c r="E2647" i="2"/>
  <c r="G2647" i="2" s="1"/>
  <c r="E2648" i="2"/>
  <c r="G2648" i="2" s="1"/>
  <c r="E2649" i="2"/>
  <c r="G2649" i="2" s="1"/>
  <c r="E2650" i="2"/>
  <c r="G2650" i="2" s="1"/>
  <c r="E2651" i="2"/>
  <c r="G2651" i="2" s="1"/>
  <c r="E2652" i="2"/>
  <c r="G2652" i="2" s="1"/>
  <c r="E2653" i="2"/>
  <c r="G2653" i="2" s="1"/>
  <c r="E2654" i="2"/>
  <c r="G2654" i="2" s="1"/>
  <c r="E2655" i="2"/>
  <c r="G2655" i="2" s="1"/>
  <c r="E2656" i="2"/>
  <c r="G2656" i="2" s="1"/>
  <c r="E2657" i="2"/>
  <c r="G2657" i="2" s="1"/>
  <c r="E2658" i="2"/>
  <c r="G2658" i="2" s="1"/>
  <c r="E2659" i="2"/>
  <c r="G2659" i="2" s="1"/>
  <c r="E2660" i="2"/>
  <c r="G2660" i="2" s="1"/>
  <c r="E2661" i="2"/>
  <c r="G2661" i="2" s="1"/>
  <c r="E2662" i="2"/>
  <c r="G2662" i="2" s="1"/>
  <c r="E2663" i="2"/>
  <c r="G2663" i="2" s="1"/>
  <c r="E2664" i="2"/>
  <c r="G2664" i="2" s="1"/>
  <c r="E2665" i="2"/>
  <c r="G2665" i="2" s="1"/>
  <c r="E2666" i="2"/>
  <c r="G2666" i="2" s="1"/>
  <c r="E2667" i="2"/>
  <c r="G2667" i="2" s="1"/>
  <c r="E2668" i="2"/>
  <c r="G2668" i="2" s="1"/>
  <c r="E2669" i="2"/>
  <c r="G2669" i="2" s="1"/>
  <c r="E2670" i="2"/>
  <c r="G2670" i="2" s="1"/>
  <c r="E2671" i="2"/>
  <c r="G2671" i="2" s="1"/>
  <c r="E2672" i="2"/>
  <c r="G2672" i="2" s="1"/>
  <c r="E2673" i="2"/>
  <c r="G2673" i="2" s="1"/>
  <c r="E2674" i="2"/>
  <c r="G2674" i="2" s="1"/>
  <c r="E2675" i="2"/>
  <c r="G2675" i="2" s="1"/>
  <c r="E2676" i="2"/>
  <c r="G2676" i="2" s="1"/>
  <c r="E2677" i="2"/>
  <c r="G2677" i="2" s="1"/>
  <c r="E2678" i="2"/>
  <c r="G2678" i="2" s="1"/>
  <c r="E2679" i="2"/>
  <c r="G2679" i="2" s="1"/>
  <c r="E2680" i="2"/>
  <c r="G2680" i="2" s="1"/>
  <c r="E2681" i="2"/>
  <c r="G2681" i="2" s="1"/>
  <c r="E2682" i="2"/>
  <c r="G2682" i="2" s="1"/>
  <c r="E2683" i="2"/>
  <c r="G2683" i="2" s="1"/>
  <c r="E2684" i="2"/>
  <c r="G2684" i="2" s="1"/>
  <c r="E2685" i="2"/>
  <c r="G2685" i="2" s="1"/>
  <c r="E2686" i="2"/>
  <c r="G2686" i="2" s="1"/>
  <c r="E2687" i="2"/>
  <c r="G2687" i="2" s="1"/>
  <c r="E2688" i="2"/>
  <c r="G2688" i="2" s="1"/>
  <c r="E2689" i="2"/>
  <c r="G2689" i="2" s="1"/>
  <c r="E2690" i="2"/>
  <c r="G2690" i="2" s="1"/>
  <c r="E2691" i="2"/>
  <c r="G2691" i="2" s="1"/>
  <c r="E2692" i="2"/>
  <c r="G2692" i="2" s="1"/>
  <c r="E2693" i="2"/>
  <c r="G2693" i="2" s="1"/>
  <c r="E2694" i="2"/>
  <c r="G2694" i="2" s="1"/>
  <c r="E2695" i="2"/>
  <c r="G2695" i="2" s="1"/>
  <c r="E2696" i="2"/>
  <c r="G2696" i="2" s="1"/>
  <c r="E2697" i="2"/>
  <c r="G2697" i="2" s="1"/>
  <c r="E2698" i="2"/>
  <c r="G2698" i="2" s="1"/>
  <c r="E2699" i="2"/>
  <c r="G2699" i="2" s="1"/>
  <c r="E2700" i="2"/>
  <c r="G2700" i="2" s="1"/>
  <c r="E2701" i="2"/>
  <c r="G2701" i="2" s="1"/>
  <c r="E2702" i="2"/>
  <c r="G2702" i="2" s="1"/>
  <c r="E2703" i="2"/>
  <c r="G2703" i="2" s="1"/>
  <c r="E2704" i="2"/>
  <c r="G2704" i="2" s="1"/>
  <c r="E2705" i="2"/>
  <c r="G2705" i="2" s="1"/>
  <c r="E2706" i="2"/>
  <c r="G2706" i="2" s="1"/>
  <c r="E2707" i="2"/>
  <c r="G2707" i="2" s="1"/>
  <c r="E2708" i="2"/>
  <c r="G2708" i="2" s="1"/>
  <c r="E2709" i="2"/>
  <c r="G2709" i="2" s="1"/>
  <c r="E2710" i="2"/>
  <c r="G2710" i="2" s="1"/>
  <c r="E2711" i="2"/>
  <c r="G2711" i="2" s="1"/>
  <c r="E2712" i="2"/>
  <c r="G2712" i="2" s="1"/>
  <c r="E2713" i="2"/>
  <c r="G2713" i="2" s="1"/>
  <c r="E2714" i="2"/>
  <c r="G2714" i="2" s="1"/>
  <c r="E2715" i="2"/>
  <c r="G2715" i="2" s="1"/>
  <c r="E2716" i="2"/>
  <c r="G2716" i="2" s="1"/>
  <c r="E2717" i="2"/>
  <c r="G2717" i="2" s="1"/>
  <c r="E2718" i="2"/>
  <c r="G2718" i="2" s="1"/>
  <c r="E2719" i="2"/>
  <c r="G2719" i="2" s="1"/>
  <c r="E2720" i="2"/>
  <c r="G2720" i="2" s="1"/>
  <c r="E2721" i="2"/>
  <c r="G2721" i="2" s="1"/>
  <c r="E2722" i="2"/>
  <c r="G2722" i="2" s="1"/>
  <c r="E2723" i="2"/>
  <c r="G2723" i="2" s="1"/>
  <c r="E2724" i="2"/>
  <c r="G2724" i="2" s="1"/>
  <c r="E2725" i="2"/>
  <c r="G2725" i="2" s="1"/>
  <c r="E2726" i="2"/>
  <c r="G2726" i="2" s="1"/>
  <c r="E2727" i="2"/>
  <c r="G2727" i="2" s="1"/>
  <c r="E2728" i="2"/>
  <c r="G2728" i="2" s="1"/>
  <c r="E2729" i="2"/>
  <c r="G2729" i="2" s="1"/>
  <c r="E2730" i="2"/>
  <c r="G2730" i="2" s="1"/>
  <c r="E2731" i="2"/>
  <c r="G2731" i="2" s="1"/>
  <c r="E2732" i="2"/>
  <c r="G2732" i="2" s="1"/>
  <c r="E2733" i="2"/>
  <c r="G2733" i="2" s="1"/>
  <c r="E2734" i="2"/>
  <c r="G2734" i="2" s="1"/>
  <c r="E2735" i="2"/>
  <c r="G2735" i="2" s="1"/>
  <c r="E2736" i="2"/>
  <c r="G2736" i="2" s="1"/>
  <c r="E2737" i="2"/>
  <c r="G2737" i="2" s="1"/>
  <c r="E2738" i="2"/>
  <c r="G2738" i="2" s="1"/>
  <c r="E2739" i="2"/>
  <c r="G2739" i="2" s="1"/>
  <c r="E2740" i="2"/>
  <c r="G2740" i="2" s="1"/>
  <c r="E2741" i="2"/>
  <c r="G2741" i="2" s="1"/>
  <c r="E2742" i="2"/>
  <c r="G2742" i="2" s="1"/>
  <c r="E2743" i="2"/>
  <c r="G2743" i="2" s="1"/>
  <c r="E2744" i="2"/>
  <c r="G2744" i="2" s="1"/>
  <c r="E2745" i="2"/>
  <c r="G2745" i="2" s="1"/>
  <c r="E2746" i="2"/>
  <c r="G2746" i="2" s="1"/>
  <c r="E2747" i="2"/>
  <c r="G2747" i="2" s="1"/>
  <c r="E2748" i="2"/>
  <c r="G2748" i="2" s="1"/>
  <c r="E2749" i="2"/>
  <c r="G2749" i="2" s="1"/>
  <c r="E2750" i="2"/>
  <c r="G2750" i="2" s="1"/>
  <c r="E2751" i="2"/>
  <c r="G2751" i="2" s="1"/>
  <c r="E2752" i="2"/>
  <c r="G2752" i="2" s="1"/>
  <c r="E2753" i="2"/>
  <c r="G2753" i="2" s="1"/>
  <c r="E2754" i="2"/>
  <c r="G2754" i="2" s="1"/>
  <c r="E2755" i="2"/>
  <c r="G2755" i="2" s="1"/>
  <c r="E2756" i="2"/>
  <c r="G2756" i="2" s="1"/>
  <c r="E2757" i="2"/>
  <c r="G2757" i="2" s="1"/>
  <c r="E2758" i="2"/>
  <c r="G2758" i="2" s="1"/>
  <c r="E2759" i="2"/>
  <c r="G2759" i="2" s="1"/>
  <c r="E2760" i="2"/>
  <c r="G2760" i="2" s="1"/>
  <c r="E2761" i="2"/>
  <c r="G2761" i="2" s="1"/>
  <c r="E2762" i="2"/>
  <c r="G2762" i="2" s="1"/>
  <c r="E2763" i="2"/>
  <c r="G2763" i="2" s="1"/>
  <c r="E2764" i="2"/>
  <c r="G2764" i="2" s="1"/>
  <c r="E2765" i="2"/>
  <c r="G2765" i="2" s="1"/>
  <c r="E2766" i="2"/>
  <c r="G2766" i="2" s="1"/>
  <c r="E2767" i="2"/>
  <c r="G2767" i="2" s="1"/>
  <c r="E2768" i="2"/>
  <c r="G2768" i="2" s="1"/>
  <c r="E2769" i="2"/>
  <c r="G2769" i="2" s="1"/>
  <c r="E2770" i="2"/>
  <c r="G2770" i="2" s="1"/>
  <c r="E2771" i="2"/>
  <c r="G2771" i="2" s="1"/>
  <c r="E2772" i="2"/>
  <c r="G2772" i="2" s="1"/>
  <c r="E2773" i="2"/>
  <c r="G2773" i="2" s="1"/>
  <c r="E2774" i="2"/>
  <c r="G2774" i="2" s="1"/>
  <c r="E2775" i="2"/>
  <c r="G2775" i="2" s="1"/>
  <c r="E2776" i="2"/>
  <c r="G2776" i="2" s="1"/>
  <c r="E2777" i="2"/>
  <c r="G2777" i="2" s="1"/>
  <c r="E2778" i="2"/>
  <c r="G2778" i="2" s="1"/>
  <c r="E2779" i="2"/>
  <c r="G2779" i="2" s="1"/>
  <c r="E2780" i="2"/>
  <c r="G2780" i="2" s="1"/>
  <c r="E2781" i="2"/>
  <c r="G2781" i="2" s="1"/>
  <c r="E2782" i="2"/>
  <c r="G2782" i="2" s="1"/>
  <c r="E2783" i="2"/>
  <c r="G2783" i="2" s="1"/>
  <c r="E2784" i="2"/>
  <c r="G2784" i="2" s="1"/>
  <c r="E2785" i="2"/>
  <c r="G2785" i="2" s="1"/>
  <c r="E2786" i="2"/>
  <c r="G2786" i="2" s="1"/>
  <c r="E2787" i="2"/>
  <c r="G2787" i="2" s="1"/>
  <c r="E2788" i="2"/>
  <c r="G2788" i="2" s="1"/>
  <c r="E2789" i="2"/>
  <c r="G2789" i="2" s="1"/>
  <c r="E2790" i="2"/>
  <c r="G2790" i="2" s="1"/>
  <c r="E2791" i="2"/>
  <c r="G2791" i="2" s="1"/>
  <c r="E2792" i="2"/>
  <c r="G2792" i="2" s="1"/>
  <c r="E2793" i="2"/>
  <c r="G2793" i="2" s="1"/>
  <c r="E2794" i="2"/>
  <c r="G2794" i="2" s="1"/>
  <c r="E2795" i="2"/>
  <c r="G2795" i="2" s="1"/>
  <c r="E2796" i="2"/>
  <c r="G2796" i="2" s="1"/>
  <c r="E2797" i="2"/>
  <c r="G2797" i="2" s="1"/>
  <c r="E2798" i="2"/>
  <c r="G2798" i="2" s="1"/>
  <c r="E2799" i="2"/>
  <c r="G2799" i="2" s="1"/>
  <c r="E2800" i="2"/>
  <c r="G2800" i="2" s="1"/>
  <c r="E2801" i="2"/>
  <c r="G2801" i="2" s="1"/>
  <c r="E2802" i="2"/>
  <c r="G2802" i="2" s="1"/>
  <c r="E2803" i="2"/>
  <c r="G2803" i="2" s="1"/>
  <c r="E2804" i="2"/>
  <c r="G2804" i="2" s="1"/>
  <c r="E2805" i="2"/>
  <c r="G2805" i="2" s="1"/>
  <c r="E2806" i="2"/>
  <c r="G2806" i="2" s="1"/>
  <c r="E2807" i="2"/>
  <c r="G2807" i="2" s="1"/>
  <c r="E2808" i="2"/>
  <c r="G2808" i="2" s="1"/>
  <c r="E2809" i="2"/>
  <c r="G2809" i="2" s="1"/>
  <c r="E2810" i="2"/>
  <c r="G2810" i="2" s="1"/>
  <c r="E2811" i="2"/>
  <c r="G2811" i="2" s="1"/>
  <c r="E2812" i="2"/>
  <c r="G2812" i="2" s="1"/>
  <c r="E2813" i="2"/>
  <c r="G2813" i="2" s="1"/>
  <c r="E2814" i="2"/>
  <c r="G2814" i="2" s="1"/>
  <c r="E2815" i="2"/>
  <c r="G2815" i="2" s="1"/>
  <c r="E2816" i="2"/>
  <c r="G2816" i="2" s="1"/>
  <c r="E2817" i="2"/>
  <c r="G2817" i="2" s="1"/>
  <c r="E2818" i="2"/>
  <c r="G2818" i="2" s="1"/>
  <c r="E2819" i="2"/>
  <c r="G2819" i="2" s="1"/>
  <c r="E2820" i="2"/>
  <c r="G2820" i="2" s="1"/>
  <c r="E2821" i="2"/>
  <c r="G2821" i="2" s="1"/>
  <c r="E2822" i="2"/>
  <c r="G2822" i="2" s="1"/>
  <c r="E2823" i="2"/>
  <c r="G2823" i="2" s="1"/>
  <c r="E2824" i="2"/>
  <c r="G2824" i="2" s="1"/>
  <c r="E2825" i="2"/>
  <c r="G2825" i="2" s="1"/>
  <c r="E2826" i="2"/>
  <c r="G2826" i="2" s="1"/>
  <c r="E2827" i="2"/>
  <c r="G2827" i="2" s="1"/>
  <c r="E2828" i="2"/>
  <c r="G2828" i="2" s="1"/>
  <c r="E2829" i="2"/>
  <c r="G2829" i="2" s="1"/>
  <c r="E2830" i="2"/>
  <c r="G2830" i="2" s="1"/>
  <c r="E2831" i="2"/>
  <c r="G2831" i="2" s="1"/>
  <c r="E2832" i="2"/>
  <c r="G2832" i="2" s="1"/>
  <c r="E2833" i="2"/>
  <c r="G2833" i="2" s="1"/>
  <c r="E2834" i="2"/>
  <c r="G2834" i="2" s="1"/>
  <c r="E2835" i="2"/>
  <c r="G2835" i="2" s="1"/>
  <c r="E2836" i="2"/>
  <c r="G2836" i="2" s="1"/>
  <c r="E2837" i="2"/>
  <c r="G2837" i="2" s="1"/>
  <c r="E2838" i="2"/>
  <c r="G2838" i="2" s="1"/>
  <c r="E2839" i="2"/>
  <c r="G2839" i="2" s="1"/>
  <c r="E2840" i="2"/>
  <c r="G2840" i="2" s="1"/>
  <c r="E2841" i="2"/>
  <c r="G2841" i="2" s="1"/>
  <c r="E2842" i="2"/>
  <c r="G2842" i="2" s="1"/>
  <c r="E2843" i="2"/>
  <c r="G2843" i="2" s="1"/>
  <c r="E2844" i="2"/>
  <c r="G2844" i="2" s="1"/>
  <c r="E2845" i="2"/>
  <c r="G2845" i="2" s="1"/>
  <c r="E2846" i="2"/>
  <c r="G2846" i="2" s="1"/>
  <c r="E2847" i="2"/>
  <c r="G2847" i="2" s="1"/>
  <c r="E2848" i="2"/>
  <c r="G2848" i="2" s="1"/>
  <c r="E2849" i="2"/>
  <c r="G2849" i="2" s="1"/>
  <c r="E2850" i="2"/>
  <c r="G2850" i="2" s="1"/>
  <c r="E2851" i="2"/>
  <c r="G2851" i="2" s="1"/>
  <c r="E2852" i="2"/>
  <c r="G2852" i="2" s="1"/>
  <c r="E2853" i="2"/>
  <c r="G2853" i="2" s="1"/>
  <c r="E2854" i="2"/>
  <c r="G2854" i="2" s="1"/>
  <c r="E2855" i="2"/>
  <c r="G2855" i="2" s="1"/>
  <c r="E2856" i="2"/>
  <c r="G2856" i="2" s="1"/>
  <c r="E2857" i="2"/>
  <c r="G2857" i="2" s="1"/>
  <c r="E2858" i="2"/>
  <c r="G2858" i="2" s="1"/>
  <c r="E2859" i="2"/>
  <c r="G2859" i="2" s="1"/>
  <c r="E2860" i="2"/>
  <c r="G2860" i="2" s="1"/>
  <c r="E2861" i="2"/>
  <c r="G2861" i="2" s="1"/>
  <c r="E2862" i="2"/>
  <c r="G2862" i="2" s="1"/>
  <c r="E2863" i="2"/>
  <c r="G2863" i="2" s="1"/>
  <c r="E2864" i="2"/>
  <c r="G2864" i="2" s="1"/>
  <c r="E2865" i="2"/>
  <c r="G2865" i="2" s="1"/>
  <c r="E2866" i="2"/>
  <c r="G2866" i="2" s="1"/>
  <c r="E2867" i="2"/>
  <c r="G2867" i="2" s="1"/>
  <c r="E2868" i="2"/>
  <c r="G2868" i="2" s="1"/>
  <c r="E2869" i="2"/>
  <c r="G2869" i="2" s="1"/>
  <c r="E2870" i="2"/>
  <c r="G2870" i="2" s="1"/>
  <c r="E2871" i="2"/>
  <c r="G2871" i="2" s="1"/>
  <c r="E2872" i="2"/>
  <c r="G2872" i="2" s="1"/>
  <c r="E2873" i="2"/>
  <c r="G2873" i="2" s="1"/>
  <c r="E2874" i="2"/>
  <c r="G2874" i="2" s="1"/>
  <c r="E2875" i="2"/>
  <c r="G2875" i="2" s="1"/>
  <c r="E2876" i="2"/>
  <c r="G2876" i="2" s="1"/>
  <c r="E2877" i="2"/>
  <c r="G2877" i="2" s="1"/>
  <c r="E2878" i="2"/>
  <c r="G2878" i="2" s="1"/>
  <c r="E2879" i="2"/>
  <c r="G2879" i="2" s="1"/>
  <c r="E2880" i="2"/>
  <c r="G2880" i="2" s="1"/>
  <c r="E2881" i="2"/>
  <c r="G2881" i="2" s="1"/>
  <c r="E2882" i="2"/>
  <c r="G2882" i="2" s="1"/>
  <c r="E2883" i="2"/>
  <c r="G2883" i="2" s="1"/>
  <c r="E2884" i="2"/>
  <c r="G2884" i="2" s="1"/>
  <c r="E2885" i="2"/>
  <c r="G2885" i="2" s="1"/>
  <c r="E2886" i="2"/>
  <c r="G2886" i="2" s="1"/>
  <c r="E2887" i="2"/>
  <c r="G2887" i="2" s="1"/>
  <c r="E2888" i="2"/>
  <c r="G2888" i="2" s="1"/>
  <c r="E2889" i="2"/>
  <c r="G2889" i="2" s="1"/>
  <c r="E2890" i="2"/>
  <c r="G2890" i="2" s="1"/>
  <c r="E2891" i="2"/>
  <c r="G2891" i="2" s="1"/>
  <c r="E2892" i="2"/>
  <c r="G2892" i="2" s="1"/>
  <c r="E2893" i="2"/>
  <c r="G2893" i="2" s="1"/>
  <c r="E2894" i="2"/>
  <c r="G2894" i="2" s="1"/>
  <c r="E2895" i="2"/>
  <c r="G2895" i="2" s="1"/>
  <c r="E2896" i="2"/>
  <c r="G2896" i="2" s="1"/>
  <c r="E2897" i="2"/>
  <c r="G2897" i="2" s="1"/>
  <c r="E2898" i="2"/>
  <c r="G2898" i="2" s="1"/>
  <c r="E2899" i="2"/>
  <c r="G2899" i="2" s="1"/>
  <c r="E2900" i="2"/>
  <c r="G2900" i="2" s="1"/>
  <c r="E2901" i="2"/>
  <c r="G2901" i="2" s="1"/>
  <c r="E2902" i="2"/>
  <c r="G2902" i="2" s="1"/>
  <c r="E2903" i="2"/>
  <c r="G2903" i="2" s="1"/>
  <c r="E2904" i="2"/>
  <c r="G2904" i="2" s="1"/>
  <c r="E2905" i="2"/>
  <c r="G2905" i="2" s="1"/>
  <c r="E2906" i="2"/>
  <c r="G2906" i="2" s="1"/>
  <c r="E2907" i="2"/>
  <c r="G2907" i="2" s="1"/>
  <c r="E2908" i="2"/>
  <c r="G2908" i="2" s="1"/>
  <c r="E2909" i="2"/>
  <c r="G2909" i="2" s="1"/>
  <c r="E2910" i="2"/>
  <c r="G2910" i="2" s="1"/>
  <c r="E2911" i="2"/>
  <c r="G2911" i="2" s="1"/>
  <c r="E2912" i="2"/>
  <c r="G2912" i="2" s="1"/>
  <c r="E2913" i="2"/>
  <c r="G2913" i="2" s="1"/>
  <c r="E2914" i="2"/>
  <c r="G2914" i="2" s="1"/>
  <c r="E2915" i="2"/>
  <c r="G2915" i="2" s="1"/>
  <c r="E2916" i="2"/>
  <c r="G2916" i="2" s="1"/>
  <c r="E2917" i="2"/>
  <c r="G2917" i="2" s="1"/>
  <c r="E2918" i="2"/>
  <c r="G2918" i="2" s="1"/>
  <c r="E2919" i="2"/>
  <c r="G2919" i="2" s="1"/>
  <c r="E2920" i="2"/>
  <c r="G2920" i="2" s="1"/>
  <c r="E2921" i="2"/>
  <c r="G2921" i="2" s="1"/>
  <c r="E2922" i="2"/>
  <c r="G2922" i="2" s="1"/>
  <c r="E2923" i="2"/>
  <c r="G2923" i="2" s="1"/>
  <c r="E2924" i="2"/>
  <c r="G2924" i="2" s="1"/>
  <c r="E2925" i="2"/>
  <c r="G2925" i="2" s="1"/>
  <c r="E2926" i="2"/>
  <c r="G2926" i="2" s="1"/>
  <c r="E2927" i="2"/>
  <c r="G2927" i="2" s="1"/>
  <c r="E2928" i="2"/>
  <c r="G2928" i="2" s="1"/>
  <c r="E2929" i="2"/>
  <c r="G2929" i="2" s="1"/>
  <c r="E2930" i="2"/>
  <c r="G2930" i="2" s="1"/>
  <c r="E2931" i="2"/>
  <c r="G2931" i="2" s="1"/>
  <c r="E2932" i="2"/>
  <c r="G2932" i="2" s="1"/>
  <c r="E2933" i="2"/>
  <c r="G2933" i="2" s="1"/>
  <c r="E2934" i="2"/>
  <c r="G2934" i="2" s="1"/>
  <c r="E2935" i="2"/>
  <c r="G2935" i="2" s="1"/>
  <c r="E2936" i="2"/>
  <c r="G2936" i="2" s="1"/>
  <c r="E2937" i="2"/>
  <c r="G2937" i="2" s="1"/>
  <c r="E2938" i="2"/>
  <c r="G2938" i="2" s="1"/>
  <c r="E2939" i="2"/>
  <c r="G2939" i="2" s="1"/>
  <c r="E2940" i="2"/>
  <c r="G2940" i="2" s="1"/>
  <c r="E2941" i="2"/>
  <c r="G2941" i="2" s="1"/>
  <c r="E2942" i="2"/>
  <c r="G2942" i="2" s="1"/>
  <c r="E2943" i="2"/>
  <c r="G2943" i="2" s="1"/>
  <c r="E2944" i="2"/>
  <c r="G2944" i="2" s="1"/>
  <c r="E2945" i="2"/>
  <c r="G2945" i="2" s="1"/>
  <c r="E2946" i="2"/>
  <c r="G2946" i="2" s="1"/>
  <c r="E2947" i="2"/>
  <c r="G2947" i="2" s="1"/>
  <c r="E2948" i="2"/>
  <c r="G2948" i="2" s="1"/>
  <c r="E2949" i="2"/>
  <c r="G2949" i="2" s="1"/>
  <c r="E2950" i="2"/>
  <c r="G2950" i="2" s="1"/>
  <c r="E2951" i="2"/>
  <c r="G2951" i="2" s="1"/>
  <c r="E2952" i="2"/>
  <c r="G2952" i="2" s="1"/>
  <c r="E2953" i="2"/>
  <c r="G2953" i="2" s="1"/>
  <c r="E2954" i="2"/>
  <c r="G2954" i="2" s="1"/>
  <c r="E2955" i="2"/>
  <c r="G2955" i="2" s="1"/>
  <c r="E2956" i="2"/>
  <c r="G2956" i="2" s="1"/>
  <c r="E2957" i="2"/>
  <c r="G2957" i="2" s="1"/>
  <c r="E2958" i="2"/>
  <c r="G2958" i="2" s="1"/>
  <c r="E2959" i="2"/>
  <c r="G2959" i="2" s="1"/>
  <c r="E2960" i="2"/>
  <c r="G2960" i="2" s="1"/>
  <c r="E2961" i="2"/>
  <c r="G2961" i="2" s="1"/>
  <c r="E2962" i="2"/>
  <c r="G2962" i="2" s="1"/>
  <c r="E2963" i="2"/>
  <c r="G2963" i="2" s="1"/>
  <c r="E2964" i="2"/>
  <c r="G2964" i="2" s="1"/>
  <c r="E2965" i="2"/>
  <c r="G2965" i="2" s="1"/>
  <c r="E2966" i="2"/>
  <c r="G2966" i="2" s="1"/>
  <c r="E2967" i="2"/>
  <c r="G2967" i="2" s="1"/>
  <c r="E2968" i="2"/>
  <c r="G2968" i="2" s="1"/>
  <c r="E2969" i="2"/>
  <c r="G2969" i="2" s="1"/>
  <c r="E2970" i="2"/>
  <c r="G2970" i="2" s="1"/>
  <c r="E2971" i="2"/>
  <c r="G2971" i="2" s="1"/>
  <c r="E2972" i="2"/>
  <c r="G2972" i="2" s="1"/>
  <c r="E2973" i="2"/>
  <c r="G2973" i="2" s="1"/>
  <c r="E2974" i="2"/>
  <c r="G2974" i="2" s="1"/>
  <c r="E2975" i="2"/>
  <c r="G2975" i="2" s="1"/>
  <c r="E2976" i="2"/>
  <c r="G2976" i="2" s="1"/>
  <c r="E2977" i="2"/>
  <c r="G2977" i="2" s="1"/>
  <c r="E2978" i="2"/>
  <c r="G2978" i="2" s="1"/>
  <c r="E2979" i="2"/>
  <c r="G2979" i="2" s="1"/>
  <c r="E2980" i="2"/>
  <c r="G2980" i="2" s="1"/>
  <c r="E2981" i="2"/>
  <c r="G2981" i="2" s="1"/>
  <c r="E2982" i="2"/>
  <c r="G2982" i="2" s="1"/>
  <c r="E2983" i="2"/>
  <c r="G2983" i="2" s="1"/>
  <c r="E2984" i="2"/>
  <c r="G2984" i="2" s="1"/>
  <c r="E2985" i="2"/>
  <c r="G2985" i="2" s="1"/>
  <c r="E2986" i="2"/>
  <c r="G2986" i="2" s="1"/>
  <c r="E2987" i="2"/>
  <c r="G2987" i="2" s="1"/>
  <c r="E2988" i="2"/>
  <c r="G2988" i="2" s="1"/>
  <c r="E2989" i="2"/>
  <c r="G2989" i="2" s="1"/>
  <c r="E2990" i="2"/>
  <c r="G2990" i="2" s="1"/>
  <c r="E2991" i="2"/>
  <c r="G2991" i="2" s="1"/>
  <c r="E2992" i="2"/>
  <c r="G2992" i="2" s="1"/>
  <c r="E2993" i="2"/>
  <c r="G2993" i="2" s="1"/>
  <c r="E2994" i="2"/>
  <c r="G2994" i="2" s="1"/>
  <c r="E2995" i="2"/>
  <c r="G2995" i="2" s="1"/>
  <c r="E2996" i="2"/>
  <c r="G2996" i="2" s="1"/>
  <c r="E2997" i="2"/>
  <c r="G2997" i="2" s="1"/>
  <c r="E2998" i="2"/>
  <c r="G2998" i="2" s="1"/>
  <c r="E2999" i="2"/>
  <c r="G2999" i="2" s="1"/>
  <c r="E3000" i="2"/>
  <c r="G3000" i="2" s="1"/>
  <c r="E3001" i="2"/>
  <c r="G3001" i="2" s="1"/>
  <c r="E3002" i="2"/>
  <c r="G3002" i="2" s="1"/>
  <c r="E3003" i="2"/>
  <c r="G3003" i="2" s="1"/>
  <c r="E3004" i="2"/>
  <c r="G3004" i="2" s="1"/>
  <c r="E3005" i="2"/>
  <c r="G3005" i="2" s="1"/>
  <c r="E3006" i="2"/>
  <c r="G3006" i="2" s="1"/>
  <c r="E3007" i="2"/>
  <c r="G3007" i="2" s="1"/>
  <c r="E3008" i="2"/>
  <c r="G3008" i="2" s="1"/>
  <c r="E3009" i="2"/>
  <c r="G3009" i="2" s="1"/>
  <c r="E3010" i="2"/>
  <c r="G3010" i="2" s="1"/>
  <c r="E3011" i="2"/>
  <c r="G3011" i="2" s="1"/>
  <c r="E3012" i="2"/>
  <c r="G3012" i="2" s="1"/>
  <c r="E3013" i="2"/>
  <c r="G3013" i="2" s="1"/>
  <c r="E3014" i="2"/>
  <c r="G3014" i="2" s="1"/>
  <c r="E3015" i="2"/>
  <c r="G3015" i="2" s="1"/>
  <c r="E3016" i="2"/>
  <c r="G3016" i="2" s="1"/>
  <c r="E3017" i="2"/>
  <c r="G3017" i="2" s="1"/>
  <c r="E3018" i="2"/>
  <c r="G3018" i="2" s="1"/>
  <c r="E3019" i="2"/>
  <c r="G3019" i="2" s="1"/>
  <c r="E3020" i="2"/>
  <c r="G3020" i="2" s="1"/>
  <c r="E3021" i="2"/>
  <c r="G3021" i="2" s="1"/>
  <c r="E3022" i="2"/>
  <c r="G3022" i="2" s="1"/>
  <c r="E3023" i="2"/>
  <c r="G3023" i="2" s="1"/>
  <c r="E3024" i="2"/>
  <c r="G3024" i="2" s="1"/>
  <c r="E3025" i="2"/>
  <c r="G3025" i="2" s="1"/>
  <c r="E3026" i="2"/>
  <c r="G3026" i="2" s="1"/>
  <c r="E3027" i="2"/>
  <c r="G3027" i="2" s="1"/>
  <c r="E3028" i="2"/>
  <c r="G3028" i="2" s="1"/>
  <c r="E3029" i="2"/>
  <c r="G3029" i="2" s="1"/>
  <c r="E3030" i="2"/>
  <c r="G3030" i="2" s="1"/>
  <c r="E3031" i="2"/>
  <c r="G3031" i="2" s="1"/>
  <c r="E3032" i="2"/>
  <c r="G3032" i="2" s="1"/>
  <c r="E3033" i="2"/>
  <c r="G3033" i="2" s="1"/>
  <c r="E3034" i="2"/>
  <c r="G3034" i="2" s="1"/>
  <c r="E3035" i="2"/>
  <c r="G3035" i="2" s="1"/>
  <c r="E3036" i="2"/>
  <c r="G3036" i="2" s="1"/>
  <c r="E3037" i="2"/>
  <c r="G3037" i="2" s="1"/>
  <c r="E3038" i="2"/>
  <c r="G3038" i="2" s="1"/>
  <c r="E3039" i="2"/>
  <c r="G3039" i="2" s="1"/>
  <c r="E3040" i="2"/>
  <c r="G3040" i="2" s="1"/>
  <c r="E3041" i="2"/>
  <c r="G3041" i="2" s="1"/>
  <c r="E3042" i="2"/>
  <c r="G3042" i="2" s="1"/>
  <c r="E3043" i="2"/>
  <c r="G3043" i="2" s="1"/>
  <c r="E3044" i="2"/>
  <c r="G3044" i="2" s="1"/>
  <c r="E3045" i="2"/>
  <c r="G3045" i="2" s="1"/>
  <c r="E3046" i="2"/>
  <c r="G3046" i="2" s="1"/>
  <c r="E3047" i="2"/>
  <c r="G3047" i="2" s="1"/>
  <c r="E3048" i="2"/>
  <c r="G3048" i="2" s="1"/>
  <c r="E3049" i="2"/>
  <c r="G3049" i="2" s="1"/>
  <c r="E3050" i="2"/>
  <c r="G3050" i="2" s="1"/>
  <c r="E3051" i="2"/>
  <c r="G3051" i="2" s="1"/>
  <c r="E3052" i="2"/>
  <c r="G3052" i="2" s="1"/>
  <c r="E3053" i="2"/>
  <c r="G3053" i="2" s="1"/>
  <c r="E3054" i="2"/>
  <c r="G3054" i="2" s="1"/>
  <c r="E3055" i="2"/>
  <c r="G3055" i="2" s="1"/>
  <c r="E3056" i="2"/>
  <c r="G3056" i="2" s="1"/>
  <c r="E3057" i="2"/>
  <c r="G3057" i="2" s="1"/>
  <c r="E3058" i="2"/>
  <c r="G3058" i="2" s="1"/>
  <c r="E3059" i="2"/>
  <c r="G3059" i="2" s="1"/>
  <c r="E3060" i="2"/>
  <c r="G3060" i="2" s="1"/>
  <c r="E3061" i="2"/>
  <c r="G3061" i="2" s="1"/>
  <c r="E3062" i="2"/>
  <c r="G3062" i="2" s="1"/>
  <c r="E3063" i="2"/>
  <c r="G3063" i="2" s="1"/>
  <c r="E3064" i="2"/>
  <c r="G3064" i="2" s="1"/>
  <c r="E3065" i="2"/>
  <c r="G3065" i="2" s="1"/>
  <c r="E3066" i="2"/>
  <c r="G3066" i="2" s="1"/>
  <c r="E3067" i="2"/>
  <c r="G3067" i="2" s="1"/>
  <c r="E3068" i="2"/>
  <c r="G3068" i="2" s="1"/>
  <c r="E3069" i="2"/>
  <c r="G3069" i="2" s="1"/>
  <c r="E3070" i="2"/>
  <c r="G3070" i="2" s="1"/>
  <c r="E3071" i="2"/>
  <c r="G3071" i="2" s="1"/>
  <c r="E3072" i="2"/>
  <c r="G3072" i="2" s="1"/>
  <c r="E3073" i="2"/>
  <c r="G3073" i="2" s="1"/>
  <c r="E3074" i="2"/>
  <c r="G3074" i="2" s="1"/>
  <c r="E3075" i="2"/>
  <c r="G3075" i="2" s="1"/>
  <c r="E3076" i="2"/>
  <c r="G3076" i="2" s="1"/>
  <c r="E3077" i="2"/>
  <c r="G3077" i="2" s="1"/>
  <c r="E3078" i="2"/>
  <c r="G3078" i="2" s="1"/>
  <c r="E3079" i="2"/>
  <c r="G3079" i="2" s="1"/>
  <c r="E3080" i="2"/>
  <c r="G3080" i="2" s="1"/>
  <c r="E3081" i="2"/>
  <c r="G3081" i="2" s="1"/>
  <c r="E3082" i="2"/>
  <c r="G3082" i="2" s="1"/>
  <c r="E3083" i="2"/>
  <c r="G3083" i="2" s="1"/>
  <c r="E3084" i="2"/>
  <c r="G3084" i="2" s="1"/>
  <c r="E3085" i="2"/>
  <c r="G3085" i="2" s="1"/>
  <c r="E3086" i="2"/>
  <c r="G3086" i="2" s="1"/>
  <c r="E3087" i="2"/>
  <c r="G3087" i="2" s="1"/>
  <c r="E3088" i="2"/>
  <c r="G3088" i="2" s="1"/>
  <c r="E3089" i="2"/>
  <c r="G3089" i="2" s="1"/>
  <c r="E3090" i="2"/>
  <c r="G3090" i="2" s="1"/>
  <c r="E3091" i="2"/>
  <c r="G3091" i="2" s="1"/>
  <c r="E3092" i="2"/>
  <c r="G3092" i="2" s="1"/>
  <c r="E3093" i="2"/>
  <c r="G3093" i="2" s="1"/>
  <c r="E3094" i="2"/>
  <c r="G3094" i="2" s="1"/>
  <c r="E3095" i="2"/>
  <c r="G3095" i="2" s="1"/>
  <c r="E3096" i="2"/>
  <c r="G3096" i="2" s="1"/>
  <c r="E3097" i="2"/>
  <c r="G3097" i="2" s="1"/>
  <c r="E3098" i="2"/>
  <c r="G3098" i="2" s="1"/>
  <c r="E3099" i="2"/>
  <c r="G3099" i="2" s="1"/>
  <c r="E3100" i="2"/>
  <c r="G3100" i="2" s="1"/>
  <c r="E3101" i="2"/>
  <c r="G3101" i="2" s="1"/>
  <c r="E3102" i="2"/>
  <c r="G3102" i="2" s="1"/>
  <c r="E3103" i="2"/>
  <c r="G3103" i="2" s="1"/>
  <c r="E3104" i="2"/>
  <c r="G3104" i="2" s="1"/>
  <c r="E3105" i="2"/>
  <c r="G3105" i="2" s="1"/>
  <c r="E3106" i="2"/>
  <c r="G3106" i="2" s="1"/>
  <c r="E3107" i="2"/>
  <c r="G3107" i="2" s="1"/>
  <c r="E3108" i="2"/>
  <c r="G3108" i="2" s="1"/>
  <c r="E3109" i="2"/>
  <c r="G3109" i="2" s="1"/>
  <c r="E3110" i="2"/>
  <c r="G3110" i="2" s="1"/>
  <c r="E3111" i="2"/>
  <c r="G3111" i="2" s="1"/>
  <c r="E3112" i="2"/>
  <c r="G3112" i="2" s="1"/>
  <c r="E3113" i="2"/>
  <c r="G3113" i="2" s="1"/>
  <c r="E3114" i="2"/>
  <c r="G3114" i="2" s="1"/>
  <c r="E3115" i="2"/>
  <c r="G3115" i="2" s="1"/>
  <c r="E3116" i="2"/>
  <c r="G3116" i="2" s="1"/>
  <c r="E3117" i="2"/>
  <c r="G3117" i="2" s="1"/>
  <c r="E3118" i="2"/>
  <c r="G3118" i="2" s="1"/>
  <c r="E3119" i="2"/>
  <c r="G3119" i="2" s="1"/>
  <c r="E3120" i="2"/>
  <c r="G3120" i="2" s="1"/>
  <c r="E3121" i="2"/>
  <c r="G3121" i="2" s="1"/>
  <c r="E3122" i="2"/>
  <c r="G3122" i="2" s="1"/>
  <c r="E3123" i="2"/>
  <c r="G3123" i="2" s="1"/>
  <c r="E3124" i="2"/>
  <c r="G3124" i="2" s="1"/>
  <c r="E3125" i="2"/>
  <c r="G3125" i="2" s="1"/>
  <c r="E3126" i="2"/>
  <c r="G3126" i="2" s="1"/>
  <c r="E3127" i="2"/>
  <c r="G3127" i="2" s="1"/>
  <c r="E3128" i="2"/>
  <c r="G3128" i="2" s="1"/>
  <c r="E3129" i="2"/>
  <c r="G3129" i="2" s="1"/>
  <c r="E3130" i="2"/>
  <c r="G3130" i="2" s="1"/>
  <c r="E3131" i="2"/>
  <c r="G3131" i="2" s="1"/>
  <c r="E3132" i="2"/>
  <c r="G3132" i="2" s="1"/>
  <c r="E3133" i="2"/>
  <c r="G3133" i="2" s="1"/>
  <c r="E3134" i="2"/>
  <c r="G3134" i="2" s="1"/>
  <c r="E3135" i="2"/>
  <c r="G3135" i="2" s="1"/>
  <c r="E3136" i="2"/>
  <c r="G3136" i="2" s="1"/>
  <c r="E3137" i="2"/>
  <c r="G3137" i="2" s="1"/>
  <c r="E3138" i="2"/>
  <c r="G3138" i="2" s="1"/>
  <c r="E3139" i="2"/>
  <c r="G3139" i="2" s="1"/>
  <c r="E3140" i="2"/>
  <c r="G3140" i="2" s="1"/>
  <c r="E3141" i="2"/>
  <c r="G3141" i="2" s="1"/>
  <c r="E3142" i="2"/>
  <c r="G3142" i="2" s="1"/>
  <c r="E3143" i="2"/>
  <c r="G3143" i="2" s="1"/>
  <c r="E3144" i="2"/>
  <c r="G3144" i="2" s="1"/>
  <c r="E3145" i="2"/>
  <c r="G3145" i="2" s="1"/>
  <c r="E3146" i="2"/>
  <c r="G3146" i="2" s="1"/>
  <c r="E3147" i="2"/>
  <c r="G3147" i="2" s="1"/>
  <c r="E3148" i="2"/>
  <c r="G3148" i="2" s="1"/>
  <c r="E3149" i="2"/>
  <c r="G3149" i="2" s="1"/>
  <c r="E3150" i="2"/>
  <c r="G3150" i="2" s="1"/>
  <c r="E3151" i="2"/>
  <c r="G3151" i="2" s="1"/>
  <c r="E3152" i="2"/>
  <c r="G3152" i="2" s="1"/>
  <c r="E3153" i="2"/>
  <c r="G3153" i="2" s="1"/>
  <c r="E3154" i="2"/>
  <c r="G3154" i="2" s="1"/>
  <c r="E3155" i="2"/>
  <c r="G3155" i="2" s="1"/>
  <c r="E3156" i="2"/>
  <c r="G3156" i="2" s="1"/>
  <c r="E3157" i="2"/>
  <c r="G3157" i="2" s="1"/>
  <c r="E3158" i="2"/>
  <c r="G3158" i="2" s="1"/>
  <c r="E3159" i="2"/>
  <c r="G3159" i="2" s="1"/>
  <c r="E3160" i="2"/>
  <c r="G3160" i="2" s="1"/>
  <c r="E3161" i="2"/>
  <c r="G3161" i="2" s="1"/>
  <c r="E3162" i="2"/>
  <c r="G3162" i="2" s="1"/>
  <c r="E3163" i="2"/>
  <c r="G3163" i="2" s="1"/>
  <c r="E3164" i="2"/>
  <c r="G3164" i="2" s="1"/>
  <c r="E3165" i="2"/>
  <c r="G3165" i="2" s="1"/>
  <c r="E3166" i="2"/>
  <c r="G3166" i="2" s="1"/>
  <c r="E3167" i="2"/>
  <c r="G3167" i="2" s="1"/>
  <c r="E3168" i="2"/>
  <c r="G3168" i="2" s="1"/>
  <c r="E3169" i="2"/>
  <c r="G3169" i="2" s="1"/>
  <c r="E3170" i="2"/>
  <c r="G3170" i="2" s="1"/>
  <c r="E3171" i="2"/>
  <c r="G3171" i="2" s="1"/>
  <c r="E3172" i="2"/>
  <c r="G3172" i="2" s="1"/>
  <c r="E3173" i="2"/>
  <c r="G3173" i="2" s="1"/>
  <c r="E3174" i="2"/>
  <c r="G3174" i="2" s="1"/>
  <c r="E3175" i="2"/>
  <c r="G3175" i="2" s="1"/>
  <c r="E3176" i="2"/>
  <c r="G3176" i="2" s="1"/>
  <c r="E3177" i="2"/>
  <c r="G3177" i="2" s="1"/>
  <c r="E3178" i="2"/>
  <c r="G3178" i="2" s="1"/>
  <c r="E3179" i="2"/>
  <c r="G3179" i="2" s="1"/>
  <c r="E3180" i="2"/>
  <c r="G3180" i="2" s="1"/>
  <c r="E3181" i="2"/>
  <c r="G3181" i="2" s="1"/>
  <c r="E3182" i="2"/>
  <c r="G3182" i="2" s="1"/>
  <c r="E3183" i="2"/>
  <c r="G3183" i="2" s="1"/>
  <c r="E3184" i="2"/>
  <c r="G3184" i="2" s="1"/>
  <c r="E3185" i="2"/>
  <c r="G3185" i="2" s="1"/>
  <c r="E3186" i="2"/>
  <c r="G3186" i="2" s="1"/>
  <c r="E3187" i="2"/>
  <c r="G3187" i="2" s="1"/>
  <c r="E3188" i="2"/>
  <c r="G3188" i="2" s="1"/>
  <c r="E3189" i="2"/>
  <c r="G3189" i="2" s="1"/>
  <c r="E3190" i="2"/>
  <c r="G3190" i="2" s="1"/>
  <c r="E3191" i="2"/>
  <c r="G3191" i="2" s="1"/>
  <c r="E3192" i="2"/>
  <c r="G3192" i="2" s="1"/>
  <c r="E3193" i="2"/>
  <c r="G3193" i="2" s="1"/>
  <c r="E3194" i="2"/>
  <c r="G3194" i="2" s="1"/>
  <c r="E3195" i="2"/>
  <c r="G3195" i="2" s="1"/>
  <c r="E3196" i="2"/>
  <c r="G3196" i="2" s="1"/>
  <c r="E3197" i="2"/>
  <c r="G3197" i="2" s="1"/>
  <c r="E3198" i="2"/>
  <c r="G3198" i="2" s="1"/>
  <c r="E3199" i="2"/>
  <c r="G3199" i="2" s="1"/>
  <c r="E3200" i="2"/>
  <c r="G3200" i="2" s="1"/>
  <c r="E3201" i="2"/>
  <c r="G3201" i="2" s="1"/>
  <c r="E3202" i="2"/>
  <c r="G3202" i="2" s="1"/>
  <c r="E3203" i="2"/>
  <c r="G3203" i="2" s="1"/>
  <c r="E3204" i="2"/>
  <c r="G3204" i="2" s="1"/>
  <c r="E3205" i="2"/>
  <c r="G3205" i="2" s="1"/>
  <c r="E3206" i="2"/>
  <c r="G3206" i="2" s="1"/>
  <c r="E3207" i="2"/>
  <c r="G3207" i="2" s="1"/>
  <c r="E3208" i="2"/>
  <c r="G3208" i="2" s="1"/>
  <c r="E3209" i="2"/>
  <c r="G3209" i="2" s="1"/>
  <c r="E3210" i="2"/>
  <c r="G3210" i="2" s="1"/>
  <c r="E3211" i="2"/>
  <c r="G3211" i="2" s="1"/>
  <c r="E3212" i="2"/>
  <c r="G3212" i="2" s="1"/>
  <c r="E3213" i="2"/>
  <c r="G3213" i="2" s="1"/>
  <c r="E3214" i="2"/>
  <c r="G3214" i="2" s="1"/>
  <c r="E3215" i="2"/>
  <c r="G3215" i="2" s="1"/>
  <c r="E3216" i="2"/>
  <c r="G3216" i="2" s="1"/>
  <c r="E3217" i="2"/>
  <c r="G3217" i="2" s="1"/>
  <c r="E3218" i="2"/>
  <c r="G3218" i="2" s="1"/>
  <c r="E3219" i="2"/>
  <c r="G3219" i="2" s="1"/>
  <c r="E3220" i="2"/>
  <c r="G3220" i="2" s="1"/>
  <c r="E3221" i="2"/>
  <c r="G3221" i="2" s="1"/>
  <c r="E3222" i="2"/>
  <c r="G3222" i="2" s="1"/>
  <c r="E3223" i="2"/>
  <c r="G3223" i="2" s="1"/>
  <c r="E3224" i="2"/>
  <c r="G3224" i="2" s="1"/>
  <c r="E3225" i="2"/>
  <c r="G3225" i="2" s="1"/>
  <c r="E3226" i="2"/>
  <c r="G3226" i="2" s="1"/>
  <c r="E3227" i="2"/>
  <c r="G3227" i="2" s="1"/>
  <c r="E3228" i="2"/>
  <c r="G3228" i="2" s="1"/>
  <c r="E3229" i="2"/>
  <c r="G3229" i="2" s="1"/>
  <c r="E3230" i="2"/>
  <c r="G3230" i="2" s="1"/>
  <c r="E3231" i="2"/>
  <c r="G3231" i="2" s="1"/>
  <c r="E3232" i="2"/>
  <c r="G3232" i="2" s="1"/>
  <c r="E3233" i="2"/>
  <c r="G3233" i="2" s="1"/>
  <c r="E3234" i="2"/>
  <c r="G3234" i="2" s="1"/>
  <c r="E3235" i="2"/>
  <c r="G3235" i="2" s="1"/>
  <c r="E3236" i="2"/>
  <c r="G3236" i="2" s="1"/>
  <c r="E3237" i="2"/>
  <c r="G3237" i="2" s="1"/>
  <c r="E3238" i="2"/>
  <c r="G3238" i="2" s="1"/>
  <c r="E3239" i="2"/>
  <c r="G3239" i="2" s="1"/>
  <c r="E3240" i="2"/>
  <c r="G3240" i="2" s="1"/>
  <c r="E3241" i="2"/>
  <c r="G3241" i="2" s="1"/>
  <c r="E3242" i="2"/>
  <c r="G3242" i="2" s="1"/>
  <c r="E3243" i="2"/>
  <c r="G3243" i="2" s="1"/>
  <c r="E3244" i="2"/>
  <c r="G3244" i="2" s="1"/>
  <c r="E3245" i="2"/>
  <c r="G3245" i="2" s="1"/>
  <c r="E3246" i="2"/>
  <c r="G3246" i="2" s="1"/>
  <c r="E3247" i="2"/>
  <c r="G3247" i="2" s="1"/>
  <c r="E3248" i="2"/>
  <c r="G3248" i="2" s="1"/>
  <c r="E3249" i="2"/>
  <c r="G3249" i="2" s="1"/>
  <c r="E3250" i="2"/>
  <c r="G3250" i="2" s="1"/>
  <c r="E3251" i="2"/>
  <c r="G3251" i="2" s="1"/>
  <c r="E3252" i="2"/>
  <c r="G3252" i="2" s="1"/>
  <c r="E3253" i="2"/>
  <c r="G3253" i="2" s="1"/>
  <c r="E3254" i="2"/>
  <c r="G3254" i="2" s="1"/>
  <c r="E3255" i="2"/>
  <c r="G3255" i="2" s="1"/>
  <c r="E3256" i="2"/>
  <c r="G3256" i="2" s="1"/>
  <c r="E3257" i="2"/>
  <c r="G3257" i="2" s="1"/>
  <c r="E3258" i="2"/>
  <c r="G3258" i="2" s="1"/>
  <c r="E3259" i="2"/>
  <c r="G3259" i="2" s="1"/>
  <c r="E3260" i="2"/>
  <c r="G3260" i="2" s="1"/>
  <c r="E3261" i="2"/>
  <c r="G3261" i="2" s="1"/>
  <c r="E3262" i="2"/>
  <c r="G3262" i="2" s="1"/>
  <c r="E3263" i="2"/>
  <c r="G3263" i="2" s="1"/>
  <c r="E3264" i="2"/>
  <c r="G3264" i="2" s="1"/>
  <c r="E3265" i="2"/>
  <c r="G3265" i="2" s="1"/>
  <c r="E3266" i="2"/>
  <c r="G3266" i="2" s="1"/>
  <c r="E3267" i="2"/>
  <c r="G3267" i="2" s="1"/>
  <c r="E3268" i="2"/>
  <c r="G3268" i="2" s="1"/>
  <c r="E3269" i="2"/>
  <c r="G3269" i="2" s="1"/>
  <c r="E3270" i="2"/>
  <c r="G3270" i="2" s="1"/>
  <c r="E3271" i="2"/>
  <c r="G3271" i="2" s="1"/>
  <c r="E3272" i="2"/>
  <c r="G3272" i="2" s="1"/>
  <c r="E3273" i="2"/>
  <c r="G3273" i="2" s="1"/>
  <c r="E3274" i="2"/>
  <c r="G3274" i="2" s="1"/>
  <c r="E3275" i="2"/>
  <c r="G3275" i="2" s="1"/>
  <c r="E3276" i="2"/>
  <c r="G3276" i="2" s="1"/>
  <c r="E3277" i="2"/>
  <c r="G3277" i="2" s="1"/>
  <c r="E3278" i="2"/>
  <c r="G3278" i="2" s="1"/>
  <c r="E3279" i="2"/>
  <c r="G3279" i="2" s="1"/>
  <c r="E3280" i="2"/>
  <c r="G3280" i="2" s="1"/>
  <c r="E3281" i="2"/>
  <c r="G3281" i="2" s="1"/>
  <c r="E3282" i="2"/>
  <c r="G3282" i="2" s="1"/>
  <c r="E3283" i="2"/>
  <c r="G3283" i="2" s="1"/>
  <c r="E2" i="2"/>
  <c r="P14" i="2"/>
  <c r="P12" i="2"/>
  <c r="P10" i="2"/>
  <c r="P8" i="2"/>
  <c r="P6" i="2"/>
  <c r="P4" i="2"/>
  <c r="P2" i="2"/>
  <c r="F3" i="2" l="1" a="1"/>
  <c r="F3" i="2" s="1"/>
  <c r="G3" i="2"/>
  <c r="F4" i="2" a="1"/>
  <c r="F4" i="2" s="1"/>
  <c r="G4" i="2"/>
  <c r="F5" i="2" a="1"/>
  <c r="F5" i="2" s="1"/>
  <c r="G5" i="2"/>
  <c r="F6" i="2" a="1"/>
  <c r="F6" i="2" s="1"/>
  <c r="G6" i="2"/>
  <c r="F7" i="2" a="1"/>
  <c r="F7" i="2" s="1"/>
  <c r="G7" i="2"/>
  <c r="F8" i="2" a="1"/>
  <c r="F8" i="2" s="1"/>
  <c r="G8" i="2"/>
  <c r="F9" i="2" a="1"/>
  <c r="F9" i="2" s="1"/>
  <c r="G9" i="2"/>
  <c r="F10" i="2" a="1"/>
  <c r="F10" i="2" s="1"/>
  <c r="G10" i="2"/>
  <c r="F11" i="2" a="1"/>
  <c r="F11" i="2" s="1"/>
  <c r="G11" i="2"/>
  <c r="F12" i="2" a="1"/>
  <c r="F12" i="2" s="1"/>
  <c r="G12" i="2"/>
  <c r="F13" i="2" a="1"/>
  <c r="F13" i="2" s="1"/>
  <c r="G13" i="2"/>
  <c r="F14" i="2" a="1"/>
  <c r="F14" i="2" s="1"/>
  <c r="G14" i="2"/>
  <c r="F15" i="2" a="1"/>
  <c r="F15" i="2" s="1"/>
  <c r="G15" i="2"/>
  <c r="F16" i="2" a="1"/>
  <c r="F16" i="2" s="1"/>
  <c r="G16" i="2"/>
  <c r="F17" i="2" a="1"/>
  <c r="F17" i="2" s="1"/>
  <c r="G17" i="2"/>
  <c r="F18" i="2" a="1"/>
  <c r="F18" i="2" s="1"/>
  <c r="G18" i="2"/>
  <c r="F19" i="2" a="1"/>
  <c r="F19" i="2" s="1"/>
  <c r="G19" i="2"/>
  <c r="F20" i="2" a="1"/>
  <c r="F20" i="2" s="1"/>
  <c r="G20" i="2"/>
  <c r="F21" i="2" a="1"/>
  <c r="F21" i="2" s="1"/>
  <c r="G21" i="2"/>
  <c r="F22" i="2" a="1"/>
  <c r="F22" i="2" s="1"/>
  <c r="G22" i="2"/>
  <c r="F23" i="2" a="1"/>
  <c r="F23" i="2" s="1"/>
  <c r="G23" i="2"/>
  <c r="F24" i="2" a="1"/>
  <c r="F24" i="2" s="1"/>
  <c r="G24" i="2"/>
  <c r="F25" i="2" a="1"/>
  <c r="F25" i="2" s="1"/>
  <c r="G25" i="2"/>
  <c r="F26" i="2" a="1"/>
  <c r="F26" i="2" s="1"/>
  <c r="G26" i="2"/>
  <c r="F27" i="2" a="1"/>
  <c r="F27" i="2" s="1"/>
  <c r="G27" i="2"/>
  <c r="F28" i="2" a="1"/>
  <c r="F28" i="2" s="1"/>
  <c r="G28" i="2"/>
  <c r="F29" i="2" a="1"/>
  <c r="F29" i="2" s="1"/>
  <c r="G29" i="2"/>
  <c r="F30" i="2" a="1"/>
  <c r="F30" i="2" s="1"/>
  <c r="G30" i="2"/>
  <c r="F31" i="2" a="1"/>
  <c r="F31" i="2" s="1"/>
  <c r="G31" i="2"/>
  <c r="F32" i="2" a="1"/>
  <c r="F32" i="2" s="1"/>
  <c r="G32" i="2"/>
  <c r="F33" i="2" a="1"/>
  <c r="F33" i="2" s="1"/>
  <c r="G33" i="2"/>
  <c r="F34" i="2" a="1"/>
  <c r="F34" i="2" s="1"/>
  <c r="G34" i="2"/>
  <c r="F35" i="2" a="1"/>
  <c r="F35" i="2" s="1"/>
  <c r="G35" i="2"/>
  <c r="F36" i="2" a="1"/>
  <c r="F36" i="2" s="1"/>
  <c r="G36" i="2"/>
  <c r="F37" i="2" a="1"/>
  <c r="F37" i="2" s="1"/>
  <c r="G37" i="2"/>
  <c r="F38" i="2" a="1"/>
  <c r="F38" i="2" s="1"/>
  <c r="G38" i="2"/>
  <c r="F39" i="2" a="1"/>
  <c r="F39" i="2" s="1"/>
  <c r="G39" i="2"/>
  <c r="F40" i="2" a="1"/>
  <c r="F40" i="2" s="1"/>
  <c r="G40" i="2"/>
  <c r="F41" i="2" a="1"/>
  <c r="F41" i="2" s="1"/>
  <c r="G41" i="2"/>
  <c r="F42" i="2" a="1"/>
  <c r="F42" i="2" s="1"/>
  <c r="G42" i="2"/>
  <c r="F43" i="2" a="1"/>
  <c r="F43" i="2" s="1"/>
  <c r="G43" i="2"/>
  <c r="F44" i="2" a="1"/>
  <c r="F44" i="2" s="1"/>
  <c r="G44" i="2"/>
  <c r="F45" i="2" a="1"/>
  <c r="F45" i="2" s="1"/>
  <c r="G45" i="2"/>
  <c r="F46" i="2" a="1"/>
  <c r="F46" i="2" s="1"/>
  <c r="G46" i="2"/>
  <c r="F47" i="2" a="1"/>
  <c r="F47" i="2" s="1"/>
  <c r="G47" i="2"/>
  <c r="F48" i="2" a="1"/>
  <c r="F48" i="2" s="1"/>
  <c r="G48" i="2"/>
  <c r="F49" i="2" a="1"/>
  <c r="F49" i="2" s="1"/>
  <c r="G49" i="2"/>
  <c r="F50" i="2" a="1"/>
  <c r="F50" i="2" s="1"/>
  <c r="G50" i="2"/>
  <c r="F51" i="2" a="1"/>
  <c r="F51" i="2" s="1"/>
  <c r="G51" i="2"/>
  <c r="F52" i="2" a="1"/>
  <c r="F52" i="2" s="1"/>
  <c r="G52" i="2"/>
  <c r="F53" i="2" a="1"/>
  <c r="F53" i="2" s="1"/>
  <c r="G53" i="2"/>
  <c r="F54" i="2" a="1"/>
  <c r="F54" i="2" s="1"/>
  <c r="G54" i="2"/>
  <c r="F55" i="2" a="1"/>
  <c r="F55" i="2" s="1"/>
  <c r="G55" i="2"/>
  <c r="F56" i="2" a="1"/>
  <c r="F56" i="2" s="1"/>
  <c r="G56" i="2"/>
  <c r="F57" i="2" a="1"/>
  <c r="F57" i="2" s="1"/>
  <c r="G57" i="2"/>
  <c r="F58" i="2" a="1"/>
  <c r="F58" i="2" s="1"/>
  <c r="G58" i="2"/>
  <c r="F59" i="2" a="1"/>
  <c r="F59" i="2" s="1"/>
  <c r="G59" i="2"/>
  <c r="F60" i="2" a="1"/>
  <c r="F60" i="2" s="1"/>
  <c r="G60" i="2"/>
  <c r="F61" i="2" a="1"/>
  <c r="F61" i="2" s="1"/>
  <c r="G61" i="2"/>
  <c r="F62" i="2" a="1"/>
  <c r="F62" i="2" s="1"/>
  <c r="G62" i="2"/>
  <c r="F63" i="2" a="1"/>
  <c r="F63" i="2" s="1"/>
  <c r="G63" i="2"/>
  <c r="F64" i="2" a="1"/>
  <c r="F64" i="2" s="1"/>
  <c r="G64" i="2"/>
  <c r="F65" i="2" a="1"/>
  <c r="F65" i="2" s="1"/>
  <c r="G65" i="2"/>
  <c r="F66" i="2" a="1"/>
  <c r="F66" i="2" s="1"/>
  <c r="G66" i="2"/>
  <c r="F67" i="2" a="1"/>
  <c r="F67" i="2" s="1"/>
  <c r="G67" i="2"/>
  <c r="F68" i="2" a="1"/>
  <c r="F68" i="2" s="1"/>
  <c r="G68" i="2"/>
  <c r="F69" i="2" a="1"/>
  <c r="F69" i="2" s="1"/>
  <c r="G69" i="2"/>
  <c r="F70" i="2" a="1"/>
  <c r="F70" i="2" s="1"/>
  <c r="G70" i="2"/>
  <c r="F71" i="2" a="1"/>
  <c r="F71" i="2" s="1"/>
  <c r="G71" i="2"/>
  <c r="F72" i="2" a="1"/>
  <c r="F72" i="2" s="1"/>
  <c r="G72" i="2"/>
  <c r="F73" i="2" a="1"/>
  <c r="F73" i="2" s="1"/>
  <c r="G73" i="2"/>
  <c r="F74" i="2" a="1"/>
  <c r="F74" i="2" s="1"/>
  <c r="G74" i="2"/>
  <c r="F75" i="2" a="1"/>
  <c r="F75" i="2" s="1"/>
  <c r="G75" i="2"/>
  <c r="F76" i="2" a="1"/>
  <c r="F76" i="2" s="1"/>
  <c r="G76" i="2"/>
  <c r="F77" i="2" a="1"/>
  <c r="F77" i="2" s="1"/>
  <c r="G77" i="2"/>
  <c r="F78" i="2" a="1"/>
  <c r="F78" i="2" s="1"/>
  <c r="G78" i="2"/>
  <c r="F79" i="2" a="1"/>
  <c r="F79" i="2" s="1"/>
  <c r="G79" i="2"/>
  <c r="F80" i="2" a="1"/>
  <c r="F80" i="2" s="1"/>
  <c r="G80" i="2"/>
  <c r="F81" i="2" a="1"/>
  <c r="F81" i="2" s="1"/>
  <c r="G81" i="2"/>
  <c r="F82" i="2" a="1"/>
  <c r="F82" i="2" s="1"/>
  <c r="G82" i="2"/>
  <c r="F83" i="2" a="1"/>
  <c r="F83" i="2" s="1"/>
  <c r="G83" i="2"/>
  <c r="F84" i="2" a="1"/>
  <c r="F84" i="2" s="1"/>
  <c r="G84" i="2"/>
  <c r="F85" i="2" a="1"/>
  <c r="F85" i="2" s="1"/>
  <c r="G85" i="2"/>
  <c r="F86" i="2" a="1"/>
  <c r="F86" i="2" s="1"/>
  <c r="G86" i="2"/>
  <c r="F87" i="2" a="1"/>
  <c r="F87" i="2" s="1"/>
  <c r="G87" i="2"/>
  <c r="F88" i="2" a="1"/>
  <c r="F88" i="2" s="1"/>
  <c r="G88" i="2"/>
  <c r="F89" i="2" a="1"/>
  <c r="F89" i="2" s="1"/>
  <c r="G89" i="2"/>
  <c r="F90" i="2" a="1"/>
  <c r="F90" i="2" s="1"/>
  <c r="G90" i="2"/>
  <c r="F91" i="2" a="1"/>
  <c r="F91" i="2" s="1"/>
  <c r="G91" i="2"/>
  <c r="F92" i="2" a="1"/>
  <c r="F92" i="2" s="1"/>
  <c r="G92" i="2"/>
  <c r="F93" i="2" a="1"/>
  <c r="F93" i="2" s="1"/>
  <c r="G93" i="2"/>
  <c r="F94" i="2" a="1"/>
  <c r="F94" i="2" s="1"/>
  <c r="G94" i="2"/>
  <c r="F95" i="2" a="1"/>
  <c r="F95" i="2" s="1"/>
  <c r="G95" i="2"/>
  <c r="F96" i="2" a="1"/>
  <c r="F96" i="2" s="1"/>
  <c r="G96" i="2"/>
  <c r="F97" i="2" a="1"/>
  <c r="F97" i="2" s="1"/>
  <c r="G97" i="2"/>
  <c r="F98" i="2" a="1"/>
  <c r="F98" i="2" s="1"/>
  <c r="G98" i="2"/>
  <c r="F99" i="2" a="1"/>
  <c r="F99" i="2" s="1"/>
  <c r="G99" i="2"/>
  <c r="F100" i="2" a="1"/>
  <c r="F100" i="2" s="1"/>
  <c r="G100" i="2"/>
  <c r="F101" i="2" a="1"/>
  <c r="F101" i="2" s="1"/>
  <c r="G101" i="2"/>
  <c r="F102" i="2" a="1"/>
  <c r="F102" i="2" s="1"/>
  <c r="G102" i="2"/>
  <c r="F103" i="2" a="1"/>
  <c r="F103" i="2" s="1"/>
  <c r="G103" i="2"/>
  <c r="F104" i="2" a="1"/>
  <c r="F104" i="2" s="1"/>
  <c r="G104" i="2"/>
  <c r="F105" i="2" a="1"/>
  <c r="F105" i="2" s="1"/>
  <c r="G105" i="2"/>
  <c r="F106" i="2" a="1"/>
  <c r="F106" i="2" s="1"/>
  <c r="G106" i="2"/>
  <c r="F107" i="2" a="1"/>
  <c r="F107" i="2" s="1"/>
  <c r="G107" i="2"/>
  <c r="F108" i="2" a="1"/>
  <c r="F108" i="2" s="1"/>
  <c r="G108" i="2"/>
  <c r="F109" i="2" a="1"/>
  <c r="F109" i="2" s="1"/>
  <c r="G109" i="2"/>
  <c r="F110" i="2" a="1"/>
  <c r="F110" i="2" s="1"/>
  <c r="G110" i="2"/>
  <c r="F111" i="2" a="1"/>
  <c r="F111" i="2" s="1"/>
  <c r="G111" i="2"/>
  <c r="F112" i="2" a="1"/>
  <c r="F112" i="2" s="1"/>
  <c r="G112" i="2"/>
  <c r="F113" i="2" a="1"/>
  <c r="F113" i="2" s="1"/>
  <c r="G113" i="2"/>
  <c r="F114" i="2" a="1"/>
  <c r="F114" i="2" s="1"/>
  <c r="G114" i="2"/>
  <c r="F115" i="2" a="1"/>
  <c r="F115" i="2" s="1"/>
  <c r="G115" i="2"/>
  <c r="F116" i="2" a="1"/>
  <c r="F116" i="2" s="1"/>
  <c r="G116" i="2"/>
  <c r="F117" i="2" a="1"/>
  <c r="F117" i="2" s="1"/>
  <c r="G117" i="2"/>
  <c r="F118" i="2" a="1"/>
  <c r="F118" i="2" s="1"/>
  <c r="G118" i="2"/>
  <c r="F119" i="2" a="1"/>
  <c r="F119" i="2" s="1"/>
  <c r="G119" i="2"/>
  <c r="F120" i="2" a="1"/>
  <c r="F120" i="2" s="1"/>
  <c r="G120" i="2"/>
  <c r="F121" i="2" a="1"/>
  <c r="F121" i="2" s="1"/>
  <c r="G121" i="2"/>
  <c r="F122" i="2" a="1"/>
  <c r="F122" i="2" s="1"/>
  <c r="G122" i="2"/>
  <c r="F123" i="2" a="1"/>
  <c r="F123" i="2" s="1"/>
  <c r="G123" i="2"/>
  <c r="F124" i="2" a="1"/>
  <c r="F124" i="2" s="1"/>
  <c r="G124" i="2"/>
  <c r="F125" i="2" a="1"/>
  <c r="F125" i="2" s="1"/>
  <c r="G125" i="2"/>
  <c r="F126" i="2" a="1"/>
  <c r="F126" i="2" s="1"/>
  <c r="G126" i="2"/>
  <c r="F127" i="2" a="1"/>
  <c r="F127" i="2" s="1"/>
  <c r="G127" i="2"/>
  <c r="F128" i="2" a="1"/>
  <c r="F128" i="2" s="1"/>
  <c r="G128" i="2"/>
  <c r="F129" i="2" a="1"/>
  <c r="F129" i="2" s="1"/>
  <c r="G129" i="2"/>
  <c r="F130" i="2" a="1"/>
  <c r="F130" i="2" s="1"/>
  <c r="G130" i="2"/>
  <c r="F131" i="2" a="1"/>
  <c r="F131" i="2" s="1"/>
  <c r="G131" i="2"/>
  <c r="F132" i="2" a="1"/>
  <c r="F132" i="2" s="1"/>
  <c r="G132" i="2"/>
  <c r="F133" i="2" a="1"/>
  <c r="F133" i="2" s="1"/>
  <c r="G133" i="2"/>
  <c r="F134" i="2" a="1"/>
  <c r="F134" i="2" s="1"/>
  <c r="G134" i="2"/>
  <c r="F135" i="2" a="1"/>
  <c r="F135" i="2" s="1"/>
  <c r="G135" i="2"/>
  <c r="F136" i="2" a="1"/>
  <c r="F136" i="2" s="1"/>
  <c r="G136" i="2"/>
  <c r="F137" i="2" a="1"/>
  <c r="F137" i="2" s="1"/>
  <c r="G137" i="2"/>
  <c r="F138" i="2" a="1"/>
  <c r="F138" i="2" s="1"/>
  <c r="G138" i="2"/>
  <c r="F139" i="2" a="1"/>
  <c r="F139" i="2" s="1"/>
  <c r="G139" i="2"/>
  <c r="F140" i="2" a="1"/>
  <c r="F140" i="2" s="1"/>
  <c r="G140" i="2"/>
  <c r="F141" i="2" a="1"/>
  <c r="F141" i="2" s="1"/>
  <c r="G141" i="2"/>
  <c r="F142" i="2" a="1"/>
  <c r="F142" i="2" s="1"/>
  <c r="G142" i="2"/>
  <c r="F143" i="2" a="1"/>
  <c r="F143" i="2" s="1"/>
  <c r="G143" i="2"/>
  <c r="F144" i="2" a="1"/>
  <c r="F144" i="2" s="1"/>
  <c r="G144" i="2"/>
  <c r="F145" i="2" a="1"/>
  <c r="F145" i="2" s="1"/>
  <c r="G145" i="2"/>
  <c r="F146" i="2" a="1"/>
  <c r="F146" i="2" s="1"/>
  <c r="G146" i="2"/>
  <c r="F147" i="2" a="1"/>
  <c r="F147" i="2" s="1"/>
  <c r="G147" i="2"/>
  <c r="F148" i="2" a="1"/>
  <c r="F148" i="2" s="1"/>
  <c r="G148" i="2"/>
  <c r="F149" i="2" a="1"/>
  <c r="F149" i="2" s="1"/>
  <c r="G149" i="2"/>
  <c r="F150" i="2" a="1"/>
  <c r="F150" i="2" s="1"/>
  <c r="G150" i="2"/>
  <c r="F151" i="2" a="1"/>
  <c r="F151" i="2" s="1"/>
  <c r="G151" i="2"/>
  <c r="F152" i="2" a="1"/>
  <c r="F152" i="2" s="1"/>
  <c r="G152" i="2"/>
  <c r="F153" i="2" a="1"/>
  <c r="F153" i="2" s="1"/>
  <c r="G153" i="2"/>
  <c r="F154" i="2" a="1"/>
  <c r="F154" i="2" s="1"/>
  <c r="G154" i="2"/>
  <c r="F155" i="2" a="1"/>
  <c r="F155" i="2" s="1"/>
  <c r="G155" i="2"/>
  <c r="F156" i="2" a="1"/>
  <c r="F156" i="2" s="1"/>
  <c r="G156" i="2"/>
  <c r="F157" i="2" a="1"/>
  <c r="F157" i="2" s="1"/>
  <c r="G157" i="2"/>
  <c r="F158" i="2" a="1"/>
  <c r="F158" i="2" s="1"/>
  <c r="G158" i="2"/>
  <c r="F159" i="2" a="1"/>
  <c r="F159" i="2" s="1"/>
  <c r="G159" i="2"/>
  <c r="F160" i="2" a="1"/>
  <c r="F160" i="2" s="1"/>
  <c r="G160" i="2"/>
  <c r="F161" i="2" a="1"/>
  <c r="F161" i="2" s="1"/>
  <c r="G161" i="2"/>
  <c r="F162" i="2" a="1"/>
  <c r="F162" i="2" s="1"/>
  <c r="G162" i="2"/>
  <c r="F163" i="2" a="1"/>
  <c r="F163" i="2" s="1"/>
  <c r="G163" i="2"/>
  <c r="F164" i="2" a="1"/>
  <c r="F164" i="2" s="1"/>
  <c r="G164" i="2"/>
  <c r="F165" i="2" a="1"/>
  <c r="F165" i="2" s="1"/>
  <c r="G165" i="2"/>
  <c r="F166" i="2" a="1"/>
  <c r="F166" i="2" s="1"/>
  <c r="G166" i="2"/>
  <c r="F167" i="2" a="1"/>
  <c r="F167" i="2" s="1"/>
  <c r="G167" i="2"/>
  <c r="F168" i="2" a="1"/>
  <c r="F168" i="2" s="1"/>
  <c r="G168" i="2"/>
  <c r="F169" i="2" a="1"/>
  <c r="F169" i="2" s="1"/>
  <c r="G169" i="2"/>
  <c r="F170" i="2" a="1"/>
  <c r="F170" i="2" s="1"/>
  <c r="G170" i="2"/>
  <c r="F171" i="2" a="1"/>
  <c r="F171" i="2" s="1"/>
  <c r="G171" i="2"/>
  <c r="F172" i="2" a="1"/>
  <c r="F172" i="2" s="1"/>
  <c r="G172" i="2"/>
  <c r="F173" i="2" a="1"/>
  <c r="F173" i="2" s="1"/>
  <c r="G173" i="2"/>
  <c r="F174" i="2" a="1"/>
  <c r="F174" i="2" s="1"/>
  <c r="G174" i="2"/>
  <c r="F175" i="2" a="1"/>
  <c r="F175" i="2" s="1"/>
  <c r="G175" i="2"/>
  <c r="F176" i="2" a="1"/>
  <c r="F176" i="2" s="1"/>
  <c r="G176" i="2"/>
  <c r="F177" i="2" a="1"/>
  <c r="F177" i="2" s="1"/>
  <c r="G177" i="2"/>
  <c r="F178" i="2" a="1"/>
  <c r="F178" i="2" s="1"/>
  <c r="G178" i="2"/>
  <c r="F179" i="2" a="1"/>
  <c r="F179" i="2" s="1"/>
  <c r="G179" i="2"/>
  <c r="F180" i="2" a="1"/>
  <c r="F180" i="2" s="1"/>
  <c r="G180" i="2"/>
  <c r="F181" i="2" a="1"/>
  <c r="F181" i="2" s="1"/>
  <c r="G181" i="2"/>
  <c r="F182" i="2" a="1"/>
  <c r="F182" i="2" s="1"/>
  <c r="G182" i="2"/>
  <c r="F183" i="2" a="1"/>
  <c r="F183" i="2" s="1"/>
  <c r="G183" i="2"/>
  <c r="F184" i="2" a="1"/>
  <c r="F184" i="2" s="1"/>
  <c r="G184" i="2"/>
  <c r="F185" i="2" a="1"/>
  <c r="F185" i="2" s="1"/>
  <c r="G185" i="2"/>
  <c r="F186" i="2" a="1"/>
  <c r="F186" i="2" s="1"/>
  <c r="G186" i="2"/>
  <c r="F187" i="2" a="1"/>
  <c r="F187" i="2" s="1"/>
  <c r="G187" i="2"/>
  <c r="F188" i="2" a="1"/>
  <c r="F188" i="2" s="1"/>
  <c r="G188" i="2"/>
  <c r="F189" i="2" a="1"/>
  <c r="F189" i="2" s="1"/>
  <c r="G189" i="2"/>
  <c r="F190" i="2" a="1"/>
  <c r="F190" i="2" s="1"/>
  <c r="G190" i="2"/>
  <c r="F191" i="2" a="1"/>
  <c r="F191" i="2" s="1"/>
  <c r="G191" i="2"/>
  <c r="F192" i="2" a="1"/>
  <c r="F192" i="2" s="1"/>
  <c r="G192" i="2"/>
  <c r="F193" i="2" a="1"/>
  <c r="F193" i="2" s="1"/>
  <c r="G193" i="2"/>
  <c r="F194" i="2" a="1"/>
  <c r="F194" i="2" s="1"/>
  <c r="G194" i="2"/>
  <c r="F195" i="2" a="1"/>
  <c r="F195" i="2" s="1"/>
  <c r="G195" i="2"/>
  <c r="F196" i="2" a="1"/>
  <c r="F196" i="2" s="1"/>
  <c r="G196" i="2"/>
  <c r="F197" i="2" a="1"/>
  <c r="F197" i="2" s="1"/>
  <c r="G197" i="2"/>
  <c r="F198" i="2" a="1"/>
  <c r="F198" i="2" s="1"/>
  <c r="G198" i="2"/>
  <c r="F199" i="2" a="1"/>
  <c r="F199" i="2" s="1"/>
  <c r="G199" i="2"/>
  <c r="F200" i="2" a="1"/>
  <c r="F200" i="2" s="1"/>
  <c r="G200" i="2"/>
  <c r="F201" i="2" a="1"/>
  <c r="F201" i="2" s="1"/>
  <c r="G201" i="2"/>
  <c r="F202" i="2" a="1"/>
  <c r="F202" i="2" s="1"/>
  <c r="G202" i="2"/>
  <c r="F203" i="2" a="1"/>
  <c r="F203" i="2" s="1"/>
  <c r="G203" i="2"/>
  <c r="F204" i="2" a="1"/>
  <c r="F204" i="2" s="1"/>
  <c r="G204" i="2"/>
  <c r="F205" i="2" a="1"/>
  <c r="F205" i="2" s="1"/>
  <c r="G205" i="2"/>
  <c r="F206" i="2" a="1"/>
  <c r="F206" i="2" s="1"/>
  <c r="G206" i="2"/>
  <c r="F207" i="2" a="1"/>
  <c r="F207" i="2" s="1"/>
  <c r="G207" i="2"/>
  <c r="F208" i="2" a="1"/>
  <c r="F208" i="2" s="1"/>
  <c r="G208" i="2"/>
  <c r="F209" i="2" a="1"/>
  <c r="F209" i="2" s="1"/>
  <c r="G209" i="2"/>
  <c r="F210" i="2" a="1"/>
  <c r="F210" i="2" s="1"/>
  <c r="G210" i="2"/>
  <c r="F211" i="2" a="1"/>
  <c r="F211" i="2" s="1"/>
  <c r="G211" i="2"/>
  <c r="F212" i="2" a="1"/>
  <c r="F212" i="2" s="1"/>
  <c r="G212" i="2"/>
  <c r="F213" i="2" a="1"/>
  <c r="F213" i="2" s="1"/>
  <c r="G213" i="2"/>
  <c r="F214" i="2" a="1"/>
  <c r="F214" i="2" s="1"/>
  <c r="G214" i="2"/>
  <c r="F215" i="2" a="1"/>
  <c r="F215" i="2" s="1"/>
  <c r="G215" i="2"/>
  <c r="F216" i="2" a="1"/>
  <c r="F216" i="2" s="1"/>
  <c r="G216" i="2"/>
  <c r="F217" i="2" a="1"/>
  <c r="F217" i="2" s="1"/>
  <c r="G217" i="2"/>
  <c r="F218" i="2" a="1"/>
  <c r="F218" i="2" s="1"/>
  <c r="G218" i="2"/>
  <c r="F219" i="2" a="1"/>
  <c r="F219" i="2" s="1"/>
  <c r="G219" i="2"/>
  <c r="F220" i="2" a="1"/>
  <c r="F220" i="2" s="1"/>
  <c r="G220" i="2"/>
  <c r="F221" i="2" a="1"/>
  <c r="F221" i="2" s="1"/>
  <c r="G221" i="2"/>
  <c r="F222" i="2" a="1"/>
  <c r="F222" i="2" s="1"/>
  <c r="G222" i="2"/>
  <c r="F223" i="2" a="1"/>
  <c r="F223" i="2" s="1"/>
  <c r="G223" i="2"/>
  <c r="F224" i="2" a="1"/>
  <c r="F224" i="2" s="1"/>
  <c r="G224" i="2"/>
  <c r="F225" i="2" a="1"/>
  <c r="F225" i="2" s="1"/>
  <c r="G225" i="2"/>
  <c r="F226" i="2" a="1"/>
  <c r="F226" i="2" s="1"/>
  <c r="G226" i="2"/>
  <c r="F227" i="2" a="1"/>
  <c r="F227" i="2" s="1"/>
  <c r="G227" i="2"/>
  <c r="F228" i="2" a="1"/>
  <c r="F228" i="2" s="1"/>
  <c r="G228" i="2"/>
  <c r="F229" i="2" a="1"/>
  <c r="F229" i="2" s="1"/>
  <c r="G229" i="2"/>
  <c r="F230" i="2" a="1"/>
  <c r="F230" i="2" s="1"/>
  <c r="G230" i="2"/>
  <c r="F231" i="2" a="1"/>
  <c r="F231" i="2" s="1"/>
  <c r="G231" i="2"/>
  <c r="F232" i="2" a="1"/>
  <c r="F232" i="2" s="1"/>
  <c r="G232" i="2"/>
  <c r="F233" i="2" a="1"/>
  <c r="F233" i="2" s="1"/>
  <c r="G233" i="2"/>
  <c r="F234" i="2" a="1"/>
  <c r="F234" i="2" s="1"/>
  <c r="G234" i="2"/>
  <c r="F235" i="2" a="1"/>
  <c r="F235" i="2" s="1"/>
  <c r="G235" i="2"/>
  <c r="F236" i="2" a="1"/>
  <c r="F236" i="2" s="1"/>
  <c r="G236" i="2"/>
  <c r="F237" i="2" a="1"/>
  <c r="F237" i="2" s="1"/>
  <c r="G237" i="2"/>
  <c r="F238" i="2" a="1"/>
  <c r="F238" i="2" s="1"/>
  <c r="G238" i="2"/>
  <c r="F239" i="2" a="1"/>
  <c r="F239" i="2" s="1"/>
  <c r="G239" i="2"/>
  <c r="F240" i="2" a="1"/>
  <c r="F240" i="2" s="1"/>
  <c r="G240" i="2"/>
  <c r="F241" i="2" a="1"/>
  <c r="F241" i="2" s="1"/>
  <c r="G241" i="2"/>
  <c r="F242" i="2" a="1"/>
  <c r="F242" i="2" s="1"/>
  <c r="G242" i="2"/>
  <c r="F243" i="2" a="1"/>
  <c r="F243" i="2" s="1"/>
  <c r="G243" i="2"/>
  <c r="F244" i="2" a="1"/>
  <c r="F244" i="2" s="1"/>
  <c r="G244" i="2"/>
  <c r="F245" i="2" a="1"/>
  <c r="F245" i="2" s="1"/>
  <c r="G245" i="2"/>
  <c r="F246" i="2" a="1"/>
  <c r="F246" i="2" s="1"/>
  <c r="G246" i="2"/>
  <c r="F247" i="2" a="1"/>
  <c r="F247" i="2" s="1"/>
  <c r="G247" i="2"/>
  <c r="F248" i="2" a="1"/>
  <c r="F248" i="2" s="1"/>
  <c r="G248" i="2"/>
  <c r="F249" i="2" a="1"/>
  <c r="F249" i="2" s="1"/>
  <c r="G249" i="2"/>
  <c r="F250" i="2" a="1"/>
  <c r="F250" i="2" s="1"/>
  <c r="G250" i="2"/>
  <c r="F251" i="2" a="1"/>
  <c r="F251" i="2" s="1"/>
  <c r="G251" i="2"/>
  <c r="F252" i="2" a="1"/>
  <c r="F252" i="2" s="1"/>
  <c r="G252" i="2"/>
  <c r="F253" i="2" a="1"/>
  <c r="F253" i="2" s="1"/>
  <c r="G253" i="2"/>
  <c r="F254" i="2" a="1"/>
  <c r="F254" i="2" s="1"/>
  <c r="G254" i="2"/>
  <c r="F255" i="2" a="1"/>
  <c r="F255" i="2" s="1"/>
  <c r="G255" i="2"/>
  <c r="F256" i="2" a="1"/>
  <c r="F256" i="2" s="1"/>
  <c r="G256" i="2"/>
  <c r="F257" i="2" a="1"/>
  <c r="F257" i="2" s="1"/>
  <c r="G257" i="2"/>
  <c r="F258" i="2" a="1"/>
  <c r="F258" i="2" s="1"/>
  <c r="G258" i="2"/>
  <c r="F259" i="2" a="1"/>
  <c r="F259" i="2" s="1"/>
  <c r="G259" i="2"/>
  <c r="F260" i="2" a="1"/>
  <c r="F260" i="2" s="1"/>
  <c r="G260" i="2"/>
  <c r="F261" i="2" a="1"/>
  <c r="F261" i="2" s="1"/>
  <c r="G261" i="2"/>
  <c r="F262" i="2" a="1"/>
  <c r="F262" i="2" s="1"/>
  <c r="G262" i="2"/>
  <c r="F263" i="2" a="1"/>
  <c r="F263" i="2" s="1"/>
  <c r="G263" i="2"/>
  <c r="F264" i="2" a="1"/>
  <c r="F264" i="2" s="1"/>
  <c r="G264" i="2"/>
  <c r="F265" i="2" a="1"/>
  <c r="F265" i="2" s="1"/>
  <c r="G265" i="2"/>
  <c r="F266" i="2" a="1"/>
  <c r="F266" i="2" s="1"/>
  <c r="G266" i="2"/>
  <c r="F267" i="2" a="1"/>
  <c r="F267" i="2" s="1"/>
  <c r="G267" i="2"/>
  <c r="F268" i="2" a="1"/>
  <c r="F268" i="2" s="1"/>
  <c r="G268" i="2"/>
  <c r="F269" i="2" a="1"/>
  <c r="F269" i="2" s="1"/>
  <c r="G269" i="2"/>
  <c r="F270" i="2" a="1"/>
  <c r="F270" i="2" s="1"/>
  <c r="G270" i="2"/>
  <c r="F271" i="2" a="1"/>
  <c r="F271" i="2" s="1"/>
  <c r="G271" i="2"/>
  <c r="F272" i="2" a="1"/>
  <c r="F272" i="2" s="1"/>
  <c r="G272" i="2"/>
  <c r="F273" i="2" a="1"/>
  <c r="F273" i="2" s="1"/>
  <c r="G273" i="2"/>
  <c r="F274" i="2" a="1"/>
  <c r="F274" i="2" s="1"/>
  <c r="G274" i="2"/>
  <c r="F275" i="2" a="1"/>
  <c r="F275" i="2" s="1"/>
  <c r="G275" i="2"/>
  <c r="F276" i="2" a="1"/>
  <c r="F276" i="2" s="1"/>
  <c r="G276" i="2"/>
  <c r="F277" i="2" a="1"/>
  <c r="F277" i="2" s="1"/>
  <c r="G277" i="2"/>
  <c r="F278" i="2" a="1"/>
  <c r="F278" i="2" s="1"/>
  <c r="G278" i="2"/>
  <c r="F279" i="2" a="1"/>
  <c r="F279" i="2" s="1"/>
  <c r="G279" i="2"/>
  <c r="F280" i="2" a="1"/>
  <c r="F280" i="2" s="1"/>
  <c r="G280" i="2"/>
  <c r="F281" i="2" a="1"/>
  <c r="F281" i="2" s="1"/>
  <c r="G281" i="2"/>
  <c r="F282" i="2" a="1"/>
  <c r="F282" i="2" s="1"/>
  <c r="G282" i="2"/>
  <c r="F283" i="2" a="1"/>
  <c r="F283" i="2" s="1"/>
  <c r="G283" i="2"/>
  <c r="F284" i="2" a="1"/>
  <c r="F284" i="2" s="1"/>
  <c r="G284" i="2"/>
  <c r="F285" i="2" a="1"/>
  <c r="F285" i="2" s="1"/>
  <c r="G285" i="2"/>
  <c r="F286" i="2" a="1"/>
  <c r="F286" i="2" s="1"/>
  <c r="G286" i="2"/>
  <c r="F287" i="2" a="1"/>
  <c r="F287" i="2" s="1"/>
  <c r="G287" i="2"/>
  <c r="F288" i="2" a="1"/>
  <c r="F288" i="2" s="1"/>
  <c r="G288" i="2"/>
  <c r="F289" i="2" a="1"/>
  <c r="F289" i="2" s="1"/>
  <c r="G289" i="2"/>
  <c r="F290" i="2" a="1"/>
  <c r="F290" i="2" s="1"/>
  <c r="G290" i="2"/>
  <c r="F291" i="2" a="1"/>
  <c r="F291" i="2" s="1"/>
  <c r="G291" i="2"/>
  <c r="F292" i="2" a="1"/>
  <c r="F292" i="2" s="1"/>
  <c r="G292" i="2"/>
  <c r="F293" i="2" a="1"/>
  <c r="F293" i="2" s="1"/>
  <c r="G293" i="2"/>
  <c r="F294" i="2" a="1"/>
  <c r="F294" i="2" s="1"/>
  <c r="G294" i="2"/>
  <c r="F295" i="2" a="1"/>
  <c r="F295" i="2" s="1"/>
  <c r="G295" i="2"/>
  <c r="F296" i="2" a="1"/>
  <c r="F296" i="2" s="1"/>
  <c r="G296" i="2"/>
  <c r="F297" i="2" a="1"/>
  <c r="F297" i="2" s="1"/>
  <c r="G297" i="2"/>
  <c r="F298" i="2" a="1"/>
  <c r="F298" i="2" s="1"/>
  <c r="G298" i="2"/>
  <c r="F299" i="2" a="1"/>
  <c r="F299" i="2" s="1"/>
  <c r="G299" i="2"/>
  <c r="F300" i="2" a="1"/>
  <c r="F300" i="2" s="1"/>
  <c r="G300" i="2"/>
  <c r="F301" i="2" a="1"/>
  <c r="F301" i="2" s="1"/>
  <c r="G301" i="2"/>
  <c r="F302" i="2" a="1"/>
  <c r="F302" i="2" s="1"/>
  <c r="G302" i="2"/>
  <c r="F303" i="2" a="1"/>
  <c r="F303" i="2" s="1"/>
  <c r="G303" i="2"/>
  <c r="F304" i="2" a="1"/>
  <c r="F304" i="2" s="1"/>
  <c r="G304" i="2"/>
  <c r="F305" i="2" a="1"/>
  <c r="F305" i="2" s="1"/>
  <c r="G305" i="2"/>
  <c r="F306" i="2" a="1"/>
  <c r="F306" i="2" s="1"/>
  <c r="G306" i="2"/>
  <c r="F307" i="2" a="1"/>
  <c r="F307" i="2" s="1"/>
  <c r="G307" i="2"/>
  <c r="F308" i="2" a="1"/>
  <c r="F308" i="2" s="1"/>
  <c r="G308" i="2"/>
  <c r="F309" i="2" a="1"/>
  <c r="F309" i="2" s="1"/>
  <c r="G309" i="2"/>
  <c r="F310" i="2" a="1"/>
  <c r="F310" i="2" s="1"/>
  <c r="G310" i="2"/>
  <c r="F311" i="2" a="1"/>
  <c r="F311" i="2" s="1"/>
  <c r="G311" i="2"/>
  <c r="F312" i="2" a="1"/>
  <c r="F312" i="2" s="1"/>
  <c r="G312" i="2"/>
  <c r="F313" i="2" a="1"/>
  <c r="F313" i="2" s="1"/>
  <c r="G313" i="2"/>
  <c r="F314" i="2" a="1"/>
  <c r="F314" i="2" s="1"/>
  <c r="G314" i="2"/>
  <c r="F315" i="2" a="1"/>
  <c r="F315" i="2" s="1"/>
  <c r="G315" i="2"/>
  <c r="F316" i="2" a="1"/>
  <c r="F316" i="2" s="1"/>
  <c r="G316" i="2"/>
  <c r="F317" i="2" a="1"/>
  <c r="F317" i="2" s="1"/>
  <c r="G317" i="2"/>
  <c r="F318" i="2" a="1"/>
  <c r="F318" i="2" s="1"/>
  <c r="G318" i="2"/>
  <c r="F319" i="2" a="1"/>
  <c r="F319" i="2" s="1"/>
  <c r="G319" i="2"/>
  <c r="F320" i="2" a="1"/>
  <c r="F320" i="2" s="1"/>
  <c r="G320" i="2"/>
  <c r="F321" i="2" a="1"/>
  <c r="F321" i="2" s="1"/>
  <c r="G321" i="2"/>
  <c r="F322" i="2" a="1"/>
  <c r="F322" i="2" s="1"/>
  <c r="G322" i="2"/>
  <c r="F323" i="2" a="1"/>
  <c r="F323" i="2" s="1"/>
  <c r="G323" i="2"/>
  <c r="F324" i="2" a="1"/>
  <c r="F324" i="2" s="1"/>
  <c r="G324" i="2"/>
  <c r="F325" i="2" a="1"/>
  <c r="F325" i="2" s="1"/>
  <c r="G325" i="2"/>
  <c r="F326" i="2" a="1"/>
  <c r="F326" i="2" s="1"/>
  <c r="G326" i="2"/>
  <c r="F327" i="2" a="1"/>
  <c r="F327" i="2" s="1"/>
  <c r="G327" i="2"/>
  <c r="F328" i="2" a="1"/>
  <c r="F328" i="2" s="1"/>
  <c r="G328" i="2"/>
  <c r="F329" i="2" a="1"/>
  <c r="F329" i="2" s="1"/>
  <c r="G329" i="2"/>
  <c r="F330" i="2" a="1"/>
  <c r="F330" i="2" s="1"/>
  <c r="G330" i="2"/>
  <c r="F331" i="2" a="1"/>
  <c r="F331" i="2" s="1"/>
  <c r="G331" i="2"/>
  <c r="F332" i="2" a="1"/>
  <c r="F332" i="2" s="1"/>
  <c r="G332" i="2"/>
  <c r="F333" i="2" a="1"/>
  <c r="F333" i="2" s="1"/>
  <c r="G333" i="2"/>
  <c r="F334" i="2" a="1"/>
  <c r="F334" i="2" s="1"/>
  <c r="G334" i="2"/>
  <c r="F335" i="2" a="1"/>
  <c r="F335" i="2" s="1"/>
  <c r="G335" i="2"/>
  <c r="F336" i="2" a="1"/>
  <c r="F336" i="2" s="1"/>
  <c r="G336" i="2"/>
  <c r="F337" i="2" a="1"/>
  <c r="F337" i="2" s="1"/>
  <c r="G337" i="2"/>
  <c r="F338" i="2" a="1"/>
  <c r="F338" i="2" s="1"/>
  <c r="G338" i="2"/>
  <c r="F339" i="2" a="1"/>
  <c r="F339" i="2" s="1"/>
  <c r="G339" i="2"/>
  <c r="F340" i="2" a="1"/>
  <c r="F340" i="2" s="1"/>
  <c r="G340" i="2"/>
  <c r="F341" i="2" a="1"/>
  <c r="F341" i="2" s="1"/>
  <c r="G341" i="2"/>
  <c r="F342" i="2" a="1"/>
  <c r="F342" i="2" s="1"/>
  <c r="G342" i="2"/>
  <c r="F343" i="2" a="1"/>
  <c r="F343" i="2" s="1"/>
  <c r="G343" i="2"/>
  <c r="F344" i="2" a="1"/>
  <c r="F344" i="2" s="1"/>
  <c r="G344" i="2"/>
  <c r="F345" i="2" a="1"/>
  <c r="F345" i="2" s="1"/>
  <c r="G345" i="2"/>
  <c r="F346" i="2" a="1"/>
  <c r="F346" i="2" s="1"/>
  <c r="G346" i="2"/>
  <c r="F347" i="2" a="1"/>
  <c r="F347" i="2" s="1"/>
  <c r="G347" i="2"/>
  <c r="F348" i="2" a="1"/>
  <c r="F348" i="2" s="1"/>
  <c r="G348" i="2"/>
  <c r="F349" i="2" a="1"/>
  <c r="F349" i="2" s="1"/>
  <c r="G349" i="2"/>
  <c r="F350" i="2" a="1"/>
  <c r="F350" i="2" s="1"/>
  <c r="G350" i="2"/>
  <c r="F351" i="2" a="1"/>
  <c r="F351" i="2" s="1"/>
  <c r="G351" i="2"/>
  <c r="F352" i="2" a="1"/>
  <c r="F352" i="2" s="1"/>
  <c r="G352" i="2"/>
  <c r="F353" i="2" a="1"/>
  <c r="F353" i="2" s="1"/>
  <c r="G353" i="2"/>
  <c r="F354" i="2" a="1"/>
  <c r="F354" i="2" s="1"/>
  <c r="G354" i="2"/>
  <c r="F355" i="2" a="1"/>
  <c r="F355" i="2" s="1"/>
  <c r="G355" i="2"/>
  <c r="F356" i="2" a="1"/>
  <c r="F356" i="2" s="1"/>
  <c r="G356" i="2"/>
  <c r="F357" i="2" a="1"/>
  <c r="F357" i="2" s="1"/>
  <c r="G357" i="2"/>
  <c r="F358" i="2" a="1"/>
  <c r="F358" i="2" s="1"/>
  <c r="G358" i="2"/>
  <c r="F359" i="2" a="1"/>
  <c r="F359" i="2" s="1"/>
  <c r="G359" i="2"/>
  <c r="F360" i="2" a="1"/>
  <c r="F360" i="2" s="1"/>
  <c r="G360" i="2"/>
  <c r="F361" i="2" a="1"/>
  <c r="F361" i="2" s="1"/>
  <c r="G361" i="2"/>
  <c r="F362" i="2" a="1"/>
  <c r="F362" i="2" s="1"/>
  <c r="G362" i="2"/>
  <c r="F363" i="2" a="1"/>
  <c r="F363" i="2" s="1"/>
  <c r="G363" i="2"/>
  <c r="F364" i="2" a="1"/>
  <c r="F364" i="2" s="1"/>
  <c r="G364" i="2"/>
  <c r="F365" i="2" a="1"/>
  <c r="F365" i="2" s="1"/>
  <c r="G365" i="2"/>
  <c r="F366" i="2" a="1"/>
  <c r="F366" i="2" s="1"/>
  <c r="G366" i="2"/>
  <c r="F367" i="2" a="1"/>
  <c r="F367" i="2" s="1"/>
  <c r="G367" i="2"/>
  <c r="F368" i="2" a="1"/>
  <c r="F368" i="2" s="1"/>
  <c r="G368" i="2"/>
  <c r="F369" i="2" a="1"/>
  <c r="F369" i="2" s="1"/>
  <c r="G369" i="2"/>
  <c r="F370" i="2" a="1"/>
  <c r="F370" i="2" s="1"/>
  <c r="G370" i="2"/>
  <c r="F371" i="2" a="1"/>
  <c r="F371" i="2" s="1"/>
  <c r="G371" i="2"/>
  <c r="F372" i="2" a="1"/>
  <c r="F372" i="2" s="1"/>
  <c r="G372" i="2"/>
  <c r="F373" i="2" a="1"/>
  <c r="F373" i="2" s="1"/>
  <c r="G373" i="2"/>
  <c r="F374" i="2" a="1"/>
  <c r="F374" i="2" s="1"/>
  <c r="G374" i="2"/>
  <c r="F375" i="2" a="1"/>
  <c r="F375" i="2" s="1"/>
  <c r="G375" i="2"/>
  <c r="F376" i="2" a="1"/>
  <c r="F376" i="2" s="1"/>
  <c r="G376" i="2"/>
  <c r="F377" i="2" a="1"/>
  <c r="F377" i="2" s="1"/>
  <c r="G377" i="2"/>
  <c r="F378" i="2" a="1"/>
  <c r="F378" i="2" s="1"/>
  <c r="G378" i="2"/>
  <c r="F379" i="2" a="1"/>
  <c r="F379" i="2" s="1"/>
  <c r="G379" i="2"/>
  <c r="F380" i="2" a="1"/>
  <c r="F380" i="2" s="1"/>
  <c r="G380" i="2"/>
  <c r="F381" i="2" a="1"/>
  <c r="F381" i="2" s="1"/>
  <c r="G381" i="2"/>
  <c r="F382" i="2" a="1"/>
  <c r="F382" i="2" s="1"/>
  <c r="G382" i="2"/>
  <c r="F383" i="2" a="1"/>
  <c r="F383" i="2" s="1"/>
  <c r="G383" i="2"/>
  <c r="F384" i="2" a="1"/>
  <c r="F384" i="2" s="1"/>
  <c r="G384" i="2"/>
  <c r="F385" i="2" a="1"/>
  <c r="F385" i="2" s="1"/>
  <c r="G385" i="2"/>
  <c r="F386" i="2" a="1"/>
  <c r="F386" i="2" s="1"/>
  <c r="G386" i="2"/>
  <c r="F387" i="2" a="1"/>
  <c r="F387" i="2" s="1"/>
  <c r="G387" i="2"/>
  <c r="F388" i="2" a="1"/>
  <c r="F388" i="2" s="1"/>
  <c r="G388" i="2"/>
  <c r="F389" i="2" a="1"/>
  <c r="F389" i="2" s="1"/>
  <c r="G389" i="2"/>
  <c r="F390" i="2" a="1"/>
  <c r="F390" i="2" s="1"/>
  <c r="G390" i="2"/>
  <c r="F391" i="2" a="1"/>
  <c r="F391" i="2" s="1"/>
  <c r="G391" i="2"/>
  <c r="F392" i="2" a="1"/>
  <c r="F392" i="2" s="1"/>
  <c r="G392" i="2"/>
  <c r="F393" i="2" a="1"/>
  <c r="F393" i="2" s="1"/>
  <c r="G393" i="2"/>
  <c r="F394" i="2" a="1"/>
  <c r="F394" i="2" s="1"/>
  <c r="G394" i="2"/>
  <c r="F395" i="2" a="1"/>
  <c r="F395" i="2" s="1"/>
  <c r="G395" i="2"/>
  <c r="F396" i="2" a="1"/>
  <c r="F396" i="2" s="1"/>
  <c r="G396" i="2"/>
  <c r="F397" i="2" a="1"/>
  <c r="F397" i="2" s="1"/>
  <c r="G397" i="2"/>
  <c r="F398" i="2" a="1"/>
  <c r="F398" i="2" s="1"/>
  <c r="G398" i="2"/>
  <c r="F399" i="2" a="1"/>
  <c r="F399" i="2" s="1"/>
  <c r="G399" i="2"/>
  <c r="F400" i="2" a="1"/>
  <c r="F400" i="2" s="1"/>
  <c r="G400" i="2"/>
  <c r="F401" i="2" a="1"/>
  <c r="F401" i="2" s="1"/>
  <c r="G401" i="2"/>
  <c r="F402" i="2" a="1"/>
  <c r="F402" i="2" s="1"/>
  <c r="G402" i="2"/>
  <c r="F403" i="2" a="1"/>
  <c r="F403" i="2" s="1"/>
  <c r="G403" i="2"/>
  <c r="F404" i="2" a="1"/>
  <c r="F404" i="2" s="1"/>
  <c r="G404" i="2"/>
  <c r="F405" i="2" a="1"/>
  <c r="F405" i="2" s="1"/>
  <c r="G405" i="2"/>
  <c r="F406" i="2" a="1"/>
  <c r="F406" i="2" s="1"/>
  <c r="G406" i="2"/>
  <c r="F407" i="2" a="1"/>
  <c r="F407" i="2" s="1"/>
  <c r="G407" i="2"/>
  <c r="F408" i="2" a="1"/>
  <c r="F408" i="2" s="1"/>
  <c r="G408" i="2"/>
  <c r="F409" i="2" a="1"/>
  <c r="F409" i="2" s="1"/>
  <c r="G409" i="2"/>
  <c r="F410" i="2" a="1"/>
  <c r="F410" i="2" s="1"/>
  <c r="G410" i="2"/>
  <c r="F411" i="2" a="1"/>
  <c r="F411" i="2" s="1"/>
  <c r="G411" i="2"/>
  <c r="F412" i="2" a="1"/>
  <c r="F412" i="2" s="1"/>
  <c r="G412" i="2"/>
  <c r="F413" i="2" a="1"/>
  <c r="F413" i="2" s="1"/>
  <c r="G413" i="2"/>
  <c r="F414" i="2" a="1"/>
  <c r="F414" i="2" s="1"/>
  <c r="G414" i="2"/>
  <c r="F415" i="2" a="1"/>
  <c r="F415" i="2" s="1"/>
  <c r="G415" i="2"/>
  <c r="F416" i="2" a="1"/>
  <c r="F416" i="2" s="1"/>
  <c r="G416" i="2"/>
  <c r="F417" i="2" a="1"/>
  <c r="F417" i="2" s="1"/>
  <c r="G417" i="2"/>
  <c r="F418" i="2" a="1"/>
  <c r="F418" i="2" s="1"/>
  <c r="G418" i="2"/>
  <c r="F419" i="2" a="1"/>
  <c r="F419" i="2" s="1"/>
  <c r="G419" i="2"/>
  <c r="F420" i="2" a="1"/>
  <c r="F420" i="2" s="1"/>
  <c r="G420" i="2"/>
  <c r="F421" i="2" a="1"/>
  <c r="F421" i="2" s="1"/>
  <c r="G421" i="2"/>
  <c r="F422" i="2" a="1"/>
  <c r="F422" i="2" s="1"/>
  <c r="G422" i="2"/>
  <c r="F423" i="2" a="1"/>
  <c r="F423" i="2" s="1"/>
  <c r="G423" i="2"/>
  <c r="F424" i="2" a="1"/>
  <c r="F424" i="2" s="1"/>
  <c r="G424" i="2"/>
  <c r="F425" i="2" a="1"/>
  <c r="F425" i="2" s="1"/>
  <c r="G425" i="2"/>
  <c r="F426" i="2" a="1"/>
  <c r="F426" i="2" s="1"/>
  <c r="G426" i="2"/>
  <c r="F427" i="2" a="1"/>
  <c r="F427" i="2" s="1"/>
  <c r="G427" i="2"/>
  <c r="F428" i="2" a="1"/>
  <c r="F428" i="2" s="1"/>
  <c r="G428" i="2"/>
  <c r="F429" i="2" a="1"/>
  <c r="F429" i="2" s="1"/>
  <c r="G429" i="2"/>
  <c r="F430" i="2" a="1"/>
  <c r="F430" i="2" s="1"/>
  <c r="G430" i="2"/>
  <c r="F431" i="2" a="1"/>
  <c r="F431" i="2" s="1"/>
  <c r="G431" i="2"/>
  <c r="F432" i="2" a="1"/>
  <c r="F432" i="2" s="1"/>
  <c r="G432" i="2"/>
  <c r="F433" i="2" a="1"/>
  <c r="F433" i="2" s="1"/>
  <c r="G433" i="2"/>
  <c r="F434" i="2" a="1"/>
  <c r="F434" i="2" s="1"/>
  <c r="G434" i="2"/>
  <c r="F435" i="2" a="1"/>
  <c r="F435" i="2" s="1"/>
  <c r="G435" i="2"/>
  <c r="F436" i="2" a="1"/>
  <c r="F436" i="2" s="1"/>
  <c r="G436" i="2"/>
  <c r="F437" i="2" a="1"/>
  <c r="F437" i="2" s="1"/>
  <c r="G437" i="2"/>
  <c r="F438" i="2" a="1"/>
  <c r="F438" i="2" s="1"/>
  <c r="G438" i="2"/>
  <c r="F439" i="2" a="1"/>
  <c r="F439" i="2" s="1"/>
  <c r="G439" i="2"/>
  <c r="F440" i="2" a="1"/>
  <c r="F440" i="2" s="1"/>
  <c r="G440" i="2"/>
  <c r="F441" i="2" a="1"/>
  <c r="F441" i="2" s="1"/>
  <c r="G441" i="2"/>
  <c r="F442" i="2" a="1"/>
  <c r="F442" i="2" s="1"/>
  <c r="G442" i="2"/>
  <c r="F443" i="2" a="1"/>
  <c r="F443" i="2" s="1"/>
  <c r="G443" i="2"/>
  <c r="F444" i="2" a="1"/>
  <c r="F444" i="2" s="1"/>
  <c r="G444" i="2"/>
  <c r="F445" i="2" a="1"/>
  <c r="F445" i="2" s="1"/>
  <c r="G445" i="2"/>
  <c r="F446" i="2" a="1"/>
  <c r="F446" i="2" s="1"/>
  <c r="G446" i="2"/>
  <c r="F447" i="2" a="1"/>
  <c r="F447" i="2" s="1"/>
  <c r="G447" i="2"/>
  <c r="F448" i="2" a="1"/>
  <c r="F448" i="2" s="1"/>
  <c r="G448" i="2"/>
  <c r="F449" i="2" a="1"/>
  <c r="F449" i="2" s="1"/>
  <c r="G449" i="2"/>
  <c r="F450" i="2" a="1"/>
  <c r="F450" i="2" s="1"/>
  <c r="G450" i="2"/>
  <c r="F451" i="2" a="1"/>
  <c r="F451" i="2" s="1"/>
  <c r="G451" i="2"/>
  <c r="F452" i="2" a="1"/>
  <c r="F452" i="2" s="1"/>
  <c r="G452" i="2"/>
  <c r="F453" i="2" a="1"/>
  <c r="F453" i="2" s="1"/>
  <c r="G453" i="2"/>
  <c r="F454" i="2" a="1"/>
  <c r="F454" i="2" s="1"/>
  <c r="G454" i="2"/>
  <c r="F455" i="2" a="1"/>
  <c r="F455" i="2" s="1"/>
  <c r="G455" i="2"/>
  <c r="F456" i="2" a="1"/>
  <c r="F456" i="2" s="1"/>
  <c r="G456" i="2"/>
  <c r="F457" i="2" a="1"/>
  <c r="F457" i="2" s="1"/>
  <c r="G457" i="2"/>
  <c r="F458" i="2" a="1"/>
  <c r="F458" i="2" s="1"/>
  <c r="G458" i="2"/>
  <c r="F459" i="2" a="1"/>
  <c r="F459" i="2" s="1"/>
  <c r="G459" i="2"/>
  <c r="F460" i="2" a="1"/>
  <c r="F460" i="2" s="1"/>
  <c r="G460" i="2"/>
  <c r="F461" i="2" a="1"/>
  <c r="F461" i="2" s="1"/>
  <c r="G461" i="2"/>
  <c r="F462" i="2" a="1"/>
  <c r="F462" i="2" s="1"/>
  <c r="G462" i="2"/>
  <c r="F463" i="2" a="1"/>
  <c r="F463" i="2" s="1"/>
  <c r="G463" i="2"/>
  <c r="F464" i="2" a="1"/>
  <c r="F464" i="2" s="1"/>
  <c r="G464" i="2"/>
  <c r="F465" i="2" a="1"/>
  <c r="F465" i="2" s="1"/>
  <c r="G465" i="2"/>
  <c r="F466" i="2" a="1"/>
  <c r="F466" i="2" s="1"/>
  <c r="G466" i="2"/>
  <c r="F467" i="2" a="1"/>
  <c r="F467" i="2" s="1"/>
  <c r="G467" i="2"/>
  <c r="F468" i="2" a="1"/>
  <c r="F468" i="2" s="1"/>
  <c r="G468" i="2"/>
  <c r="F469" i="2" a="1"/>
  <c r="F469" i="2" s="1"/>
  <c r="G469" i="2"/>
  <c r="F470" i="2" a="1"/>
  <c r="F470" i="2" s="1"/>
  <c r="G470" i="2"/>
  <c r="F471" i="2" a="1"/>
  <c r="F471" i="2" s="1"/>
  <c r="G471" i="2"/>
  <c r="F472" i="2" a="1"/>
  <c r="F472" i="2" s="1"/>
  <c r="G472" i="2"/>
  <c r="F473" i="2" a="1"/>
  <c r="F473" i="2" s="1"/>
  <c r="G473" i="2"/>
  <c r="F474" i="2" a="1"/>
  <c r="F474" i="2" s="1"/>
  <c r="G474" i="2"/>
  <c r="F475" i="2" a="1"/>
  <c r="F475" i="2" s="1"/>
  <c r="G475" i="2"/>
  <c r="F476" i="2" a="1"/>
  <c r="F476" i="2" s="1"/>
  <c r="G476" i="2"/>
  <c r="F477" i="2" a="1"/>
  <c r="F477" i="2" s="1"/>
  <c r="G477" i="2"/>
  <c r="F478" i="2" a="1"/>
  <c r="F478" i="2" s="1"/>
  <c r="G478" i="2"/>
  <c r="F479" i="2" a="1"/>
  <c r="F479" i="2" s="1"/>
  <c r="G479" i="2"/>
  <c r="F480" i="2" a="1"/>
  <c r="F480" i="2" s="1"/>
  <c r="G480" i="2"/>
  <c r="F481" i="2" a="1"/>
  <c r="F481" i="2" s="1"/>
  <c r="G481" i="2"/>
  <c r="F482" i="2" a="1"/>
  <c r="F482" i="2" s="1"/>
  <c r="G482" i="2"/>
  <c r="F483" i="2" a="1"/>
  <c r="F483" i="2" s="1"/>
  <c r="G483" i="2"/>
  <c r="F484" i="2" a="1"/>
  <c r="F484" i="2" s="1"/>
  <c r="G484" i="2"/>
  <c r="F485" i="2" a="1"/>
  <c r="F485" i="2" s="1"/>
  <c r="G485" i="2"/>
  <c r="F486" i="2" a="1"/>
  <c r="F486" i="2" s="1"/>
  <c r="G486" i="2"/>
  <c r="F487" i="2" a="1"/>
  <c r="F487" i="2" s="1"/>
  <c r="G487" i="2"/>
  <c r="F488" i="2" a="1"/>
  <c r="F488" i="2" s="1"/>
  <c r="G488" i="2"/>
  <c r="F489" i="2" a="1"/>
  <c r="F489" i="2" s="1"/>
  <c r="G489" i="2"/>
  <c r="F490" i="2" a="1"/>
  <c r="F490" i="2" s="1"/>
  <c r="G490" i="2"/>
  <c r="F491" i="2" a="1"/>
  <c r="F491" i="2" s="1"/>
  <c r="G491" i="2"/>
  <c r="F492" i="2" a="1"/>
  <c r="F492" i="2" s="1"/>
  <c r="G492" i="2"/>
  <c r="F493" i="2" a="1"/>
  <c r="F493" i="2" s="1"/>
  <c r="G493" i="2"/>
  <c r="F494" i="2" a="1"/>
  <c r="F494" i="2" s="1"/>
  <c r="G494" i="2"/>
  <c r="F495" i="2" a="1"/>
  <c r="F495" i="2" s="1"/>
  <c r="G495" i="2"/>
  <c r="F496" i="2" a="1"/>
  <c r="F496" i="2" s="1"/>
  <c r="G496" i="2"/>
  <c r="F497" i="2" a="1"/>
  <c r="F497" i="2" s="1"/>
  <c r="G497" i="2"/>
  <c r="F498" i="2" a="1"/>
  <c r="F498" i="2" s="1"/>
  <c r="G498" i="2"/>
  <c r="F499" i="2" a="1"/>
  <c r="F499" i="2" s="1"/>
  <c r="G499" i="2"/>
  <c r="F500" i="2" a="1"/>
  <c r="F500" i="2" s="1"/>
  <c r="G500" i="2"/>
  <c r="F501" i="2" a="1"/>
  <c r="F501" i="2" s="1"/>
  <c r="G501" i="2"/>
  <c r="F502" i="2" a="1"/>
  <c r="F502" i="2" s="1"/>
  <c r="G502" i="2"/>
  <c r="F503" i="2" a="1"/>
  <c r="F503" i="2" s="1"/>
  <c r="G503" i="2"/>
  <c r="F504" i="2" a="1"/>
  <c r="F504" i="2" s="1"/>
  <c r="G504" i="2"/>
  <c r="F505" i="2" a="1"/>
  <c r="F505" i="2" s="1"/>
  <c r="G505" i="2"/>
  <c r="F506" i="2" a="1"/>
  <c r="F506" i="2" s="1"/>
  <c r="G506" i="2"/>
  <c r="F507" i="2" a="1"/>
  <c r="F507" i="2" s="1"/>
  <c r="G507" i="2"/>
  <c r="F508" i="2" a="1"/>
  <c r="F508" i="2" s="1"/>
  <c r="G508" i="2"/>
  <c r="F509" i="2" a="1"/>
  <c r="F509" i="2" s="1"/>
  <c r="G509" i="2"/>
  <c r="F510" i="2" a="1"/>
  <c r="F510" i="2" s="1"/>
  <c r="G510" i="2"/>
  <c r="F511" i="2" a="1"/>
  <c r="F511" i="2" s="1"/>
  <c r="G511" i="2"/>
  <c r="F512" i="2" a="1"/>
  <c r="F512" i="2" s="1"/>
  <c r="G512" i="2"/>
  <c r="F513" i="2" a="1"/>
  <c r="F513" i="2" s="1"/>
  <c r="G513" i="2"/>
  <c r="F514" i="2" a="1"/>
  <c r="F514" i="2" s="1"/>
  <c r="G514" i="2"/>
  <c r="F515" i="2" a="1"/>
  <c r="F515" i="2" s="1"/>
  <c r="G515" i="2"/>
  <c r="F516" i="2" a="1"/>
  <c r="F516" i="2" s="1"/>
  <c r="G516" i="2"/>
  <c r="F517" i="2" a="1"/>
  <c r="F517" i="2" s="1"/>
  <c r="G517" i="2"/>
  <c r="F518" i="2" a="1"/>
  <c r="F518" i="2" s="1"/>
  <c r="G518" i="2"/>
  <c r="F519" i="2" a="1"/>
  <c r="F519" i="2" s="1"/>
  <c r="G519" i="2"/>
  <c r="F520" i="2" a="1"/>
  <c r="F520" i="2" s="1"/>
  <c r="G520" i="2"/>
  <c r="F521" i="2" a="1"/>
  <c r="F521" i="2" s="1"/>
  <c r="G521" i="2"/>
  <c r="F522" i="2" a="1"/>
  <c r="F522" i="2" s="1"/>
  <c r="G522" i="2"/>
  <c r="F523" i="2" a="1"/>
  <c r="F523" i="2" s="1"/>
  <c r="G523" i="2"/>
  <c r="F524" i="2" a="1"/>
  <c r="F524" i="2" s="1"/>
  <c r="G524" i="2"/>
  <c r="F525" i="2" a="1"/>
  <c r="F525" i="2" s="1"/>
  <c r="G525" i="2"/>
  <c r="F526" i="2" a="1"/>
  <c r="F526" i="2" s="1"/>
  <c r="G526" i="2"/>
  <c r="F527" i="2" a="1"/>
  <c r="F527" i="2" s="1"/>
  <c r="G527" i="2"/>
  <c r="F528" i="2" a="1"/>
  <c r="F528" i="2" s="1"/>
  <c r="G528" i="2"/>
  <c r="F529" i="2" a="1"/>
  <c r="F529" i="2" s="1"/>
  <c r="G529" i="2"/>
  <c r="F530" i="2" a="1"/>
  <c r="F530" i="2" s="1"/>
  <c r="G530" i="2"/>
  <c r="F531" i="2" a="1"/>
  <c r="F531" i="2" s="1"/>
  <c r="G531" i="2"/>
  <c r="F532" i="2" a="1"/>
  <c r="F532" i="2" s="1"/>
  <c r="G532" i="2"/>
  <c r="F533" i="2" a="1"/>
  <c r="F533" i="2" s="1"/>
  <c r="G533" i="2"/>
  <c r="F534" i="2" a="1"/>
  <c r="F534" i="2" s="1"/>
  <c r="G534" i="2"/>
  <c r="F535" i="2" a="1"/>
  <c r="F535" i="2" s="1"/>
  <c r="G535" i="2"/>
  <c r="F536" i="2" a="1"/>
  <c r="F536" i="2" s="1"/>
  <c r="G536" i="2"/>
  <c r="F537" i="2" a="1"/>
  <c r="F537" i="2" s="1"/>
  <c r="G537" i="2"/>
  <c r="F538" i="2" a="1"/>
  <c r="F538" i="2" s="1"/>
  <c r="G538" i="2"/>
  <c r="F539" i="2" a="1"/>
  <c r="F539" i="2" s="1"/>
  <c r="G539" i="2"/>
  <c r="F540" i="2" a="1"/>
  <c r="F540" i="2" s="1"/>
  <c r="G540" i="2"/>
  <c r="F541" i="2" a="1"/>
  <c r="F541" i="2" s="1"/>
  <c r="G541" i="2"/>
  <c r="F542" i="2" a="1"/>
  <c r="F542" i="2" s="1"/>
  <c r="G542" i="2"/>
  <c r="F543" i="2" a="1"/>
  <c r="F543" i="2" s="1"/>
  <c r="G543" i="2"/>
  <c r="F544" i="2" a="1"/>
  <c r="F544" i="2" s="1"/>
  <c r="G544" i="2"/>
  <c r="F545" i="2" a="1"/>
  <c r="F545" i="2" s="1"/>
  <c r="G545" i="2"/>
  <c r="F546" i="2" a="1"/>
  <c r="F546" i="2" s="1"/>
  <c r="G546" i="2"/>
  <c r="F547" i="2" a="1"/>
  <c r="F547" i="2" s="1"/>
  <c r="G547" i="2"/>
  <c r="F548" i="2" a="1"/>
  <c r="F548" i="2" s="1"/>
  <c r="G548" i="2"/>
  <c r="F549" i="2" a="1"/>
  <c r="F549" i="2" s="1"/>
  <c r="G549" i="2"/>
  <c r="F550" i="2" a="1"/>
  <c r="F550" i="2" s="1"/>
  <c r="G550" i="2"/>
  <c r="F551" i="2" a="1"/>
  <c r="F551" i="2" s="1"/>
  <c r="G551" i="2"/>
  <c r="F552" i="2" a="1"/>
  <c r="F552" i="2" s="1"/>
  <c r="G552" i="2"/>
  <c r="F553" i="2" a="1"/>
  <c r="F553" i="2" s="1"/>
  <c r="G553" i="2"/>
  <c r="F554" i="2" a="1"/>
  <c r="F554" i="2" s="1"/>
  <c r="G554" i="2"/>
  <c r="F555" i="2" a="1"/>
  <c r="F555" i="2" s="1"/>
  <c r="G555" i="2"/>
  <c r="F556" i="2" a="1"/>
  <c r="F556" i="2" s="1"/>
  <c r="G556" i="2"/>
  <c r="F557" i="2" a="1"/>
  <c r="F557" i="2" s="1"/>
  <c r="G557" i="2"/>
  <c r="F558" i="2" a="1"/>
  <c r="F558" i="2" s="1"/>
  <c r="G558" i="2"/>
  <c r="F559" i="2" a="1"/>
  <c r="F559" i="2" s="1"/>
  <c r="G559" i="2"/>
  <c r="F560" i="2" a="1"/>
  <c r="F560" i="2" s="1"/>
  <c r="G560" i="2"/>
  <c r="F561" i="2" a="1"/>
  <c r="F561" i="2" s="1"/>
  <c r="G561" i="2"/>
  <c r="F562" i="2" a="1"/>
  <c r="F562" i="2" s="1"/>
  <c r="G562" i="2"/>
  <c r="F563" i="2" a="1"/>
  <c r="F563" i="2" s="1"/>
  <c r="G563" i="2"/>
  <c r="F564" i="2" a="1"/>
  <c r="F564" i="2" s="1"/>
  <c r="G564" i="2"/>
  <c r="F565" i="2" a="1"/>
  <c r="F565" i="2" s="1"/>
  <c r="G565" i="2"/>
  <c r="F566" i="2" a="1"/>
  <c r="F566" i="2" s="1"/>
  <c r="G566" i="2"/>
  <c r="F567" i="2" a="1"/>
  <c r="F567" i="2" s="1"/>
  <c r="G567" i="2"/>
  <c r="F568" i="2" a="1"/>
  <c r="F568" i="2" s="1"/>
  <c r="G568" i="2"/>
  <c r="F569" i="2" a="1"/>
  <c r="F569" i="2" s="1"/>
  <c r="G569" i="2"/>
  <c r="F570" i="2" a="1"/>
  <c r="F570" i="2" s="1"/>
  <c r="G570" i="2"/>
  <c r="F571" i="2" a="1"/>
  <c r="F571" i="2" s="1"/>
  <c r="G571" i="2"/>
  <c r="F572" i="2" a="1"/>
  <c r="F572" i="2" s="1"/>
  <c r="G572" i="2"/>
  <c r="F573" i="2" a="1"/>
  <c r="F573" i="2" s="1"/>
  <c r="G573" i="2"/>
  <c r="F574" i="2" a="1"/>
  <c r="F574" i="2" s="1"/>
  <c r="G574" i="2"/>
  <c r="F575" i="2" a="1"/>
  <c r="F575" i="2" s="1"/>
  <c r="G575" i="2"/>
  <c r="F576" i="2" a="1"/>
  <c r="F576" i="2" s="1"/>
  <c r="G576" i="2"/>
  <c r="F577" i="2" a="1"/>
  <c r="F577" i="2" s="1"/>
  <c r="G577" i="2"/>
  <c r="F578" i="2" a="1"/>
  <c r="F578" i="2" s="1"/>
  <c r="G578" i="2"/>
  <c r="F579" i="2" a="1"/>
  <c r="F579" i="2" s="1"/>
  <c r="G579" i="2"/>
  <c r="F580" i="2" a="1"/>
  <c r="F580" i="2" s="1"/>
  <c r="G580" i="2"/>
  <c r="F581" i="2" a="1"/>
  <c r="F581" i="2" s="1"/>
  <c r="G581" i="2"/>
  <c r="F582" i="2" a="1"/>
  <c r="F582" i="2" s="1"/>
  <c r="G582" i="2"/>
  <c r="F583" i="2" a="1"/>
  <c r="F583" i="2" s="1"/>
  <c r="G583" i="2"/>
  <c r="F584" i="2" a="1"/>
  <c r="F584" i="2" s="1"/>
  <c r="G584" i="2"/>
  <c r="F585" i="2" a="1"/>
  <c r="F585" i="2" s="1"/>
  <c r="G585" i="2"/>
  <c r="F586" i="2" a="1"/>
  <c r="F586" i="2" s="1"/>
  <c r="G586" i="2"/>
  <c r="F587" i="2" a="1"/>
  <c r="F587" i="2" s="1"/>
  <c r="G587" i="2"/>
  <c r="F588" i="2" a="1"/>
  <c r="F588" i="2" s="1"/>
  <c r="G588" i="2"/>
  <c r="F589" i="2" a="1"/>
  <c r="F589" i="2" s="1"/>
  <c r="G589" i="2"/>
  <c r="F590" i="2" a="1"/>
  <c r="F590" i="2" s="1"/>
  <c r="G590" i="2"/>
  <c r="F591" i="2" a="1"/>
  <c r="F591" i="2" s="1"/>
  <c r="G591" i="2"/>
  <c r="F592" i="2" a="1"/>
  <c r="F592" i="2" s="1"/>
  <c r="G592" i="2"/>
  <c r="F593" i="2" a="1"/>
  <c r="F593" i="2" s="1"/>
  <c r="G593" i="2"/>
  <c r="F594" i="2" a="1"/>
  <c r="F594" i="2" s="1"/>
  <c r="G594" i="2"/>
  <c r="F595" i="2" a="1"/>
  <c r="F595" i="2" s="1"/>
  <c r="G595" i="2"/>
  <c r="F596" i="2" a="1"/>
  <c r="F596" i="2" s="1"/>
  <c r="G596" i="2"/>
  <c r="F597" i="2" a="1"/>
  <c r="F597" i="2" s="1"/>
  <c r="G597" i="2"/>
  <c r="F598" i="2" a="1"/>
  <c r="F598" i="2" s="1"/>
  <c r="G598" i="2"/>
  <c r="F599" i="2" a="1"/>
  <c r="F599" i="2" s="1"/>
  <c r="G599" i="2"/>
  <c r="F600" i="2" a="1"/>
  <c r="F600" i="2" s="1"/>
  <c r="G600" i="2"/>
  <c r="F601" i="2" a="1"/>
  <c r="F601" i="2" s="1"/>
  <c r="G601" i="2"/>
  <c r="F602" i="2" a="1"/>
  <c r="F602" i="2" s="1"/>
  <c r="G602" i="2"/>
  <c r="F603" i="2" a="1"/>
  <c r="F603" i="2" s="1"/>
  <c r="G603" i="2"/>
  <c r="F604" i="2" a="1"/>
  <c r="F604" i="2" s="1"/>
  <c r="G604" i="2"/>
  <c r="F605" i="2" a="1"/>
  <c r="F605" i="2" s="1"/>
  <c r="G605" i="2"/>
  <c r="F606" i="2" a="1"/>
  <c r="F606" i="2" s="1"/>
  <c r="G606" i="2"/>
  <c r="F607" i="2" a="1"/>
  <c r="F607" i="2" s="1"/>
  <c r="G607" i="2"/>
  <c r="F608" i="2" a="1"/>
  <c r="F608" i="2" s="1"/>
  <c r="G608" i="2"/>
  <c r="F609" i="2" a="1"/>
  <c r="F609" i="2" s="1"/>
  <c r="G609" i="2"/>
  <c r="F610" i="2" a="1"/>
  <c r="F610" i="2" s="1"/>
  <c r="G610" i="2"/>
  <c r="F611" i="2" a="1"/>
  <c r="F611" i="2" s="1"/>
  <c r="G611" i="2"/>
  <c r="F612" i="2" a="1"/>
  <c r="F612" i="2" s="1"/>
  <c r="G612" i="2"/>
  <c r="F613" i="2" a="1"/>
  <c r="F613" i="2" s="1"/>
  <c r="G613" i="2"/>
  <c r="F614" i="2" a="1"/>
  <c r="F614" i="2" s="1"/>
  <c r="G614" i="2"/>
  <c r="F615" i="2" a="1"/>
  <c r="F615" i="2" s="1"/>
  <c r="G615" i="2"/>
  <c r="F616" i="2" a="1"/>
  <c r="F616" i="2" s="1"/>
  <c r="G616" i="2"/>
  <c r="F617" i="2" a="1"/>
  <c r="F617" i="2" s="1"/>
  <c r="G617" i="2"/>
  <c r="F618" i="2" a="1"/>
  <c r="F618" i="2" s="1"/>
  <c r="G618" i="2"/>
  <c r="F619" i="2" a="1"/>
  <c r="F619" i="2" s="1"/>
  <c r="G619" i="2"/>
  <c r="F620" i="2" a="1"/>
  <c r="F620" i="2" s="1"/>
  <c r="G620" i="2"/>
  <c r="F621" i="2" a="1"/>
  <c r="F621" i="2" s="1"/>
  <c r="G621" i="2"/>
  <c r="F622" i="2" a="1"/>
  <c r="F622" i="2" s="1"/>
  <c r="G622" i="2"/>
  <c r="F623" i="2" a="1"/>
  <c r="F623" i="2" s="1"/>
  <c r="G623" i="2"/>
  <c r="F624" i="2" a="1"/>
  <c r="F624" i="2" s="1"/>
  <c r="G624" i="2"/>
  <c r="F625" i="2" a="1"/>
  <c r="F625" i="2" s="1"/>
  <c r="G625" i="2"/>
  <c r="F626" i="2" a="1"/>
  <c r="F626" i="2" s="1"/>
  <c r="G626" i="2"/>
  <c r="F627" i="2" a="1"/>
  <c r="F627" i="2" s="1"/>
  <c r="G627" i="2"/>
  <c r="F628" i="2" a="1"/>
  <c r="F628" i="2" s="1"/>
  <c r="G628" i="2"/>
  <c r="F629" i="2" a="1"/>
  <c r="F629" i="2" s="1"/>
  <c r="G629" i="2"/>
  <c r="F630" i="2" a="1"/>
  <c r="F630" i="2" s="1"/>
  <c r="G630" i="2"/>
  <c r="F631" i="2" a="1"/>
  <c r="F631" i="2" s="1"/>
  <c r="G631" i="2"/>
  <c r="F632" i="2" a="1"/>
  <c r="F632" i="2" s="1"/>
  <c r="G632" i="2"/>
  <c r="F633" i="2" a="1"/>
  <c r="F633" i="2" s="1"/>
  <c r="G633" i="2"/>
  <c r="F634" i="2" a="1"/>
  <c r="F634" i="2" s="1"/>
  <c r="G634" i="2"/>
  <c r="F635" i="2" a="1"/>
  <c r="F635" i="2" s="1"/>
  <c r="G635" i="2"/>
  <c r="F636" i="2" a="1"/>
  <c r="F636" i="2" s="1"/>
  <c r="G636" i="2"/>
  <c r="F637" i="2" a="1"/>
  <c r="F637" i="2" s="1"/>
  <c r="G637" i="2"/>
  <c r="F638" i="2" a="1"/>
  <c r="F638" i="2" s="1"/>
  <c r="G638" i="2"/>
  <c r="F639" i="2" a="1"/>
  <c r="F639" i="2" s="1"/>
  <c r="G639" i="2"/>
  <c r="F640" i="2" a="1"/>
  <c r="F640" i="2" s="1"/>
  <c r="G640" i="2"/>
  <c r="F641" i="2" a="1"/>
  <c r="F641" i="2" s="1"/>
  <c r="G641" i="2"/>
  <c r="F642" i="2" a="1"/>
  <c r="F642" i="2" s="1"/>
  <c r="G642" i="2"/>
  <c r="F643" i="2" a="1"/>
  <c r="F643" i="2" s="1"/>
  <c r="G643" i="2"/>
  <c r="F644" i="2" a="1"/>
  <c r="F644" i="2" s="1"/>
  <c r="G644" i="2"/>
  <c r="F645" i="2" a="1"/>
  <c r="F645" i="2" s="1"/>
  <c r="G645" i="2"/>
  <c r="F646" i="2" a="1"/>
  <c r="F646" i="2" s="1"/>
  <c r="G646" i="2"/>
  <c r="F647" i="2" a="1"/>
  <c r="F647" i="2" s="1"/>
  <c r="G647" i="2"/>
  <c r="F648" i="2" a="1"/>
  <c r="F648" i="2" s="1"/>
  <c r="G648" i="2"/>
  <c r="F649" i="2" a="1"/>
  <c r="F649" i="2" s="1"/>
  <c r="G649" i="2"/>
  <c r="F650" i="2" a="1"/>
  <c r="F650" i="2" s="1"/>
  <c r="G650" i="2"/>
  <c r="F651" i="2" a="1"/>
  <c r="F651" i="2" s="1"/>
  <c r="G651" i="2"/>
  <c r="F652" i="2" a="1"/>
  <c r="F652" i="2" s="1"/>
  <c r="G652" i="2"/>
  <c r="F653" i="2" a="1"/>
  <c r="F653" i="2" s="1"/>
  <c r="G653" i="2"/>
  <c r="F654" i="2" a="1"/>
  <c r="F654" i="2" s="1"/>
  <c r="G654" i="2"/>
  <c r="F655" i="2" a="1"/>
  <c r="F655" i="2" s="1"/>
  <c r="G655" i="2"/>
  <c r="F656" i="2" a="1"/>
  <c r="F656" i="2" s="1"/>
  <c r="G656" i="2"/>
  <c r="F657" i="2" a="1"/>
  <c r="F657" i="2" s="1"/>
  <c r="G657" i="2"/>
  <c r="F658" i="2" a="1"/>
  <c r="F658" i="2" s="1"/>
  <c r="G658" i="2"/>
  <c r="F659" i="2" a="1"/>
  <c r="F659" i="2" s="1"/>
  <c r="G659" i="2"/>
  <c r="F660" i="2" a="1"/>
  <c r="F660" i="2" s="1"/>
  <c r="G660" i="2"/>
  <c r="F661" i="2" a="1"/>
  <c r="F661" i="2" s="1"/>
  <c r="G661" i="2"/>
  <c r="F662" i="2" a="1"/>
  <c r="F662" i="2" s="1"/>
  <c r="G662" i="2"/>
  <c r="F663" i="2" a="1"/>
  <c r="F663" i="2" s="1"/>
  <c r="G663" i="2"/>
  <c r="F664" i="2" a="1"/>
  <c r="F664" i="2" s="1"/>
  <c r="G664" i="2"/>
  <c r="F665" i="2" a="1"/>
  <c r="F665" i="2" s="1"/>
  <c r="G665" i="2"/>
  <c r="F666" i="2" a="1"/>
  <c r="F666" i="2" s="1"/>
  <c r="G666" i="2"/>
  <c r="F667" i="2" a="1"/>
  <c r="F667" i="2" s="1"/>
  <c r="G667" i="2"/>
  <c r="F668" i="2" a="1"/>
  <c r="F668" i="2" s="1"/>
  <c r="G668" i="2"/>
  <c r="F669" i="2" a="1"/>
  <c r="F669" i="2" s="1"/>
  <c r="G669" i="2"/>
  <c r="F670" i="2" a="1"/>
  <c r="F670" i="2" s="1"/>
  <c r="G670" i="2"/>
  <c r="F671" i="2" a="1"/>
  <c r="F671" i="2" s="1"/>
  <c r="G671" i="2"/>
  <c r="F672" i="2" a="1"/>
  <c r="F672" i="2" s="1"/>
  <c r="G672" i="2"/>
  <c r="F673" i="2" a="1"/>
  <c r="F673" i="2" s="1"/>
  <c r="G673" i="2"/>
  <c r="F674" i="2" a="1"/>
  <c r="F674" i="2" s="1"/>
  <c r="G674" i="2"/>
  <c r="F675" i="2" a="1"/>
  <c r="F675" i="2" s="1"/>
  <c r="G675" i="2"/>
  <c r="F676" i="2" a="1"/>
  <c r="F676" i="2" s="1"/>
  <c r="G676" i="2"/>
  <c r="F677" i="2" a="1"/>
  <c r="F677" i="2" s="1"/>
  <c r="G677" i="2"/>
  <c r="F678" i="2" a="1"/>
  <c r="F678" i="2" s="1"/>
  <c r="G678" i="2"/>
  <c r="F679" i="2" a="1"/>
  <c r="F679" i="2" s="1"/>
  <c r="G679" i="2"/>
  <c r="F680" i="2" a="1"/>
  <c r="F680" i="2" s="1"/>
  <c r="G680" i="2"/>
  <c r="F681" i="2" a="1"/>
  <c r="F681" i="2" s="1"/>
  <c r="G681" i="2"/>
  <c r="F682" i="2" a="1"/>
  <c r="F682" i="2" s="1"/>
  <c r="G682" i="2"/>
  <c r="F683" i="2" a="1"/>
  <c r="F683" i="2" s="1"/>
  <c r="G683" i="2"/>
  <c r="F684" i="2" a="1"/>
  <c r="F684" i="2" s="1"/>
  <c r="G684" i="2"/>
  <c r="F685" i="2" a="1"/>
  <c r="F685" i="2" s="1"/>
  <c r="G685" i="2"/>
  <c r="F686" i="2" a="1"/>
  <c r="F686" i="2" s="1"/>
  <c r="G686" i="2"/>
  <c r="F687" i="2" a="1"/>
  <c r="F687" i="2" s="1"/>
  <c r="G687" i="2"/>
  <c r="F688" i="2" a="1"/>
  <c r="F688" i="2" s="1"/>
  <c r="G688" i="2"/>
  <c r="F689" i="2" a="1"/>
  <c r="F689" i="2" s="1"/>
  <c r="G689" i="2"/>
  <c r="F690" i="2" a="1"/>
  <c r="F690" i="2" s="1"/>
  <c r="G690" i="2"/>
  <c r="F691" i="2" a="1"/>
  <c r="F691" i="2" s="1"/>
  <c r="G691" i="2"/>
  <c r="F692" i="2" a="1"/>
  <c r="F692" i="2" s="1"/>
  <c r="G692" i="2"/>
  <c r="F693" i="2" a="1"/>
  <c r="F693" i="2" s="1"/>
  <c r="G693" i="2"/>
  <c r="F694" i="2" a="1"/>
  <c r="F694" i="2" s="1"/>
  <c r="G694" i="2"/>
  <c r="F695" i="2" a="1"/>
  <c r="F695" i="2" s="1"/>
  <c r="G695" i="2"/>
  <c r="F696" i="2" a="1"/>
  <c r="F696" i="2" s="1"/>
  <c r="G696" i="2"/>
  <c r="F697" i="2" a="1"/>
  <c r="F697" i="2" s="1"/>
  <c r="G697" i="2"/>
  <c r="F698" i="2" a="1"/>
  <c r="F698" i="2" s="1"/>
  <c r="G698" i="2"/>
  <c r="F699" i="2" a="1"/>
  <c r="F699" i="2" s="1"/>
  <c r="G699" i="2"/>
  <c r="F700" i="2" a="1"/>
  <c r="F700" i="2" s="1"/>
  <c r="G700" i="2"/>
  <c r="F701" i="2" a="1"/>
  <c r="F701" i="2" s="1"/>
  <c r="G701" i="2"/>
  <c r="F702" i="2" a="1"/>
  <c r="F702" i="2" s="1"/>
  <c r="G702" i="2"/>
  <c r="F703" i="2" a="1"/>
  <c r="F703" i="2" s="1"/>
  <c r="G703" i="2"/>
  <c r="F704" i="2" a="1"/>
  <c r="F704" i="2" s="1"/>
  <c r="G704" i="2"/>
  <c r="F705" i="2" a="1"/>
  <c r="F705" i="2" s="1"/>
  <c r="G705" i="2"/>
  <c r="F706" i="2" a="1"/>
  <c r="F706" i="2" s="1"/>
  <c r="G706" i="2"/>
  <c r="F707" i="2" a="1"/>
  <c r="F707" i="2" s="1"/>
  <c r="G707" i="2"/>
  <c r="F708" i="2" a="1"/>
  <c r="F708" i="2" s="1"/>
  <c r="G708" i="2"/>
  <c r="F709" i="2" a="1"/>
  <c r="F709" i="2" s="1"/>
  <c r="G709" i="2"/>
  <c r="F710" i="2" a="1"/>
  <c r="F710" i="2" s="1"/>
  <c r="G710" i="2"/>
  <c r="F711" i="2" a="1"/>
  <c r="F711" i="2" s="1"/>
  <c r="G711" i="2"/>
  <c r="F712" i="2" a="1"/>
  <c r="F712" i="2" s="1"/>
  <c r="G712" i="2"/>
  <c r="F713" i="2" a="1"/>
  <c r="F713" i="2" s="1"/>
  <c r="G713" i="2"/>
  <c r="F714" i="2" a="1"/>
  <c r="F714" i="2" s="1"/>
  <c r="G714" i="2"/>
  <c r="F715" i="2" a="1"/>
  <c r="F715" i="2" s="1"/>
  <c r="G715" i="2"/>
  <c r="F716" i="2" a="1"/>
  <c r="F716" i="2" s="1"/>
  <c r="G716" i="2"/>
  <c r="F717" i="2" a="1"/>
  <c r="F717" i="2" s="1"/>
  <c r="G717" i="2"/>
  <c r="F718" i="2" a="1"/>
  <c r="F718" i="2" s="1"/>
  <c r="G718" i="2"/>
  <c r="F719" i="2" a="1"/>
  <c r="F719" i="2" s="1"/>
  <c r="G719" i="2"/>
  <c r="F720" i="2" a="1"/>
  <c r="F720" i="2" s="1"/>
  <c r="G720" i="2"/>
  <c r="F721" i="2" a="1"/>
  <c r="F721" i="2" s="1"/>
  <c r="G721" i="2"/>
  <c r="F722" i="2" a="1"/>
  <c r="F722" i="2" s="1"/>
  <c r="G722" i="2"/>
  <c r="F723" i="2" a="1"/>
  <c r="F723" i="2" s="1"/>
  <c r="G723" i="2"/>
  <c r="F724" i="2" a="1"/>
  <c r="F724" i="2" s="1"/>
  <c r="G724" i="2"/>
  <c r="F725" i="2" a="1"/>
  <c r="F725" i="2" s="1"/>
  <c r="G725" i="2"/>
  <c r="F726" i="2" a="1"/>
  <c r="F726" i="2" s="1"/>
  <c r="G726" i="2"/>
  <c r="F727" i="2" a="1"/>
  <c r="F727" i="2" s="1"/>
  <c r="G727" i="2"/>
  <c r="F728" i="2" a="1"/>
  <c r="F728" i="2" s="1"/>
  <c r="G728" i="2"/>
  <c r="F729" i="2" a="1"/>
  <c r="F729" i="2" s="1"/>
  <c r="G729" i="2"/>
  <c r="F730" i="2" a="1"/>
  <c r="F730" i="2" s="1"/>
  <c r="G730" i="2"/>
  <c r="F731" i="2" a="1"/>
  <c r="F731" i="2" s="1"/>
  <c r="G731" i="2"/>
  <c r="F732" i="2" a="1"/>
  <c r="F732" i="2" s="1"/>
  <c r="G732" i="2"/>
  <c r="F733" i="2" a="1"/>
  <c r="F733" i="2" s="1"/>
  <c r="G733" i="2"/>
  <c r="F734" i="2" a="1"/>
  <c r="F734" i="2" s="1"/>
  <c r="G734" i="2"/>
  <c r="F735" i="2" a="1"/>
  <c r="F735" i="2" s="1"/>
  <c r="G735" i="2"/>
  <c r="F736" i="2" a="1"/>
  <c r="F736" i="2" s="1"/>
  <c r="G736" i="2"/>
  <c r="F737" i="2" a="1"/>
  <c r="F737" i="2" s="1"/>
  <c r="G737" i="2"/>
  <c r="F738" i="2" a="1"/>
  <c r="F738" i="2" s="1"/>
  <c r="G738" i="2"/>
  <c r="F739" i="2" a="1"/>
  <c r="F739" i="2" s="1"/>
  <c r="G739" i="2"/>
  <c r="F740" i="2" a="1"/>
  <c r="F740" i="2" s="1"/>
  <c r="G740" i="2"/>
  <c r="F741" i="2" a="1"/>
  <c r="F741" i="2" s="1"/>
  <c r="G741" i="2"/>
  <c r="F742" i="2" a="1"/>
  <c r="F742" i="2" s="1"/>
  <c r="G742" i="2"/>
  <c r="F743" i="2" a="1"/>
  <c r="F743" i="2" s="1"/>
  <c r="G743" i="2"/>
  <c r="F744" i="2" a="1"/>
  <c r="F744" i="2" s="1"/>
  <c r="G744" i="2"/>
  <c r="F745" i="2" a="1"/>
  <c r="F745" i="2" s="1"/>
  <c r="G745" i="2"/>
  <c r="F746" i="2" a="1"/>
  <c r="F746" i="2" s="1"/>
  <c r="G746" i="2"/>
  <c r="F747" i="2" a="1"/>
  <c r="F747" i="2" s="1"/>
  <c r="G747" i="2"/>
  <c r="F748" i="2" a="1"/>
  <c r="F748" i="2" s="1"/>
  <c r="G748" i="2"/>
  <c r="F749" i="2" a="1"/>
  <c r="F749" i="2" s="1"/>
  <c r="G749" i="2"/>
  <c r="F750" i="2" a="1"/>
  <c r="F750" i="2" s="1"/>
  <c r="G750" i="2"/>
  <c r="F751" i="2" a="1"/>
  <c r="F751" i="2" s="1"/>
  <c r="G751" i="2"/>
  <c r="F752" i="2" a="1"/>
  <c r="F752" i="2" s="1"/>
  <c r="G752" i="2"/>
  <c r="F753" i="2" a="1"/>
  <c r="F753" i="2" s="1"/>
  <c r="G753" i="2"/>
  <c r="F754" i="2" a="1"/>
  <c r="F754" i="2" s="1"/>
  <c r="G754" i="2"/>
  <c r="F755" i="2" a="1"/>
  <c r="F755" i="2" s="1"/>
  <c r="G755" i="2"/>
  <c r="F756" i="2" a="1"/>
  <c r="F756" i="2" s="1"/>
  <c r="G756" i="2"/>
  <c r="F757" i="2" a="1"/>
  <c r="F757" i="2" s="1"/>
  <c r="G757" i="2"/>
  <c r="F758" i="2" a="1"/>
  <c r="F758" i="2" s="1"/>
  <c r="G758" i="2"/>
  <c r="F759" i="2" a="1"/>
  <c r="F759" i="2" s="1"/>
  <c r="G759" i="2"/>
  <c r="F760" i="2" a="1"/>
  <c r="F760" i="2" s="1"/>
  <c r="G760" i="2"/>
  <c r="F761" i="2" a="1"/>
  <c r="F761" i="2" s="1"/>
  <c r="G761" i="2"/>
  <c r="F762" i="2" a="1"/>
  <c r="F762" i="2" s="1"/>
  <c r="G762" i="2"/>
  <c r="F763" i="2" a="1"/>
  <c r="F763" i="2" s="1"/>
  <c r="G763" i="2"/>
  <c r="F764" i="2" a="1"/>
  <c r="F764" i="2" s="1"/>
  <c r="G764" i="2"/>
  <c r="F765" i="2" a="1"/>
  <c r="F765" i="2" s="1"/>
  <c r="G765" i="2"/>
  <c r="F766" i="2" a="1"/>
  <c r="F766" i="2" s="1"/>
  <c r="G766" i="2"/>
  <c r="F767" i="2" a="1"/>
  <c r="F767" i="2" s="1"/>
  <c r="G767" i="2"/>
  <c r="F768" i="2" a="1"/>
  <c r="F768" i="2" s="1"/>
  <c r="G768" i="2"/>
  <c r="F769" i="2" a="1"/>
  <c r="F769" i="2" s="1"/>
  <c r="G769" i="2"/>
  <c r="F770" i="2" a="1"/>
  <c r="F770" i="2" s="1"/>
  <c r="G770" i="2"/>
  <c r="F771" i="2" a="1"/>
  <c r="F771" i="2" s="1"/>
  <c r="G771" i="2"/>
  <c r="F772" i="2" a="1"/>
  <c r="F772" i="2" s="1"/>
  <c r="G772" i="2"/>
  <c r="F773" i="2" a="1"/>
  <c r="F773" i="2" s="1"/>
  <c r="G773" i="2"/>
  <c r="F774" i="2" a="1"/>
  <c r="F774" i="2" s="1"/>
  <c r="G774" i="2"/>
  <c r="F775" i="2" a="1"/>
  <c r="F775" i="2" s="1"/>
  <c r="G775" i="2"/>
  <c r="F776" i="2" a="1"/>
  <c r="F776" i="2" s="1"/>
  <c r="G776" i="2"/>
  <c r="F777" i="2" a="1"/>
  <c r="F777" i="2" s="1"/>
  <c r="G777" i="2"/>
  <c r="F778" i="2" a="1"/>
  <c r="F778" i="2" s="1"/>
  <c r="G778" i="2"/>
  <c r="F779" i="2" a="1"/>
  <c r="F779" i="2" s="1"/>
  <c r="G779" i="2"/>
  <c r="F780" i="2" a="1"/>
  <c r="F780" i="2" s="1"/>
  <c r="G780" i="2"/>
  <c r="F781" i="2" a="1"/>
  <c r="F781" i="2" s="1"/>
  <c r="G781" i="2"/>
  <c r="F782" i="2" a="1"/>
  <c r="F782" i="2" s="1"/>
  <c r="G782" i="2"/>
  <c r="F783" i="2" a="1"/>
  <c r="F783" i="2" s="1"/>
  <c r="G783" i="2"/>
  <c r="F784" i="2" a="1"/>
  <c r="F784" i="2" s="1"/>
  <c r="G784" i="2"/>
  <c r="F785" i="2" a="1"/>
  <c r="F785" i="2" s="1"/>
  <c r="G785" i="2"/>
  <c r="F786" i="2" a="1"/>
  <c r="F786" i="2" s="1"/>
  <c r="G786" i="2"/>
  <c r="F787" i="2" a="1"/>
  <c r="F787" i="2" s="1"/>
  <c r="G787" i="2"/>
  <c r="F788" i="2" a="1"/>
  <c r="F788" i="2" s="1"/>
  <c r="G788" i="2"/>
  <c r="F789" i="2" a="1"/>
  <c r="F789" i="2" s="1"/>
  <c r="G789" i="2"/>
  <c r="F790" i="2" a="1"/>
  <c r="F790" i="2" s="1"/>
  <c r="G790" i="2"/>
  <c r="F791" i="2" a="1"/>
  <c r="F791" i="2" s="1"/>
  <c r="G791" i="2"/>
  <c r="F792" i="2" a="1"/>
  <c r="F792" i="2" s="1"/>
  <c r="G792" i="2"/>
  <c r="F793" i="2" a="1"/>
  <c r="F793" i="2" s="1"/>
  <c r="G793" i="2"/>
  <c r="F794" i="2" a="1"/>
  <c r="F794" i="2" s="1"/>
  <c r="G794" i="2"/>
  <c r="F795" i="2" a="1"/>
  <c r="F795" i="2" s="1"/>
  <c r="G795" i="2"/>
  <c r="F796" i="2" a="1"/>
  <c r="F796" i="2" s="1"/>
  <c r="G796" i="2"/>
  <c r="F797" i="2" a="1"/>
  <c r="F797" i="2" s="1"/>
  <c r="G797" i="2"/>
  <c r="F798" i="2" a="1"/>
  <c r="F798" i="2" s="1"/>
  <c r="G798" i="2"/>
  <c r="F799" i="2" a="1"/>
  <c r="F799" i="2" s="1"/>
  <c r="G799" i="2"/>
  <c r="F800" i="2" a="1"/>
  <c r="F800" i="2" s="1"/>
  <c r="G800" i="2"/>
  <c r="F801" i="2" a="1"/>
  <c r="F801" i="2" s="1"/>
  <c r="G801" i="2"/>
  <c r="F802" i="2" a="1"/>
  <c r="F802" i="2" s="1"/>
  <c r="G802" i="2"/>
  <c r="F803" i="2" a="1"/>
  <c r="F803" i="2" s="1"/>
  <c r="G803" i="2"/>
  <c r="F804" i="2" a="1"/>
  <c r="F804" i="2" s="1"/>
  <c r="G804" i="2"/>
  <c r="F805" i="2" a="1"/>
  <c r="F805" i="2" s="1"/>
  <c r="G805" i="2"/>
  <c r="F806" i="2" a="1"/>
  <c r="F806" i="2" s="1"/>
  <c r="G806" i="2"/>
  <c r="F807" i="2" a="1"/>
  <c r="F807" i="2" s="1"/>
  <c r="G807" i="2"/>
  <c r="F808" i="2" a="1"/>
  <c r="F808" i="2" s="1"/>
  <c r="G808" i="2"/>
  <c r="F809" i="2" a="1"/>
  <c r="F809" i="2" s="1"/>
  <c r="G809" i="2"/>
  <c r="F810" i="2" a="1"/>
  <c r="F810" i="2" s="1"/>
  <c r="G810" i="2"/>
  <c r="F811" i="2" a="1"/>
  <c r="F811" i="2" s="1"/>
  <c r="G811" i="2"/>
  <c r="F812" i="2" a="1"/>
  <c r="F812" i="2" s="1"/>
  <c r="G812" i="2"/>
  <c r="F813" i="2" a="1"/>
  <c r="F813" i="2" s="1"/>
  <c r="G813" i="2"/>
  <c r="F814" i="2" a="1"/>
  <c r="F814" i="2" s="1"/>
  <c r="G814" i="2"/>
  <c r="F815" i="2" a="1"/>
  <c r="F815" i="2" s="1"/>
  <c r="G815" i="2"/>
  <c r="F816" i="2" a="1"/>
  <c r="F816" i="2" s="1"/>
  <c r="G816" i="2"/>
  <c r="F817" i="2" a="1"/>
  <c r="F817" i="2" s="1"/>
  <c r="G817" i="2"/>
  <c r="F818" i="2" a="1"/>
  <c r="F818" i="2" s="1"/>
  <c r="G818" i="2"/>
  <c r="F819" i="2" a="1"/>
  <c r="F819" i="2" s="1"/>
  <c r="G819" i="2"/>
  <c r="F820" i="2" a="1"/>
  <c r="F820" i="2" s="1"/>
  <c r="G820" i="2"/>
  <c r="F821" i="2" a="1"/>
  <c r="F821" i="2" s="1"/>
  <c r="G821" i="2"/>
  <c r="F822" i="2" a="1"/>
  <c r="F822" i="2" s="1"/>
  <c r="G822" i="2"/>
  <c r="F823" i="2" a="1"/>
  <c r="F823" i="2" s="1"/>
  <c r="G823" i="2"/>
  <c r="F824" i="2" a="1"/>
  <c r="F824" i="2" s="1"/>
  <c r="G824" i="2"/>
  <c r="F825" i="2" a="1"/>
  <c r="F825" i="2" s="1"/>
  <c r="G825" i="2"/>
  <c r="F826" i="2" a="1"/>
  <c r="F826" i="2" s="1"/>
  <c r="G826" i="2"/>
  <c r="F827" i="2" a="1"/>
  <c r="F827" i="2" s="1"/>
  <c r="G827" i="2"/>
  <c r="F828" i="2" a="1"/>
  <c r="F828" i="2" s="1"/>
  <c r="G828" i="2"/>
  <c r="F829" i="2" a="1"/>
  <c r="F829" i="2" s="1"/>
  <c r="G829" i="2"/>
  <c r="F830" i="2" a="1"/>
  <c r="F830" i="2" s="1"/>
  <c r="G830" i="2"/>
  <c r="F831" i="2" a="1"/>
  <c r="F831" i="2" s="1"/>
  <c r="G831" i="2"/>
  <c r="F832" i="2" a="1"/>
  <c r="F832" i="2" s="1"/>
  <c r="G832" i="2"/>
  <c r="F833" i="2" a="1"/>
  <c r="F833" i="2" s="1"/>
  <c r="G833" i="2"/>
  <c r="F834" i="2" a="1"/>
  <c r="F834" i="2" s="1"/>
  <c r="G834" i="2"/>
  <c r="F835" i="2" a="1"/>
  <c r="F835" i="2" s="1"/>
  <c r="G835" i="2"/>
  <c r="F836" i="2" a="1"/>
  <c r="F836" i="2" s="1"/>
  <c r="G836" i="2"/>
  <c r="F837" i="2" a="1"/>
  <c r="F837" i="2" s="1"/>
  <c r="G837" i="2"/>
  <c r="F838" i="2" a="1"/>
  <c r="F838" i="2" s="1"/>
  <c r="G838" i="2"/>
  <c r="F839" i="2" a="1"/>
  <c r="F839" i="2" s="1"/>
  <c r="G839" i="2"/>
  <c r="F840" i="2" a="1"/>
  <c r="F840" i="2" s="1"/>
  <c r="G840" i="2"/>
  <c r="F841" i="2" a="1"/>
  <c r="F841" i="2" s="1"/>
  <c r="G841" i="2"/>
  <c r="F842" i="2" a="1"/>
  <c r="F842" i="2" s="1"/>
  <c r="G842" i="2"/>
  <c r="F843" i="2" a="1"/>
  <c r="F843" i="2" s="1"/>
  <c r="G843" i="2"/>
  <c r="F844" i="2" a="1"/>
  <c r="F844" i="2" s="1"/>
  <c r="G844" i="2"/>
  <c r="F845" i="2" a="1"/>
  <c r="F845" i="2" s="1"/>
  <c r="G845" i="2"/>
  <c r="F846" i="2" a="1"/>
  <c r="F846" i="2" s="1"/>
  <c r="G846" i="2"/>
  <c r="F847" i="2" a="1"/>
  <c r="F847" i="2" s="1"/>
  <c r="G847" i="2"/>
  <c r="F848" i="2" a="1"/>
  <c r="F848" i="2" s="1"/>
  <c r="G848" i="2"/>
  <c r="F849" i="2" a="1"/>
  <c r="F849" i="2" s="1"/>
  <c r="G849" i="2"/>
  <c r="F850" i="2" a="1"/>
  <c r="F850" i="2" s="1"/>
  <c r="G850" i="2"/>
  <c r="F851" i="2" a="1"/>
  <c r="F851" i="2" s="1"/>
  <c r="G851" i="2"/>
  <c r="F852" i="2" a="1"/>
  <c r="F852" i="2" s="1"/>
  <c r="G852" i="2"/>
  <c r="F853" i="2" a="1"/>
  <c r="F853" i="2" s="1"/>
  <c r="G853" i="2"/>
  <c r="F854" i="2" a="1"/>
  <c r="F854" i="2" s="1"/>
  <c r="G854" i="2"/>
  <c r="F855" i="2" a="1"/>
  <c r="F855" i="2" s="1"/>
  <c r="G855" i="2"/>
  <c r="F856" i="2" a="1"/>
  <c r="F856" i="2" s="1"/>
  <c r="G856" i="2"/>
  <c r="F857" i="2" a="1"/>
  <c r="F857" i="2" s="1"/>
  <c r="G857" i="2"/>
  <c r="F858" i="2" a="1"/>
  <c r="F858" i="2" s="1"/>
  <c r="G858" i="2"/>
  <c r="F859" i="2" a="1"/>
  <c r="F859" i="2" s="1"/>
  <c r="G859" i="2"/>
  <c r="F860" i="2" a="1"/>
  <c r="F860" i="2" s="1"/>
  <c r="G860" i="2"/>
  <c r="F861" i="2" a="1"/>
  <c r="F861" i="2" s="1"/>
  <c r="G861" i="2"/>
  <c r="F862" i="2" a="1"/>
  <c r="F862" i="2" s="1"/>
  <c r="G862" i="2"/>
  <c r="F863" i="2" a="1"/>
  <c r="F863" i="2" s="1"/>
  <c r="G863" i="2"/>
  <c r="F864" i="2" a="1"/>
  <c r="F864" i="2" s="1"/>
  <c r="G864" i="2"/>
  <c r="F865" i="2" a="1"/>
  <c r="F865" i="2" s="1"/>
  <c r="G865" i="2"/>
  <c r="F866" i="2" a="1"/>
  <c r="F866" i="2" s="1"/>
  <c r="G866" i="2"/>
  <c r="F867" i="2" a="1"/>
  <c r="F867" i="2" s="1"/>
  <c r="G867" i="2"/>
  <c r="F868" i="2" a="1"/>
  <c r="F868" i="2" s="1"/>
  <c r="G868" i="2"/>
  <c r="F869" i="2" a="1"/>
  <c r="F869" i="2" s="1"/>
  <c r="G869" i="2"/>
  <c r="F870" i="2" a="1"/>
  <c r="F870" i="2" s="1"/>
  <c r="G870" i="2"/>
  <c r="F871" i="2" a="1"/>
  <c r="F871" i="2" s="1"/>
  <c r="G871" i="2"/>
  <c r="F872" i="2" a="1"/>
  <c r="F872" i="2" s="1"/>
  <c r="G872" i="2"/>
  <c r="F873" i="2" a="1"/>
  <c r="F873" i="2" s="1"/>
  <c r="G873" i="2"/>
  <c r="F874" i="2" a="1"/>
  <c r="F874" i="2" s="1"/>
  <c r="G874" i="2"/>
  <c r="F875" i="2" a="1"/>
  <c r="F875" i="2" s="1"/>
  <c r="G875" i="2"/>
  <c r="F876" i="2" a="1"/>
  <c r="F876" i="2" s="1"/>
  <c r="G876" i="2"/>
  <c r="F877" i="2" a="1"/>
  <c r="F877" i="2" s="1"/>
  <c r="G877" i="2"/>
  <c r="F878" i="2" a="1"/>
  <c r="F878" i="2" s="1"/>
  <c r="G878" i="2"/>
  <c r="F879" i="2" a="1"/>
  <c r="F879" i="2" s="1"/>
  <c r="G879" i="2"/>
  <c r="F880" i="2" a="1"/>
  <c r="F880" i="2" s="1"/>
  <c r="G880" i="2"/>
  <c r="F881" i="2" a="1"/>
  <c r="F881" i="2" s="1"/>
  <c r="G881" i="2"/>
  <c r="F882" i="2" a="1"/>
  <c r="F882" i="2" s="1"/>
  <c r="G882" i="2"/>
  <c r="F883" i="2" a="1"/>
  <c r="F883" i="2" s="1"/>
  <c r="G883" i="2"/>
  <c r="F884" i="2" a="1"/>
  <c r="F884" i="2" s="1"/>
  <c r="G884" i="2"/>
  <c r="F885" i="2" a="1"/>
  <c r="F885" i="2" s="1"/>
  <c r="G885" i="2"/>
  <c r="F886" i="2" a="1"/>
  <c r="F886" i="2" s="1"/>
  <c r="G886" i="2"/>
  <c r="F887" i="2" a="1"/>
  <c r="F887" i="2" s="1"/>
  <c r="G887" i="2"/>
  <c r="F888" i="2" a="1"/>
  <c r="F888" i="2" s="1"/>
  <c r="G888" i="2"/>
  <c r="F889" i="2" a="1"/>
  <c r="F889" i="2" s="1"/>
  <c r="G889" i="2"/>
  <c r="F890" i="2" a="1"/>
  <c r="F890" i="2" s="1"/>
  <c r="G890" i="2"/>
  <c r="F891" i="2" a="1"/>
  <c r="F891" i="2" s="1"/>
  <c r="G891" i="2"/>
  <c r="F892" i="2" a="1"/>
  <c r="F892" i="2" s="1"/>
  <c r="G892" i="2"/>
  <c r="F893" i="2" a="1"/>
  <c r="F893" i="2" s="1"/>
  <c r="G893" i="2"/>
  <c r="F894" i="2" a="1"/>
  <c r="F894" i="2" s="1"/>
  <c r="G894" i="2"/>
  <c r="F895" i="2" a="1"/>
  <c r="F895" i="2" s="1"/>
  <c r="G895" i="2"/>
  <c r="F896" i="2" a="1"/>
  <c r="F896" i="2" s="1"/>
  <c r="G896" i="2"/>
  <c r="F897" i="2" a="1"/>
  <c r="F897" i="2" s="1"/>
  <c r="G897" i="2"/>
  <c r="F898" i="2" a="1"/>
  <c r="F898" i="2" s="1"/>
  <c r="G898" i="2"/>
  <c r="F899" i="2" a="1"/>
  <c r="F899" i="2" s="1"/>
  <c r="G899" i="2"/>
  <c r="F900" i="2" a="1"/>
  <c r="F900" i="2" s="1"/>
  <c r="G900" i="2"/>
  <c r="F901" i="2" a="1"/>
  <c r="F901" i="2" s="1"/>
  <c r="G901" i="2"/>
  <c r="F902" i="2" a="1"/>
  <c r="F902" i="2" s="1"/>
  <c r="G902" i="2"/>
  <c r="F903" i="2" a="1"/>
  <c r="F903" i="2" s="1"/>
  <c r="G903" i="2"/>
  <c r="F904" i="2" a="1"/>
  <c r="F904" i="2" s="1"/>
  <c r="G904" i="2"/>
  <c r="F905" i="2" a="1"/>
  <c r="F905" i="2" s="1"/>
  <c r="G905" i="2"/>
  <c r="F906" i="2" a="1"/>
  <c r="F906" i="2" s="1"/>
  <c r="G906" i="2"/>
  <c r="F907" i="2" a="1"/>
  <c r="F907" i="2" s="1"/>
  <c r="G907" i="2"/>
  <c r="F908" i="2" a="1"/>
  <c r="F908" i="2" s="1"/>
  <c r="G908" i="2"/>
  <c r="F909" i="2" a="1"/>
  <c r="F909" i="2" s="1"/>
  <c r="G909" i="2"/>
  <c r="F910" i="2" a="1"/>
  <c r="F910" i="2" s="1"/>
  <c r="G910" i="2"/>
  <c r="F911" i="2" a="1"/>
  <c r="F911" i="2" s="1"/>
  <c r="G911" i="2"/>
  <c r="F912" i="2" a="1"/>
  <c r="F912" i="2" s="1"/>
  <c r="G912" i="2"/>
  <c r="F913" i="2" a="1"/>
  <c r="F913" i="2" s="1"/>
  <c r="G913" i="2"/>
  <c r="F914" i="2" a="1"/>
  <c r="F914" i="2" s="1"/>
  <c r="G914" i="2"/>
  <c r="F915" i="2" a="1"/>
  <c r="F915" i="2" s="1"/>
  <c r="G915" i="2"/>
  <c r="F916" i="2" a="1"/>
  <c r="F916" i="2" s="1"/>
  <c r="G916" i="2"/>
  <c r="F917" i="2" a="1"/>
  <c r="F917" i="2" s="1"/>
  <c r="G917" i="2"/>
  <c r="F918" i="2" a="1"/>
  <c r="F918" i="2" s="1"/>
  <c r="G918" i="2"/>
  <c r="F919" i="2" a="1"/>
  <c r="F919" i="2" s="1"/>
  <c r="G919" i="2"/>
  <c r="F920" i="2" a="1"/>
  <c r="F920" i="2" s="1"/>
  <c r="G920" i="2"/>
  <c r="F921" i="2" a="1"/>
  <c r="F921" i="2" s="1"/>
  <c r="G921" i="2"/>
  <c r="F922" i="2" a="1"/>
  <c r="F922" i="2" s="1"/>
  <c r="G922" i="2"/>
  <c r="F923" i="2" a="1"/>
  <c r="F923" i="2" s="1"/>
  <c r="G923" i="2"/>
  <c r="F924" i="2" a="1"/>
  <c r="F924" i="2" s="1"/>
  <c r="G924" i="2"/>
  <c r="F925" i="2" a="1"/>
  <c r="F925" i="2" s="1"/>
  <c r="G925" i="2"/>
  <c r="F926" i="2" a="1"/>
  <c r="F926" i="2" s="1"/>
  <c r="G926" i="2"/>
  <c r="F927" i="2" a="1"/>
  <c r="F927" i="2" s="1"/>
  <c r="G927" i="2"/>
  <c r="F928" i="2" a="1"/>
  <c r="F928" i="2" s="1"/>
  <c r="G928" i="2"/>
  <c r="F929" i="2" a="1"/>
  <c r="F929" i="2" s="1"/>
  <c r="G929" i="2"/>
  <c r="F930" i="2" a="1"/>
  <c r="F930" i="2" s="1"/>
  <c r="G930" i="2"/>
  <c r="F931" i="2" a="1"/>
  <c r="F931" i="2" s="1"/>
  <c r="G931" i="2"/>
  <c r="F932" i="2" a="1"/>
  <c r="F932" i="2" s="1"/>
  <c r="G932" i="2"/>
  <c r="F933" i="2" a="1"/>
  <c r="F933" i="2" s="1"/>
  <c r="G933" i="2"/>
  <c r="F934" i="2" a="1"/>
  <c r="F934" i="2" s="1"/>
  <c r="G934" i="2"/>
  <c r="F935" i="2" a="1"/>
  <c r="F935" i="2" s="1"/>
  <c r="G935" i="2"/>
  <c r="F936" i="2" a="1"/>
  <c r="F936" i="2" s="1"/>
  <c r="G936" i="2"/>
  <c r="F937" i="2" a="1"/>
  <c r="F937" i="2" s="1"/>
  <c r="G937" i="2"/>
  <c r="F938" i="2" a="1"/>
  <c r="F938" i="2" s="1"/>
  <c r="G938" i="2"/>
  <c r="F939" i="2" a="1"/>
  <c r="F939" i="2" s="1"/>
  <c r="G939" i="2"/>
  <c r="F940" i="2" a="1"/>
  <c r="F940" i="2" s="1"/>
  <c r="G940" i="2"/>
  <c r="F941" i="2" a="1"/>
  <c r="F941" i="2" s="1"/>
  <c r="G941" i="2"/>
  <c r="F942" i="2" a="1"/>
  <c r="F942" i="2" s="1"/>
  <c r="G942" i="2"/>
  <c r="F943" i="2" a="1"/>
  <c r="F943" i="2" s="1"/>
  <c r="G943" i="2"/>
  <c r="F944" i="2" a="1"/>
  <c r="F944" i="2" s="1"/>
  <c r="G944" i="2"/>
  <c r="F945" i="2" a="1"/>
  <c r="F945" i="2" s="1"/>
  <c r="G945" i="2"/>
  <c r="F946" i="2" a="1"/>
  <c r="F946" i="2" s="1"/>
  <c r="G946" i="2"/>
  <c r="F947" i="2" a="1"/>
  <c r="F947" i="2" s="1"/>
  <c r="G947" i="2"/>
  <c r="F948" i="2" a="1"/>
  <c r="F948" i="2" s="1"/>
  <c r="G948" i="2"/>
  <c r="F949" i="2" a="1"/>
  <c r="F949" i="2" s="1"/>
  <c r="G949" i="2"/>
  <c r="F950" i="2" a="1"/>
  <c r="F950" i="2" s="1"/>
  <c r="G950" i="2"/>
  <c r="F951" i="2" a="1"/>
  <c r="F951" i="2" s="1"/>
  <c r="G951" i="2"/>
  <c r="F952" i="2" a="1"/>
  <c r="F952" i="2" s="1"/>
  <c r="G952" i="2"/>
  <c r="F953" i="2" a="1"/>
  <c r="F953" i="2" s="1"/>
  <c r="G953" i="2"/>
  <c r="F954" i="2" a="1"/>
  <c r="F954" i="2" s="1"/>
  <c r="G954" i="2"/>
  <c r="F955" i="2" a="1"/>
  <c r="F955" i="2" s="1"/>
  <c r="G955" i="2"/>
  <c r="F956" i="2" a="1"/>
  <c r="F956" i="2" s="1"/>
  <c r="G956" i="2"/>
  <c r="F957" i="2" a="1"/>
  <c r="F957" i="2" s="1"/>
  <c r="G957" i="2"/>
  <c r="F958" i="2" a="1"/>
  <c r="F958" i="2" s="1"/>
  <c r="G958" i="2"/>
  <c r="F959" i="2" a="1"/>
  <c r="F959" i="2" s="1"/>
  <c r="G959" i="2"/>
  <c r="F960" i="2" a="1"/>
  <c r="F960" i="2" s="1"/>
  <c r="G960" i="2"/>
  <c r="F961" i="2" a="1"/>
  <c r="F961" i="2" s="1"/>
  <c r="G961" i="2"/>
  <c r="F962" i="2" a="1"/>
  <c r="F962" i="2" s="1"/>
  <c r="G962" i="2"/>
  <c r="F963" i="2" a="1"/>
  <c r="F963" i="2" s="1"/>
  <c r="G963" i="2"/>
  <c r="F964" i="2" a="1"/>
  <c r="F964" i="2" s="1"/>
  <c r="G964" i="2"/>
  <c r="F965" i="2" a="1"/>
  <c r="F965" i="2" s="1"/>
  <c r="G965" i="2"/>
  <c r="F966" i="2" a="1"/>
  <c r="F966" i="2" s="1"/>
  <c r="G966" i="2"/>
  <c r="F967" i="2" a="1"/>
  <c r="F967" i="2" s="1"/>
  <c r="G967" i="2"/>
  <c r="F968" i="2" a="1"/>
  <c r="F968" i="2" s="1"/>
  <c r="G968" i="2"/>
  <c r="F969" i="2" a="1"/>
  <c r="F969" i="2" s="1"/>
  <c r="G969" i="2"/>
  <c r="F970" i="2" a="1"/>
  <c r="F970" i="2" s="1"/>
  <c r="G970" i="2"/>
  <c r="F971" i="2" a="1"/>
  <c r="F971" i="2" s="1"/>
  <c r="G971" i="2"/>
  <c r="F972" i="2" a="1"/>
  <c r="F972" i="2" s="1"/>
  <c r="G972" i="2"/>
  <c r="F973" i="2" a="1"/>
  <c r="F973" i="2" s="1"/>
  <c r="G973" i="2"/>
  <c r="F974" i="2" a="1"/>
  <c r="F974" i="2" s="1"/>
  <c r="G974" i="2"/>
  <c r="F975" i="2" a="1"/>
  <c r="F975" i="2" s="1"/>
  <c r="G975" i="2"/>
  <c r="F976" i="2" a="1"/>
  <c r="F976" i="2" s="1"/>
  <c r="G976" i="2"/>
  <c r="F977" i="2" a="1"/>
  <c r="F977" i="2" s="1"/>
  <c r="G977" i="2"/>
  <c r="F978" i="2" a="1"/>
  <c r="F978" i="2" s="1"/>
  <c r="G978" i="2"/>
  <c r="F979" i="2" a="1"/>
  <c r="F979" i="2" s="1"/>
  <c r="G979" i="2"/>
  <c r="F980" i="2" a="1"/>
  <c r="F980" i="2" s="1"/>
  <c r="G980" i="2"/>
  <c r="F981" i="2" a="1"/>
  <c r="F981" i="2" s="1"/>
  <c r="G981" i="2"/>
  <c r="F982" i="2" a="1"/>
  <c r="F982" i="2" s="1"/>
  <c r="G982" i="2"/>
  <c r="F983" i="2" a="1"/>
  <c r="F983" i="2" s="1"/>
  <c r="G983" i="2"/>
  <c r="F984" i="2" a="1"/>
  <c r="F984" i="2" s="1"/>
  <c r="G984" i="2"/>
  <c r="F985" i="2" a="1"/>
  <c r="F985" i="2" s="1"/>
  <c r="G985" i="2"/>
  <c r="F986" i="2" a="1"/>
  <c r="F986" i="2" s="1"/>
  <c r="G986" i="2"/>
  <c r="F987" i="2" a="1"/>
  <c r="F987" i="2" s="1"/>
  <c r="G987" i="2"/>
  <c r="F988" i="2" a="1"/>
  <c r="F988" i="2" s="1"/>
  <c r="G988" i="2"/>
  <c r="F989" i="2" a="1"/>
  <c r="F989" i="2" s="1"/>
  <c r="G989" i="2"/>
  <c r="F990" i="2" a="1"/>
  <c r="F990" i="2" s="1"/>
  <c r="G990" i="2"/>
  <c r="F991" i="2" a="1"/>
  <c r="F991" i="2" s="1"/>
  <c r="G991" i="2"/>
  <c r="F992" i="2" a="1"/>
  <c r="F992" i="2" s="1"/>
  <c r="G992" i="2"/>
  <c r="F993" i="2" a="1"/>
  <c r="F993" i="2" s="1"/>
  <c r="G993" i="2"/>
  <c r="F994" i="2" a="1"/>
  <c r="F994" i="2" s="1"/>
  <c r="G994" i="2"/>
  <c r="F995" i="2" a="1"/>
  <c r="F995" i="2" s="1"/>
  <c r="G995" i="2"/>
  <c r="F996" i="2" a="1"/>
  <c r="F996" i="2" s="1"/>
  <c r="G996" i="2"/>
  <c r="F997" i="2" a="1"/>
  <c r="F997" i="2" s="1"/>
  <c r="G997" i="2"/>
  <c r="F998" i="2" a="1"/>
  <c r="F998" i="2" s="1"/>
  <c r="G998" i="2"/>
  <c r="F999" i="2" a="1"/>
  <c r="F999" i="2" s="1"/>
  <c r="G999" i="2"/>
  <c r="F1000" i="2" a="1"/>
  <c r="F1000" i="2" s="1"/>
  <c r="G1000" i="2"/>
  <c r="F1001" i="2" a="1"/>
  <c r="F1001" i="2" s="1"/>
  <c r="G1001" i="2"/>
  <c r="F1002" i="2" a="1"/>
  <c r="F1002" i="2" s="1"/>
  <c r="G1002" i="2"/>
  <c r="F1003" i="2" a="1"/>
  <c r="F1003" i="2" s="1"/>
  <c r="G1003" i="2"/>
  <c r="F1004" i="2" a="1"/>
  <c r="F1004" i="2" s="1"/>
  <c r="G1004" i="2"/>
  <c r="F1005" i="2" a="1"/>
  <c r="F1005" i="2" s="1"/>
  <c r="G1005" i="2"/>
  <c r="F1006" i="2" a="1"/>
  <c r="F1006" i="2" s="1"/>
  <c r="G1006" i="2"/>
  <c r="F1007" i="2" a="1"/>
  <c r="F1007" i="2" s="1"/>
  <c r="G1007" i="2"/>
  <c r="F1008" i="2" a="1"/>
  <c r="F1008" i="2" s="1"/>
  <c r="G1008" i="2"/>
  <c r="F1009" i="2" a="1"/>
  <c r="F1009" i="2" s="1"/>
  <c r="G1009" i="2"/>
  <c r="F1010" i="2" a="1"/>
  <c r="F1010" i="2" s="1"/>
  <c r="G1010" i="2"/>
  <c r="F1011" i="2" a="1"/>
  <c r="F1011" i="2" s="1"/>
  <c r="G1011" i="2"/>
  <c r="F1012" i="2" a="1"/>
  <c r="F1012" i="2" s="1"/>
  <c r="G1012" i="2"/>
  <c r="F1013" i="2" a="1"/>
  <c r="F1013" i="2" s="1"/>
  <c r="G1013" i="2"/>
  <c r="F1014" i="2" a="1"/>
  <c r="F1014" i="2" s="1"/>
  <c r="G1014" i="2"/>
  <c r="F1015" i="2" a="1"/>
  <c r="F1015" i="2" s="1"/>
  <c r="G1015" i="2"/>
  <c r="F1016" i="2" a="1"/>
  <c r="F1016" i="2" s="1"/>
  <c r="G1016" i="2"/>
  <c r="F1017" i="2" a="1"/>
  <c r="F1017" i="2" s="1"/>
  <c r="G1017" i="2"/>
  <c r="F1018" i="2" a="1"/>
  <c r="F1018" i="2" s="1"/>
  <c r="G1018" i="2"/>
  <c r="F1019" i="2" a="1"/>
  <c r="F1019" i="2" s="1"/>
  <c r="G1019" i="2"/>
  <c r="F1020" i="2" a="1"/>
  <c r="F1020" i="2" s="1"/>
  <c r="G1020" i="2"/>
  <c r="F1021" i="2" a="1"/>
  <c r="F1021" i="2" s="1"/>
  <c r="G1021" i="2"/>
  <c r="F1022" i="2" a="1"/>
  <c r="F1022" i="2" s="1"/>
  <c r="G1022" i="2"/>
  <c r="F1023" i="2" a="1"/>
  <c r="F1023" i="2" s="1"/>
  <c r="G1023" i="2"/>
  <c r="F1024" i="2" a="1"/>
  <c r="F1024" i="2" s="1"/>
  <c r="G1024" i="2"/>
  <c r="F1025" i="2" a="1"/>
  <c r="F1025" i="2" s="1"/>
  <c r="G1025" i="2"/>
  <c r="F1026" i="2" a="1"/>
  <c r="F1026" i="2" s="1"/>
  <c r="G1026" i="2"/>
  <c r="F1027" i="2" a="1"/>
  <c r="F1027" i="2" s="1"/>
  <c r="G1027" i="2"/>
  <c r="F1028" i="2" a="1"/>
  <c r="F1028" i="2" s="1"/>
  <c r="G1028" i="2"/>
  <c r="F1029" i="2" a="1"/>
  <c r="F1029" i="2" s="1"/>
  <c r="G1029" i="2"/>
  <c r="F1030" i="2" a="1"/>
  <c r="F1030" i="2" s="1"/>
  <c r="G1030" i="2"/>
  <c r="F1031" i="2" a="1"/>
  <c r="F1031" i="2" s="1"/>
  <c r="G1031" i="2"/>
  <c r="F1032" i="2" a="1"/>
  <c r="F1032" i="2" s="1"/>
  <c r="G1032" i="2"/>
  <c r="F1033" i="2" a="1"/>
  <c r="F1033" i="2" s="1"/>
  <c r="G1033" i="2"/>
  <c r="F1034" i="2" a="1"/>
  <c r="F1034" i="2" s="1"/>
  <c r="G1034" i="2"/>
  <c r="F1035" i="2" a="1"/>
  <c r="F1035" i="2" s="1"/>
  <c r="G1035" i="2"/>
  <c r="F1036" i="2" a="1"/>
  <c r="F1036" i="2" s="1"/>
  <c r="G1036" i="2"/>
  <c r="F1037" i="2" a="1"/>
  <c r="F1037" i="2" s="1"/>
  <c r="G1037" i="2"/>
  <c r="F1038" i="2" a="1"/>
  <c r="F1038" i="2" s="1"/>
  <c r="G1038" i="2"/>
  <c r="F1039" i="2" a="1"/>
  <c r="F1039" i="2" s="1"/>
  <c r="G1039" i="2"/>
  <c r="F1040" i="2" a="1"/>
  <c r="F1040" i="2" s="1"/>
  <c r="G1040" i="2"/>
  <c r="F1041" i="2" a="1"/>
  <c r="F1041" i="2" s="1"/>
  <c r="G1041" i="2"/>
  <c r="F1042" i="2" a="1"/>
  <c r="F1042" i="2" s="1"/>
  <c r="G1042" i="2"/>
  <c r="F1043" i="2" a="1"/>
  <c r="F1043" i="2" s="1"/>
  <c r="G1043" i="2"/>
  <c r="F1044" i="2" a="1"/>
  <c r="F1044" i="2" s="1"/>
  <c r="G1044" i="2"/>
  <c r="F1045" i="2" a="1"/>
  <c r="F1045" i="2" s="1"/>
  <c r="G1045" i="2"/>
  <c r="F1046" i="2" a="1"/>
  <c r="F1046" i="2" s="1"/>
  <c r="G1046" i="2"/>
  <c r="F1047" i="2" a="1"/>
  <c r="F1047" i="2" s="1"/>
  <c r="G1047" i="2"/>
  <c r="F1048" i="2" a="1"/>
  <c r="F1048" i="2" s="1"/>
  <c r="G1048" i="2"/>
  <c r="F1049" i="2" a="1"/>
  <c r="F1049" i="2" s="1"/>
  <c r="G1049" i="2"/>
  <c r="F1050" i="2" a="1"/>
  <c r="F1050" i="2" s="1"/>
  <c r="G1050" i="2"/>
  <c r="F1051" i="2" a="1"/>
  <c r="F1051" i="2" s="1"/>
  <c r="G1051" i="2"/>
  <c r="F1052" i="2" a="1"/>
  <c r="F1052" i="2" s="1"/>
  <c r="G1052" i="2"/>
  <c r="F1053" i="2" a="1"/>
  <c r="F1053" i="2" s="1"/>
  <c r="G1053" i="2"/>
  <c r="F1054" i="2" a="1"/>
  <c r="F1054" i="2" s="1"/>
  <c r="G1054" i="2"/>
  <c r="F1055" i="2" a="1"/>
  <c r="F1055" i="2" s="1"/>
  <c r="G1055" i="2"/>
  <c r="F1056" i="2" a="1"/>
  <c r="F1056" i="2" s="1"/>
  <c r="G1056" i="2"/>
  <c r="F1057" i="2" a="1"/>
  <c r="F1057" i="2" s="1"/>
  <c r="G1057" i="2"/>
  <c r="F1058" i="2" a="1"/>
  <c r="F1058" i="2" s="1"/>
  <c r="G1058" i="2"/>
  <c r="F1059" i="2" a="1"/>
  <c r="F1059" i="2" s="1"/>
  <c r="G1059" i="2"/>
  <c r="F1060" i="2" a="1"/>
  <c r="F1060" i="2" s="1"/>
  <c r="G1060" i="2"/>
  <c r="F1061" i="2" a="1"/>
  <c r="F1061" i="2" s="1"/>
  <c r="G1061" i="2"/>
  <c r="F1062" i="2" a="1"/>
  <c r="F1062" i="2" s="1"/>
  <c r="G1062" i="2"/>
  <c r="F1063" i="2" a="1"/>
  <c r="F1063" i="2" s="1"/>
  <c r="G1063" i="2"/>
  <c r="F1064" i="2" a="1"/>
  <c r="F1064" i="2" s="1"/>
  <c r="G1064" i="2"/>
  <c r="F1065" i="2" a="1"/>
  <c r="F1065" i="2" s="1"/>
  <c r="G1065" i="2"/>
  <c r="F1066" i="2" a="1"/>
  <c r="F1066" i="2" s="1"/>
  <c r="G1066" i="2"/>
  <c r="F1067" i="2" a="1"/>
  <c r="F1067" i="2" s="1"/>
  <c r="G1067" i="2"/>
  <c r="F1068" i="2" a="1"/>
  <c r="F1068" i="2" s="1"/>
  <c r="G1068" i="2"/>
  <c r="F1069" i="2" a="1"/>
  <c r="F1069" i="2" s="1"/>
  <c r="G1069" i="2"/>
  <c r="F1070" i="2" a="1"/>
  <c r="F1070" i="2" s="1"/>
  <c r="G1070" i="2"/>
  <c r="F1071" i="2" a="1"/>
  <c r="F1071" i="2" s="1"/>
  <c r="G1071" i="2"/>
  <c r="F1072" i="2" a="1"/>
  <c r="F1072" i="2" s="1"/>
  <c r="G1072" i="2"/>
  <c r="F1073" i="2" a="1"/>
  <c r="F1073" i="2" s="1"/>
  <c r="G1073" i="2"/>
  <c r="F1074" i="2" a="1"/>
  <c r="F1074" i="2" s="1"/>
  <c r="G1074" i="2"/>
  <c r="F1075" i="2" a="1"/>
  <c r="F1075" i="2" s="1"/>
  <c r="G1075" i="2"/>
  <c r="F1076" i="2" a="1"/>
  <c r="F1076" i="2" s="1"/>
  <c r="G1076" i="2"/>
  <c r="F1077" i="2" a="1"/>
  <c r="F1077" i="2" s="1"/>
  <c r="G1077" i="2"/>
  <c r="F1078" i="2" a="1"/>
  <c r="F1078" i="2" s="1"/>
  <c r="G1078" i="2"/>
  <c r="F1079" i="2" a="1"/>
  <c r="F1079" i="2" s="1"/>
  <c r="G1079" i="2"/>
  <c r="F1080" i="2" a="1"/>
  <c r="F1080" i="2" s="1"/>
  <c r="G1080" i="2"/>
  <c r="F1081" i="2" a="1"/>
  <c r="F1081" i="2" s="1"/>
  <c r="G1081" i="2"/>
  <c r="F1082" i="2" a="1"/>
  <c r="F1082" i="2" s="1"/>
  <c r="G1082" i="2"/>
  <c r="F1083" i="2" a="1"/>
  <c r="F1083" i="2" s="1"/>
  <c r="G1083" i="2"/>
  <c r="F1084" i="2" a="1"/>
  <c r="F1084" i="2" s="1"/>
  <c r="G1084" i="2"/>
  <c r="F1085" i="2" a="1"/>
  <c r="F1085" i="2" s="1"/>
  <c r="G1085" i="2"/>
  <c r="F1086" i="2" a="1"/>
  <c r="F1086" i="2" s="1"/>
  <c r="G1086" i="2"/>
  <c r="F1087" i="2" a="1"/>
  <c r="F1087" i="2" s="1"/>
  <c r="G1087" i="2"/>
  <c r="F1088" i="2" a="1"/>
  <c r="F1088" i="2" s="1"/>
  <c r="G1088" i="2"/>
  <c r="F1089" i="2" a="1"/>
  <c r="F1089" i="2" s="1"/>
  <c r="G1089" i="2"/>
  <c r="F1090" i="2" a="1"/>
  <c r="F1090" i="2" s="1"/>
  <c r="G1090" i="2"/>
  <c r="F1091" i="2" a="1"/>
  <c r="F1091" i="2" s="1"/>
  <c r="G1091" i="2"/>
  <c r="F1092" i="2" a="1"/>
  <c r="F1092" i="2" s="1"/>
  <c r="G1092" i="2"/>
  <c r="F1093" i="2" a="1"/>
  <c r="F1093" i="2" s="1"/>
  <c r="G1093" i="2"/>
  <c r="F1094" i="2" a="1"/>
  <c r="F1094" i="2" s="1"/>
  <c r="G1094" i="2"/>
  <c r="F1095" i="2" a="1"/>
  <c r="F1095" i="2" s="1"/>
  <c r="G1095" i="2"/>
  <c r="F1096" i="2" a="1"/>
  <c r="F1096" i="2" s="1"/>
  <c r="G1096" i="2"/>
  <c r="F1097" i="2" a="1"/>
  <c r="F1097" i="2" s="1"/>
  <c r="G1097" i="2"/>
  <c r="F1098" i="2" a="1"/>
  <c r="F1098" i="2" s="1"/>
  <c r="G1098" i="2"/>
  <c r="F1099" i="2" a="1"/>
  <c r="F1099" i="2" s="1"/>
  <c r="G1099" i="2"/>
  <c r="F1100" i="2" a="1"/>
  <c r="F1100" i="2" s="1"/>
  <c r="G1100" i="2"/>
  <c r="F1101" i="2" a="1"/>
  <c r="F1101" i="2" s="1"/>
  <c r="G1101" i="2"/>
  <c r="F1102" i="2" a="1"/>
  <c r="F1102" i="2" s="1"/>
  <c r="G1102" i="2"/>
  <c r="F1103" i="2" a="1"/>
  <c r="F1103" i="2" s="1"/>
  <c r="G1103" i="2"/>
  <c r="F1104" i="2" a="1"/>
  <c r="F1104" i="2" s="1"/>
  <c r="G1104" i="2"/>
  <c r="F1105" i="2" a="1"/>
  <c r="F1105" i="2" s="1"/>
  <c r="G1105" i="2"/>
  <c r="F1106" i="2" a="1"/>
  <c r="F1106" i="2" s="1"/>
  <c r="G1106" i="2"/>
  <c r="F1107" i="2" a="1"/>
  <c r="F1107" i="2" s="1"/>
  <c r="G1107" i="2"/>
  <c r="F1108" i="2" a="1"/>
  <c r="F1108" i="2" s="1"/>
  <c r="G1108" i="2"/>
  <c r="F1109" i="2" a="1"/>
  <c r="F1109" i="2" s="1"/>
  <c r="G1109" i="2"/>
  <c r="F1110" i="2" a="1"/>
  <c r="F1110" i="2" s="1"/>
  <c r="G1110" i="2"/>
  <c r="F1111" i="2" a="1"/>
  <c r="F1111" i="2" s="1"/>
  <c r="G1111" i="2"/>
  <c r="F1112" i="2" a="1"/>
  <c r="F1112" i="2" s="1"/>
  <c r="G1112" i="2"/>
  <c r="F1113" i="2" a="1"/>
  <c r="F1113" i="2" s="1"/>
  <c r="G1113" i="2"/>
  <c r="F1114" i="2" a="1"/>
  <c r="F1114" i="2" s="1"/>
  <c r="G1114" i="2"/>
  <c r="F1115" i="2" a="1"/>
  <c r="F1115" i="2" s="1"/>
  <c r="G1115" i="2"/>
  <c r="F1116" i="2" a="1"/>
  <c r="F1116" i="2" s="1"/>
  <c r="G1116" i="2"/>
  <c r="F1117" i="2" a="1"/>
  <c r="F1117" i="2" s="1"/>
  <c r="G1117" i="2"/>
  <c r="F1118" i="2" a="1"/>
  <c r="F1118" i="2" s="1"/>
  <c r="G1118" i="2"/>
  <c r="F1119" i="2" a="1"/>
  <c r="F1119" i="2" s="1"/>
  <c r="G1119" i="2"/>
  <c r="F1120" i="2" a="1"/>
  <c r="F1120" i="2" s="1"/>
  <c r="G1120" i="2"/>
  <c r="F1121" i="2" a="1"/>
  <c r="F1121" i="2" s="1"/>
  <c r="G1121" i="2"/>
  <c r="F1122" i="2" a="1"/>
  <c r="F1122" i="2" s="1"/>
  <c r="G1122" i="2"/>
  <c r="F1123" i="2" a="1"/>
  <c r="F1123" i="2" s="1"/>
  <c r="G1123" i="2"/>
  <c r="F1124" i="2" a="1"/>
  <c r="F1124" i="2" s="1"/>
  <c r="G1124" i="2"/>
  <c r="F1125" i="2" a="1"/>
  <c r="F1125" i="2" s="1"/>
  <c r="G1125" i="2"/>
  <c r="F1126" i="2" a="1"/>
  <c r="F1126" i="2" s="1"/>
  <c r="G1126" i="2"/>
  <c r="F1127" i="2" a="1"/>
  <c r="F1127" i="2" s="1"/>
  <c r="G1127" i="2"/>
  <c r="F1128" i="2" a="1"/>
  <c r="F1128" i="2" s="1"/>
  <c r="G1128" i="2"/>
  <c r="F1129" i="2" a="1"/>
  <c r="F1129" i="2" s="1"/>
  <c r="G1129" i="2"/>
  <c r="F1130" i="2" a="1"/>
  <c r="F1130" i="2" s="1"/>
  <c r="G1130" i="2"/>
  <c r="F1131" i="2" a="1"/>
  <c r="F1131" i="2" s="1"/>
  <c r="G1131" i="2"/>
  <c r="F1132" i="2" a="1"/>
  <c r="F1132" i="2" s="1"/>
  <c r="G1132" i="2"/>
  <c r="F1133" i="2" a="1"/>
  <c r="F1133" i="2" s="1"/>
  <c r="G1133" i="2"/>
  <c r="F1134" i="2" a="1"/>
  <c r="F1134" i="2" s="1"/>
  <c r="G1134" i="2"/>
  <c r="F1135" i="2" a="1"/>
  <c r="F1135" i="2" s="1"/>
  <c r="G1135" i="2"/>
  <c r="F1136" i="2" a="1"/>
  <c r="F1136" i="2" s="1"/>
  <c r="G1136" i="2"/>
  <c r="F1137" i="2" a="1"/>
  <c r="F1137" i="2" s="1"/>
  <c r="G1137" i="2"/>
  <c r="F1138" i="2" a="1"/>
  <c r="F1138" i="2" s="1"/>
  <c r="G1138" i="2"/>
  <c r="F1139" i="2" a="1"/>
  <c r="F1139" i="2" s="1"/>
  <c r="G1139" i="2"/>
  <c r="F1140" i="2" a="1"/>
  <c r="F1140" i="2" s="1"/>
  <c r="G1140" i="2"/>
  <c r="F1141" i="2" a="1"/>
  <c r="F1141" i="2" s="1"/>
  <c r="G1141" i="2"/>
  <c r="F1142" i="2" a="1"/>
  <c r="F1142" i="2" s="1"/>
  <c r="G1142" i="2"/>
  <c r="F1143" i="2" a="1"/>
  <c r="F1143" i="2" s="1"/>
  <c r="G1143" i="2"/>
  <c r="F1144" i="2" a="1"/>
  <c r="F1144" i="2" s="1"/>
  <c r="G1144" i="2"/>
  <c r="F1145" i="2" a="1"/>
  <c r="F1145" i="2" s="1"/>
  <c r="G1145" i="2"/>
  <c r="F1146" i="2" a="1"/>
  <c r="F1146" i="2" s="1"/>
  <c r="G1146" i="2"/>
  <c r="F1147" i="2" a="1"/>
  <c r="F1147" i="2" s="1"/>
  <c r="G1147" i="2"/>
  <c r="F1148" i="2" a="1"/>
  <c r="F1148" i="2" s="1"/>
  <c r="G1148" i="2"/>
  <c r="F1149" i="2" a="1"/>
  <c r="F1149" i="2" s="1"/>
  <c r="G1149" i="2"/>
  <c r="F1150" i="2" a="1"/>
  <c r="F1150" i="2" s="1"/>
  <c r="G1150" i="2"/>
  <c r="F1151" i="2" a="1"/>
  <c r="F1151" i="2" s="1"/>
  <c r="G1151" i="2"/>
  <c r="F1152" i="2" a="1"/>
  <c r="F1152" i="2" s="1"/>
  <c r="G1152" i="2"/>
  <c r="F1153" i="2" a="1"/>
  <c r="F1153" i="2" s="1"/>
  <c r="G1153" i="2"/>
  <c r="F1154" i="2" a="1"/>
  <c r="F1154" i="2" s="1"/>
  <c r="G1154" i="2"/>
  <c r="F1155" i="2" a="1"/>
  <c r="F1155" i="2" s="1"/>
  <c r="G1155" i="2"/>
  <c r="F1156" i="2" a="1"/>
  <c r="F1156" i="2" s="1"/>
  <c r="G1156" i="2"/>
  <c r="F1157" i="2" a="1"/>
  <c r="F1157" i="2" s="1"/>
  <c r="G1157" i="2"/>
  <c r="F1158" i="2" a="1"/>
  <c r="F1158" i="2" s="1"/>
  <c r="G1158" i="2"/>
  <c r="F1159" i="2" a="1"/>
  <c r="F1159" i="2" s="1"/>
  <c r="G1159" i="2"/>
  <c r="F1160" i="2" a="1"/>
  <c r="F1160" i="2" s="1"/>
  <c r="G1160" i="2"/>
  <c r="F1161" i="2" a="1"/>
  <c r="F1161" i="2" s="1"/>
  <c r="G1161" i="2"/>
  <c r="F1162" i="2" a="1"/>
  <c r="F1162" i="2" s="1"/>
  <c r="G1162" i="2"/>
  <c r="F1163" i="2" a="1"/>
  <c r="F1163" i="2" s="1"/>
  <c r="G1163" i="2"/>
  <c r="F1164" i="2" a="1"/>
  <c r="F1164" i="2" s="1"/>
  <c r="G1164" i="2"/>
  <c r="F1165" i="2" a="1"/>
  <c r="F1165" i="2" s="1"/>
  <c r="G1165" i="2"/>
  <c r="F1166" i="2" a="1"/>
  <c r="F1166" i="2" s="1"/>
  <c r="G1166" i="2"/>
  <c r="F1167" i="2" a="1"/>
  <c r="F1167" i="2" s="1"/>
  <c r="G1167" i="2"/>
  <c r="F1168" i="2" a="1"/>
  <c r="F1168" i="2" s="1"/>
  <c r="G1168" i="2"/>
  <c r="F1169" i="2" a="1"/>
  <c r="F1169" i="2" s="1"/>
  <c r="G1169" i="2"/>
  <c r="F1170" i="2" a="1"/>
  <c r="F1170" i="2" s="1"/>
  <c r="G1170" i="2"/>
  <c r="F1171" i="2" a="1"/>
  <c r="F1171" i="2" s="1"/>
  <c r="G1171" i="2"/>
  <c r="F1172" i="2" a="1"/>
  <c r="F1172" i="2" s="1"/>
  <c r="G1172" i="2"/>
  <c r="F1173" i="2" a="1"/>
  <c r="F1173" i="2" s="1"/>
  <c r="G1173" i="2"/>
  <c r="F1174" i="2" a="1"/>
  <c r="F1174" i="2" s="1"/>
  <c r="G1174" i="2"/>
  <c r="F1175" i="2" a="1"/>
  <c r="F1175" i="2" s="1"/>
  <c r="G1175" i="2"/>
  <c r="F1176" i="2" a="1"/>
  <c r="F1176" i="2" s="1"/>
  <c r="G1176" i="2"/>
  <c r="F1177" i="2" a="1"/>
  <c r="F1177" i="2" s="1"/>
  <c r="G1177" i="2"/>
  <c r="F1178" i="2" a="1"/>
  <c r="F1178" i="2" s="1"/>
  <c r="G1178" i="2"/>
  <c r="F1179" i="2" a="1"/>
  <c r="F1179" i="2" s="1"/>
  <c r="G1179" i="2"/>
  <c r="F1180" i="2" a="1"/>
  <c r="F1180" i="2" s="1"/>
  <c r="G1180" i="2"/>
  <c r="F1181" i="2" a="1"/>
  <c r="F1181" i="2" s="1"/>
  <c r="G1181" i="2"/>
  <c r="F1182" i="2" a="1"/>
  <c r="F1182" i="2" s="1"/>
  <c r="G1182" i="2"/>
  <c r="F1183" i="2" a="1"/>
  <c r="F1183" i="2" s="1"/>
  <c r="G1183" i="2"/>
  <c r="F1184" i="2" a="1"/>
  <c r="F1184" i="2" s="1"/>
  <c r="G1184" i="2"/>
  <c r="F1185" i="2" a="1"/>
  <c r="F1185" i="2" s="1"/>
  <c r="G1185" i="2"/>
  <c r="F1186" i="2" a="1"/>
  <c r="F1186" i="2" s="1"/>
  <c r="G1186" i="2"/>
  <c r="F1187" i="2" a="1"/>
  <c r="F1187" i="2" s="1"/>
  <c r="G1187" i="2"/>
  <c r="F1188" i="2" a="1"/>
  <c r="F1188" i="2" s="1"/>
  <c r="G1188" i="2"/>
  <c r="F1189" i="2" a="1"/>
  <c r="F1189" i="2" s="1"/>
  <c r="G1189" i="2"/>
  <c r="F1190" i="2" a="1"/>
  <c r="F1190" i="2" s="1"/>
  <c r="G1190" i="2"/>
  <c r="F1191" i="2" a="1"/>
  <c r="F1191" i="2" s="1"/>
  <c r="G1191" i="2"/>
  <c r="F1192" i="2" a="1"/>
  <c r="F1192" i="2" s="1"/>
  <c r="G1192" i="2"/>
  <c r="F1193" i="2" a="1"/>
  <c r="F1193" i="2" s="1"/>
  <c r="G1193" i="2"/>
  <c r="F1194" i="2" a="1"/>
  <c r="F1194" i="2" s="1"/>
  <c r="G1194" i="2"/>
  <c r="F1195" i="2" a="1"/>
  <c r="F1195" i="2" s="1"/>
  <c r="G1195" i="2"/>
  <c r="F1196" i="2" a="1"/>
  <c r="F1196" i="2" s="1"/>
  <c r="G1196" i="2"/>
  <c r="F1197" i="2" a="1"/>
  <c r="F1197" i="2" s="1"/>
  <c r="G1197" i="2"/>
  <c r="F1198" i="2" a="1"/>
  <c r="F1198" i="2" s="1"/>
  <c r="G1198" i="2"/>
  <c r="F1199" i="2" a="1"/>
  <c r="F1199" i="2" s="1"/>
  <c r="G1199" i="2"/>
  <c r="F1200" i="2" a="1"/>
  <c r="F1200" i="2" s="1"/>
  <c r="G1200" i="2"/>
  <c r="F1201" i="2" a="1"/>
  <c r="F1201" i="2" s="1"/>
  <c r="G1201" i="2"/>
  <c r="F1202" i="2" a="1"/>
  <c r="F1202" i="2" s="1"/>
  <c r="G1202" i="2"/>
  <c r="F1203" i="2" a="1"/>
  <c r="F1203" i="2" s="1"/>
  <c r="G1203" i="2"/>
  <c r="F1204" i="2" a="1"/>
  <c r="F1204" i="2" s="1"/>
  <c r="G1204" i="2"/>
  <c r="F1205" i="2" a="1"/>
  <c r="F1205" i="2" s="1"/>
  <c r="G1205" i="2"/>
  <c r="F1206" i="2" a="1"/>
  <c r="F1206" i="2" s="1"/>
  <c r="G1206" i="2"/>
  <c r="F1207" i="2" a="1"/>
  <c r="F1207" i="2" s="1"/>
  <c r="G1207" i="2"/>
  <c r="F1208" i="2" a="1"/>
  <c r="F1208" i="2" s="1"/>
  <c r="G1208" i="2"/>
  <c r="F1209" i="2" a="1"/>
  <c r="F1209" i="2" s="1"/>
  <c r="G1209" i="2"/>
  <c r="F1210" i="2" a="1"/>
  <c r="F1210" i="2" s="1"/>
  <c r="G1210" i="2"/>
  <c r="F1211" i="2" a="1"/>
  <c r="F1211" i="2" s="1"/>
  <c r="G1211" i="2"/>
  <c r="F1212" i="2" a="1"/>
  <c r="F1212" i="2" s="1"/>
  <c r="G1212" i="2"/>
  <c r="F1213" i="2" a="1"/>
  <c r="F1213" i="2" s="1"/>
  <c r="G1213" i="2"/>
  <c r="F1214" i="2" a="1"/>
  <c r="F1214" i="2" s="1"/>
  <c r="G1214" i="2"/>
  <c r="F1215" i="2" a="1"/>
  <c r="F1215" i="2" s="1"/>
  <c r="G1215" i="2"/>
  <c r="F1216" i="2" a="1"/>
  <c r="F1216" i="2" s="1"/>
  <c r="G1216" i="2"/>
  <c r="F1217" i="2" a="1"/>
  <c r="F1217" i="2" s="1"/>
  <c r="G1217" i="2"/>
  <c r="F1218" i="2" a="1"/>
  <c r="F1218" i="2" s="1"/>
  <c r="G1218" i="2"/>
  <c r="F1219" i="2" a="1"/>
  <c r="F1219" i="2" s="1"/>
  <c r="G1219" i="2"/>
  <c r="F1220" i="2" a="1"/>
  <c r="F1220" i="2" s="1"/>
  <c r="G1220" i="2"/>
  <c r="F1221" i="2" a="1"/>
  <c r="F1221" i="2" s="1"/>
  <c r="G1221" i="2"/>
  <c r="F1222" i="2" a="1"/>
  <c r="F1222" i="2" s="1"/>
  <c r="G1222" i="2"/>
  <c r="F1223" i="2" a="1"/>
  <c r="F1223" i="2" s="1"/>
  <c r="G1223" i="2"/>
  <c r="F1224" i="2" a="1"/>
  <c r="F1224" i="2" s="1"/>
  <c r="G1224" i="2"/>
  <c r="F1225" i="2" a="1"/>
  <c r="F1225" i="2" s="1"/>
  <c r="G1225" i="2"/>
  <c r="F1226" i="2" a="1"/>
  <c r="F1226" i="2" s="1"/>
  <c r="G1226" i="2"/>
  <c r="F1227" i="2" a="1"/>
  <c r="F1227" i="2" s="1"/>
  <c r="G1227" i="2"/>
  <c r="F1228" i="2" a="1"/>
  <c r="F1228" i="2" s="1"/>
  <c r="G1228" i="2"/>
  <c r="F1229" i="2" a="1"/>
  <c r="F1229" i="2" s="1"/>
  <c r="G1229" i="2"/>
  <c r="F1230" i="2" a="1"/>
  <c r="F1230" i="2" s="1"/>
  <c r="G1230" i="2"/>
  <c r="F1231" i="2" a="1"/>
  <c r="F1231" i="2" s="1"/>
  <c r="G1231" i="2"/>
  <c r="F1232" i="2" a="1"/>
  <c r="F1232" i="2" s="1"/>
  <c r="G1232" i="2"/>
  <c r="F1233" i="2" a="1"/>
  <c r="F1233" i="2" s="1"/>
  <c r="G1233" i="2"/>
  <c r="F1234" i="2" a="1"/>
  <c r="F1234" i="2" s="1"/>
  <c r="G1234" i="2"/>
  <c r="F1235" i="2" a="1"/>
  <c r="F1235" i="2" s="1"/>
  <c r="G1235" i="2"/>
  <c r="F1236" i="2" a="1"/>
  <c r="F1236" i="2" s="1"/>
  <c r="G1236" i="2"/>
  <c r="F1237" i="2" a="1"/>
  <c r="F1237" i="2" s="1"/>
  <c r="G1237" i="2"/>
  <c r="F1238" i="2" a="1"/>
  <c r="F1238" i="2" s="1"/>
  <c r="G1238" i="2"/>
  <c r="F1239" i="2" a="1"/>
  <c r="F1239" i="2" s="1"/>
  <c r="G1239" i="2"/>
  <c r="F1240" i="2" a="1"/>
  <c r="F1240" i="2" s="1"/>
  <c r="G1240" i="2"/>
  <c r="F1241" i="2" a="1"/>
  <c r="F1241" i="2" s="1"/>
  <c r="G1241" i="2"/>
  <c r="F1242" i="2" a="1"/>
  <c r="F1242" i="2" s="1"/>
  <c r="G1242" i="2"/>
  <c r="F1243" i="2" a="1"/>
  <c r="F1243" i="2" s="1"/>
  <c r="G1243" i="2"/>
  <c r="F1244" i="2" a="1"/>
  <c r="F1244" i="2" s="1"/>
  <c r="G1244" i="2"/>
  <c r="F1245" i="2" a="1"/>
  <c r="F1245" i="2" s="1"/>
  <c r="G1245" i="2"/>
  <c r="F1246" i="2" a="1"/>
  <c r="F1246" i="2" s="1"/>
  <c r="G1246" i="2"/>
  <c r="F1247" i="2" a="1"/>
  <c r="F1247" i="2" s="1"/>
  <c r="G1247" i="2"/>
  <c r="F1248" i="2" a="1"/>
  <c r="F1248" i="2" s="1"/>
  <c r="G1248" i="2"/>
  <c r="F1249" i="2" a="1"/>
  <c r="F1249" i="2" s="1"/>
  <c r="G1249" i="2"/>
  <c r="F1250" i="2" a="1"/>
  <c r="F1250" i="2" s="1"/>
  <c r="G1250" i="2"/>
  <c r="F1251" i="2" a="1"/>
  <c r="F1251" i="2" s="1"/>
  <c r="G1251" i="2"/>
  <c r="F1252" i="2" a="1"/>
  <c r="F1252" i="2" s="1"/>
  <c r="G1252" i="2"/>
  <c r="F1253" i="2" a="1"/>
  <c r="F1253" i="2" s="1"/>
  <c r="G1253" i="2"/>
  <c r="F1254" i="2" a="1"/>
  <c r="F1254" i="2" s="1"/>
  <c r="G1254" i="2"/>
  <c r="F1255" i="2" a="1"/>
  <c r="F1255" i="2" s="1"/>
  <c r="G1255" i="2"/>
  <c r="F1256" i="2" a="1"/>
  <c r="F1256" i="2" s="1"/>
  <c r="G1256" i="2"/>
  <c r="F1257" i="2" a="1"/>
  <c r="F1257" i="2" s="1"/>
  <c r="G1257" i="2"/>
  <c r="F1258" i="2" a="1"/>
  <c r="F1258" i="2" s="1"/>
  <c r="G1258" i="2"/>
  <c r="F1259" i="2" a="1"/>
  <c r="F1259" i="2" s="1"/>
  <c r="G1259" i="2"/>
  <c r="F1260" i="2" a="1"/>
  <c r="F1260" i="2" s="1"/>
  <c r="G1260" i="2"/>
  <c r="F1261" i="2" a="1"/>
  <c r="F1261" i="2" s="1"/>
  <c r="G1261" i="2"/>
  <c r="F1262" i="2" a="1"/>
  <c r="F1262" i="2" s="1"/>
  <c r="G1262" i="2"/>
  <c r="F1263" i="2" a="1"/>
  <c r="F1263" i="2" s="1"/>
  <c r="G1263" i="2"/>
  <c r="F1264" i="2" a="1"/>
  <c r="F1264" i="2" s="1"/>
  <c r="G1264" i="2"/>
  <c r="F1265" i="2" a="1"/>
  <c r="F1265" i="2" s="1"/>
  <c r="G1265" i="2"/>
  <c r="F1266" i="2" a="1"/>
  <c r="F1266" i="2" s="1"/>
  <c r="G1266" i="2"/>
  <c r="F1267" i="2" a="1"/>
  <c r="F1267" i="2" s="1"/>
  <c r="G1267" i="2"/>
  <c r="F1268" i="2" a="1"/>
  <c r="F1268" i="2" s="1"/>
  <c r="G1268" i="2"/>
  <c r="F1269" i="2" a="1"/>
  <c r="F1269" i="2" s="1"/>
  <c r="G1269" i="2"/>
  <c r="F1270" i="2" a="1"/>
  <c r="F1270" i="2" s="1"/>
  <c r="G1270" i="2"/>
  <c r="F1271" i="2" a="1"/>
  <c r="F1271" i="2" s="1"/>
  <c r="G1271" i="2"/>
  <c r="F1272" i="2" a="1"/>
  <c r="F1272" i="2" s="1"/>
  <c r="G1272" i="2"/>
  <c r="F1273" i="2" a="1"/>
  <c r="F1273" i="2" s="1"/>
  <c r="G1273" i="2"/>
  <c r="F1274" i="2" a="1"/>
  <c r="F1274" i="2" s="1"/>
  <c r="G1274" i="2"/>
  <c r="F1275" i="2" a="1"/>
  <c r="F1275" i="2" s="1"/>
  <c r="G1275" i="2"/>
  <c r="F1276" i="2" a="1"/>
  <c r="F1276" i="2" s="1"/>
  <c r="G1276" i="2"/>
  <c r="F1277" i="2" a="1"/>
  <c r="F1277" i="2" s="1"/>
  <c r="G1277" i="2"/>
  <c r="F1278" i="2" a="1"/>
  <c r="F1278" i="2" s="1"/>
  <c r="G1278" i="2"/>
  <c r="F1279" i="2" a="1"/>
  <c r="F1279" i="2" s="1"/>
  <c r="G1279" i="2"/>
  <c r="F1280" i="2" a="1"/>
  <c r="F1280" i="2" s="1"/>
  <c r="G1280" i="2"/>
  <c r="F1281" i="2" a="1"/>
  <c r="F1281" i="2" s="1"/>
  <c r="G1281" i="2"/>
  <c r="F1282" i="2" a="1"/>
  <c r="F1282" i="2" s="1"/>
  <c r="G1282" i="2"/>
  <c r="F1283" i="2" a="1"/>
  <c r="F1283" i="2" s="1"/>
  <c r="G1283" i="2"/>
  <c r="F1284" i="2" a="1"/>
  <c r="F1284" i="2" s="1"/>
  <c r="G1284" i="2"/>
  <c r="F1285" i="2" a="1"/>
  <c r="F1285" i="2" s="1"/>
  <c r="G1285" i="2"/>
  <c r="F1286" i="2" a="1"/>
  <c r="F1286" i="2" s="1"/>
  <c r="G1286" i="2"/>
  <c r="F1287" i="2" a="1"/>
  <c r="F1287" i="2" s="1"/>
  <c r="G1287" i="2"/>
  <c r="F1288" i="2" a="1"/>
  <c r="F1288" i="2" s="1"/>
  <c r="G1288" i="2"/>
  <c r="F1289" i="2" a="1"/>
  <c r="F1289" i="2" s="1"/>
  <c r="G1289" i="2"/>
  <c r="F1290" i="2" a="1"/>
  <c r="F1290" i="2" s="1"/>
  <c r="G1290" i="2"/>
  <c r="F1291" i="2" a="1"/>
  <c r="F1291" i="2" s="1"/>
  <c r="G1291" i="2"/>
  <c r="F1292" i="2" a="1"/>
  <c r="F1292" i="2" s="1"/>
  <c r="G1292" i="2"/>
  <c r="F1293" i="2" a="1"/>
  <c r="F1293" i="2" s="1"/>
  <c r="G1293" i="2"/>
  <c r="F1294" i="2" a="1"/>
  <c r="F1294" i="2" s="1"/>
  <c r="G1294" i="2"/>
  <c r="F1295" i="2" a="1"/>
  <c r="F1295" i="2" s="1"/>
  <c r="G1295" i="2"/>
  <c r="F1296" i="2" a="1"/>
  <c r="F1296" i="2" s="1"/>
  <c r="G1296" i="2"/>
  <c r="F1297" i="2" a="1"/>
  <c r="F1297" i="2" s="1"/>
  <c r="G1297" i="2"/>
  <c r="F1298" i="2" a="1"/>
  <c r="F1298" i="2" s="1"/>
  <c r="G1298" i="2"/>
  <c r="F1299" i="2" a="1"/>
  <c r="F1299" i="2" s="1"/>
  <c r="G1299" i="2"/>
  <c r="F1300" i="2" a="1"/>
  <c r="F1300" i="2" s="1"/>
  <c r="G1300" i="2"/>
  <c r="F1301" i="2" a="1"/>
  <c r="F1301" i="2" s="1"/>
  <c r="G1301" i="2"/>
  <c r="F1302" i="2" a="1"/>
  <c r="F1302" i="2" s="1"/>
  <c r="G1302" i="2"/>
  <c r="F1303" i="2" a="1"/>
  <c r="F1303" i="2" s="1"/>
  <c r="G1303" i="2"/>
  <c r="F1304" i="2" a="1"/>
  <c r="F1304" i="2" s="1"/>
  <c r="G1304" i="2"/>
  <c r="F1305" i="2" a="1"/>
  <c r="F1305" i="2" s="1"/>
  <c r="G1305" i="2"/>
  <c r="F1306" i="2" a="1"/>
  <c r="F1306" i="2" s="1"/>
  <c r="G1306" i="2"/>
  <c r="F1307" i="2" a="1"/>
  <c r="F1307" i="2" s="1"/>
  <c r="G1307" i="2"/>
  <c r="F1308" i="2" a="1"/>
  <c r="F1308" i="2" s="1"/>
  <c r="G1308" i="2"/>
  <c r="F1309" i="2" a="1"/>
  <c r="F1309" i="2" s="1"/>
  <c r="G1309" i="2"/>
  <c r="F1310" i="2" a="1"/>
  <c r="F1310" i="2" s="1"/>
  <c r="G1310" i="2"/>
  <c r="F1311" i="2" a="1"/>
  <c r="F1311" i="2" s="1"/>
  <c r="G1311" i="2"/>
  <c r="F1312" i="2" a="1"/>
  <c r="F1312" i="2" s="1"/>
  <c r="G1312" i="2"/>
  <c r="F1313" i="2" a="1"/>
  <c r="F1313" i="2" s="1"/>
  <c r="G1313" i="2"/>
  <c r="F1314" i="2" a="1"/>
  <c r="F1314" i="2" s="1"/>
  <c r="G1314" i="2"/>
  <c r="F1315" i="2" a="1"/>
  <c r="F1315" i="2" s="1"/>
  <c r="G1315" i="2"/>
  <c r="F1316" i="2" a="1"/>
  <c r="F1316" i="2" s="1"/>
  <c r="G1316" i="2"/>
  <c r="F1317" i="2" a="1"/>
  <c r="F1317" i="2" s="1"/>
  <c r="G1317" i="2"/>
  <c r="F1318" i="2" a="1"/>
  <c r="F1318" i="2" s="1"/>
  <c r="G1318" i="2"/>
  <c r="F1319" i="2" a="1"/>
  <c r="F1319" i="2" s="1"/>
  <c r="G1319" i="2"/>
  <c r="F1320" i="2" a="1"/>
  <c r="F1320" i="2" s="1"/>
  <c r="G1320" i="2"/>
  <c r="F1321" i="2" a="1"/>
  <c r="F1321" i="2" s="1"/>
  <c r="G1321" i="2"/>
  <c r="F1322" i="2" a="1"/>
  <c r="F1322" i="2" s="1"/>
  <c r="G1322" i="2"/>
  <c r="F1323" i="2" a="1"/>
  <c r="F1323" i="2" s="1"/>
  <c r="G1323" i="2"/>
  <c r="F1324" i="2" a="1"/>
  <c r="F1324" i="2" s="1"/>
  <c r="G1324" i="2"/>
  <c r="F1325" i="2" a="1"/>
  <c r="F1325" i="2" s="1"/>
  <c r="G1325" i="2"/>
  <c r="F1326" i="2" a="1"/>
  <c r="F1326" i="2" s="1"/>
  <c r="G1326" i="2"/>
  <c r="F1327" i="2" a="1"/>
  <c r="F1327" i="2" s="1"/>
  <c r="G1327" i="2"/>
  <c r="F1328" i="2" a="1"/>
  <c r="F1328" i="2" s="1"/>
  <c r="G1328" i="2"/>
  <c r="F1329" i="2" a="1"/>
  <c r="F1329" i="2" s="1"/>
  <c r="G1329" i="2"/>
  <c r="F1330" i="2" a="1"/>
  <c r="F1330" i="2" s="1"/>
  <c r="G1330" i="2"/>
  <c r="F1331" i="2" a="1"/>
  <c r="F1331" i="2" s="1"/>
  <c r="G1331" i="2"/>
  <c r="F1332" i="2" a="1"/>
  <c r="F1332" i="2" s="1"/>
  <c r="G1332" i="2"/>
  <c r="F1333" i="2" a="1"/>
  <c r="F1333" i="2" s="1"/>
  <c r="G1333" i="2"/>
  <c r="F1334" i="2" a="1"/>
  <c r="F1334" i="2" s="1"/>
  <c r="G1334" i="2"/>
  <c r="F1335" i="2" a="1"/>
  <c r="F1335" i="2" s="1"/>
  <c r="G1335" i="2"/>
  <c r="F1336" i="2" a="1"/>
  <c r="F1336" i="2" s="1"/>
  <c r="G1336" i="2"/>
  <c r="F1337" i="2" a="1"/>
  <c r="F1337" i="2" s="1"/>
  <c r="G1337" i="2"/>
  <c r="F1338" i="2" a="1"/>
  <c r="F1338" i="2" s="1"/>
  <c r="G1338" i="2"/>
  <c r="F1339" i="2" a="1"/>
  <c r="F1339" i="2" s="1"/>
  <c r="G1339" i="2"/>
  <c r="F1340" i="2" a="1"/>
  <c r="F1340" i="2" s="1"/>
  <c r="G1340" i="2"/>
  <c r="F1341" i="2" a="1"/>
  <c r="F1341" i="2" s="1"/>
  <c r="G1341" i="2"/>
  <c r="F1342" i="2" a="1"/>
  <c r="F1342" i="2" s="1"/>
  <c r="G1342" i="2"/>
  <c r="F1343" i="2" a="1"/>
  <c r="F1343" i="2" s="1"/>
  <c r="G1343" i="2"/>
  <c r="F1344" i="2" a="1"/>
  <c r="F1344" i="2" s="1"/>
  <c r="G1344" i="2"/>
  <c r="F1345" i="2" a="1"/>
  <c r="F1345" i="2" s="1"/>
  <c r="G1345" i="2"/>
  <c r="F1346" i="2" a="1"/>
  <c r="F1346" i="2" s="1"/>
  <c r="G1346" i="2"/>
  <c r="F1347" i="2" a="1"/>
  <c r="F1347" i="2" s="1"/>
  <c r="G1347" i="2"/>
  <c r="F1348" i="2" a="1"/>
  <c r="F1348" i="2" s="1"/>
  <c r="G1348" i="2"/>
  <c r="F1349" i="2" a="1"/>
  <c r="F1349" i="2" s="1"/>
  <c r="G1349" i="2"/>
  <c r="F1350" i="2" a="1"/>
  <c r="F1350" i="2" s="1"/>
  <c r="G1350" i="2"/>
  <c r="F1351" i="2" a="1"/>
  <c r="F1351" i="2" s="1"/>
  <c r="G1351" i="2"/>
  <c r="F1352" i="2" a="1"/>
  <c r="F1352" i="2" s="1"/>
  <c r="G1352" i="2"/>
  <c r="F1353" i="2" a="1"/>
  <c r="F1353" i="2" s="1"/>
  <c r="G1353" i="2"/>
  <c r="F1354" i="2" a="1"/>
  <c r="F1354" i="2" s="1"/>
  <c r="G1354" i="2"/>
  <c r="F1355" i="2" a="1"/>
  <c r="F1355" i="2" s="1"/>
  <c r="G1355" i="2"/>
  <c r="F1356" i="2" a="1"/>
  <c r="F1356" i="2" s="1"/>
  <c r="G1356" i="2"/>
  <c r="F1357" i="2" a="1"/>
  <c r="F1357" i="2" s="1"/>
  <c r="G1357" i="2"/>
  <c r="F1358" i="2" a="1"/>
  <c r="F1358" i="2" s="1"/>
  <c r="G1358" i="2"/>
  <c r="F1359" i="2" a="1"/>
  <c r="F1359" i="2" s="1"/>
  <c r="G1359" i="2"/>
  <c r="F1360" i="2" a="1"/>
  <c r="F1360" i="2" s="1"/>
  <c r="G1360" i="2"/>
  <c r="F1361" i="2" a="1"/>
  <c r="F1361" i="2" s="1"/>
  <c r="G1361" i="2"/>
  <c r="F1362" i="2" a="1"/>
  <c r="F1362" i="2" s="1"/>
  <c r="G1362" i="2"/>
  <c r="F1363" i="2" a="1"/>
  <c r="F1363" i="2" s="1"/>
  <c r="G1363" i="2"/>
  <c r="F1364" i="2" a="1"/>
  <c r="F1364" i="2" s="1"/>
  <c r="G1364" i="2"/>
  <c r="F1365" i="2" a="1"/>
  <c r="F1365" i="2" s="1"/>
  <c r="G1365" i="2"/>
  <c r="F1366" i="2" a="1"/>
  <c r="F1366" i="2" s="1"/>
  <c r="G1366" i="2"/>
  <c r="F1367" i="2" a="1"/>
  <c r="F1367" i="2" s="1"/>
  <c r="G1367" i="2"/>
  <c r="F1368" i="2" a="1"/>
  <c r="F1368" i="2" s="1"/>
  <c r="G1368" i="2"/>
  <c r="F1369" i="2" a="1"/>
  <c r="F1369" i="2" s="1"/>
  <c r="G1369" i="2"/>
  <c r="F1370" i="2" a="1"/>
  <c r="F1370" i="2" s="1"/>
  <c r="G1370" i="2"/>
  <c r="F1371" i="2" a="1"/>
  <c r="F1371" i="2" s="1"/>
  <c r="G1371" i="2"/>
  <c r="F1372" i="2" a="1"/>
  <c r="F1372" i="2" s="1"/>
  <c r="G1372" i="2"/>
  <c r="F1373" i="2" a="1"/>
  <c r="F1373" i="2" s="1"/>
  <c r="G1373" i="2"/>
  <c r="F1374" i="2" a="1"/>
  <c r="F1374" i="2" s="1"/>
  <c r="G1374" i="2"/>
  <c r="F1375" i="2" a="1"/>
  <c r="F1375" i="2" s="1"/>
  <c r="G1375" i="2"/>
  <c r="F1376" i="2" a="1"/>
  <c r="F1376" i="2" s="1"/>
  <c r="G1376" i="2"/>
  <c r="F1377" i="2" a="1"/>
  <c r="F1377" i="2" s="1"/>
  <c r="G1377" i="2"/>
  <c r="F1378" i="2" a="1"/>
  <c r="F1378" i="2" s="1"/>
  <c r="G1378" i="2"/>
  <c r="F1379" i="2" a="1"/>
  <c r="F1379" i="2" s="1"/>
  <c r="G1379" i="2"/>
  <c r="F1380" i="2" a="1"/>
  <c r="F1380" i="2" s="1"/>
  <c r="G1380" i="2"/>
  <c r="F1381" i="2" a="1"/>
  <c r="F1381" i="2" s="1"/>
  <c r="G1381" i="2"/>
  <c r="F1382" i="2" a="1"/>
  <c r="F1382" i="2" s="1"/>
  <c r="G1382" i="2"/>
  <c r="F1383" i="2" a="1"/>
  <c r="F1383" i="2" s="1"/>
  <c r="G1383" i="2"/>
  <c r="F1384" i="2" a="1"/>
  <c r="F1384" i="2" s="1"/>
  <c r="G1384" i="2"/>
  <c r="F1385" i="2" a="1"/>
  <c r="F1385" i="2" s="1"/>
  <c r="G1385" i="2"/>
  <c r="F1386" i="2" a="1"/>
  <c r="F1386" i="2" s="1"/>
  <c r="G1386" i="2"/>
  <c r="F1387" i="2" a="1"/>
  <c r="F1387" i="2" s="1"/>
  <c r="G1387" i="2"/>
  <c r="F1388" i="2" a="1"/>
  <c r="F1388" i="2" s="1"/>
  <c r="G1388" i="2"/>
  <c r="F1389" i="2" a="1"/>
  <c r="F1389" i="2" s="1"/>
  <c r="G1389" i="2"/>
  <c r="F1390" i="2" a="1"/>
  <c r="F1390" i="2" s="1"/>
  <c r="G1390" i="2"/>
  <c r="F1391" i="2" a="1"/>
  <c r="F1391" i="2" s="1"/>
  <c r="G1391" i="2"/>
  <c r="F1392" i="2" a="1"/>
  <c r="F1392" i="2" s="1"/>
  <c r="G1392" i="2"/>
  <c r="F1393" i="2" a="1"/>
  <c r="F1393" i="2" s="1"/>
  <c r="G1393" i="2"/>
  <c r="F1394" i="2" a="1"/>
  <c r="F1394" i="2" s="1"/>
  <c r="G1394" i="2"/>
  <c r="F1395" i="2" a="1"/>
  <c r="F1395" i="2" s="1"/>
  <c r="G1395" i="2"/>
  <c r="F1396" i="2" a="1"/>
  <c r="F1396" i="2" s="1"/>
  <c r="G1396" i="2"/>
  <c r="F1397" i="2" a="1"/>
  <c r="F1397" i="2" s="1"/>
  <c r="G1397" i="2"/>
  <c r="F1398" i="2" a="1"/>
  <c r="F1398" i="2" s="1"/>
  <c r="G1398" i="2"/>
  <c r="F1399" i="2" a="1"/>
  <c r="F1399" i="2" s="1"/>
  <c r="G1399" i="2"/>
  <c r="F1400" i="2" a="1"/>
  <c r="F1400" i="2" s="1"/>
  <c r="G1400" i="2"/>
  <c r="F1401" i="2" a="1"/>
  <c r="F1401" i="2" s="1"/>
  <c r="G1401" i="2"/>
  <c r="F1402" i="2" a="1"/>
  <c r="F1402" i="2" s="1"/>
  <c r="G1402" i="2"/>
  <c r="F1403" i="2" a="1"/>
  <c r="F1403" i="2" s="1"/>
  <c r="G1403" i="2"/>
  <c r="F1404" i="2" a="1"/>
  <c r="F1404" i="2" s="1"/>
  <c r="G1404" i="2"/>
  <c r="F1405" i="2" a="1"/>
  <c r="F1405" i="2" s="1"/>
  <c r="G1405" i="2"/>
  <c r="F1406" i="2" a="1"/>
  <c r="F1406" i="2" s="1"/>
  <c r="G1406" i="2"/>
  <c r="F1407" i="2" a="1"/>
  <c r="F1407" i="2" s="1"/>
  <c r="G1407" i="2"/>
  <c r="F1408" i="2" a="1"/>
  <c r="F1408" i="2" s="1"/>
  <c r="G1408" i="2"/>
  <c r="F1409" i="2" a="1"/>
  <c r="F1409" i="2" s="1"/>
  <c r="G1409" i="2"/>
  <c r="F1410" i="2" a="1"/>
  <c r="F1410" i="2" s="1"/>
  <c r="G1410" i="2"/>
  <c r="F1411" i="2" a="1"/>
  <c r="F1411" i="2" s="1"/>
  <c r="G1411" i="2"/>
  <c r="F1412" i="2" a="1"/>
  <c r="F1412" i="2" s="1"/>
  <c r="G1412" i="2"/>
  <c r="F1413" i="2" a="1"/>
  <c r="F1413" i="2" s="1"/>
  <c r="G1413" i="2"/>
  <c r="F1414" i="2" a="1"/>
  <c r="F1414" i="2" s="1"/>
  <c r="G1414" i="2"/>
  <c r="F1415" i="2" a="1"/>
  <c r="F1415" i="2" s="1"/>
  <c r="G1415" i="2"/>
  <c r="F1416" i="2" a="1"/>
  <c r="F1416" i="2" s="1"/>
  <c r="G1416" i="2"/>
  <c r="F1417" i="2" a="1"/>
  <c r="F1417" i="2" s="1"/>
  <c r="G1417" i="2"/>
  <c r="F1418" i="2" a="1"/>
  <c r="F1418" i="2" s="1"/>
  <c r="G1418" i="2"/>
  <c r="F1419" i="2" a="1"/>
  <c r="F1419" i="2" s="1"/>
  <c r="G1419" i="2"/>
  <c r="F1420" i="2" a="1"/>
  <c r="F1420" i="2" s="1"/>
  <c r="G1420" i="2"/>
  <c r="F1421" i="2" a="1"/>
  <c r="F1421" i="2" s="1"/>
  <c r="G1421" i="2"/>
  <c r="F1422" i="2" a="1"/>
  <c r="F1422" i="2" s="1"/>
  <c r="G1422" i="2"/>
  <c r="F1423" i="2" a="1"/>
  <c r="F1423" i="2" s="1"/>
  <c r="G1423" i="2"/>
  <c r="F1424" i="2" a="1"/>
  <c r="F1424" i="2" s="1"/>
  <c r="G1424" i="2"/>
  <c r="F1425" i="2" a="1"/>
  <c r="F1425" i="2" s="1"/>
  <c r="G1425" i="2"/>
  <c r="F1426" i="2" a="1"/>
  <c r="F1426" i="2" s="1"/>
  <c r="G1426" i="2"/>
  <c r="F1427" i="2" a="1"/>
  <c r="F1427" i="2" s="1"/>
  <c r="G1427" i="2"/>
  <c r="F1428" i="2" a="1"/>
  <c r="F1428" i="2" s="1"/>
  <c r="G1428" i="2"/>
  <c r="F1429" i="2" a="1"/>
  <c r="F1429" i="2" s="1"/>
  <c r="G1429" i="2"/>
  <c r="F1430" i="2" a="1"/>
  <c r="F1430" i="2" s="1"/>
  <c r="G1430" i="2"/>
  <c r="F1431" i="2" a="1"/>
  <c r="F1431" i="2" s="1"/>
  <c r="G1431" i="2"/>
  <c r="F1432" i="2" a="1"/>
  <c r="F1432" i="2" s="1"/>
  <c r="G1432" i="2"/>
  <c r="F1433" i="2" a="1"/>
  <c r="F1433" i="2" s="1"/>
  <c r="G1433" i="2"/>
  <c r="F1434" i="2" a="1"/>
  <c r="F1434" i="2" s="1"/>
  <c r="G1434" i="2"/>
  <c r="F1435" i="2" a="1"/>
  <c r="F1435" i="2" s="1"/>
  <c r="G1435" i="2"/>
  <c r="F1436" i="2" a="1"/>
  <c r="F1436" i="2" s="1"/>
  <c r="G1436" i="2"/>
  <c r="F1437" i="2" a="1"/>
  <c r="F1437" i="2" s="1"/>
  <c r="G1437" i="2"/>
  <c r="F1438" i="2" a="1"/>
  <c r="F1438" i="2" s="1"/>
  <c r="G1438" i="2"/>
  <c r="F1439" i="2" a="1"/>
  <c r="F1439" i="2" s="1"/>
  <c r="G1439" i="2"/>
  <c r="F1440" i="2" a="1"/>
  <c r="F1440" i="2" s="1"/>
  <c r="G1440" i="2"/>
  <c r="F1441" i="2" a="1"/>
  <c r="F1441" i="2" s="1"/>
  <c r="G1441" i="2"/>
  <c r="F1442" i="2" a="1"/>
  <c r="F1442" i="2" s="1"/>
  <c r="G1442" i="2"/>
  <c r="F1443" i="2" a="1"/>
  <c r="F1443" i="2" s="1"/>
  <c r="G1443" i="2"/>
  <c r="F1444" i="2" a="1"/>
  <c r="F1444" i="2" s="1"/>
  <c r="G1444" i="2"/>
  <c r="F1445" i="2" a="1"/>
  <c r="F1445" i="2" s="1"/>
  <c r="G1445" i="2"/>
  <c r="F1446" i="2" a="1"/>
  <c r="F1446" i="2" s="1"/>
  <c r="G1446" i="2"/>
  <c r="F1447" i="2" a="1"/>
  <c r="F1447" i="2" s="1"/>
  <c r="G1447" i="2"/>
  <c r="F1448" i="2" a="1"/>
  <c r="F1448" i="2" s="1"/>
  <c r="G1448" i="2"/>
  <c r="F1449" i="2" a="1"/>
  <c r="F1449" i="2" s="1"/>
  <c r="G1449" i="2"/>
  <c r="F1450" i="2" a="1"/>
  <c r="F1450" i="2" s="1"/>
  <c r="G1450" i="2"/>
  <c r="F1451" i="2" a="1"/>
  <c r="F1451" i="2" s="1"/>
  <c r="G1451" i="2"/>
  <c r="F1452" i="2" a="1"/>
  <c r="F1452" i="2" s="1"/>
  <c r="G1452" i="2"/>
  <c r="F1453" i="2" a="1"/>
  <c r="F1453" i="2" s="1"/>
  <c r="G1453" i="2"/>
  <c r="F1454" i="2" a="1"/>
  <c r="F1454" i="2" s="1"/>
  <c r="G1454" i="2"/>
  <c r="F1455" i="2" a="1"/>
  <c r="F1455" i="2" s="1"/>
  <c r="G1455" i="2"/>
  <c r="F1456" i="2" a="1"/>
  <c r="F1456" i="2" s="1"/>
  <c r="G1456" i="2"/>
  <c r="F1457" i="2" a="1"/>
  <c r="F1457" i="2" s="1"/>
  <c r="G1457" i="2"/>
  <c r="F1458" i="2" a="1"/>
  <c r="F1458" i="2" s="1"/>
  <c r="G1458" i="2"/>
  <c r="F1459" i="2" a="1"/>
  <c r="F1459" i="2" s="1"/>
  <c r="G1459" i="2"/>
  <c r="F1460" i="2" a="1"/>
  <c r="F1460" i="2" s="1"/>
  <c r="G1460" i="2"/>
  <c r="F1461" i="2" a="1"/>
  <c r="F1461" i="2" s="1"/>
  <c r="G1461" i="2"/>
  <c r="F1462" i="2" a="1"/>
  <c r="F1462" i="2" s="1"/>
  <c r="G1462" i="2"/>
  <c r="F1463" i="2" a="1"/>
  <c r="F1463" i="2" s="1"/>
  <c r="G1463" i="2"/>
  <c r="F1464" i="2" a="1"/>
  <c r="F1464" i="2" s="1"/>
  <c r="G1464" i="2"/>
  <c r="F1465" i="2" a="1"/>
  <c r="F1465" i="2" s="1"/>
  <c r="G1465" i="2"/>
  <c r="F1466" i="2" a="1"/>
  <c r="F1466" i="2" s="1"/>
  <c r="G1466" i="2"/>
  <c r="F1467" i="2" a="1"/>
  <c r="F1467" i="2" s="1"/>
  <c r="G1467" i="2"/>
  <c r="F1468" i="2" a="1"/>
  <c r="F1468" i="2" s="1"/>
  <c r="G1468" i="2"/>
  <c r="F1469" i="2" a="1"/>
  <c r="F1469" i="2" s="1"/>
  <c r="G1469" i="2"/>
  <c r="F1470" i="2" a="1"/>
  <c r="F1470" i="2" s="1"/>
  <c r="G1470" i="2"/>
  <c r="F1471" i="2" a="1"/>
  <c r="F1471" i="2" s="1"/>
  <c r="G1471" i="2"/>
  <c r="F1472" i="2" a="1"/>
  <c r="F1472" i="2" s="1"/>
  <c r="G1472" i="2"/>
  <c r="F1473" i="2" a="1"/>
  <c r="F1473" i="2" s="1"/>
  <c r="G1473" i="2"/>
  <c r="F1474" i="2" a="1"/>
  <c r="F1474" i="2" s="1"/>
  <c r="G1474" i="2"/>
  <c r="F1475" i="2" a="1"/>
  <c r="F1475" i="2" s="1"/>
  <c r="G1475" i="2"/>
  <c r="F1476" i="2" a="1"/>
  <c r="F1476" i="2" s="1"/>
  <c r="G1476" i="2"/>
  <c r="F1477" i="2" a="1"/>
  <c r="F1477" i="2" s="1"/>
  <c r="G1477" i="2"/>
  <c r="F1478" i="2" a="1"/>
  <c r="F1478" i="2" s="1"/>
  <c r="G1478" i="2"/>
  <c r="F1479" i="2" a="1"/>
  <c r="F1479" i="2" s="1"/>
  <c r="G1479" i="2"/>
  <c r="F1480" i="2" a="1"/>
  <c r="F1480" i="2" s="1"/>
  <c r="G1480" i="2"/>
  <c r="F1481" i="2" a="1"/>
  <c r="F1481" i="2" s="1"/>
  <c r="G1481" i="2"/>
  <c r="F1482" i="2" a="1"/>
  <c r="F1482" i="2" s="1"/>
  <c r="G1482" i="2"/>
  <c r="F1483" i="2" a="1"/>
  <c r="F1483" i="2" s="1"/>
  <c r="G1483" i="2"/>
  <c r="F1484" i="2" a="1"/>
  <c r="F1484" i="2" s="1"/>
  <c r="G1484" i="2"/>
  <c r="F1485" i="2" a="1"/>
  <c r="F1485" i="2" s="1"/>
  <c r="G1485" i="2"/>
  <c r="F1486" i="2" a="1"/>
  <c r="F1486" i="2" s="1"/>
  <c r="G1486" i="2"/>
  <c r="F1487" i="2" a="1"/>
  <c r="F1487" i="2" s="1"/>
  <c r="G1487" i="2"/>
  <c r="F1488" i="2" a="1"/>
  <c r="F1488" i="2" s="1"/>
  <c r="G1488" i="2"/>
  <c r="F1489" i="2" a="1"/>
  <c r="F1489" i="2" s="1"/>
  <c r="G1489" i="2"/>
  <c r="F1490" i="2" a="1"/>
  <c r="F1490" i="2" s="1"/>
  <c r="G1490" i="2"/>
  <c r="F1491" i="2" a="1"/>
  <c r="F1491" i="2" s="1"/>
  <c r="G1491" i="2"/>
  <c r="F1492" i="2" a="1"/>
  <c r="F1492" i="2" s="1"/>
  <c r="G1492" i="2"/>
  <c r="F1493" i="2" a="1"/>
  <c r="F1493" i="2" s="1"/>
  <c r="G1493" i="2"/>
  <c r="F1494" i="2" a="1"/>
  <c r="F1494" i="2" s="1"/>
  <c r="G1494" i="2"/>
  <c r="F1495" i="2" a="1"/>
  <c r="F1495" i="2" s="1"/>
  <c r="G1495" i="2"/>
  <c r="F1496" i="2" a="1"/>
  <c r="F1496" i="2" s="1"/>
  <c r="G1496" i="2"/>
  <c r="F1497" i="2" a="1"/>
  <c r="F1497" i="2" s="1"/>
  <c r="G1497" i="2"/>
  <c r="F1498" i="2" a="1"/>
  <c r="F1498" i="2" s="1"/>
  <c r="G1498" i="2"/>
  <c r="F1499" i="2" a="1"/>
  <c r="F1499" i="2" s="1"/>
  <c r="G1499" i="2"/>
  <c r="F1500" i="2" a="1"/>
  <c r="F1500" i="2" s="1"/>
  <c r="G1500" i="2"/>
  <c r="F1501" i="2" a="1"/>
  <c r="F1501" i="2" s="1"/>
  <c r="G1501" i="2"/>
  <c r="F1502" i="2" a="1"/>
  <c r="F1502" i="2" s="1"/>
  <c r="G1502" i="2"/>
  <c r="F1503" i="2" a="1"/>
  <c r="F1503" i="2" s="1"/>
  <c r="G1503" i="2"/>
  <c r="F1504" i="2" a="1"/>
  <c r="F1504" i="2" s="1"/>
  <c r="G1504" i="2"/>
  <c r="F1505" i="2" a="1"/>
  <c r="F1505" i="2" s="1"/>
  <c r="G1505" i="2"/>
  <c r="F1506" i="2" a="1"/>
  <c r="F1506" i="2" s="1"/>
  <c r="G1506" i="2"/>
  <c r="F1507" i="2" a="1"/>
  <c r="F1507" i="2" s="1"/>
  <c r="G1507" i="2"/>
  <c r="F1508" i="2" a="1"/>
  <c r="F1508" i="2" s="1"/>
  <c r="G1508" i="2"/>
  <c r="F1509" i="2" a="1"/>
  <c r="F1509" i="2" s="1"/>
  <c r="G1509" i="2"/>
  <c r="F1510" i="2" a="1"/>
  <c r="F1510" i="2" s="1"/>
  <c r="G1510" i="2"/>
  <c r="F1511" i="2" a="1"/>
  <c r="F1511" i="2" s="1"/>
  <c r="G1511" i="2"/>
  <c r="F1512" i="2" a="1"/>
  <c r="F1512" i="2" s="1"/>
  <c r="G1512" i="2"/>
  <c r="F1513" i="2" a="1"/>
  <c r="F1513" i="2" s="1"/>
  <c r="G1513" i="2"/>
  <c r="F1514" i="2" a="1"/>
  <c r="F1514" i="2" s="1"/>
  <c r="G1514" i="2"/>
  <c r="F1515" i="2" a="1"/>
  <c r="F1515" i="2" s="1"/>
  <c r="G1515" i="2"/>
  <c r="F1516" i="2" a="1"/>
  <c r="F1516" i="2" s="1"/>
  <c r="G1516" i="2"/>
  <c r="F1517" i="2" a="1"/>
  <c r="F1517" i="2" s="1"/>
  <c r="G1517" i="2"/>
  <c r="F1518" i="2" a="1"/>
  <c r="F1518" i="2" s="1"/>
  <c r="G1518" i="2"/>
  <c r="F1519" i="2" a="1"/>
  <c r="F1519" i="2" s="1"/>
  <c r="G1519" i="2"/>
  <c r="F1520" i="2" a="1"/>
  <c r="F1520" i="2" s="1"/>
  <c r="G1520" i="2"/>
  <c r="F1521" i="2" a="1"/>
  <c r="F1521" i="2" s="1"/>
  <c r="G1521" i="2"/>
  <c r="F1522" i="2" a="1"/>
  <c r="F1522" i="2" s="1"/>
  <c r="G1522" i="2"/>
  <c r="F1523" i="2" a="1"/>
  <c r="F1523" i="2" s="1"/>
  <c r="G1523" i="2"/>
  <c r="F1524" i="2" a="1"/>
  <c r="F1524" i="2" s="1"/>
  <c r="G1524" i="2"/>
  <c r="F1525" i="2" a="1"/>
  <c r="F1525" i="2" s="1"/>
  <c r="G1525" i="2"/>
  <c r="F1526" i="2" a="1"/>
  <c r="F1526" i="2" s="1"/>
  <c r="G1526" i="2"/>
  <c r="F1527" i="2" a="1"/>
  <c r="F1527" i="2" s="1"/>
  <c r="G1527" i="2"/>
  <c r="F1528" i="2" a="1"/>
  <c r="F1528" i="2" s="1"/>
  <c r="G1528" i="2"/>
  <c r="F1529" i="2" a="1"/>
  <c r="F1529" i="2" s="1"/>
  <c r="G1529" i="2"/>
  <c r="F1530" i="2" a="1"/>
  <c r="F1530" i="2" s="1"/>
  <c r="G1530" i="2"/>
  <c r="F1531" i="2" a="1"/>
  <c r="F1531" i="2" s="1"/>
  <c r="G1531" i="2"/>
  <c r="F1532" i="2" a="1"/>
  <c r="F1532" i="2" s="1"/>
  <c r="G1532" i="2"/>
  <c r="F1533" i="2" a="1"/>
  <c r="F1533" i="2" s="1"/>
  <c r="G1533" i="2"/>
  <c r="F1534" i="2" a="1"/>
  <c r="F1534" i="2" s="1"/>
  <c r="G1534" i="2"/>
  <c r="F1535" i="2" a="1"/>
  <c r="F1535" i="2" s="1"/>
  <c r="G1535" i="2"/>
  <c r="F1536" i="2" a="1"/>
  <c r="F1536" i="2" s="1"/>
  <c r="G1536" i="2"/>
  <c r="F1537" i="2" a="1"/>
  <c r="F1537" i="2" s="1"/>
  <c r="G1537" i="2"/>
  <c r="F1538" i="2" a="1"/>
  <c r="F1538" i="2" s="1"/>
  <c r="G1538" i="2"/>
  <c r="F1539" i="2" a="1"/>
  <c r="F1539" i="2" s="1"/>
  <c r="G1539" i="2"/>
  <c r="F1540" i="2" a="1"/>
  <c r="F1540" i="2" s="1"/>
  <c r="G1540" i="2"/>
  <c r="F1541" i="2" a="1"/>
  <c r="F1541" i="2" s="1"/>
  <c r="G1541" i="2"/>
  <c r="F1542" i="2" a="1"/>
  <c r="F1542" i="2" s="1"/>
  <c r="G1542" i="2"/>
  <c r="F1543" i="2" a="1"/>
  <c r="F1543" i="2" s="1"/>
  <c r="G1543" i="2"/>
  <c r="F1544" i="2" a="1"/>
  <c r="F1544" i="2" s="1"/>
  <c r="G1544" i="2"/>
  <c r="F1545" i="2" a="1"/>
  <c r="F1545" i="2" s="1"/>
  <c r="G1545" i="2"/>
  <c r="F1546" i="2" a="1"/>
  <c r="F1546" i="2" s="1"/>
  <c r="G1546" i="2"/>
  <c r="F1547" i="2" a="1"/>
  <c r="F1547" i="2" s="1"/>
  <c r="G1547" i="2"/>
  <c r="F1548" i="2" a="1"/>
  <c r="F1548" i="2" s="1"/>
  <c r="G1548" i="2"/>
  <c r="F1549" i="2" a="1"/>
  <c r="F1549" i="2" s="1"/>
  <c r="G1549" i="2"/>
  <c r="F1550" i="2" a="1"/>
  <c r="F1550" i="2" s="1"/>
  <c r="G1550" i="2"/>
  <c r="F1551" i="2" a="1"/>
  <c r="F1551" i="2" s="1"/>
  <c r="G1551" i="2"/>
  <c r="F1552" i="2" a="1"/>
  <c r="F1552" i="2" s="1"/>
  <c r="G1552" i="2"/>
  <c r="F1553" i="2" a="1"/>
  <c r="F1553" i="2" s="1"/>
  <c r="G1553" i="2"/>
  <c r="F1554" i="2" a="1"/>
  <c r="F1554" i="2" s="1"/>
  <c r="G1554" i="2"/>
  <c r="F1555" i="2" a="1"/>
  <c r="F1555" i="2" s="1"/>
  <c r="G1555" i="2"/>
  <c r="F1556" i="2" a="1"/>
  <c r="F1556" i="2" s="1"/>
  <c r="G1556" i="2"/>
  <c r="F1557" i="2" a="1"/>
  <c r="F1557" i="2" s="1"/>
  <c r="G1557" i="2"/>
  <c r="F1558" i="2" a="1"/>
  <c r="F1558" i="2" s="1"/>
  <c r="G1558" i="2"/>
  <c r="F1559" i="2" a="1"/>
  <c r="F1559" i="2" s="1"/>
  <c r="G1559" i="2"/>
  <c r="F1560" i="2" a="1"/>
  <c r="F1560" i="2" s="1"/>
  <c r="G1560" i="2"/>
  <c r="F1561" i="2" a="1"/>
  <c r="F1561" i="2" s="1"/>
  <c r="G1561" i="2"/>
  <c r="F1562" i="2" a="1"/>
  <c r="F1562" i="2" s="1"/>
  <c r="G1562" i="2"/>
  <c r="F1563" i="2" a="1"/>
  <c r="F1563" i="2" s="1"/>
  <c r="G1563" i="2"/>
  <c r="F1564" i="2" a="1"/>
  <c r="F1564" i="2" s="1"/>
  <c r="G1564" i="2"/>
  <c r="F1565" i="2" a="1"/>
  <c r="F1565" i="2" s="1"/>
  <c r="G1565" i="2"/>
  <c r="F1566" i="2" a="1"/>
  <c r="F1566" i="2" s="1"/>
  <c r="G1566" i="2"/>
  <c r="F1567" i="2" a="1"/>
  <c r="F1567" i="2" s="1"/>
  <c r="G1567" i="2"/>
  <c r="F1568" i="2" a="1"/>
  <c r="F1568" i="2" s="1"/>
  <c r="G1568" i="2"/>
  <c r="F1569" i="2" a="1"/>
  <c r="F1569" i="2" s="1"/>
  <c r="G1569" i="2"/>
  <c r="F1570" i="2" a="1"/>
  <c r="F1570" i="2" s="1"/>
  <c r="G1570" i="2"/>
  <c r="F1571" i="2" a="1"/>
  <c r="F1571" i="2" s="1"/>
  <c r="G1571" i="2"/>
  <c r="F1572" i="2" a="1"/>
  <c r="F1572" i="2" s="1"/>
  <c r="G1572" i="2"/>
  <c r="F1573" i="2" a="1"/>
  <c r="F1573" i="2" s="1"/>
  <c r="G1573" i="2"/>
  <c r="F1574" i="2" a="1"/>
  <c r="F1574" i="2" s="1"/>
  <c r="G1574" i="2"/>
  <c r="F1575" i="2" a="1"/>
  <c r="F1575" i="2" s="1"/>
  <c r="G1575" i="2"/>
  <c r="F1576" i="2" a="1"/>
  <c r="F1576" i="2" s="1"/>
  <c r="G1576" i="2"/>
  <c r="F1577" i="2" a="1"/>
  <c r="F1577" i="2" s="1"/>
  <c r="G1577" i="2"/>
  <c r="F1578" i="2" a="1"/>
  <c r="F1578" i="2" s="1"/>
  <c r="G1578" i="2"/>
  <c r="F1579" i="2" a="1"/>
  <c r="F1579" i="2" s="1"/>
  <c r="G1579" i="2"/>
  <c r="F1580" i="2" a="1"/>
  <c r="F1580" i="2" s="1"/>
  <c r="G1580" i="2"/>
  <c r="F1581" i="2" a="1"/>
  <c r="F1581" i="2" s="1"/>
  <c r="G1581" i="2"/>
  <c r="F1582" i="2" a="1"/>
  <c r="F1582" i="2" s="1"/>
  <c r="G1582" i="2"/>
  <c r="F1583" i="2" a="1"/>
  <c r="F1583" i="2" s="1"/>
  <c r="G1583" i="2"/>
  <c r="F1584" i="2" a="1"/>
  <c r="F1584" i="2" s="1"/>
  <c r="G1584" i="2"/>
  <c r="F1585" i="2" a="1"/>
  <c r="F1585" i="2" s="1"/>
  <c r="G1585" i="2"/>
  <c r="F1586" i="2" a="1"/>
  <c r="F1586" i="2" s="1"/>
  <c r="G1586" i="2"/>
  <c r="F1587" i="2" a="1"/>
  <c r="F1587" i="2" s="1"/>
  <c r="G1587" i="2"/>
  <c r="F1588" i="2" a="1"/>
  <c r="F1588" i="2" s="1"/>
  <c r="G1588" i="2"/>
  <c r="F1589" i="2" a="1"/>
  <c r="F1589" i="2" s="1"/>
  <c r="G1589" i="2"/>
  <c r="F1590" i="2" a="1"/>
  <c r="F1590" i="2" s="1"/>
  <c r="G1590" i="2"/>
  <c r="F1591" i="2" a="1"/>
  <c r="F1591" i="2" s="1"/>
  <c r="G1591" i="2"/>
  <c r="F1592" i="2" a="1"/>
  <c r="F1592" i="2" s="1"/>
  <c r="G1592" i="2"/>
  <c r="F1593" i="2" a="1"/>
  <c r="F1593" i="2" s="1"/>
  <c r="G1593" i="2"/>
  <c r="F1594" i="2" a="1"/>
  <c r="F1594" i="2" s="1"/>
  <c r="G1594" i="2"/>
  <c r="F1595" i="2" a="1"/>
  <c r="F1595" i="2" s="1"/>
  <c r="G1595" i="2"/>
  <c r="F1596" i="2" a="1"/>
  <c r="F1596" i="2" s="1"/>
  <c r="G1596" i="2"/>
  <c r="F1597" i="2" a="1"/>
  <c r="F1597" i="2" s="1"/>
  <c r="G1597" i="2"/>
  <c r="F1598" i="2" a="1"/>
  <c r="F1598" i="2" s="1"/>
  <c r="G1598" i="2"/>
  <c r="F1599" i="2" a="1"/>
  <c r="F1599" i="2" s="1"/>
  <c r="G1599" i="2"/>
  <c r="F1600" i="2" a="1"/>
  <c r="F1600" i="2" s="1"/>
  <c r="G1600" i="2"/>
  <c r="F1601" i="2" a="1"/>
  <c r="F1601" i="2" s="1"/>
  <c r="G1601" i="2"/>
  <c r="F1602" i="2" a="1"/>
  <c r="F1602" i="2" s="1"/>
  <c r="G1602" i="2"/>
  <c r="F1603" i="2" a="1"/>
  <c r="F1603" i="2" s="1"/>
  <c r="G1603" i="2"/>
  <c r="F1604" i="2" a="1"/>
  <c r="F1604" i="2" s="1"/>
  <c r="G1604" i="2"/>
  <c r="F1605" i="2" a="1"/>
  <c r="F1605" i="2" s="1"/>
  <c r="G1605" i="2"/>
  <c r="F1606" i="2" a="1"/>
  <c r="F1606" i="2" s="1"/>
  <c r="G1606" i="2"/>
  <c r="F1607" i="2" a="1"/>
  <c r="F1607" i="2" s="1"/>
  <c r="G1607" i="2"/>
  <c r="F1608" i="2" a="1"/>
  <c r="F1608" i="2" s="1"/>
  <c r="G1608" i="2"/>
  <c r="F1609" i="2" a="1"/>
  <c r="F1609" i="2" s="1"/>
  <c r="G1609" i="2"/>
  <c r="F1610" i="2" a="1"/>
  <c r="F1610" i="2" s="1"/>
  <c r="G1610" i="2"/>
  <c r="F2" i="2" a="1"/>
  <c r="F2" i="2" s="1"/>
  <c r="G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<sst xmlns="http://schemas.openxmlformats.org/spreadsheetml/2006/main" count="24129" uniqueCount="434">
  <si>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</si>
  <si>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</si>
  <si>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</si>
  <si>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</si>
  <si>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</si>
  <si>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</si>
  <si>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</si>
  <si>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</si>
  <si>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</si>
  <si>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</si>
  <si>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</si>
  <si>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</si>
  <si>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</si>
  <si>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</si>
  <si>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</si>
  <si>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</si>
  <si>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27/04/2022</t>
  </si>
  <si>
    <t>24/02/2022</t>
  </si>
  <si>
    <t>Smooth Sliky Salty</t>
  </si>
  <si>
    <t>Oby Sorrel</t>
  </si>
  <si>
    <t>99% Dark &amp; Pure</t>
  </si>
  <si>
    <t>25/01/2022</t>
  </si>
  <si>
    <t>Gunar Cockshoot</t>
  </si>
  <si>
    <t>After Nines</t>
  </si>
  <si>
    <t>24/03/2022</t>
  </si>
  <si>
    <t>New Zealand</t>
  </si>
  <si>
    <t>50% Dark Bites</t>
  </si>
  <si>
    <t>20/04/2022</t>
  </si>
  <si>
    <t>Brien Boise</t>
  </si>
  <si>
    <t>Rafaelita Blaksland</t>
  </si>
  <si>
    <t>13/01/2022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</si>
  <si>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</si>
  <si>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</si>
  <si>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</si>
  <si>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</si>
  <si>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</si>
  <si>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</si>
  <si>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</si>
  <si>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</si>
  <si>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28/07/2022</t>
  </si>
  <si>
    <t>Marney O'Breen</t>
  </si>
  <si>
    <t>Beverie Moffet</t>
  </si>
  <si>
    <t>Organic Choco Syrup</t>
  </si>
  <si>
    <t>26/01/2022</t>
  </si>
  <si>
    <t>14/02/2022</t>
  </si>
  <si>
    <t>Roddy Speechley</t>
  </si>
  <si>
    <t>Milk Bars</t>
  </si>
  <si>
    <t>16/02/2022</t>
  </si>
  <si>
    <t>Curtice Advani</t>
  </si>
  <si>
    <t>27/06/2022</t>
  </si>
  <si>
    <t>Spicy Special Slims</t>
  </si>
  <si>
    <t>17/02/2022</t>
  </si>
  <si>
    <t>30/05/2022</t>
  </si>
  <si>
    <t>Husein Augar</t>
  </si>
  <si>
    <t>14/03/2022</t>
  </si>
  <si>
    <t>Kaine Padly</t>
  </si>
  <si>
    <t>28/02/2022</t>
  </si>
  <si>
    <t>Fruit &amp; Nut Bars</t>
  </si>
  <si>
    <t>Dennison Crosswaite</t>
  </si>
  <si>
    <t>White Choc</t>
  </si>
  <si>
    <t>Manuka Honey Choco</t>
  </si>
  <si>
    <t>15/06/2022</t>
  </si>
  <si>
    <t>24/05/2022</t>
  </si>
  <si>
    <t>29/06/2022</t>
  </si>
  <si>
    <t>Wilone O'Kielt</t>
  </si>
  <si>
    <t>Almond Choco</t>
  </si>
  <si>
    <t>30/06/2022</t>
  </si>
  <si>
    <t>Andria Kimpton</t>
  </si>
  <si>
    <t>22/07/2022</t>
  </si>
  <si>
    <t>24/08/2022</t>
  </si>
  <si>
    <t>Kelci Walkden</t>
  </si>
  <si>
    <t>Camilla Castle</t>
  </si>
  <si>
    <t>19/05/2022</t>
  </si>
  <si>
    <t>Raspberry Choco</t>
  </si>
  <si>
    <t>15/04/2022</t>
  </si>
  <si>
    <t>Choco Coated Almonds</t>
  </si>
  <si>
    <t>23/02/2022</t>
  </si>
  <si>
    <t>Madelene Upcott</t>
  </si>
  <si>
    <t>22/08/2022</t>
  </si>
  <si>
    <t>Dotty Strutley</t>
  </si>
  <si>
    <t>19/07/2022</t>
  </si>
  <si>
    <t>19/04/2022</t>
  </si>
  <si>
    <t>15/07/2022</t>
  </si>
  <si>
    <t>Ches Bonnell</t>
  </si>
  <si>
    <t>18/05/2022</t>
  </si>
  <si>
    <t>28/06/2022</t>
  </si>
  <si>
    <t>16/05/2022</t>
  </si>
  <si>
    <t>Baker's Choco Chips</t>
  </si>
  <si>
    <t>26/05/2022</t>
  </si>
  <si>
    <t>27/05/2022</t>
  </si>
  <si>
    <t>Caramel Stuffed Bars</t>
  </si>
  <si>
    <t>14/04/2022</t>
  </si>
  <si>
    <t>20/06/2022</t>
  </si>
  <si>
    <t>26/08/2022</t>
  </si>
  <si>
    <t>13/07/2022</t>
  </si>
  <si>
    <t>27/01/2022</t>
  </si>
  <si>
    <t>31/01/2022</t>
  </si>
  <si>
    <t>18/08/2022</t>
  </si>
  <si>
    <t>23/08/2022</t>
  </si>
  <si>
    <t>25/05/2022</t>
  </si>
  <si>
    <t>70% Dark Bites</t>
  </si>
  <si>
    <t>26/07/2022</t>
  </si>
  <si>
    <t>28/03/2022</t>
  </si>
  <si>
    <t>25/08/2022</t>
  </si>
  <si>
    <t>25/02/2022</t>
  </si>
  <si>
    <t>19/01/2022</t>
  </si>
  <si>
    <t>24/01/2022</t>
  </si>
  <si>
    <t>28/01/2022</t>
  </si>
  <si>
    <t>16/03/2022</t>
  </si>
  <si>
    <t>21/02/2022</t>
  </si>
  <si>
    <t>23/03/2022</t>
  </si>
  <si>
    <t>16/06/2022</t>
  </si>
  <si>
    <t>15/08/2022</t>
  </si>
  <si>
    <t>25/07/2022</t>
  </si>
  <si>
    <t>25/04/2022</t>
  </si>
  <si>
    <t>18/01/2022</t>
  </si>
  <si>
    <t>29/04/2022</t>
  </si>
  <si>
    <t>31/03/2022</t>
  </si>
  <si>
    <t>29/03/2022</t>
  </si>
  <si>
    <t>20/05/2022</t>
  </si>
  <si>
    <t>29/07/2022</t>
  </si>
  <si>
    <t>13/04/2022</t>
  </si>
  <si>
    <t>14/01/2022</t>
  </si>
  <si>
    <t>17/03/2022</t>
  </si>
  <si>
    <t>21/01/2022</t>
  </si>
  <si>
    <t>22/02/2022</t>
  </si>
  <si>
    <t>31/05/2022</t>
  </si>
  <si>
    <t>14/06/2022</t>
  </si>
  <si>
    <t>13/06/2022</t>
  </si>
  <si>
    <t>27/07/2022</t>
  </si>
  <si>
    <t>13/05/2022</t>
  </si>
  <si>
    <t>15/03/2022</t>
  </si>
  <si>
    <t>25/03/2022</t>
  </si>
  <si>
    <t>18/03/2022</t>
  </si>
  <si>
    <t>22/04/2022</t>
  </si>
  <si>
    <t>17/08/2022</t>
  </si>
  <si>
    <t>23/05/2022</t>
  </si>
  <si>
    <t>19/08/2022</t>
  </si>
  <si>
    <t>21/04/2022</t>
  </si>
  <si>
    <t>22/03/2022</t>
  </si>
  <si>
    <t>30/08/2022</t>
  </si>
  <si>
    <t>21/07/2022</t>
  </si>
  <si>
    <t>23/06/2022</t>
  </si>
  <si>
    <t>24/06/2022</t>
  </si>
  <si>
    <t>17/05/2022</t>
  </si>
  <si>
    <t>18/07/2022</t>
  </si>
  <si>
    <t>21/06/2022</t>
  </si>
  <si>
    <t>22/06/2022</t>
  </si>
  <si>
    <t>21/03/2022</t>
  </si>
  <si>
    <t>15/02/2022</t>
  </si>
  <si>
    <t>31/08/2022</t>
  </si>
  <si>
    <t>26/04/2022</t>
  </si>
  <si>
    <t>17/01/2022</t>
  </si>
  <si>
    <t>17/06/2022</t>
  </si>
  <si>
    <t>18/04/2022</t>
  </si>
  <si>
    <t>30/03/2022</t>
  </si>
  <si>
    <t>16/08/2022</t>
  </si>
  <si>
    <t>18/02/2022</t>
  </si>
  <si>
    <t>20/07/2022</t>
  </si>
  <si>
    <t>28/04/2022</t>
  </si>
  <si>
    <t>14/07/2022</t>
  </si>
  <si>
    <t>20/01/2022</t>
  </si>
  <si>
    <t>27/04/2023</t>
  </si>
  <si>
    <t>24/02/2023</t>
  </si>
  <si>
    <t>25/01/2023</t>
  </si>
  <si>
    <t>24/03/2023</t>
  </si>
  <si>
    <t>20/04/2023</t>
  </si>
  <si>
    <t>13/01/2023</t>
  </si>
  <si>
    <t>28/07/2023</t>
  </si>
  <si>
    <t>26/01/2023</t>
  </si>
  <si>
    <t>14/02/2023</t>
  </si>
  <si>
    <t>16/02/2023</t>
  </si>
  <si>
    <t>27/06/2023</t>
  </si>
  <si>
    <t>17/02/2023</t>
  </si>
  <si>
    <t>30/05/2023</t>
  </si>
  <si>
    <t>14/03/2023</t>
  </si>
  <si>
    <t>28/02/2023</t>
  </si>
  <si>
    <t>15/06/2023</t>
  </si>
  <si>
    <t>24/05/2023</t>
  </si>
  <si>
    <t>29/06/2023</t>
  </si>
  <si>
    <t>30/06/2023</t>
  </si>
  <si>
    <t>22/07/2023</t>
  </si>
  <si>
    <t>24/08/2023</t>
  </si>
  <si>
    <t>19/05/2023</t>
  </si>
  <si>
    <t>15/04/2023</t>
  </si>
  <si>
    <t>23/02/2023</t>
  </si>
  <si>
    <t>22/08/2023</t>
  </si>
  <si>
    <t>19/07/2023</t>
  </si>
  <si>
    <t>19/04/2023</t>
  </si>
  <si>
    <t>15/07/2023</t>
  </si>
  <si>
    <t>18/05/2023</t>
  </si>
  <si>
    <t>28/06/2023</t>
  </si>
  <si>
    <t>16/05/2023</t>
  </si>
  <si>
    <t>26/05/2023</t>
  </si>
  <si>
    <t>27/05/2023</t>
  </si>
  <si>
    <t>14/04/2023</t>
  </si>
  <si>
    <t>20/06/2023</t>
  </si>
  <si>
    <t>26/08/2023</t>
  </si>
  <si>
    <t>13/07/2023</t>
  </si>
  <si>
    <t>27/01/2023</t>
  </si>
  <si>
    <t>31/01/2023</t>
  </si>
  <si>
    <t>18/08/2023</t>
  </si>
  <si>
    <t>23/08/2023</t>
  </si>
  <si>
    <t>25/05/2023</t>
  </si>
  <si>
    <t>26/07/2023</t>
  </si>
  <si>
    <t>28/03/2023</t>
  </si>
  <si>
    <t>25/08/2023</t>
  </si>
  <si>
    <t>25/02/2023</t>
  </si>
  <si>
    <t>19/01/2023</t>
  </si>
  <si>
    <t>24/01/2023</t>
  </si>
  <si>
    <t>28/01/2023</t>
  </si>
  <si>
    <t>16/03/2023</t>
  </si>
  <si>
    <t>21/02/2023</t>
  </si>
  <si>
    <t>23/03/2023</t>
  </si>
  <si>
    <t>16/06/2023</t>
  </si>
  <si>
    <t>15/08/2023</t>
  </si>
  <si>
    <t>25/07/2023</t>
  </si>
  <si>
    <t>25/04/2023</t>
  </si>
  <si>
    <t>18/01/2023</t>
  </si>
  <si>
    <t>29/04/2023</t>
  </si>
  <si>
    <t>31/03/2023</t>
  </si>
  <si>
    <t>29/03/2023</t>
  </si>
  <si>
    <t>20/05/2023</t>
  </si>
  <si>
    <t>29/07/2023</t>
  </si>
  <si>
    <t>13/04/2023</t>
  </si>
  <si>
    <t>14/01/2023</t>
  </si>
  <si>
    <t>17/03/2023</t>
  </si>
  <si>
    <t>21/01/2023</t>
  </si>
  <si>
    <t>22/02/2023</t>
  </si>
  <si>
    <t>31/05/2023</t>
  </si>
  <si>
    <t>14/06/2023</t>
  </si>
  <si>
    <t>13/06/2023</t>
  </si>
  <si>
    <t>27/07/2023</t>
  </si>
  <si>
    <t>13/05/2023</t>
  </si>
  <si>
    <t>15/03/2023</t>
  </si>
  <si>
    <t>25/03/2023</t>
  </si>
  <si>
    <t>18/03/2023</t>
  </si>
  <si>
    <t>22/04/2023</t>
  </si>
  <si>
    <t>17/08/2023</t>
  </si>
  <si>
    <t>23/05/2023</t>
  </si>
  <si>
    <t>19/08/2023</t>
  </si>
  <si>
    <t>21/04/2023</t>
  </si>
  <si>
    <t>22/03/2023</t>
  </si>
  <si>
    <t>30/08/2023</t>
  </si>
  <si>
    <t>21/07/2023</t>
  </si>
  <si>
    <t>23/06/2023</t>
  </si>
  <si>
    <t>24/06/2023</t>
  </si>
  <si>
    <t>17/05/2023</t>
  </si>
  <si>
    <t>18/07/2023</t>
  </si>
  <si>
    <t>21/06/2023</t>
  </si>
  <si>
    <t>22/06/2023</t>
  </si>
  <si>
    <t>21/03/2023</t>
  </si>
  <si>
    <t>15/02/2023</t>
  </si>
  <si>
    <t>31/08/2023</t>
  </si>
  <si>
    <t>26/04/2023</t>
  </si>
  <si>
    <t>17/01/2023</t>
  </si>
  <si>
    <t>17/06/2023</t>
  </si>
  <si>
    <t>18/04/2023</t>
  </si>
  <si>
    <t>30/03/2023</t>
  </si>
  <si>
    <t>16/08/2023</t>
  </si>
  <si>
    <t>18/02/2023</t>
  </si>
  <si>
    <t>20/07/2023</t>
  </si>
  <si>
    <t>28/04/2023</t>
  </si>
  <si>
    <t>14/07/2023</t>
  </si>
  <si>
    <t>20/01/2023</t>
  </si>
  <si>
    <t>27/04/2024</t>
  </si>
  <si>
    <t>24/02/2024</t>
  </si>
  <si>
    <t>25/01/2024</t>
  </si>
  <si>
    <t>24/03/2024</t>
  </si>
  <si>
    <t>20/04/2024</t>
  </si>
  <si>
    <t>13/01/2024</t>
  </si>
  <si>
    <t>28/07/2024</t>
  </si>
  <si>
    <t>26/01/2024</t>
  </si>
  <si>
    <t>14/02/2024</t>
  </si>
  <si>
    <t>16/02/2024</t>
  </si>
  <si>
    <t>27/06/2024</t>
  </si>
  <si>
    <t>17/02/2024</t>
  </si>
  <si>
    <t>30/05/2024</t>
  </si>
  <si>
    <t>14/03/2024</t>
  </si>
  <si>
    <t>28/02/2024</t>
  </si>
  <si>
    <t>15/06/2024</t>
  </si>
  <si>
    <t>24/05/2024</t>
  </si>
  <si>
    <t>29/06/2024</t>
  </si>
  <si>
    <t>30/06/2024</t>
  </si>
  <si>
    <t>22/07/2024</t>
  </si>
  <si>
    <t>24/08/2024</t>
  </si>
  <si>
    <t>19/05/2024</t>
  </si>
  <si>
    <t>15/04/2024</t>
  </si>
  <si>
    <t>23/02/2024</t>
  </si>
  <si>
    <t>22/08/2024</t>
  </si>
  <si>
    <t>19/07/2024</t>
  </si>
  <si>
    <t>19/04/2024</t>
  </si>
  <si>
    <t>15/07/2024</t>
  </si>
  <si>
    <t>18/05/2024</t>
  </si>
  <si>
    <t>28/06/2024</t>
  </si>
  <si>
    <t>16/05/2024</t>
  </si>
  <si>
    <t>26/05/2024</t>
  </si>
  <si>
    <t>27/05/2024</t>
  </si>
  <si>
    <t>14/04/2024</t>
  </si>
  <si>
    <t>20/06/2024</t>
  </si>
  <si>
    <t>26/08/2024</t>
  </si>
  <si>
    <t>13/07/2024</t>
  </si>
  <si>
    <t>27/01/2024</t>
  </si>
  <si>
    <t>31/01/2024</t>
  </si>
  <si>
    <t>18/08/2024</t>
  </si>
  <si>
    <t>23/08/2024</t>
  </si>
  <si>
    <t>25/05/2024</t>
  </si>
  <si>
    <t>26/07/2024</t>
  </si>
  <si>
    <t>28/03/2024</t>
  </si>
  <si>
    <t>25/08/2024</t>
  </si>
  <si>
    <t>25/02/2024</t>
  </si>
  <si>
    <t>19/01/2024</t>
  </si>
  <si>
    <t>24/01/2024</t>
  </si>
  <si>
    <t>28/01/2024</t>
  </si>
  <si>
    <t>16/03/2024</t>
  </si>
  <si>
    <t>21/02/2024</t>
  </si>
  <si>
    <t>23/03/2024</t>
  </si>
  <si>
    <t>16/06/2024</t>
  </si>
  <si>
    <t>15/08/2024</t>
  </si>
  <si>
    <t>25/07/2024</t>
  </si>
  <si>
    <t>25/04/2024</t>
  </si>
  <si>
    <t>18/01/2024</t>
  </si>
  <si>
    <t>29/04/2024</t>
  </si>
  <si>
    <t>31/03/2024</t>
  </si>
  <si>
    <t>29/03/2024</t>
  </si>
  <si>
    <t>20/05/2024</t>
  </si>
  <si>
    <t>29/07/2024</t>
  </si>
  <si>
    <t>13/04/2024</t>
  </si>
  <si>
    <t>14/01/2024</t>
  </si>
  <si>
    <t>17/03/2024</t>
  </si>
  <si>
    <t>21/01/2024</t>
  </si>
  <si>
    <t>22/02/2024</t>
  </si>
  <si>
    <t>31/05/2024</t>
  </si>
  <si>
    <t>14/06/2024</t>
  </si>
  <si>
    <t>13/06/2024</t>
  </si>
  <si>
    <t>27/07/2024</t>
  </si>
  <si>
    <t>13/05/2024</t>
  </si>
  <si>
    <t>15/03/2024</t>
  </si>
  <si>
    <t>25/03/2024</t>
  </si>
  <si>
    <t>18/03/2024</t>
  </si>
  <si>
    <t>22/04/2024</t>
  </si>
  <si>
    <t>17/08/2024</t>
  </si>
  <si>
    <t>23/05/2024</t>
  </si>
  <si>
    <t>19/08/2024</t>
  </si>
  <si>
    <t>21/04/2024</t>
  </si>
  <si>
    <t>22/03/2024</t>
  </si>
  <si>
    <t>30/08/2024</t>
  </si>
  <si>
    <t>21/07/2024</t>
  </si>
  <si>
    <t>23/06/2024</t>
  </si>
  <si>
    <t>24/06/2024</t>
  </si>
  <si>
    <t>17/05/2024</t>
  </si>
  <si>
    <t>18/07/2024</t>
  </si>
  <si>
    <t>21/06/2024</t>
  </si>
  <si>
    <t>22/06/2024</t>
  </si>
  <si>
    <t>21/03/2024</t>
  </si>
  <si>
    <t>15/02/2024</t>
  </si>
  <si>
    <t>31/08/2024</t>
  </si>
  <si>
    <t>26/04/2024</t>
  </si>
  <si>
    <t>17/01/2024</t>
  </si>
  <si>
    <t>17/06/2024</t>
  </si>
  <si>
    <t>18/04/2024</t>
  </si>
  <si>
    <t>30/03/2024</t>
  </si>
  <si>
    <t>16/08/2024</t>
  </si>
  <si>
    <t>18/02/2024</t>
  </si>
  <si>
    <t>20/07/2024</t>
  </si>
  <si>
    <t>28/04/2024</t>
  </si>
  <si>
    <t>14/07/2024</t>
  </si>
  <si>
    <t>20/01/2024</t>
  </si>
  <si>
    <t>Date in Text</t>
  </si>
  <si>
    <t>Year</t>
  </si>
  <si>
    <t>Month</t>
  </si>
  <si>
    <t>Average</t>
  </si>
  <si>
    <t>Average Bracket</t>
  </si>
  <si>
    <t>Rank</t>
  </si>
  <si>
    <t>Find the total sales amount generated.</t>
  </si>
  <si>
    <t>=</t>
  </si>
  <si>
    <t>Calculate the average sales amount.</t>
  </si>
  <si>
    <t>Count the total number of sales transactions.</t>
  </si>
  <si>
    <t>Find the total number of boxes shipped.</t>
  </si>
  <si>
    <t>Identify the highest sales amount recorded.</t>
  </si>
  <si>
    <t>Identify the lowest sales amount recorded.</t>
  </si>
  <si>
    <t>Average number of boxes per transaction</t>
  </si>
  <si>
    <t>Show total sales generated by each country.</t>
  </si>
  <si>
    <t>Find how many transactions each sales person made.</t>
  </si>
  <si>
    <t>Calculate month-over-month sales growth.</t>
  </si>
  <si>
    <t>Sum of Amount</t>
  </si>
  <si>
    <t>Count of Transactions</t>
  </si>
  <si>
    <t>MoM Sales Growth</t>
  </si>
  <si>
    <t>01</t>
  </si>
  <si>
    <t>02</t>
  </si>
  <si>
    <t>03</t>
  </si>
  <si>
    <t>04</t>
  </si>
  <si>
    <t>05</t>
  </si>
  <si>
    <t>06</t>
  </si>
  <si>
    <t>Grand Total</t>
  </si>
  <si>
    <t>07</t>
  </si>
  <si>
    <t>08</t>
  </si>
  <si>
    <t>09</t>
  </si>
  <si>
    <t>Determine which product generated the highest total sales.</t>
  </si>
  <si>
    <t>10</t>
  </si>
  <si>
    <t>11</t>
  </si>
  <si>
    <t>12</t>
  </si>
  <si>
    <t>Create a rolling average sales analysis over 3 months.</t>
  </si>
  <si>
    <t>3 Months Rolling Average.</t>
  </si>
  <si>
    <t>Determine the top 5 sales persons based on total sales amount.</t>
  </si>
  <si>
    <t>Identify seasonal sales trends across months and quarters.</t>
  </si>
  <si>
    <t>Quarterly Sales Trends</t>
  </si>
  <si>
    <t>Q1</t>
  </si>
  <si>
    <t>Find the country with the highest average sales amount.</t>
  </si>
  <si>
    <t>Average of Amount</t>
  </si>
  <si>
    <t>Q2</t>
  </si>
  <si>
    <t>Calculate monthly sales trends</t>
  </si>
  <si>
    <t>Q3</t>
  </si>
  <si>
    <t>Q4</t>
  </si>
  <si>
    <t>Find which products ship the highest average number of boxes.</t>
  </si>
  <si>
    <t>Average of Boxes Shipped</t>
  </si>
  <si>
    <t>Analyze the relationship between boxes shipped and sales amount.</t>
  </si>
  <si>
    <t>Calculate the percentage contribution of each country to total sales.</t>
  </si>
  <si>
    <t>Determine which sales person shipped the most boxes overall.</t>
  </si>
  <si>
    <t>Sum of Boxes Shipped</t>
  </si>
  <si>
    <t>Find products whose sales are above the overall average sales value.</t>
  </si>
  <si>
    <t>Analyze which month had the highest total sales.</t>
  </si>
  <si>
    <t>Create a ranking of products by total revenue generated.</t>
  </si>
  <si>
    <t>Product Rank</t>
  </si>
  <si>
    <t>Determine which country consistently performs best across months.</t>
  </si>
  <si>
    <t>Find the best-performing product in each country.</t>
  </si>
  <si>
    <t>CHOCOLATE SALES DASHBOARD</t>
  </si>
  <si>
    <t>KPI</t>
  </si>
  <si>
    <t>Formula</t>
  </si>
  <si>
    <t>Total Sales</t>
  </si>
  <si>
    <t>Total Boxes</t>
  </si>
  <si>
    <t>Top Country</t>
  </si>
  <si>
    <t>Top Product</t>
  </si>
  <si>
    <t>Top Sales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</si>
</sst>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charset val="1"/>
    </font>
    <font>
      <sz val="28"/>
      <color rgb="FFFFFFFF"/>
      <name val="Calibri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wrapText="1"/>
    </xf>
    <xf numFmtId="164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wrapText="1"/>
    </xf>
    <xf numFmtId="0" fontId="0" fillId="0" borderId="0" xfId="0" pivotButton="1"/>
    <xf numFmtId="0" fontId="19" fillId="0" borderId="0" xfId="0" applyFont="1"/>
    <xf numFmtId="0" fontId="0" fillId="0" borderId="0" xfId="0" applyAlignment="1">
      <alignment wrapText="1"/>
    </xf>
    <xf numFmtId="0" fontId="20" fillId="0" borderId="0" xfId="0" applyFont="1"/>
    <xf numFmtId="0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  <xf numFmtId="0" fontId="16" fillId="0" borderId="0" xfId="0" applyFont="1"/>
    <xf numFmtId="164" fontId="19" fillId="0" borderId="0" xfId="0" applyNumberFormat="1" applyFont="1"/>
    <xf numFmtId="164" fontId="0" fillId="0" borderId="0" xfId="0" applyNumberFormat="1" applyFont="1"/>
    <xf numFmtId="0" fontId="22" fillId="0" borderId="0" xfId="0" applyFont="1"/>
    <xf numFmtId="0" fontId="21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Project.xlsx]Pivot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Table'!$I$104:$I$116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Table'!$J$104:$J$116</c:f>
              <c:numCache>
                <c:formatCode>"$"#,##0.00</c:formatCode>
                <c:ptCount val="12"/>
                <c:pt idx="0">
                  <c:v>2560168.0799999977</c:v>
                </c:pt>
                <c:pt idx="1">
                  <c:v>2007663.860000002</c:v>
                </c:pt>
                <c:pt idx="2">
                  <c:v>1875715.5699999998</c:v>
                </c:pt>
                <c:pt idx="3">
                  <c:v>2374770.7399999993</c:v>
                </c:pt>
                <c:pt idx="4">
                  <c:v>2209469.810000001</c:v>
                </c:pt>
                <c:pt idx="5">
                  <c:v>2380040.98</c:v>
                </c:pt>
                <c:pt idx="6">
                  <c:v>2142430.8900000006</c:v>
                </c:pt>
                <c:pt idx="7">
                  <c:v>1663545.3200000003</c:v>
                </c:pt>
                <c:pt idx="8">
                  <c:v>461734.83999999997</c:v>
                </c:pt>
                <c:pt idx="9">
                  <c:v>594688.29000000027</c:v>
                </c:pt>
                <c:pt idx="10">
                  <c:v>900795.40000000037</c:v>
                </c:pt>
                <c:pt idx="11">
                  <c:v>620548.08000000007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BC-4DD9-B475-4917EB059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8231"/>
        <c:axId val="2230279"/>
      </c:barChart>
      <c:catAx>
        <c:axId val="2228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79"/>
        <c:crosses val="autoZero"/>
        <c:auto val="1"/>
        <c:lblAlgn val="ctr"/>
        <c:lblOffset val="100"/>
        <c:noMultiLvlLbl val="0"/>
      </c:catAx>
      <c:valAx>
        <c:axId val="2230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8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Project.xlsx]Pivot Table!PivotTable18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 Number of Boxes and Total Sales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scatterChart>
        <c:scatterStyle val="lineMarker"/>
        <c:varyColors val="0"/>
        <c:ser>
          <c:idx val="0"/>
          <c:order val="0"/>
          <c:tx>
            <c:strRef>
              <c:f>'Pivot Table'!$S$59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'Pivot Table'!$R$60:$R$567</c:f>
            </c:numRef>
          </c:xVal>
          <c:yVal>
            <c:numRef>
              <c:f>'Pivot Table'!$S$60:$S$567</c:f>
              <c:numCache>
                <c:formatCode>"$"#,##0.00</c:formatCode>
                <c:ptCount val="507"/>
                <c:pt idx="0">
                  <c:v>13573.82</c:v>
                </c:pt>
                <c:pt idx="1">
                  <c:v>39244.51</c:v>
                </c:pt>
                <c:pt idx="2">
                  <c:v>35578.679999999993</c:v>
                </c:pt>
                <c:pt idx="3">
                  <c:v>93950.849999999991</c:v>
                </c:pt>
                <c:pt idx="4">
                  <c:v>33794.239999999998</c:v>
                </c:pt>
                <c:pt idx="5">
                  <c:v>97698.159999999989</c:v>
                </c:pt>
                <c:pt idx="6">
                  <c:v>112324.5</c:v>
                </c:pt>
                <c:pt idx="7">
                  <c:v>23522.67</c:v>
                </c:pt>
                <c:pt idx="8">
                  <c:v>43398.15</c:v>
                </c:pt>
                <c:pt idx="9">
                  <c:v>76404.150000000009</c:v>
                </c:pt>
                <c:pt idx="10">
                  <c:v>142518.90000000002</c:v>
                </c:pt>
                <c:pt idx="11">
                  <c:v>176671.88</c:v>
                </c:pt>
                <c:pt idx="12">
                  <c:v>43967.63</c:v>
                </c:pt>
                <c:pt idx="13">
                  <c:v>87551.83</c:v>
                </c:pt>
                <c:pt idx="14">
                  <c:v>115097.44999999998</c:v>
                </c:pt>
                <c:pt idx="15">
                  <c:v>47810.8</c:v>
                </c:pt>
                <c:pt idx="16">
                  <c:v>4992.7999999999993</c:v>
                </c:pt>
                <c:pt idx="17">
                  <c:v>62223.95</c:v>
                </c:pt>
                <c:pt idx="18">
                  <c:v>38320.740000000005</c:v>
                </c:pt>
                <c:pt idx="19">
                  <c:v>39446.339999999997</c:v>
                </c:pt>
                <c:pt idx="20">
                  <c:v>113312.40000000001</c:v>
                </c:pt>
                <c:pt idx="21">
                  <c:v>103713.25999999998</c:v>
                </c:pt>
                <c:pt idx="22">
                  <c:v>82238.53</c:v>
                </c:pt>
                <c:pt idx="23">
                  <c:v>136440.46000000002</c:v>
                </c:pt>
                <c:pt idx="24">
                  <c:v>48295.56</c:v>
                </c:pt>
                <c:pt idx="25">
                  <c:v>140760.68</c:v>
                </c:pt>
                <c:pt idx="26">
                  <c:v>77241.37</c:v>
                </c:pt>
                <c:pt idx="27">
                  <c:v>79507.450000000012</c:v>
                </c:pt>
                <c:pt idx="28">
                  <c:v>50117.34</c:v>
                </c:pt>
                <c:pt idx="29">
                  <c:v>57803.329999999994</c:v>
                </c:pt>
                <c:pt idx="30">
                  <c:v>99488.18</c:v>
                </c:pt>
                <c:pt idx="31">
                  <c:v>62136</c:v>
                </c:pt>
                <c:pt idx="32">
                  <c:v>45323.17</c:v>
                </c:pt>
                <c:pt idx="33">
                  <c:v>15248.67</c:v>
                </c:pt>
                <c:pt idx="34">
                  <c:v>5622.28</c:v>
                </c:pt>
                <c:pt idx="35">
                  <c:v>3794.1</c:v>
                </c:pt>
                <c:pt idx="36">
                  <c:v>30711.43</c:v>
                </c:pt>
                <c:pt idx="37">
                  <c:v>64545.29</c:v>
                </c:pt>
                <c:pt idx="38">
                  <c:v>23161.799999999996</c:v>
                </c:pt>
                <c:pt idx="39">
                  <c:v>52481.53</c:v>
                </c:pt>
                <c:pt idx="40">
                  <c:v>82095.540000000008</c:v>
                </c:pt>
                <c:pt idx="41">
                  <c:v>78921.549999999988</c:v>
                </c:pt>
                <c:pt idx="42">
                  <c:v>67989.710000000006</c:v>
                </c:pt>
                <c:pt idx="43">
                  <c:v>117121.98</c:v>
                </c:pt>
                <c:pt idx="44">
                  <c:v>117939.81000000001</c:v>
                </c:pt>
                <c:pt idx="45">
                  <c:v>129108.66999999997</c:v>
                </c:pt>
                <c:pt idx="46">
                  <c:v>106888.74</c:v>
                </c:pt>
                <c:pt idx="47">
                  <c:v>77420.680000000008</c:v>
                </c:pt>
                <c:pt idx="48">
                  <c:v>121303.54</c:v>
                </c:pt>
                <c:pt idx="49">
                  <c:v>45134.57</c:v>
                </c:pt>
                <c:pt idx="50">
                  <c:v>133510.65000000002</c:v>
                </c:pt>
                <c:pt idx="51">
                  <c:v>70578.23</c:v>
                </c:pt>
                <c:pt idx="52">
                  <c:v>74233.52</c:v>
                </c:pt>
                <c:pt idx="53">
                  <c:v>137839.25999999998</c:v>
                </c:pt>
                <c:pt idx="54">
                  <c:v>81028.680000000008</c:v>
                </c:pt>
                <c:pt idx="55">
                  <c:v>63262.77</c:v>
                </c:pt>
                <c:pt idx="56">
                  <c:v>90170.489999999991</c:v>
                </c:pt>
                <c:pt idx="57">
                  <c:v>169813.85000000003</c:v>
                </c:pt>
                <c:pt idx="58">
                  <c:v>44385.560000000005</c:v>
                </c:pt>
                <c:pt idx="59">
                  <c:v>67535.05</c:v>
                </c:pt>
                <c:pt idx="60">
                  <c:v>34279.050000000003</c:v>
                </c:pt>
                <c:pt idx="61">
                  <c:v>65916.2</c:v>
                </c:pt>
                <c:pt idx="62">
                  <c:v>39179.950000000004</c:v>
                </c:pt>
                <c:pt idx="63">
                  <c:v>46953.43</c:v>
                </c:pt>
                <c:pt idx="64">
                  <c:v>43683.46</c:v>
                </c:pt>
                <c:pt idx="65">
                  <c:v>31261.01</c:v>
                </c:pt>
                <c:pt idx="66">
                  <c:v>63037.429999999993</c:v>
                </c:pt>
                <c:pt idx="67">
                  <c:v>62937.159999999996</c:v>
                </c:pt>
                <c:pt idx="68">
                  <c:v>37647.119999999995</c:v>
                </c:pt>
                <c:pt idx="69">
                  <c:v>37099.22</c:v>
                </c:pt>
                <c:pt idx="70">
                  <c:v>62112.65</c:v>
                </c:pt>
                <c:pt idx="71">
                  <c:v>43288.97</c:v>
                </c:pt>
                <c:pt idx="72">
                  <c:v>100176.92</c:v>
                </c:pt>
                <c:pt idx="73">
                  <c:v>31032.329999999994</c:v>
                </c:pt>
                <c:pt idx="74">
                  <c:v>36210.200000000004</c:v>
                </c:pt>
                <c:pt idx="75">
                  <c:v>60135.26</c:v>
                </c:pt>
                <c:pt idx="76">
                  <c:v>33935.579999999994</c:v>
                </c:pt>
                <c:pt idx="77">
                  <c:v>68037.59</c:v>
                </c:pt>
                <c:pt idx="78">
                  <c:v>84227.079999999973</c:v>
                </c:pt>
                <c:pt idx="79">
                  <c:v>106762.31000000003</c:v>
                </c:pt>
                <c:pt idx="80">
                  <c:v>46048.639999999999</c:v>
                </c:pt>
                <c:pt idx="81">
                  <c:v>76203.87000000001</c:v>
                </c:pt>
                <c:pt idx="82">
                  <c:v>109552.71999999999</c:v>
                </c:pt>
                <c:pt idx="83">
                  <c:v>126258.54</c:v>
                </c:pt>
                <c:pt idx="84">
                  <c:v>140740.57</c:v>
                </c:pt>
                <c:pt idx="85">
                  <c:v>46979.71</c:v>
                </c:pt>
                <c:pt idx="86">
                  <c:v>111572.14</c:v>
                </c:pt>
                <c:pt idx="87">
                  <c:v>133141.30000000002</c:v>
                </c:pt>
                <c:pt idx="88">
                  <c:v>70069.430000000008</c:v>
                </c:pt>
                <c:pt idx="89">
                  <c:v>87377.48000000001</c:v>
                </c:pt>
                <c:pt idx="90">
                  <c:v>128750.52</c:v>
                </c:pt>
                <c:pt idx="91">
                  <c:v>90451.37</c:v>
                </c:pt>
                <c:pt idx="92">
                  <c:v>73556.84</c:v>
                </c:pt>
                <c:pt idx="93">
                  <c:v>143000.12000000002</c:v>
                </c:pt>
                <c:pt idx="94">
                  <c:v>99076.74</c:v>
                </c:pt>
                <c:pt idx="95">
                  <c:v>81968.550000000017</c:v>
                </c:pt>
                <c:pt idx="96">
                  <c:v>44708.429999999993</c:v>
                </c:pt>
                <c:pt idx="97">
                  <c:v>43904.240000000005</c:v>
                </c:pt>
                <c:pt idx="98">
                  <c:v>96485.71</c:v>
                </c:pt>
                <c:pt idx="99">
                  <c:v>129170.52</c:v>
                </c:pt>
                <c:pt idx="100">
                  <c:v>90444.470000000016</c:v>
                </c:pt>
                <c:pt idx="101">
                  <c:v>126062.42000000001</c:v>
                </c:pt>
                <c:pt idx="102">
                  <c:v>100388.65999999999</c:v>
                </c:pt>
                <c:pt idx="103">
                  <c:v>64285</c:v>
                </c:pt>
                <c:pt idx="104">
                  <c:v>61525.84</c:v>
                </c:pt>
                <c:pt idx="105">
                  <c:v>75703.87</c:v>
                </c:pt>
                <c:pt idx="106">
                  <c:v>80308.91</c:v>
                </c:pt>
                <c:pt idx="107">
                  <c:v>48330.71</c:v>
                </c:pt>
                <c:pt idx="108">
                  <c:v>83210.77</c:v>
                </c:pt>
                <c:pt idx="109">
                  <c:v>44653.91</c:v>
                </c:pt>
                <c:pt idx="110">
                  <c:v>122970.89000000001</c:v>
                </c:pt>
                <c:pt idx="111">
                  <c:v>47915.38</c:v>
                </c:pt>
                <c:pt idx="112">
                  <c:v>81759.010000000009</c:v>
                </c:pt>
                <c:pt idx="113">
                  <c:v>49647.590000000004</c:v>
                </c:pt>
                <c:pt idx="114">
                  <c:v>55216.27</c:v>
                </c:pt>
                <c:pt idx="115">
                  <c:v>59665.289999999994</c:v>
                </c:pt>
                <c:pt idx="116">
                  <c:v>58798.2</c:v>
                </c:pt>
                <c:pt idx="117">
                  <c:v>72318.69</c:v>
                </c:pt>
                <c:pt idx="118">
                  <c:v>35738.78</c:v>
                </c:pt>
                <c:pt idx="119">
                  <c:v>70405.320000000007</c:v>
                </c:pt>
                <c:pt idx="120">
                  <c:v>78742.48000000001</c:v>
                </c:pt>
                <c:pt idx="121">
                  <c:v>35865.730000000003</c:v>
                </c:pt>
                <c:pt idx="122">
                  <c:v>57491.13</c:v>
                </c:pt>
                <c:pt idx="123">
                  <c:v>72621.339999999982</c:v>
                </c:pt>
                <c:pt idx="124">
                  <c:v>71372.05</c:v>
                </c:pt>
                <c:pt idx="125">
                  <c:v>52871.549999999996</c:v>
                </c:pt>
                <c:pt idx="126">
                  <c:v>32334.159999999996</c:v>
                </c:pt>
                <c:pt idx="127">
                  <c:v>63746.009999999995</c:v>
                </c:pt>
                <c:pt idx="128">
                  <c:v>62083.22</c:v>
                </c:pt>
                <c:pt idx="129">
                  <c:v>70610.59</c:v>
                </c:pt>
                <c:pt idx="130">
                  <c:v>49737.33</c:v>
                </c:pt>
                <c:pt idx="131">
                  <c:v>79409.649999999994</c:v>
                </c:pt>
                <c:pt idx="132">
                  <c:v>74346.16</c:v>
                </c:pt>
                <c:pt idx="133">
                  <c:v>96813.39999999998</c:v>
                </c:pt>
                <c:pt idx="134">
                  <c:v>64071.28</c:v>
                </c:pt>
                <c:pt idx="135">
                  <c:v>78735.22</c:v>
                </c:pt>
                <c:pt idx="136">
                  <c:v>66212.790000000008</c:v>
                </c:pt>
                <c:pt idx="137">
                  <c:v>88103.56</c:v>
                </c:pt>
                <c:pt idx="138">
                  <c:v>76336.86</c:v>
                </c:pt>
                <c:pt idx="139">
                  <c:v>72598.329999999987</c:v>
                </c:pt>
                <c:pt idx="140">
                  <c:v>77286.100000000006</c:v>
                </c:pt>
                <c:pt idx="141">
                  <c:v>102137.98999999999</c:v>
                </c:pt>
                <c:pt idx="142">
                  <c:v>93629.25</c:v>
                </c:pt>
                <c:pt idx="143">
                  <c:v>90572.3</c:v>
                </c:pt>
                <c:pt idx="144">
                  <c:v>79860.41</c:v>
                </c:pt>
                <c:pt idx="145">
                  <c:v>43527.830000000009</c:v>
                </c:pt>
                <c:pt idx="146">
                  <c:v>61604.790000000008</c:v>
                </c:pt>
                <c:pt idx="147">
                  <c:v>56805.819999999992</c:v>
                </c:pt>
                <c:pt idx="148">
                  <c:v>39808.159999999996</c:v>
                </c:pt>
                <c:pt idx="149">
                  <c:v>79513.17</c:v>
                </c:pt>
                <c:pt idx="150">
                  <c:v>88266.87999999999</c:v>
                </c:pt>
                <c:pt idx="151">
                  <c:v>41095.679999999993</c:v>
                </c:pt>
                <c:pt idx="152">
                  <c:v>40342.47</c:v>
                </c:pt>
                <c:pt idx="153">
                  <c:v>84244.37000000001</c:v>
                </c:pt>
                <c:pt idx="154">
                  <c:v>71628.260000000009</c:v>
                </c:pt>
                <c:pt idx="155">
                  <c:v>44489.46</c:v>
                </c:pt>
                <c:pt idx="156">
                  <c:v>82927.14</c:v>
                </c:pt>
                <c:pt idx="157">
                  <c:v>66060.72</c:v>
                </c:pt>
                <c:pt idx="158">
                  <c:v>72226.13</c:v>
                </c:pt>
                <c:pt idx="159">
                  <c:v>41565.82</c:v>
                </c:pt>
                <c:pt idx="160">
                  <c:v>25994.340000000004</c:v>
                </c:pt>
                <c:pt idx="161">
                  <c:v>63975.74</c:v>
                </c:pt>
                <c:pt idx="162">
                  <c:v>58667.219999999994</c:v>
                </c:pt>
                <c:pt idx="163">
                  <c:v>27308.769999999997</c:v>
                </c:pt>
                <c:pt idx="164">
                  <c:v>46730.820000000007</c:v>
                </c:pt>
                <c:pt idx="165">
                  <c:v>45515.18</c:v>
                </c:pt>
                <c:pt idx="166">
                  <c:v>60916.689999999995</c:v>
                </c:pt>
                <c:pt idx="167">
                  <c:v>70514.62999999999</c:v>
                </c:pt>
                <c:pt idx="168">
                  <c:v>48739.73</c:v>
                </c:pt>
                <c:pt idx="169">
                  <c:v>58713.600000000006</c:v>
                </c:pt>
                <c:pt idx="170">
                  <c:v>66515.489999999991</c:v>
                </c:pt>
                <c:pt idx="171">
                  <c:v>66118.649999999994</c:v>
                </c:pt>
                <c:pt idx="172">
                  <c:v>60041.439999999995</c:v>
                </c:pt>
                <c:pt idx="173">
                  <c:v>56147.25</c:v>
                </c:pt>
                <c:pt idx="174">
                  <c:v>92913.62</c:v>
                </c:pt>
                <c:pt idx="175">
                  <c:v>52930.630000000005</c:v>
                </c:pt>
                <c:pt idx="176">
                  <c:v>48606.259999999995</c:v>
                </c:pt>
                <c:pt idx="177">
                  <c:v>80034.520000000019</c:v>
                </c:pt>
                <c:pt idx="178">
                  <c:v>127599.96</c:v>
                </c:pt>
                <c:pt idx="179">
                  <c:v>85356.75</c:v>
                </c:pt>
                <c:pt idx="180">
                  <c:v>24782.710000000003</c:v>
                </c:pt>
                <c:pt idx="181">
                  <c:v>96046.590000000026</c:v>
                </c:pt>
                <c:pt idx="182">
                  <c:v>48924.59</c:v>
                </c:pt>
                <c:pt idx="183">
                  <c:v>74412.06</c:v>
                </c:pt>
                <c:pt idx="184">
                  <c:v>36819.26</c:v>
                </c:pt>
                <c:pt idx="185">
                  <c:v>16036.21</c:v>
                </c:pt>
                <c:pt idx="186">
                  <c:v>53936.65</c:v>
                </c:pt>
                <c:pt idx="187">
                  <c:v>62385.479999999996</c:v>
                </c:pt>
                <c:pt idx="188">
                  <c:v>46623.830000000009</c:v>
                </c:pt>
                <c:pt idx="189">
                  <c:v>9768.7799999999988</c:v>
                </c:pt>
                <c:pt idx="190">
                  <c:v>17377.16</c:v>
                </c:pt>
                <c:pt idx="191">
                  <c:v>63111.17</c:v>
                </c:pt>
                <c:pt idx="192">
                  <c:v>43239.14</c:v>
                </c:pt>
                <c:pt idx="193">
                  <c:v>51209.360000000008</c:v>
                </c:pt>
                <c:pt idx="194">
                  <c:v>15747.54</c:v>
                </c:pt>
                <c:pt idx="195">
                  <c:v>51967.840000000011</c:v>
                </c:pt>
                <c:pt idx="196">
                  <c:v>21323.3</c:v>
                </c:pt>
                <c:pt idx="197">
                  <c:v>56237.950000000004</c:v>
                </c:pt>
                <c:pt idx="198">
                  <c:v>32286.910000000003</c:v>
                </c:pt>
                <c:pt idx="199">
                  <c:v>57212.21</c:v>
                </c:pt>
                <c:pt idx="200">
                  <c:v>83229.67</c:v>
                </c:pt>
                <c:pt idx="201">
                  <c:v>11896.11</c:v>
                </c:pt>
                <c:pt idx="202">
                  <c:v>43233.61</c:v>
                </c:pt>
                <c:pt idx="203">
                  <c:v>70252.789999999994</c:v>
                </c:pt>
                <c:pt idx="204">
                  <c:v>20214.07</c:v>
                </c:pt>
                <c:pt idx="205">
                  <c:v>29501.879999999997</c:v>
                </c:pt>
                <c:pt idx="206">
                  <c:v>25991.87</c:v>
                </c:pt>
                <c:pt idx="207">
                  <c:v>47319.91</c:v>
                </c:pt>
                <c:pt idx="208">
                  <c:v>35005.72</c:v>
                </c:pt>
                <c:pt idx="209">
                  <c:v>63529.79</c:v>
                </c:pt>
                <c:pt idx="210">
                  <c:v>48256.35</c:v>
                </c:pt>
                <c:pt idx="211">
                  <c:v>51697.4</c:v>
                </c:pt>
                <c:pt idx="212">
                  <c:v>38263.65</c:v>
                </c:pt>
                <c:pt idx="213">
                  <c:v>21561.040000000001</c:v>
                </c:pt>
                <c:pt idx="214">
                  <c:v>22897.68</c:v>
                </c:pt>
                <c:pt idx="215">
                  <c:v>38645.379999999997</c:v>
                </c:pt>
                <c:pt idx="216">
                  <c:v>49275.76</c:v>
                </c:pt>
                <c:pt idx="217">
                  <c:v>33604.410000000003</c:v>
                </c:pt>
                <c:pt idx="218">
                  <c:v>39981.71</c:v>
                </c:pt>
                <c:pt idx="219">
                  <c:v>24460.710000000003</c:v>
                </c:pt>
                <c:pt idx="220">
                  <c:v>21775.160000000003</c:v>
                </c:pt>
                <c:pt idx="221">
                  <c:v>37480.99</c:v>
                </c:pt>
                <c:pt idx="222">
                  <c:v>40535.07</c:v>
                </c:pt>
                <c:pt idx="223">
                  <c:v>31632.27</c:v>
                </c:pt>
                <c:pt idx="224">
                  <c:v>28470.06</c:v>
                </c:pt>
                <c:pt idx="225">
                  <c:v>43244.03</c:v>
                </c:pt>
                <c:pt idx="226">
                  <c:v>58174.400000000009</c:v>
                </c:pt>
                <c:pt idx="227">
                  <c:v>12730.03</c:v>
                </c:pt>
                <c:pt idx="228">
                  <c:v>29468.18</c:v>
                </c:pt>
                <c:pt idx="229">
                  <c:v>28642.14</c:v>
                </c:pt>
                <c:pt idx="230">
                  <c:v>32063.75</c:v>
                </c:pt>
                <c:pt idx="231">
                  <c:v>63485.180000000008</c:v>
                </c:pt>
                <c:pt idx="232">
                  <c:v>46735.11</c:v>
                </c:pt>
                <c:pt idx="233">
                  <c:v>26519.010000000002</c:v>
                </c:pt>
                <c:pt idx="234">
                  <c:v>42621.95</c:v>
                </c:pt>
                <c:pt idx="235">
                  <c:v>29969.99</c:v>
                </c:pt>
                <c:pt idx="236">
                  <c:v>26703.8</c:v>
                </c:pt>
                <c:pt idx="237">
                  <c:v>52090.289999999994</c:v>
                </c:pt>
                <c:pt idx="238">
                  <c:v>14936.829999999998</c:v>
                </c:pt>
                <c:pt idx="239">
                  <c:v>13234.029999999999</c:v>
                </c:pt>
                <c:pt idx="240">
                  <c:v>33567.15</c:v>
                </c:pt>
                <c:pt idx="241">
                  <c:v>24848.06</c:v>
                </c:pt>
                <c:pt idx="242">
                  <c:v>18907.66</c:v>
                </c:pt>
                <c:pt idx="243">
                  <c:v>10025.869999999999</c:v>
                </c:pt>
                <c:pt idx="244">
                  <c:v>21939.81</c:v>
                </c:pt>
                <c:pt idx="245">
                  <c:v>4077.85</c:v>
                </c:pt>
                <c:pt idx="246">
                  <c:v>31213.910000000003</c:v>
                </c:pt>
                <c:pt idx="247">
                  <c:v>63716.98</c:v>
                </c:pt>
                <c:pt idx="248">
                  <c:v>17061.43</c:v>
                </c:pt>
                <c:pt idx="249">
                  <c:v>26237.570000000003</c:v>
                </c:pt>
                <c:pt idx="250">
                  <c:v>53434.9</c:v>
                </c:pt>
                <c:pt idx="251">
                  <c:v>45530.77</c:v>
                </c:pt>
                <c:pt idx="252">
                  <c:v>28607.26</c:v>
                </c:pt>
                <c:pt idx="253">
                  <c:v>28840.41</c:v>
                </c:pt>
                <c:pt idx="254">
                  <c:v>20825.21</c:v>
                </c:pt>
                <c:pt idx="255">
                  <c:v>36336.89</c:v>
                </c:pt>
                <c:pt idx="256">
                  <c:v>14740.56</c:v>
                </c:pt>
                <c:pt idx="257">
                  <c:v>23281.45</c:v>
                </c:pt>
                <c:pt idx="258">
                  <c:v>39024.479999999996</c:v>
                </c:pt>
                <c:pt idx="259">
                  <c:v>12313.25</c:v>
                </c:pt>
                <c:pt idx="260">
                  <c:v>44927.679999999993</c:v>
                </c:pt>
                <c:pt idx="261">
                  <c:v>19215.760000000002</c:v>
                </c:pt>
                <c:pt idx="262">
                  <c:v>709.25</c:v>
                </c:pt>
                <c:pt idx="263">
                  <c:v>41355.29</c:v>
                </c:pt>
                <c:pt idx="264">
                  <c:v>14781.28</c:v>
                </c:pt>
                <c:pt idx="265">
                  <c:v>12048.619999999999</c:v>
                </c:pt>
                <c:pt idx="266">
                  <c:v>22323.77</c:v>
                </c:pt>
                <c:pt idx="267">
                  <c:v>68699.569999999992</c:v>
                </c:pt>
                <c:pt idx="268">
                  <c:v>37990.770000000004</c:v>
                </c:pt>
                <c:pt idx="269">
                  <c:v>61193.939999999995</c:v>
                </c:pt>
                <c:pt idx="270">
                  <c:v>36972.92</c:v>
                </c:pt>
                <c:pt idx="271">
                  <c:v>24910.6</c:v>
                </c:pt>
                <c:pt idx="272">
                  <c:v>25453.85</c:v>
                </c:pt>
                <c:pt idx="273">
                  <c:v>19266.95</c:v>
                </c:pt>
                <c:pt idx="274">
                  <c:v>42826</c:v>
                </c:pt>
                <c:pt idx="275">
                  <c:v>27430.18</c:v>
                </c:pt>
                <c:pt idx="276">
                  <c:v>48842.950000000004</c:v>
                </c:pt>
                <c:pt idx="277">
                  <c:v>10643.91</c:v>
                </c:pt>
                <c:pt idx="278">
                  <c:v>21239.040000000001</c:v>
                </c:pt>
                <c:pt idx="279">
                  <c:v>17428.52</c:v>
                </c:pt>
                <c:pt idx="280">
                  <c:v>33605.78</c:v>
                </c:pt>
                <c:pt idx="281">
                  <c:v>51195.56</c:v>
                </c:pt>
                <c:pt idx="282">
                  <c:v>5194.18</c:v>
                </c:pt>
                <c:pt idx="283">
                  <c:v>51054.42</c:v>
                </c:pt>
                <c:pt idx="284">
                  <c:v>37140.17</c:v>
                </c:pt>
                <c:pt idx="285">
                  <c:v>25406.160000000003</c:v>
                </c:pt>
                <c:pt idx="286">
                  <c:v>31161.57</c:v>
                </c:pt>
                <c:pt idx="287">
                  <c:v>26884.269999999997</c:v>
                </c:pt>
                <c:pt idx="288">
                  <c:v>22106.260000000002</c:v>
                </c:pt>
                <c:pt idx="289">
                  <c:v>11896.07</c:v>
                </c:pt>
                <c:pt idx="290">
                  <c:v>16109.84</c:v>
                </c:pt>
                <c:pt idx="291">
                  <c:v>6948.79</c:v>
                </c:pt>
                <c:pt idx="292">
                  <c:v>56069.74</c:v>
                </c:pt>
                <c:pt idx="293">
                  <c:v>11692.5</c:v>
                </c:pt>
                <c:pt idx="294">
                  <c:v>27922.799999999999</c:v>
                </c:pt>
                <c:pt idx="295">
                  <c:v>52217.649999999994</c:v>
                </c:pt>
                <c:pt idx="296">
                  <c:v>26775.78</c:v>
                </c:pt>
                <c:pt idx="297">
                  <c:v>32261.8</c:v>
                </c:pt>
                <c:pt idx="298">
                  <c:v>21111.59</c:v>
                </c:pt>
                <c:pt idx="299">
                  <c:v>27825.78</c:v>
                </c:pt>
                <c:pt idx="300">
                  <c:v>84220.99</c:v>
                </c:pt>
                <c:pt idx="301">
                  <c:v>41913.22</c:v>
                </c:pt>
                <c:pt idx="302">
                  <c:v>39842.92</c:v>
                </c:pt>
                <c:pt idx="303">
                  <c:v>18662.530000000002</c:v>
                </c:pt>
                <c:pt idx="304">
                  <c:v>7500.49</c:v>
                </c:pt>
                <c:pt idx="305">
                  <c:v>35893.980000000003</c:v>
                </c:pt>
                <c:pt idx="306">
                  <c:v>34950.369999999995</c:v>
                </c:pt>
                <c:pt idx="307">
                  <c:v>7914.3</c:v>
                </c:pt>
                <c:pt idx="308">
                  <c:v>4902.59</c:v>
                </c:pt>
                <c:pt idx="309">
                  <c:v>10632.52</c:v>
                </c:pt>
                <c:pt idx="310">
                  <c:v>38405.15</c:v>
                </c:pt>
                <c:pt idx="311">
                  <c:v>20944.66</c:v>
                </c:pt>
                <c:pt idx="312">
                  <c:v>32288.76</c:v>
                </c:pt>
                <c:pt idx="313">
                  <c:v>22810.55</c:v>
                </c:pt>
                <c:pt idx="314">
                  <c:v>23941.559999999998</c:v>
                </c:pt>
                <c:pt idx="315">
                  <c:v>17589.61</c:v>
                </c:pt>
                <c:pt idx="316">
                  <c:v>25533.25</c:v>
                </c:pt>
                <c:pt idx="317">
                  <c:v>9822.1200000000008</c:v>
                </c:pt>
                <c:pt idx="318">
                  <c:v>1127</c:v>
                </c:pt>
                <c:pt idx="319">
                  <c:v>3822</c:v>
                </c:pt>
                <c:pt idx="320">
                  <c:v>14824.310000000001</c:v>
                </c:pt>
                <c:pt idx="321">
                  <c:v>13991.72</c:v>
                </c:pt>
                <c:pt idx="322">
                  <c:v>16148.33</c:v>
                </c:pt>
                <c:pt idx="323">
                  <c:v>35045.79</c:v>
                </c:pt>
                <c:pt idx="324">
                  <c:v>35709.339999999997</c:v>
                </c:pt>
                <c:pt idx="325">
                  <c:v>12659.509999999998</c:v>
                </c:pt>
                <c:pt idx="326">
                  <c:v>31063.279999999999</c:v>
                </c:pt>
                <c:pt idx="327">
                  <c:v>27529.94</c:v>
                </c:pt>
                <c:pt idx="328">
                  <c:v>30079.920000000002</c:v>
                </c:pt>
                <c:pt idx="329">
                  <c:v>689.4</c:v>
                </c:pt>
                <c:pt idx="330">
                  <c:v>5756.8099999999995</c:v>
                </c:pt>
                <c:pt idx="331">
                  <c:v>5152</c:v>
                </c:pt>
                <c:pt idx="332">
                  <c:v>31542.880000000001</c:v>
                </c:pt>
                <c:pt idx="333">
                  <c:v>12678.349999999999</c:v>
                </c:pt>
                <c:pt idx="334">
                  <c:v>11088.619999999999</c:v>
                </c:pt>
                <c:pt idx="335">
                  <c:v>21476.800000000003</c:v>
                </c:pt>
                <c:pt idx="336">
                  <c:v>19330.5</c:v>
                </c:pt>
                <c:pt idx="337">
                  <c:v>21253.82</c:v>
                </c:pt>
                <c:pt idx="338">
                  <c:v>33729.71</c:v>
                </c:pt>
                <c:pt idx="339">
                  <c:v>23614.550000000003</c:v>
                </c:pt>
                <c:pt idx="340">
                  <c:v>30256.13</c:v>
                </c:pt>
                <c:pt idx="341">
                  <c:v>7990.91</c:v>
                </c:pt>
                <c:pt idx="342">
                  <c:v>53909.64</c:v>
                </c:pt>
                <c:pt idx="343">
                  <c:v>37282.9</c:v>
                </c:pt>
                <c:pt idx="344">
                  <c:v>13669.24</c:v>
                </c:pt>
                <c:pt idx="345">
                  <c:v>35956.36</c:v>
                </c:pt>
                <c:pt idx="346">
                  <c:v>31130.45</c:v>
                </c:pt>
                <c:pt idx="347">
                  <c:v>35780.74</c:v>
                </c:pt>
                <c:pt idx="348">
                  <c:v>34179.229999999996</c:v>
                </c:pt>
                <c:pt idx="349">
                  <c:v>22139.059999999998</c:v>
                </c:pt>
                <c:pt idx="350">
                  <c:v>31687.990000000005</c:v>
                </c:pt>
                <c:pt idx="351">
                  <c:v>22633.359999999997</c:v>
                </c:pt>
                <c:pt idx="352">
                  <c:v>13800.439999999999</c:v>
                </c:pt>
                <c:pt idx="353">
                  <c:v>11129.76</c:v>
                </c:pt>
                <c:pt idx="354">
                  <c:v>1456</c:v>
                </c:pt>
                <c:pt idx="355">
                  <c:v>25071.190000000002</c:v>
                </c:pt>
                <c:pt idx="356">
                  <c:v>4382</c:v>
                </c:pt>
                <c:pt idx="357">
                  <c:v>744.96</c:v>
                </c:pt>
                <c:pt idx="358">
                  <c:v>4400.28</c:v>
                </c:pt>
                <c:pt idx="359">
                  <c:v>3939.95</c:v>
                </c:pt>
                <c:pt idx="360">
                  <c:v>6310.98</c:v>
                </c:pt>
                <c:pt idx="361">
                  <c:v>12069.07</c:v>
                </c:pt>
                <c:pt idx="362">
                  <c:v>6524.65</c:v>
                </c:pt>
                <c:pt idx="363">
                  <c:v>30013.37</c:v>
                </c:pt>
                <c:pt idx="364">
                  <c:v>7515.31</c:v>
                </c:pt>
                <c:pt idx="365">
                  <c:v>12988.31</c:v>
                </c:pt>
                <c:pt idx="366">
                  <c:v>13062.71</c:v>
                </c:pt>
                <c:pt idx="367">
                  <c:v>7045.24</c:v>
                </c:pt>
                <c:pt idx="368">
                  <c:v>25431.690000000002</c:v>
                </c:pt>
                <c:pt idx="369">
                  <c:v>15925.17</c:v>
                </c:pt>
                <c:pt idx="370">
                  <c:v>13319.54</c:v>
                </c:pt>
                <c:pt idx="371">
                  <c:v>7166.62</c:v>
                </c:pt>
                <c:pt idx="372">
                  <c:v>5187.72</c:v>
                </c:pt>
                <c:pt idx="373">
                  <c:v>14855.24</c:v>
                </c:pt>
                <c:pt idx="374">
                  <c:v>13687.24</c:v>
                </c:pt>
                <c:pt idx="375">
                  <c:v>7271.76</c:v>
                </c:pt>
                <c:pt idx="376">
                  <c:v>10464.449999999999</c:v>
                </c:pt>
                <c:pt idx="377">
                  <c:v>2464</c:v>
                </c:pt>
                <c:pt idx="378">
                  <c:v>30587.85</c:v>
                </c:pt>
                <c:pt idx="379">
                  <c:v>27476.780000000002</c:v>
                </c:pt>
                <c:pt idx="380">
                  <c:v>7161</c:v>
                </c:pt>
                <c:pt idx="381">
                  <c:v>19940.650000000001</c:v>
                </c:pt>
                <c:pt idx="382">
                  <c:v>10883.13</c:v>
                </c:pt>
                <c:pt idx="383">
                  <c:v>8080.95</c:v>
                </c:pt>
                <c:pt idx="384">
                  <c:v>17474.439999999999</c:v>
                </c:pt>
                <c:pt idx="385">
                  <c:v>2504.62</c:v>
                </c:pt>
                <c:pt idx="386">
                  <c:v>23567.68</c:v>
                </c:pt>
                <c:pt idx="387">
                  <c:v>352.19</c:v>
                </c:pt>
                <c:pt idx="388">
                  <c:v>10449.73</c:v>
                </c:pt>
                <c:pt idx="389">
                  <c:v>25528.66</c:v>
                </c:pt>
                <c:pt idx="390">
                  <c:v>21615.49</c:v>
                </c:pt>
                <c:pt idx="391">
                  <c:v>16163</c:v>
                </c:pt>
                <c:pt idx="392">
                  <c:v>7556.55</c:v>
                </c:pt>
                <c:pt idx="393">
                  <c:v>9746.33</c:v>
                </c:pt>
                <c:pt idx="394">
                  <c:v>10808</c:v>
                </c:pt>
                <c:pt idx="395">
                  <c:v>10563</c:v>
                </c:pt>
                <c:pt idx="396">
                  <c:v>15656.27</c:v>
                </c:pt>
                <c:pt idx="397">
                  <c:v>7756</c:v>
                </c:pt>
                <c:pt idx="398">
                  <c:v>27798.899999999998</c:v>
                </c:pt>
                <c:pt idx="399">
                  <c:v>16200.52</c:v>
                </c:pt>
                <c:pt idx="400">
                  <c:v>14478.8</c:v>
                </c:pt>
                <c:pt idx="401">
                  <c:v>16793</c:v>
                </c:pt>
                <c:pt idx="402">
                  <c:v>15844.19</c:v>
                </c:pt>
                <c:pt idx="403">
                  <c:v>16614.689999999999</c:v>
                </c:pt>
                <c:pt idx="404">
                  <c:v>25365.23</c:v>
                </c:pt>
                <c:pt idx="405">
                  <c:v>6881</c:v>
                </c:pt>
                <c:pt idx="406">
                  <c:v>14147</c:v>
                </c:pt>
                <c:pt idx="407">
                  <c:v>19419.37</c:v>
                </c:pt>
                <c:pt idx="408">
                  <c:v>6756.57</c:v>
                </c:pt>
                <c:pt idx="409">
                  <c:v>19091.230000000003</c:v>
                </c:pt>
                <c:pt idx="410">
                  <c:v>34954.119999999995</c:v>
                </c:pt>
                <c:pt idx="411">
                  <c:v>6606.82</c:v>
                </c:pt>
                <c:pt idx="412">
                  <c:v>4879.55</c:v>
                </c:pt>
                <c:pt idx="413">
                  <c:v>42416.4</c:v>
                </c:pt>
                <c:pt idx="414">
                  <c:v>11630.38</c:v>
                </c:pt>
                <c:pt idx="415">
                  <c:v>11116</c:v>
                </c:pt>
                <c:pt idx="416">
                  <c:v>33800.479999999996</c:v>
                </c:pt>
                <c:pt idx="417">
                  <c:v>25528.76</c:v>
                </c:pt>
                <c:pt idx="418">
                  <c:v>7679.09</c:v>
                </c:pt>
                <c:pt idx="419">
                  <c:v>19564.91</c:v>
                </c:pt>
                <c:pt idx="420">
                  <c:v>7140</c:v>
                </c:pt>
                <c:pt idx="421">
                  <c:v>5071.49</c:v>
                </c:pt>
                <c:pt idx="422">
                  <c:v>4676.32</c:v>
                </c:pt>
                <c:pt idx="423">
                  <c:v>764.63</c:v>
                </c:pt>
                <c:pt idx="424">
                  <c:v>25394.19</c:v>
                </c:pt>
                <c:pt idx="425">
                  <c:v>21851.54</c:v>
                </c:pt>
                <c:pt idx="426">
                  <c:v>8829.77</c:v>
                </c:pt>
                <c:pt idx="427">
                  <c:v>34666.71</c:v>
                </c:pt>
                <c:pt idx="428">
                  <c:v>3052</c:v>
                </c:pt>
                <c:pt idx="429">
                  <c:v>25840.080000000002</c:v>
                </c:pt>
                <c:pt idx="430">
                  <c:v>5432.84</c:v>
                </c:pt>
                <c:pt idx="431">
                  <c:v>10889.359999999999</c:v>
                </c:pt>
                <c:pt idx="432">
                  <c:v>3771.94</c:v>
                </c:pt>
                <c:pt idx="433">
                  <c:v>9004.02</c:v>
                </c:pt>
                <c:pt idx="434">
                  <c:v>1637.72</c:v>
                </c:pt>
                <c:pt idx="435">
                  <c:v>25418.09</c:v>
                </c:pt>
                <c:pt idx="436">
                  <c:v>700</c:v>
                </c:pt>
                <c:pt idx="437">
                  <c:v>8494.17</c:v>
                </c:pt>
                <c:pt idx="438">
                  <c:v>11597.46</c:v>
                </c:pt>
                <c:pt idx="439">
                  <c:v>2757.16</c:v>
                </c:pt>
                <c:pt idx="440">
                  <c:v>6815.05</c:v>
                </c:pt>
                <c:pt idx="441">
                  <c:v>9077.68</c:v>
                </c:pt>
                <c:pt idx="442">
                  <c:v>14989.33</c:v>
                </c:pt>
                <c:pt idx="443">
                  <c:v>3094</c:v>
                </c:pt>
                <c:pt idx="444">
                  <c:v>4074</c:v>
                </c:pt>
                <c:pt idx="445">
                  <c:v>497</c:v>
                </c:pt>
                <c:pt idx="446">
                  <c:v>6048</c:v>
                </c:pt>
                <c:pt idx="447">
                  <c:v>4883.42</c:v>
                </c:pt>
                <c:pt idx="448">
                  <c:v>13006</c:v>
                </c:pt>
                <c:pt idx="449">
                  <c:v>2055.4</c:v>
                </c:pt>
                <c:pt idx="450">
                  <c:v>33.68</c:v>
                </c:pt>
                <c:pt idx="451">
                  <c:v>6745.1900000000005</c:v>
                </c:pt>
                <c:pt idx="452">
                  <c:v>571.52</c:v>
                </c:pt>
                <c:pt idx="453">
                  <c:v>6051.65</c:v>
                </c:pt>
                <c:pt idx="454">
                  <c:v>11533.35</c:v>
                </c:pt>
                <c:pt idx="455">
                  <c:v>5538.85</c:v>
                </c:pt>
                <c:pt idx="456">
                  <c:v>8313.09</c:v>
                </c:pt>
                <c:pt idx="457">
                  <c:v>8192.76</c:v>
                </c:pt>
                <c:pt idx="458">
                  <c:v>12878.56</c:v>
                </c:pt>
                <c:pt idx="459">
                  <c:v>7686.6100000000006</c:v>
                </c:pt>
                <c:pt idx="460">
                  <c:v>6999.62</c:v>
                </c:pt>
                <c:pt idx="461">
                  <c:v>2583.0300000000002</c:v>
                </c:pt>
                <c:pt idx="462">
                  <c:v>13730.960000000001</c:v>
                </c:pt>
                <c:pt idx="463">
                  <c:v>3175.62</c:v>
                </c:pt>
                <c:pt idx="464">
                  <c:v>10220</c:v>
                </c:pt>
                <c:pt idx="465">
                  <c:v>20841.420000000002</c:v>
                </c:pt>
                <c:pt idx="466">
                  <c:v>3857</c:v>
                </c:pt>
                <c:pt idx="467">
                  <c:v>4161.6500000000005</c:v>
                </c:pt>
                <c:pt idx="468">
                  <c:v>1148</c:v>
                </c:pt>
                <c:pt idx="469">
                  <c:v>19166.41</c:v>
                </c:pt>
                <c:pt idx="470">
                  <c:v>8727.09</c:v>
                </c:pt>
                <c:pt idx="471">
                  <c:v>7284.92</c:v>
                </c:pt>
                <c:pt idx="472">
                  <c:v>4334.75</c:v>
                </c:pt>
                <c:pt idx="473">
                  <c:v>1732.04</c:v>
                </c:pt>
                <c:pt idx="474">
                  <c:v>2432.75</c:v>
                </c:pt>
                <c:pt idx="475">
                  <c:v>11644.92</c:v>
                </c:pt>
                <c:pt idx="476">
                  <c:v>11149.46</c:v>
                </c:pt>
                <c:pt idx="477">
                  <c:v>4844</c:v>
                </c:pt>
                <c:pt idx="478">
                  <c:v>2385.4</c:v>
                </c:pt>
                <c:pt idx="479">
                  <c:v>8911</c:v>
                </c:pt>
                <c:pt idx="480">
                  <c:v>12467.279999999999</c:v>
                </c:pt>
                <c:pt idx="481">
                  <c:v>4237.46</c:v>
                </c:pt>
                <c:pt idx="482">
                  <c:v>10139.68</c:v>
                </c:pt>
                <c:pt idx="483">
                  <c:v>9016</c:v>
                </c:pt>
                <c:pt idx="484">
                  <c:v>1284.3699999999999</c:v>
                </c:pt>
                <c:pt idx="485">
                  <c:v>6211.75</c:v>
                </c:pt>
                <c:pt idx="486">
                  <c:v>9588.0300000000007</c:v>
                </c:pt>
                <c:pt idx="487">
                  <c:v>1855.03</c:v>
                </c:pt>
                <c:pt idx="488">
                  <c:v>8168.86</c:v>
                </c:pt>
                <c:pt idx="489">
                  <c:v>2443</c:v>
                </c:pt>
                <c:pt idx="490">
                  <c:v>2487.19</c:v>
                </c:pt>
                <c:pt idx="491">
                  <c:v>6111</c:v>
                </c:pt>
                <c:pt idx="492">
                  <c:v>9571.2999999999993</c:v>
                </c:pt>
                <c:pt idx="493">
                  <c:v>7714</c:v>
                </c:pt>
                <c:pt idx="494">
                  <c:v>9928.1</c:v>
                </c:pt>
                <c:pt idx="495">
                  <c:v>10599.789999999999</c:v>
                </c:pt>
                <c:pt idx="496">
                  <c:v>2696.1</c:v>
                </c:pt>
                <c:pt idx="497">
                  <c:v>1372</c:v>
                </c:pt>
                <c:pt idx="498">
                  <c:v>6409.31</c:v>
                </c:pt>
                <c:pt idx="499">
                  <c:v>8376.69</c:v>
                </c:pt>
                <c:pt idx="500">
                  <c:v>1543.77</c:v>
                </c:pt>
                <c:pt idx="501">
                  <c:v>5294.88</c:v>
                </c:pt>
                <c:pt idx="502">
                  <c:v>6678</c:v>
                </c:pt>
                <c:pt idx="503">
                  <c:v>4900</c:v>
                </c:pt>
                <c:pt idx="504">
                  <c:v>4919.25</c:v>
                </c:pt>
                <c:pt idx="505">
                  <c:v>7355.77</c:v>
                </c:pt>
                <c:pt idx="506">
                  <c:v>7642.94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B5-4093-B670-2286EF819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49895"/>
        <c:axId val="867751943"/>
      </c:scatterChart>
      <c:valAx>
        <c:axId val="867749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Boxes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51943"/>
        <c:crosses val="autoZero"/>
        <c:crossBetween val="midCat"/>
      </c:valAx>
      <c:valAx>
        <c:axId val="86775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49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Project.xlsx]Dashboard!PivotTable13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Chocolate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Dashboard!$A$7:$A$29</c:f>
              <c:strCache>
                <c:ptCount val="22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  <c:pt idx="5">
                  <c:v>99% Dark &amp; Pure</c:v>
                </c:pt>
                <c:pt idx="6">
                  <c:v>85% Dark Bars</c:v>
                </c:pt>
                <c:pt idx="7">
                  <c:v>Organic Choco Syrup</c:v>
                </c:pt>
                <c:pt idx="8">
                  <c:v>Spicy Special Slims</c:v>
                </c:pt>
                <c:pt idx="9">
                  <c:v>Mint Chip Choco</c:v>
                </c:pt>
                <c:pt idx="10">
                  <c:v>Almond Choco</c:v>
                </c:pt>
                <c:pt idx="11">
                  <c:v>Manuka Honey Choco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After Nines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Drinking Coco</c:v>
                </c:pt>
                <c:pt idx="18">
                  <c:v>Baker's Choco Chips</c:v>
                </c:pt>
                <c:pt idx="19">
                  <c:v>Choco Coated Almonds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Dashboard!$B$7:$B$29</c:f>
              <c:numCache>
                <c:formatCode>"$"#,##0.00</c:formatCode>
                <c:ptCount val="22"/>
                <c:pt idx="0">
                  <c:v>1120201.0899999999</c:v>
                </c:pt>
                <c:pt idx="1">
                  <c:v>1087659.3499999992</c:v>
                </c:pt>
                <c:pt idx="2">
                  <c:v>1054257.0000000002</c:v>
                </c:pt>
                <c:pt idx="3">
                  <c:v>1036591.0900000002</c:v>
                </c:pt>
                <c:pt idx="4">
                  <c:v>996947.96000000043</c:v>
                </c:pt>
                <c:pt idx="5">
                  <c:v>960033.45</c:v>
                </c:pt>
                <c:pt idx="6">
                  <c:v>955268.24000000081</c:v>
                </c:pt>
                <c:pt idx="7">
                  <c:v>945345.72999999975</c:v>
                </c:pt>
                <c:pt idx="8">
                  <c:v>938131.69</c:v>
                </c:pt>
                <c:pt idx="9">
                  <c:v>904989.55</c:v>
                </c:pt>
                <c:pt idx="10">
                  <c:v>890454.65</c:v>
                </c:pt>
                <c:pt idx="11">
                  <c:v>885208.02999999991</c:v>
                </c:pt>
                <c:pt idx="12">
                  <c:v>866273.62000000034</c:v>
                </c:pt>
                <c:pt idx="13">
                  <c:v>845388.40999999968</c:v>
                </c:pt>
                <c:pt idx="14">
                  <c:v>837215.67000000016</c:v>
                </c:pt>
                <c:pt idx="15">
                  <c:v>829278.96</c:v>
                </c:pt>
                <c:pt idx="16">
                  <c:v>824070.85</c:v>
                </c:pt>
                <c:pt idx="17">
                  <c:v>822245.5700000003</c:v>
                </c:pt>
                <c:pt idx="18">
                  <c:v>799085.66999999958</c:v>
                </c:pt>
                <c:pt idx="19">
                  <c:v>773062.90999999957</c:v>
                </c:pt>
                <c:pt idx="20">
                  <c:v>742516.15000000014</c:v>
                </c:pt>
                <c:pt idx="21">
                  <c:v>677346.21999999986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A-4868-93E3-0C063753D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5031"/>
        <c:axId val="759107079"/>
      </c:barChart>
      <c:catAx>
        <c:axId val="759105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Chocolate Brands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7079"/>
        <c:crosses val="autoZero"/>
        <c:auto val="1"/>
        <c:lblAlgn val="ctr"/>
        <c:lblOffset val="100"/>
        <c:noMultiLvlLbl val="0"/>
      </c:catAx>
      <c:valAx>
        <c:axId val="759107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5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Project.xlsx]Dashboard!PivotTable14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Dashboard!$A$33:$A$39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Dashboard!$B$33:$B$39</c:f>
              <c:numCache>
                <c:formatCode>"$"#,##0.00</c:formatCode>
                <c:ptCount val="6"/>
                <c:pt idx="0">
                  <c:v>3646444.3499999978</c:v>
                </c:pt>
                <c:pt idx="1">
                  <c:v>3365388.9000000008</c:v>
                </c:pt>
                <c:pt idx="2">
                  <c:v>3343730.8299999996</c:v>
                </c:pt>
                <c:pt idx="3">
                  <c:v>3313858.0899999989</c:v>
                </c:pt>
                <c:pt idx="4">
                  <c:v>3078495.649999999</c:v>
                </c:pt>
                <c:pt idx="5">
                  <c:v>3043654.04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9-40A3-9E81-E3A71A575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6186503"/>
        <c:axId val="766188551"/>
      </c:barChart>
      <c:catAx>
        <c:axId val="766186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layout>
            <c:manualLayout>
              <c:xMode val="edge"/>
              <c:yMode val="edge"/>
              <c:x val="0.46386258760404503"/>
              <c:y val="0.80552687570838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88551"/>
        <c:crosses val="autoZero"/>
        <c:auto val="1"/>
        <c:lblAlgn val="ctr"/>
        <c:lblOffset val="100"/>
        <c:noMultiLvlLbl val="0"/>
      </c:catAx>
      <c:valAx>
        <c:axId val="766188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Slales</a:t>
                </a:r>
              </a:p>
            </c:rich>
          </c:tx>
          <c:layout>
            <c:manualLayout>
              <c:xMode val="edge"/>
              <c:yMode val="edge"/>
              <c:x val="2.4230557324922235E-2"/>
              <c:y val="0.12590706044541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86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[Chocolate Sales Project.xlsx]Dashboard!PivotTable1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Sales 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Dashboard!$A$43:$A$68</c:f>
              <c:strCache>
                <c:ptCount val="25"/>
                <c:pt idx="0">
                  <c:v>Ches Bonnell</c:v>
                </c:pt>
                <c:pt idx="1">
                  <c:v>Oby Sorrel</c:v>
                </c:pt>
                <c:pt idx="2">
                  <c:v>Madelene Upcott</c:v>
                </c:pt>
                <c:pt idx="3">
                  <c:v>Kelci Walkden</c:v>
                </c:pt>
                <c:pt idx="4">
                  <c:v>Brien Boise</c:v>
                </c:pt>
                <c:pt idx="5">
                  <c:v>Van Tuxwell</c:v>
                </c:pt>
                <c:pt idx="6">
                  <c:v>Dennison Crosswaite</c:v>
                </c:pt>
                <c:pt idx="7">
                  <c:v>Beverie Moffet</c:v>
                </c:pt>
                <c:pt idx="8">
                  <c:v>Kaine Padly</c:v>
                </c:pt>
                <c:pt idx="9">
                  <c:v>Marney O'Breen</c:v>
                </c:pt>
                <c:pt idx="10">
                  <c:v>Barr Faughny</c:v>
                </c:pt>
                <c:pt idx="11">
                  <c:v>Roddy Speechley</c:v>
                </c:pt>
                <c:pt idx="12">
                  <c:v>Gunar Cockshoot</c:v>
                </c:pt>
                <c:pt idx="13">
                  <c:v>Gigi Bohling</c:v>
                </c:pt>
                <c:pt idx="14">
                  <c:v>Karlen McCaffrey</c:v>
                </c:pt>
                <c:pt idx="15">
                  <c:v>Jehu Rudeforth</c:v>
                </c:pt>
                <c:pt idx="16">
                  <c:v>Jan Morforth</c:v>
                </c:pt>
                <c:pt idx="17">
                  <c:v>Curtice Advani</c:v>
                </c:pt>
                <c:pt idx="18">
                  <c:v>Rafaelita Blaksland</c:v>
                </c:pt>
                <c:pt idx="19">
                  <c:v>Husein Augar</c:v>
                </c:pt>
                <c:pt idx="20">
                  <c:v>Andria Kimpton</c:v>
                </c:pt>
                <c:pt idx="21">
                  <c:v>Mallorie Waber</c:v>
                </c:pt>
                <c:pt idx="22">
                  <c:v>Camilla Castle</c:v>
                </c:pt>
                <c:pt idx="23">
                  <c:v>Dotty Strutley</c:v>
                </c:pt>
                <c:pt idx="24">
                  <c:v>Wilone O'Kielt</c:v>
                </c:pt>
              </c:strCache>
            </c:strRef>
          </c:cat>
          <c:val>
            <c:numRef>
              <c:f>Dashboard!$B$43:$B$68</c:f>
              <c:numCache>
                <c:formatCode>"$"#,##0.00</c:formatCode>
                <c:ptCount val="25"/>
                <c:pt idx="0">
                  <c:v>1022599.9599999997</c:v>
                </c:pt>
                <c:pt idx="1">
                  <c:v>1017204.12</c:v>
                </c:pt>
                <c:pt idx="2">
                  <c:v>1010028.7199999996</c:v>
                </c:pt>
                <c:pt idx="3">
                  <c:v>1002929.0999999999</c:v>
                </c:pt>
                <c:pt idx="4">
                  <c:v>997326.48000000033</c:v>
                </c:pt>
                <c:pt idx="5">
                  <c:v>974425.09</c:v>
                </c:pt>
                <c:pt idx="6">
                  <c:v>931849.57000000041</c:v>
                </c:pt>
                <c:pt idx="7">
                  <c:v>892421.36999999988</c:v>
                </c:pt>
                <c:pt idx="8">
                  <c:v>849062.76000000013</c:v>
                </c:pt>
                <c:pt idx="9">
                  <c:v>836427.62999999989</c:v>
                </c:pt>
                <c:pt idx="10">
                  <c:v>830826.91</c:v>
                </c:pt>
                <c:pt idx="11">
                  <c:v>808359.58000000019</c:v>
                </c:pt>
                <c:pt idx="12">
                  <c:v>762283.43000000028</c:v>
                </c:pt>
                <c:pt idx="13">
                  <c:v>742296.50999999989</c:v>
                </c:pt>
                <c:pt idx="14">
                  <c:v>713832.64000000025</c:v>
                </c:pt>
                <c:pt idx="15">
                  <c:v>708505.03</c:v>
                </c:pt>
                <c:pt idx="16">
                  <c:v>706585.5</c:v>
                </c:pt>
                <c:pt idx="17">
                  <c:v>691797.92</c:v>
                </c:pt>
                <c:pt idx="18">
                  <c:v>668865.45000000007</c:v>
                </c:pt>
                <c:pt idx="19">
                  <c:v>656149.7300000001</c:v>
                </c:pt>
                <c:pt idx="20">
                  <c:v>648214.81000000041</c:v>
                </c:pt>
                <c:pt idx="21">
                  <c:v>642903.32999999984</c:v>
                </c:pt>
                <c:pt idx="22">
                  <c:v>628613.13000000035</c:v>
                </c:pt>
                <c:pt idx="23">
                  <c:v>608101.16999999969</c:v>
                </c:pt>
                <c:pt idx="24">
                  <c:v>439961.91999999993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4D-44A9-BC49-B72364569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400711"/>
        <c:axId val="771403271"/>
      </c:lineChart>
      <c:catAx>
        <c:axId val="771400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Slaes 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3271"/>
        <c:crosses val="autoZero"/>
        <c:auto val="1"/>
        <c:lblAlgn val="ctr"/>
        <c:lblOffset val="100"/>
        <c:noMultiLvlLbl val="0"/>
      </c:catAx>
      <c:valAx>
        <c:axId val="77140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00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101</xdr:row>
      <xdr:rowOff>219075</xdr:rowOff>
    </xdr:from>
    <xdr:to>
      <xdr:col>14</xdr:col>
      <xdr:colOff>723900</xdr:colOff>
      <xdr:row>116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FDD06-6F63-57D3-202A-2209F569B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104775</xdr:colOff>
      <xdr:row>58</xdr:row>
      <xdr:rowOff>66675</xdr:rowOff>
    </xdr:from>
    <xdr:to>
      <xdr:col>43</xdr:col>
      <xdr:colOff>104775</xdr:colOff>
      <xdr:row>79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F4BF9D-0C89-586E-108A-6B27736C1DC7}"/>
            </a:ext>
            <a:ext uri="{147F2762-F138-4A5C-976F-8EAC2B608ADB}">
              <a16:predDERef xmlns:a16="http://schemas.microsoft.com/office/drawing/2014/main" pred="{2A9FDD06-6F63-57D3-202A-2209F569B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5</xdr:row>
      <xdr:rowOff>0</xdr:rowOff>
    </xdr:from>
    <xdr:to>
      <xdr:col>17</xdr:col>
      <xdr:colOff>66675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0C3A0-A2F6-EF87-554A-993E2E010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28</xdr:row>
      <xdr:rowOff>57150</xdr:rowOff>
    </xdr:from>
    <xdr:to>
      <xdr:col>11</xdr:col>
      <xdr:colOff>285750</xdr:colOff>
      <xdr:row>40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91B13F-CCB2-3707-C639-FA1A45735421}"/>
            </a:ext>
            <a:ext uri="{147F2762-F138-4A5C-976F-8EAC2B608ADB}">
              <a16:predDERef xmlns:a16="http://schemas.microsoft.com/office/drawing/2014/main" pred="{4630C3A0-A2F6-EF87-554A-993E2E010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85725</xdr:colOff>
      <xdr:row>19</xdr:row>
      <xdr:rowOff>180975</xdr:rowOff>
    </xdr:from>
    <xdr:to>
      <xdr:col>19</xdr:col>
      <xdr:colOff>285750</xdr:colOff>
      <xdr:row>52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00476B-0274-3791-CFAD-BC1611B2F180}"/>
            </a:ext>
            <a:ext uri="{147F2762-F138-4A5C-976F-8EAC2B608ADB}">
              <a16:predDERef xmlns:a16="http://schemas.microsoft.com/office/drawing/2014/main" pred="{A891B13F-CCB2-3707-C639-FA1A45735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572045833331" createdVersion="8" refreshedVersion="8" minRefreshableVersion="3" recordCount="3282" xr:uid="{233C0425-8582-40A8-8724-38810FEC25D1}">
  <cacheSource type="worksheet">
    <worksheetSource ref="A1:I3283" sheet="Working Sheet"/>
  </cacheSource>
  <cacheFields count="9">
    <cacheField name="Sales 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0">
      <sharedItems containsDate="1" containsMixedTypes="1" minDate="2022-01-02T00:00:00" maxDate="2024-12-09T00:00:00"/>
    </cacheField>
    <cacheField name="Date in Text" numFmtId="14">
      <sharedItems/>
    </cacheField>
    <cacheField name="Year" numFmtId="0">
      <sharedItems containsBlank="1"/>
    </cacheField>
    <cacheField name="Month" numFmtId="14">
      <sharedItems count="12">
        <s v="04"/>
        <s v="01"/>
        <s v="07"/>
        <s v="02"/>
        <s v="06"/>
        <s v="03"/>
        <s v="10"/>
        <s v="05"/>
        <s v="08"/>
        <s v="09"/>
        <s v="11"/>
        <s v="12"/>
      </sharedItems>
    </cacheField>
    <cacheField name="Amount" numFmtId="164">
      <sharedItems containsSemiMixedTypes="0" containsString="0" containsNumber="1" minValue="7" maxValue="26170.95" count="3013">
        <n v="5320"/>
        <n v="7896"/>
        <n v="4501"/>
        <n v="12726"/>
        <n v="13685"/>
        <n v="5376"/>
        <n v="3080"/>
        <n v="3990"/>
        <n v="2835"/>
        <n v="4704"/>
        <n v="3703"/>
        <n v="1442"/>
        <n v="168"/>
        <n v="8379"/>
        <n v="6790"/>
        <n v="4067"/>
        <n v="3017"/>
        <n v="8799"/>
        <n v="1085"/>
        <n v="6888"/>
        <n v="1267"/>
        <n v="4753"/>
        <n v="3003"/>
        <n v="7672"/>
        <n v="1652"/>
        <n v="4025"/>
        <n v="9492"/>
        <n v="5061"/>
        <n v="1722"/>
        <n v="12446"/>
        <n v="4284"/>
        <n v="6839"/>
        <n v="2163"/>
        <n v="9583"/>
        <n v="2653"/>
        <n v="147"/>
        <n v="3654"/>
        <n v="2443"/>
        <n v="938"/>
        <n v="14749"/>
        <n v="4781"/>
        <n v="6307"/>
        <n v="7602"/>
        <n v="9737"/>
        <n v="6979"/>
        <n v="4382"/>
        <n v="5243"/>
        <n v="4865"/>
        <n v="8575"/>
        <n v="91"/>
        <n v="14798"/>
        <n v="2205"/>
        <n v="441"/>
        <n v="3556"/>
        <n v="16793"/>
        <n v="15421"/>
        <n v="4438"/>
        <n v="1603"/>
        <n v="273"/>
        <n v="3073"/>
        <n v="6090"/>
        <n v="10255"/>
        <n v="2030"/>
        <n v="19453"/>
        <n v="9275"/>
        <n v="6181"/>
        <n v="9037"/>
        <n v="12313"/>
        <n v="5642"/>
        <n v="2800"/>
        <n v="959"/>
        <n v="2002"/>
        <n v="609"/>
        <n v="1274"/>
        <n v="7595"/>
        <n v="4725"/>
        <n v="9681"/>
        <n v="14504"/>
        <n v="280"/>
        <n v="63"/>
        <n v="8001"/>
        <n v="4032"/>
        <n v="5859"/>
        <n v="11095"/>
        <n v="7182"/>
        <n v="6881"/>
        <n v="7154"/>
        <n v="6188"/>
        <n v="4221"/>
        <n v="630"/>
        <n v="1743"/>
        <n v="2919"/>
        <n v="49"/>
        <n v="1827"/>
        <n v="13006"/>
        <n v="1064"/>
        <n v="11571"/>
        <n v="5740"/>
        <n v="1456"/>
        <n v="5334"/>
        <n v="4151"/>
        <n v="8106"/>
        <n v="126"/>
        <n v="4697"/>
        <n v="7798"/>
        <n v="9408"/>
        <n v="1939"/>
        <n v="10906"/>
        <n v="5929"/>
        <n v="5579"/>
        <n v="10927"/>
        <n v="623"/>
        <n v="6013"/>
        <n v="1505"/>
        <n v="476"/>
        <n v="11550"/>
        <n v="17318"/>
        <n v="1848"/>
        <n v="7273"/>
        <n v="854"/>
        <n v="6832"/>
        <n v="4606"/>
        <n v="4466"/>
        <n v="16114"/>
        <n v="1561"/>
        <n v="8897"/>
        <n v="2464"/>
        <n v="4830"/>
        <n v="2765"/>
        <n v="7126"/>
        <n v="4263"/>
        <n v="3605"/>
        <n v="19929"/>
        <n v="5103"/>
        <n v="2541"/>
        <n v="5663"/>
        <n v="392"/>
        <n v="10976"/>
        <n v="9282"/>
        <n v="8267"/>
        <n v="4116"/>
        <n v="2093"/>
        <n v="1015"/>
        <n v="12516"/>
        <n v="2758"/>
        <n v="3297"/>
        <n v="6048"/>
        <n v="10101"/>
        <n v="2282"/>
        <n v="4361"/>
        <n v="3052"/>
        <n v="8029"/>
        <n v="5460"/>
        <n v="8911"/>
        <n v="7203"/>
        <n v="13083"/>
        <n v="2779"/>
        <n v="9058"/>
        <n v="3549"/>
        <n v="9436"/>
        <n v="10283"/>
        <n v="5446"/>
        <n v="1043"/>
        <n v="12586"/>
        <n v="1687"/>
        <n v="5299"/>
        <n v="3213"/>
        <n v="5194"/>
        <n v="13706"/>
        <n v="6489"/>
        <n v="9324"/>
        <n v="10829"/>
        <n v="8113"/>
        <n v="3269"/>
        <n v="7287"/>
        <n v="2583"/>
        <n v="9982"/>
        <n v="4795"/>
        <n v="9310"/>
        <n v="497"/>
        <n v="581"/>
        <n v="3472"/>
        <n v="4333"/>
        <n v="3325"/>
        <n v="11718"/>
        <n v="2100"/>
        <n v="4018"/>
        <n v="6468"/>
        <n v="7238"/>
        <n v="6454"/>
        <n v="3115"/>
        <n v="6475"/>
        <n v="1162"/>
        <n v="14238"/>
        <n v="1428"/>
        <n v="8064"/>
        <n v="9660"/>
        <n v="7357"/>
        <n v="6055"/>
        <n v="5124"/>
        <n v="3479"/>
        <n v="784"/>
        <n v="18991"/>
        <n v="1372"/>
        <n v="735"/>
        <n v="6538"/>
        <n v="3199"/>
        <n v="4571"/>
        <n v="5481"/>
        <n v="3136"/>
        <n v="252"/>
        <n v="3395"/>
        <n v="14938"/>
        <n v="4053"/>
        <n v="5565"/>
        <n v="7161"/>
        <n v="8883"/>
        <n v="1351"/>
        <n v="3171"/>
        <n v="7910"/>
        <n v="3108"/>
        <n v="5075"/>
        <n v="378"/>
        <n v="7350"/>
        <n v="3388"/>
        <n v="11837"/>
        <n v="5425"/>
        <n v="3752"/>
        <n v="7728"/>
        <n v="2296"/>
        <n v="4403"/>
        <n v="3192"/>
        <n v="448"/>
        <n v="4270"/>
        <n v="70"/>
        <n v="6762"/>
        <n v="3745"/>
        <n v="2639"/>
        <n v="4389"/>
        <n v="2604"/>
        <n v="16569"/>
        <n v="14658"/>
        <n v="161"/>
        <n v="2807"/>
        <n v="13034"/>
        <n v="8484"/>
        <n v="2240"/>
        <n v="13447"/>
        <n v="9422"/>
        <n v="8687"/>
        <n v="2415"/>
        <n v="6272"/>
        <n v="3122"/>
        <n v="8043"/>
        <n v="11662"/>
        <n v="8925"/>
        <n v="7294"/>
        <n v="1526"/>
        <n v="2688"/>
        <n v="14889"/>
        <n v="2912"/>
        <n v="2632"/>
        <n v="6328"/>
        <n v="2527"/>
        <n v="1414"/>
        <n v="7714"/>
        <n v="4347"/>
        <n v="7490"/>
        <n v="2058"/>
        <n v="3640"/>
        <n v="455"/>
        <n v="10990"/>
        <n v="5558"/>
        <n v="1876"/>
        <n v="5523"/>
        <n v="11200"/>
        <n v="5593"/>
        <n v="7882"/>
        <n v="10241"/>
        <n v="1379"/>
        <n v="3010"/>
        <n v="1540"/>
        <n v="6916"/>
        <n v="1232"/>
        <n v="602"/>
        <n v="10185"/>
        <n v="2170"/>
        <n v="8673"/>
        <n v="4760"/>
        <n v="3374"/>
        <n v="420"/>
        <n v="2863"/>
        <n v="5936"/>
        <n v="889"/>
        <n v="16016"/>
        <n v="10479"/>
        <n v="1575"/>
        <n v="8197"/>
        <n v="840"/>
        <n v="5691"/>
        <n v="4193"/>
        <n v="9016"/>
        <n v="9870"/>
        <n v="2576"/>
        <n v="3178"/>
        <n v="4676"/>
        <n v="5502"/>
        <n v="7462"/>
        <n v="5803"/>
        <n v="13888"/>
        <n v="6867"/>
        <n v="2317"/>
        <n v="1218"/>
        <n v="4109"/>
        <n v="1953"/>
        <n v="6797"/>
        <n v="9226"/>
        <n v="5733"/>
        <n v="4312"/>
        <n v="1638"/>
        <n v="10815"/>
        <n v="987"/>
        <n v="4669"/>
        <n v="2905"/>
        <n v="6986"/>
        <n v="1288"/>
        <n v="2345"/>
        <n v="3619"/>
        <n v="16982"/>
        <n v="8092"/>
        <n v="6993"/>
        <n v="637"/>
        <n v="6034"/>
        <n v="980"/>
        <n v="2821"/>
        <n v="3563"/>
        <n v="2996"/>
        <n v="2436"/>
        <n v="5509"/>
        <n v="12992"/>
        <n v="3724"/>
        <n v="7133"/>
        <n v="8617"/>
        <n v="9198"/>
        <n v="11823"/>
        <n v="5775"/>
        <n v="13125"/>
        <n v="14287"/>
        <n v="16233"/>
        <n v="5313"/>
        <n v="3577"/>
        <n v="3528"/>
        <n v="679"/>
        <n v="2450"/>
        <n v="10577"/>
        <n v="2597"/>
        <n v="2219"/>
        <n v="11319"/>
        <n v="5978"/>
        <n v="5327"/>
        <n v="6020"/>
        <n v="5614"/>
        <n v="1736"/>
        <n v="6384"/>
        <n v="14539"/>
        <n v="3493"/>
        <n v="994"/>
        <n v="1554"/>
        <n v="966"/>
        <n v="4935"/>
        <n v="10024"/>
        <n v="2506"/>
        <n v="6524"/>
        <n v="8148"/>
        <n v="3948"/>
        <n v="5271"/>
        <n v="12327"/>
        <n v="6167"/>
        <n v="18340"/>
        <n v="7014"/>
        <n v="7119"/>
        <n v="15491"/>
        <n v="5747"/>
        <n v="4550"/>
        <n v="2191"/>
        <n v="7623"/>
        <n v="9023"/>
        <n v="3402"/>
        <n v="10507"/>
        <n v="7721"/>
        <n v="5033"/>
        <n v="1960"/>
        <n v="238"/>
        <n v="7756"/>
        <n v="2660"/>
        <n v="11564"/>
        <n v="1365"/>
        <n v="4186"/>
        <n v="7406"/>
        <n v="112"/>
        <n v="8204"/>
        <n v="2611"/>
        <n v="15652"/>
        <n v="4074"/>
        <n v="12250"/>
        <n v="2366"/>
        <n v="6965"/>
        <n v="5292"/>
        <n v="588"/>
        <n v="4046"/>
        <n v="7042"/>
        <n v="6713"/>
        <n v="6440"/>
        <n v="10885"/>
        <n v="2387"/>
        <n v="6678"/>
        <n v="4515"/>
        <n v="5852"/>
        <n v="1750"/>
        <n v="5782"/>
        <n v="2870"/>
        <n v="3094"/>
        <n v="12761"/>
        <n v="3696"/>
        <n v="5222"/>
        <n v="8939"/>
        <n v="2156"/>
        <n v="2380"/>
        <n v="3339"/>
        <n v="14980"/>
        <n v="1512"/>
        <n v="6657"/>
        <n v="3836"/>
        <n v="8771"/>
        <n v="651"/>
        <n v="6706"/>
        <n v="1421"/>
        <n v="8526"/>
        <n v="1435"/>
        <n v="7434"/>
        <n v="15316"/>
        <n v="2751"/>
        <n v="2786"/>
        <n v="2303"/>
        <n v="12271"/>
        <n v="11298"/>
        <n v="15855"/>
        <n v="12404"/>
        <n v="10808"/>
        <n v="4858"/>
        <n v="7742"/>
        <n v="10983"/>
        <n v="6769"/>
        <n v="777"/>
        <n v="3843"/>
        <n v="6930"/>
        <n v="8393"/>
        <n v="3822"/>
        <n v="6342"/>
        <n v="6510"/>
        <n v="10171"/>
        <n v="5908"/>
        <n v="10164"/>
        <n v="9716"/>
        <n v="22050"/>
        <n v="9989"/>
        <n v="4739"/>
        <n v="3185"/>
        <n v="8225"/>
        <n v="14301"/>
        <n v="1316"/>
        <n v="3486"/>
        <n v="13930"/>
        <n v="8470"/>
        <n v="77"/>
        <n v="3381"/>
        <n v="4102"/>
        <n v="2975"/>
        <n v="4137"/>
        <n v="9541"/>
        <n v="5152"/>
        <n v="11116"/>
        <n v="13076"/>
        <n v="10213"/>
        <n v="2485"/>
        <n v="8715"/>
        <n v="7"/>
        <n v="8904"/>
        <n v="4396"/>
        <n v="12068"/>
        <n v="9772"/>
        <n v="10458"/>
        <n v="6426"/>
        <n v="7504"/>
        <n v="5439"/>
        <n v="15547"/>
        <n v="11956"/>
        <n v="2723"/>
        <n v="19327"/>
        <n v="8848"/>
        <n v="14336"/>
        <n v="16401"/>
        <n v="5173"/>
        <n v="2534"/>
        <n v="910"/>
        <n v="2331"/>
        <n v="2086"/>
        <n v="5012"/>
        <n v="13482"/>
        <n v="5621"/>
        <n v="10486"/>
        <n v="17626"/>
        <n v="4494"/>
        <n v="105"/>
        <n v="3220"/>
        <n v="4802"/>
        <n v="5677"/>
        <n v="945"/>
        <n v="8757"/>
        <n v="4816"/>
        <n v="7532"/>
        <n v="4340"/>
        <n v="1799"/>
        <n v="1127"/>
        <n v="10038"/>
        <n v="2926"/>
        <n v="6279"/>
        <n v="308"/>
        <n v="3500"/>
        <n v="658"/>
        <n v="12565"/>
        <n v="3955"/>
        <n v="8512"/>
        <n v="504"/>
        <n v="4256"/>
        <n v="13573"/>
        <n v="6566"/>
        <n v="13503"/>
        <n v="8680"/>
        <n v="385"/>
        <n v="2961"/>
        <n v="1981"/>
        <n v="7959"/>
        <n v="10794"/>
        <n v="1897"/>
        <n v="2744"/>
        <n v="5474"/>
        <n v="6069"/>
        <n v="6944"/>
        <n v="12173"/>
        <n v="5705"/>
        <n v="2492"/>
        <n v="3024"/>
        <n v="3437"/>
        <n v="1869"/>
        <n v="1225"/>
        <n v="1155"/>
        <n v="6811"/>
        <n v="6433"/>
        <n v="8169"/>
        <n v="2275"/>
        <n v="3857"/>
        <n v="1463"/>
        <n v="7924"/>
        <n v="2898"/>
        <n v="9506"/>
        <n v="7175"/>
        <n v="1729"/>
        <n v="1589"/>
        <n v="5187"/>
        <n v="6223"/>
        <n v="9457"/>
        <n v="2107"/>
        <n v="1862"/>
        <n v="6972"/>
        <n v="10220"/>
        <n v="3969"/>
        <n v="1547"/>
        <n v="10633"/>
        <n v="15057"/>
        <n v="9338"/>
        <n v="14525"/>
        <n v="5810"/>
        <n v="1582"/>
        <n v="791"/>
        <n v="9100"/>
        <n v="9884"/>
        <n v="3780"/>
        <n v="4557"/>
        <n v="5796"/>
        <n v="84"/>
        <n v="4746"/>
        <n v="6237"/>
        <n v="7483"/>
        <n v="1309"/>
        <n v="2989"/>
        <n v="9625"/>
        <n v="10031"/>
        <n v="6587"/>
        <n v="3311"/>
        <n v="15330"/>
        <n v="14028"/>
        <n v="8624"/>
        <n v="1197"/>
        <n v="483"/>
        <n v="9534"/>
        <n v="1694"/>
        <n v="2933"/>
        <n v="2044"/>
        <n v="12656"/>
        <n v="8722"/>
        <n v="15750"/>
        <n v="19481"/>
        <n v="8099"/>
        <n v="13727"/>
        <n v="8659"/>
        <n v="8463"/>
        <n v="4914"/>
        <n v="3087"/>
        <n v="9205"/>
        <n v="1358"/>
        <n v="8498"/>
        <n v="700"/>
        <n v="644"/>
        <n v="826"/>
        <n v="203"/>
        <n v="13356"/>
        <n v="5894"/>
        <n v="1617"/>
        <n v="10822"/>
        <n v="10724"/>
        <n v="2016"/>
        <n v="7588"/>
        <n v="1904"/>
        <n v="4844"/>
        <n v="4599"/>
        <n v="9744"/>
        <n v="1400"/>
        <n v="364"/>
        <n v="7231"/>
        <n v="8309"/>
        <n v="3164"/>
        <n v="490"/>
        <n v="18032"/>
        <n v="5131"/>
        <n v="1141"/>
        <n v="7980"/>
        <n v="5229"/>
        <n v="3423"/>
        <n v="4326"/>
        <n v="3997"/>
        <n v="5180"/>
        <n v="952"/>
        <n v="10969"/>
        <n v="5964"/>
        <n v="1302"/>
        <n v="4179"/>
        <n v="1946"/>
        <n v="4291"/>
        <n v="7196"/>
        <n v="10437"/>
        <n v="3647"/>
        <n v="8995"/>
        <n v="7252"/>
        <n v="16380"/>
        <n v="4522"/>
        <n v="329"/>
        <n v="3458"/>
        <n v="4641"/>
        <n v="4627"/>
        <n v="868"/>
        <n v="210"/>
        <n v="7007"/>
        <n v="5845"/>
        <n v="8428"/>
        <n v="4977"/>
        <n v="9527"/>
        <n v="10766"/>
        <n v="4879"/>
        <n v="2408"/>
        <n v="8981"/>
        <n v="5250"/>
        <n v="7560"/>
        <n v="3038"/>
        <n v="1099"/>
        <n v="7413"/>
        <n v="5397"/>
        <n v="10325"/>
        <n v="2149"/>
        <n v="12362"/>
        <n v="12635"/>
        <n v="7315"/>
        <n v="1393"/>
        <n v="8022"/>
        <n v="371"/>
        <n v="16702"/>
        <n v="13258"/>
        <n v="10192"/>
        <n v="7140"/>
        <n v="9835"/>
        <n v="749"/>
        <n v="7770"/>
        <n v="3507"/>
        <n v="5600"/>
        <n v="721"/>
        <n v="6615"/>
        <n v="7420"/>
        <n v="9114"/>
        <n v="5404"/>
        <n v="14924"/>
        <n v="7091"/>
        <n v="6496"/>
        <n v="3738"/>
        <n v="1190"/>
        <n v="9268"/>
        <n v="1029"/>
        <n v="12026"/>
        <n v="13405"/>
        <n v="14763"/>
        <n v="12894"/>
        <n v="8302"/>
        <n v="8183"/>
        <n v="1645"/>
        <n v="3143"/>
        <n v="5873"/>
        <n v="12425"/>
        <n v="1715"/>
        <n v="8190"/>
        <n v="4991"/>
        <n v="5096"/>
        <n v="7063"/>
        <n v="4200"/>
        <n v="11137"/>
        <n v="301"/>
        <n v="17465"/>
        <n v="10143"/>
        <n v="3626"/>
        <n v="3346"/>
        <n v="6321"/>
        <n v="9345"/>
        <n v="15008"/>
        <n v="7609"/>
        <n v="10332"/>
        <n v="819"/>
        <n v="5754"/>
        <n v="28"/>
        <n v="4956"/>
        <n v="2352"/>
        <n v="3906"/>
        <n v="1813"/>
        <n v="11788"/>
        <n v="5768"/>
        <n v="2401"/>
        <n v="10122"/>
        <n v="2268"/>
        <n v="574"/>
        <n v="1792"/>
        <n v="9107"/>
        <n v="12187"/>
        <n v="5670"/>
        <n v="2681"/>
        <n v="1533"/>
        <n v="9765"/>
        <n v="3318"/>
        <n v="4214"/>
        <n v="4690"/>
        <n v="13062"/>
        <n v="12488"/>
        <n v="14147"/>
        <n v="10199"/>
        <n v="11389"/>
        <n v="3584"/>
        <n v="12481"/>
        <n v="8603"/>
        <n v="6559"/>
        <n v="18697"/>
        <n v="10150"/>
        <n v="4592"/>
        <n v="4158"/>
        <n v="5684"/>
        <n v="693"/>
        <n v="546"/>
        <n v="1036"/>
        <n v="13846"/>
        <n v="2499"/>
        <n v="10689"/>
        <n v="2226"/>
        <n v="10262"/>
        <n v="3864"/>
        <n v="4900"/>
        <n v="8155"/>
        <n v="2478"/>
        <n v="2471"/>
        <n v="1666"/>
        <n v="8400"/>
        <n v="6139"/>
        <n v="7077"/>
        <n v="9954"/>
        <n v="1260"/>
        <n v="469"/>
        <n v="973"/>
        <n v="2520"/>
        <n v="10500"/>
        <n v="7952"/>
        <n v="4872"/>
        <n v="6594"/>
        <n v="1470"/>
        <n v="2674"/>
        <n v="7364"/>
        <n v="6818"/>
        <n v="6776"/>
        <n v="15099"/>
        <n v="3612"/>
        <n v="3710"/>
        <n v="6111"/>
        <n v="2702"/>
        <n v="5887"/>
        <n v="10647"/>
        <n v="8589"/>
        <n v="11781"/>
        <n v="672"/>
        <n v="12558"/>
        <n v="8337"/>
        <n v="8134"/>
        <n v="8491"/>
        <n v="3066"/>
        <n v="4410"/>
        <n v="5902.13"/>
        <n v="8074.39"/>
        <n v="4666.18"/>
        <n v="14103.4"/>
        <n v="14167.84"/>
        <n v="5768.75"/>
        <n v="14673.2"/>
        <n v="3249.23"/>
        <n v="4526.24"/>
        <n v="3166.56"/>
        <n v="4866.3900000000003"/>
        <n v="4254.37"/>
        <n v="1652.61"/>
        <n v="171.49"/>
        <n v="8549.84"/>
        <n v="7807.74"/>
        <n v="4561.43"/>
        <n v="3041.12"/>
        <n v="9786.09"/>
        <n v="1131.25"/>
        <n v="7484.07"/>
        <n v="1339.61"/>
        <n v="5481.18"/>
        <n v="3275.4"/>
        <n v="7677.78"/>
        <n v="189.37"/>
        <n v="1658.79"/>
        <n v="4168.93"/>
        <n v="10604.89"/>
        <n v="5773.51"/>
        <n v="1838.78"/>
        <n v="12643.1"/>
        <n v="4439.5200000000004"/>
        <n v="7698.6"/>
        <n v="2222.3000000000002"/>
        <n v="10959.02"/>
        <n v="2854.85"/>
        <n v="147.82"/>
        <n v="3790.51"/>
        <n v="2487.19"/>
        <n v="1021.27"/>
        <n v="15370.06"/>
        <n v="5345.58"/>
        <n v="6559.44"/>
        <n v="8282.93"/>
        <n v="6981.4"/>
        <n v="10280.17"/>
        <n v="7703.62"/>
        <n v="4489.8100000000004"/>
        <n v="5806.11"/>
        <n v="5148.7"/>
        <n v="8558.59"/>
        <n v="94.19"/>
        <n v="16223.83"/>
        <n v="2439.06"/>
        <n v="466.65"/>
        <n v="4044.24"/>
        <n v="17675.28"/>
        <n v="17280.98"/>
        <n v="5091.78"/>
        <n v="1657.2"/>
        <n v="305.79000000000002"/>
        <n v="3377.41"/>
        <n v="6188.62"/>
        <n v="10914.36"/>
        <n v="2342.0700000000002"/>
        <n v="21762.799999999999"/>
        <n v="10539.54"/>
        <n v="6665.87"/>
        <n v="9605.11"/>
        <n v="13018"/>
        <n v="6046.4"/>
        <n v="3078.33"/>
        <n v="970.96"/>
        <n v="2064.71"/>
        <n v="679.94"/>
        <n v="1311.25"/>
        <n v="8692.64"/>
        <n v="4993.21"/>
        <n v="10898.19"/>
        <n v="15565.91"/>
        <n v="280.58999999999997"/>
        <n v="66.349999999999994"/>
        <n v="8766.4500000000007"/>
        <n v="4265.4799999999996"/>
        <n v="6087.53"/>
        <n v="11694.48"/>
        <n v="7616.38"/>
        <n v="7807.02"/>
        <n v="7990.91"/>
        <n v="6757.17"/>
        <n v="4409.21"/>
        <n v="722.25"/>
        <n v="1896.24"/>
        <n v="2966.83"/>
        <n v="51.29"/>
        <n v="1835.42"/>
        <n v="14592.11"/>
        <n v="1114.1300000000001"/>
        <n v="13051.75"/>
        <n v="5997.71"/>
        <n v="1588.28"/>
        <n v="5344.21"/>
        <n v="4646.91"/>
        <n v="8929.8799999999992"/>
        <n v="141.22999999999999"/>
        <n v="5068.99"/>
        <n v="8012.72"/>
        <n v="10587.71"/>
        <n v="2155.62"/>
        <n v="11010.43"/>
        <n v="6787.72"/>
        <n v="5715.07"/>
        <n v="12100.65"/>
        <n v="623.75"/>
        <n v="6528.42"/>
        <n v="1540.55"/>
        <n v="487.06"/>
        <n v="11630.38"/>
        <n v="17297.66"/>
        <n v="2043.55"/>
        <n v="8168.86"/>
        <n v="933.45"/>
        <n v="6826.32"/>
        <n v="5029.3500000000004"/>
        <n v="5143.49"/>
        <n v="16707.88"/>
        <n v="1558.87"/>
        <n v="9332.76"/>
        <n v="2673.47"/>
        <n v="4950.21"/>
        <n v="2919.11"/>
        <n v="8003.23"/>
        <n v="4902.78"/>
        <n v="4033.53"/>
        <n v="22751.18"/>
        <n v="5118.1099999999997"/>
        <n v="2835.9"/>
        <n v="5828.22"/>
        <n v="396.19"/>
        <n v="11226.5"/>
        <n v="10102.86"/>
        <n v="2084.86"/>
        <n v="8495.7900000000009"/>
        <n v="4248.34"/>
        <n v="2236.11"/>
        <n v="1124.27"/>
        <n v="12870.47"/>
        <n v="3017.66"/>
        <n v="3574.12"/>
        <n v="6249.31"/>
        <n v="10759.61"/>
        <n v="2508.0300000000002"/>
        <n v="4997.82"/>
        <n v="7901.09"/>
        <n v="3133.42"/>
        <n v="8320.2900000000009"/>
        <n v="909.93"/>
        <n v="5631.26"/>
        <n v="3283.44"/>
        <n v="9458.0300000000007"/>
        <n v="7726.25"/>
        <n v="14369.4"/>
        <n v="2829.57"/>
        <n v="9370.61"/>
        <n v="3651.49"/>
        <n v="10229.99"/>
        <n v="11596.89"/>
        <n v="5857.9"/>
        <n v="1177.6400000000001"/>
        <n v="12930.11"/>
        <n v="1732.04"/>
        <n v="5837.17"/>
        <n v="3424.66"/>
        <n v="5700.28"/>
        <n v="5094.4799999999996"/>
        <n v="14529.2"/>
        <n v="6761.28"/>
        <n v="10370.44"/>
        <n v="12450.24"/>
        <n v="8927.6299999999992"/>
        <n v="3438.7"/>
        <n v="299.70999999999998"/>
        <n v="7374.26"/>
        <n v="2775.87"/>
        <n v="9957.66"/>
        <n v="5064.88"/>
        <n v="9865.0499999999993"/>
        <n v="571.52"/>
        <n v="656.44"/>
        <n v="4008.93"/>
        <n v="4679.0600000000004"/>
        <n v="3446.84"/>
        <n v="11884.52"/>
        <n v="2167.19"/>
        <n v="4199.84"/>
        <n v="7358.7"/>
        <n v="7870.09"/>
        <n v="7454.25"/>
        <n v="3112.3"/>
        <n v="6901.22"/>
        <n v="1178"/>
        <n v="14953.83"/>
        <n v="3958.57"/>
        <n v="1639.01"/>
        <n v="8586.0400000000009"/>
        <n v="10000.219999999999"/>
        <n v="8448.39"/>
        <n v="6984.74"/>
        <n v="5641.54"/>
        <n v="3850.87"/>
        <n v="885.68"/>
        <n v="21251.67"/>
        <n v="1452.61"/>
        <n v="793.17"/>
        <n v="7152.22"/>
        <n v="3364.44"/>
        <n v="3470.6"/>
        <n v="4676.32"/>
        <n v="6323.45"/>
        <n v="3252.7"/>
        <n v="254.16"/>
        <n v="6127.37"/>
        <n v="3791.66"/>
        <n v="17059.689999999999"/>
        <n v="4154.4399999999996"/>
        <n v="6168.51"/>
        <n v="7984.45"/>
        <n v="9108.33"/>
        <n v="1511.51"/>
        <n v="3364.28"/>
        <n v="934.49"/>
        <n v="8895.7000000000007"/>
        <n v="9957.2000000000007"/>
        <n v="3359.18"/>
        <n v="5098.29"/>
        <n v="398.28"/>
        <n v="7473.14"/>
        <n v="3638.66"/>
        <n v="12507.08"/>
        <n v="2393.79"/>
        <n v="6136.99"/>
        <n v="1264.43"/>
        <n v="4101.26"/>
        <n v="8106.88"/>
        <n v="2456.1"/>
        <n v="4726.6000000000004"/>
        <n v="3482.73"/>
        <n v="467.19"/>
        <n v="4875.38"/>
        <n v="70.599999999999994"/>
        <n v="1835.22"/>
        <n v="7304.74"/>
        <n v="3967.85"/>
        <n v="2800.67"/>
        <n v="4474.5200000000004"/>
        <n v="2737.03"/>
        <n v="16717.259999999998"/>
        <n v="16112.73"/>
        <n v="6898"/>
        <n v="2151.04"/>
        <n v="172.51"/>
        <n v="2949.02"/>
        <n v="2790.72"/>
        <n v="5054.42"/>
        <n v="5418.75"/>
        <n v="14604.67"/>
        <n v="6668.93"/>
        <n v="9689.7000000000007"/>
        <n v="5026.8100000000004"/>
        <n v="2379.0100000000002"/>
        <n v="7770.55"/>
        <n v="1837.47"/>
        <n v="14625.75"/>
        <n v="10305.4"/>
        <n v="8798.99"/>
        <n v="2466.59"/>
        <n v="6564.2"/>
        <n v="4764.5600000000004"/>
        <n v="3172.08"/>
        <n v="8062"/>
        <n v="12382.41"/>
        <n v="413.6"/>
        <n v="10186.18"/>
        <n v="7936.84"/>
        <n v="1712.72"/>
        <n v="3088.98"/>
        <n v="14953.43"/>
        <n v="3219.13"/>
        <n v="2700.61"/>
        <n v="7219.96"/>
        <n v="2634.13"/>
        <n v="1630.95"/>
        <n v="8250.66"/>
        <n v="4849.3"/>
        <n v="7940.49"/>
        <n v="2106.9299999999998"/>
        <n v="3911.85"/>
        <n v="483.04"/>
        <n v="11380.7"/>
        <n v="6372.68"/>
        <n v="2714.76"/>
        <n v="2106.17"/>
        <n v="5805.24"/>
        <n v="12205.52"/>
        <n v="6318.7"/>
        <n v="8522.7999999999993"/>
        <n v="10315.879999999999"/>
        <n v="7262.12"/>
        <n v="1414.84"/>
        <n v="3067.9"/>
        <n v="7369.69"/>
        <n v="1775.18"/>
        <n v="7683.78"/>
        <n v="1412.22"/>
        <n v="607.08000000000004"/>
        <n v="11688.75"/>
        <n v="10275.549999999999"/>
        <n v="1788.1"/>
        <n v="2378.08"/>
        <n v="9545.0300000000007"/>
        <n v="4999.5200000000004"/>
        <n v="5312.5"/>
        <n v="3750.88"/>
        <n v="2375.7399999999998"/>
        <n v="7013.61"/>
        <n v="481.52"/>
        <n v="3136.92"/>
        <n v="6584.26"/>
        <n v="1024.77"/>
        <n v="17680.189999999999"/>
        <n v="10707.82"/>
        <n v="3019.09"/>
        <n v="1758.62"/>
        <n v="8385.3799999999992"/>
        <n v="4854.12"/>
        <n v="949.18"/>
        <n v="6047.05"/>
        <n v="3883.32"/>
        <n v="4382.07"/>
        <n v="9928.1"/>
        <n v="6315.53"/>
        <n v="10630.08"/>
        <n v="167.33"/>
        <n v="2690.14"/>
        <n v="3242.04"/>
        <n v="5363.69"/>
        <n v="6160.89"/>
        <n v="7968.23"/>
        <n v="6388.95"/>
        <n v="15840.74"/>
        <n v="7265.05"/>
        <n v="2342.4899999999998"/>
        <n v="1365.88"/>
        <n v="4437.46"/>
        <n v="2072.2399999999998"/>
        <n v="7091.81"/>
        <n v="7213.16"/>
        <n v="9672.76"/>
        <n v="5750.05"/>
        <n v="4641.29"/>
        <n v="1871.33"/>
        <n v="10843.46"/>
        <n v="5032.45"/>
        <n v="1106.3800000000001"/>
        <n v="4977.55"/>
        <n v="3210.14"/>
        <n v="7794.8"/>
        <n v="7613.37"/>
        <n v="1332.76"/>
        <n v="2587.7600000000002"/>
        <n v="3826.22"/>
        <n v="18687.87"/>
        <n v="8859.6299999999992"/>
        <n v="7299.4"/>
        <n v="2556.2600000000002"/>
        <n v="703.4"/>
        <n v="6421.18"/>
        <n v="1048.26"/>
        <n v="3099.14"/>
        <n v="3737.68"/>
        <n v="3086.89"/>
        <n v="2618.15"/>
        <n v="1643.45"/>
        <n v="7368.94"/>
        <n v="6082.19"/>
        <n v="14456.14"/>
        <n v="4173.3999999999996"/>
        <n v="7189.18"/>
        <n v="8962.9599999999991"/>
        <n v="10085.02"/>
        <n v="12073.18"/>
        <n v="6655.62"/>
        <n v="14193.67"/>
        <n v="15507.29"/>
        <n v="17383.080000000002"/>
        <n v="5912.59"/>
        <n v="4029.28"/>
        <n v="3563.09"/>
        <n v="773.73"/>
        <n v="2620.19"/>
        <n v="11426.56"/>
        <n v="2935.8"/>
        <n v="2431.5300000000002"/>
        <n v="11882.82"/>
        <n v="6297.06"/>
        <n v="5859.21"/>
        <n v="6276.91"/>
        <n v="5674.7"/>
        <n v="1960.1"/>
        <n v="6540.3"/>
        <n v="3818.21"/>
        <n v="14769.97"/>
        <n v="3687.44"/>
        <n v="1123.58"/>
        <n v="4612.08"/>
        <n v="1600.11"/>
        <n v="975.67"/>
        <n v="5487.3"/>
        <n v="4948.1499999999996"/>
        <n v="11460.08"/>
        <n v="2628.33"/>
        <n v="1044.3499999999999"/>
        <n v="7449.7"/>
        <n v="9315.64"/>
        <n v="3820.94"/>
        <n v="3782.83"/>
        <n v="4525.72"/>
        <n v="3730.79"/>
        <n v="6068.19"/>
        <n v="4944.46"/>
        <n v="12331.35"/>
        <n v="5290.76"/>
        <n v="6874.06"/>
        <n v="20402.169999999998"/>
        <n v="7923.1"/>
        <n v="8145.99"/>
        <n v="16253.25"/>
        <n v="5744.07"/>
        <n v="4908.71"/>
        <n v="2369.87"/>
        <n v="5973.24"/>
        <n v="8047.16"/>
        <n v="9656.56"/>
        <n v="3925.06"/>
        <n v="11682.62"/>
        <n v="7874.15"/>
        <n v="5061.37"/>
        <n v="2099.2399999999998"/>
        <n v="237.57"/>
        <n v="8829.77"/>
        <n v="1733.09"/>
        <n v="3047.18"/>
        <n v="8497.7199999999993"/>
        <n v="12557.56"/>
        <n v="1406.91"/>
        <n v="4496.32"/>
        <n v="8220.25"/>
        <n v="9588.0300000000007"/>
        <n v="114.82"/>
        <n v="8804.98"/>
        <n v="2900.61"/>
        <n v="16773.080000000002"/>
        <n v="4153.59"/>
        <n v="12571.07"/>
        <n v="2553.46"/>
        <n v="1888.94"/>
        <n v="1310.04"/>
        <n v="7805.9"/>
        <n v="6101.12"/>
        <n v="1425.81"/>
        <n v="8724.4"/>
        <n v="664.82"/>
        <n v="4351.3100000000004"/>
        <n v="5825.09"/>
        <n v="2418.9299999999998"/>
        <n v="7725.52"/>
        <n v="7144.08"/>
        <n v="2043.13"/>
        <n v="6526.01"/>
        <n v="11334.77"/>
        <n v="2492.67"/>
        <n v="2066.48"/>
        <n v="7009.01"/>
        <n v="4562.97"/>
        <n v="3442.99"/>
        <n v="6669.6"/>
        <n v="1902.47"/>
        <n v="6157.17"/>
        <n v="3012.68"/>
        <n v="3473.62"/>
        <n v="4129.9799999999996"/>
        <n v="14566.22"/>
        <n v="4049.61"/>
        <n v="5924.44"/>
        <n v="10100.950000000001"/>
        <n v="2362.0100000000002"/>
        <n v="2638.76"/>
        <n v="3496.41"/>
        <n v="17222.86"/>
        <n v="1604.87"/>
        <n v="7170.21"/>
        <n v="4090.16"/>
        <n v="9574.3799999999992"/>
        <n v="717.9"/>
        <n v="7734.54"/>
        <n v="1606.49"/>
        <n v="9170.09"/>
        <n v="1583.57"/>
        <n v="7684.52"/>
        <n v="16765.07"/>
        <n v="11796.63"/>
        <n v="2766.65"/>
        <n v="13232.74"/>
        <n v="2820.41"/>
        <n v="2483.3200000000002"/>
        <n v="9124.16"/>
        <n v="12728.16"/>
        <n v="12624.64"/>
        <n v="17584.16"/>
        <n v="13156.49"/>
        <n v="4164.1000000000004"/>
        <n v="11698.98"/>
        <n v="4964.25"/>
        <n v="8258.3700000000008"/>
        <n v="3938.2"/>
        <n v="1368.27"/>
        <n v="12449.46"/>
        <n v="7323.82"/>
        <n v="4560.8100000000004"/>
        <n v="777.46"/>
        <n v="3857.27"/>
        <n v="7442.69"/>
        <n v="5799.3"/>
        <n v="8836.9"/>
        <n v="4185"/>
        <n v="6984.06"/>
        <n v="7362.7"/>
        <n v="10338.27"/>
        <n v="6215.72"/>
        <n v="10400.66"/>
        <n v="1062.6099999999999"/>
        <n v="10095.709999999999"/>
        <n v="23251.68"/>
        <n v="2669.61"/>
        <n v="10265.969999999999"/>
        <n v="5423.54"/>
        <n v="3272.68"/>
        <n v="8840.59"/>
        <n v="14460.51"/>
        <n v="1461.99"/>
        <n v="3701.6"/>
        <n v="13951.32"/>
        <n v="5774.92"/>
        <n v="9718.8700000000008"/>
        <n v="87.52"/>
        <n v="3398.51"/>
        <n v="4371.7700000000004"/>
        <n v="3632.32"/>
        <n v="3343.85"/>
        <n v="4400.28"/>
        <n v="10802.13"/>
        <n v="9154.17"/>
        <n v="5360.89"/>
        <n v="11597.46"/>
        <n v="14939.24"/>
        <n v="10845.85"/>
        <n v="2832.78"/>
        <n v="8879.7199999999993"/>
        <n v="298.33999999999997"/>
        <n v="7799.51"/>
        <n v="8.0399999999999991"/>
        <n v="3212.35"/>
        <n v="12048.56"/>
        <n v="4499.6400000000003"/>
        <n v="9984.16"/>
        <n v="11867.83"/>
        <n v="4806.6499999999996"/>
        <n v="13420.93"/>
        <n v="10407.51"/>
        <n v="10849.39"/>
        <n v="7247.29"/>
        <n v="6387.65"/>
        <n v="8373.42"/>
        <n v="1887.19"/>
        <n v="6054.04"/>
        <n v="16254.61"/>
        <n v="13173.56"/>
        <n v="2721.46"/>
        <n v="19283.64"/>
        <n v="9327.52"/>
        <n v="3184.03"/>
        <n v="9738.74"/>
        <n v="16486.650000000001"/>
        <n v="16792.23"/>
        <n v="5752.62"/>
        <n v="6833.28"/>
        <n v="2815.72"/>
        <n v="1545.36"/>
        <n v="3432.73"/>
        <n v="1001.99"/>
        <n v="2494.19"/>
        <n v="770.25"/>
        <n v="2261.98"/>
        <n v="5667.58"/>
        <n v="4738.71"/>
        <n v="13661.89"/>
        <n v="6067.19"/>
        <n v="11720.99"/>
        <n v="19999.55"/>
        <n v="4484.03"/>
        <n v="107.24"/>
        <n v="2525.98"/>
        <n v="1577.84"/>
        <n v="2972.07"/>
        <n v="3691.63"/>
        <n v="5188.8900000000003"/>
        <n v="5766.51"/>
        <n v="1036.77"/>
        <n v="10033.52"/>
        <n v="5220.6899999999996"/>
        <n v="8106.62"/>
        <n v="3934.09"/>
        <n v="4508.93"/>
        <n v="1921.57"/>
        <n v="1161.31"/>
        <n v="11389.29"/>
        <n v="3032.3"/>
        <n v="6871.55"/>
        <n v="339.99"/>
        <n v="3720.22"/>
        <n v="731.19"/>
        <n v="13288.65"/>
        <n v="5332.79"/>
        <n v="3971.78"/>
        <n v="9538.2099999999991"/>
        <n v="547.85"/>
        <n v="2994.76"/>
        <n v="4451.38"/>
        <n v="14691.77"/>
        <n v="7042.98"/>
        <n v="15583"/>
        <n v="9059.82"/>
        <n v="430.59"/>
        <n v="1264.25"/>
        <n v="2995.47"/>
        <n v="2117.8200000000002"/>
        <n v="8081.79"/>
        <n v="11542.54"/>
        <n v="2183.6799999999998"/>
        <n v="3125.34"/>
        <n v="4891.8599999999997"/>
        <n v="4881.32"/>
        <n v="5917.62"/>
        <n v="6312.53"/>
        <n v="7956.28"/>
        <n v="5895.88"/>
        <n v="13535.7"/>
        <n v="5639.9"/>
        <n v="5813.44"/>
        <n v="2514.8200000000002"/>
        <n v="3044.01"/>
        <n v="3902.04"/>
        <n v="1928.74"/>
        <n v="3251.53"/>
        <n v="5031.9399999999996"/>
        <n v="1350.26"/>
        <n v="1187.71"/>
        <n v="7055.38"/>
        <n v="7231.89"/>
        <n v="9295.83"/>
        <n v="2276.94"/>
        <n v="4229.79"/>
        <n v="1640.53"/>
        <n v="8234.5"/>
        <n v="10087.040000000001"/>
        <n v="3169.26"/>
        <n v="10355.42"/>
        <n v="7772.63"/>
        <n v="1992.77"/>
        <n v="1815.56"/>
        <n v="727.11"/>
        <n v="114.96"/>
        <n v="5378.09"/>
        <n v="6707.63"/>
        <n v="8167.18"/>
        <n v="9950.14"/>
        <n v="7229.26"/>
        <n v="2260.21"/>
        <n v="6206.9"/>
        <n v="1889.83"/>
        <n v="7797.24"/>
        <n v="11644.92"/>
        <n v="4207.22"/>
        <n v="1683.88"/>
        <n v="1337.36"/>
        <n v="7147.04"/>
        <n v="12030.46"/>
        <n v="15844.58"/>
        <n v="5025.84"/>
        <n v="9902.0300000000007"/>
        <n v="7944.07"/>
        <n v="9523.65"/>
        <n v="16240.71"/>
        <n v="5891.94"/>
        <n v="6924.52"/>
        <n v="4552.57"/>
        <n v="1724.91"/>
        <n v="897.3"/>
        <n v="10283.9"/>
        <n v="10415.77"/>
        <n v="4220.83"/>
        <n v="4909.8599999999997"/>
        <n v="6549.62"/>
        <n v="88.72"/>
        <n v="9793.16"/>
        <n v="4823.6499999999996"/>
        <n v="7556.55"/>
        <n v="7082.03"/>
        <n v="8361.4699999999993"/>
        <n v="1310.5"/>
        <n v="1288.0999999999999"/>
        <n v="3288.29"/>
        <n v="10669.09"/>
        <n v="7361.93"/>
        <n v="10336.219999999999"/>
        <n v="6985.95"/>
        <n v="3394.46"/>
        <n v="15337.23"/>
        <n v="15925.17"/>
        <n v="7355.77"/>
        <n v="9489.27"/>
        <n v="1281.32"/>
        <n v="518.07000000000005"/>
        <n v="1933.56"/>
        <n v="1308.52"/>
        <n v="9878.5"/>
        <n v="1943.7"/>
        <n v="80.62"/>
        <n v="2678.37"/>
        <n v="2931.1"/>
        <n v="2316.09"/>
        <n v="6722.22"/>
        <n v="14528.51"/>
        <n v="9390.2800000000007"/>
        <n v="16230.41"/>
        <n v="7224.39"/>
        <n v="15567.58"/>
        <n v="2964.2"/>
        <n v="3357.08"/>
        <n v="1010.37"/>
        <n v="20470.43"/>
        <n v="8762.75"/>
        <n v="14613.52"/>
        <n v="9839.4599999999991"/>
        <n v="6633.23"/>
        <n v="9749.07"/>
        <n v="5254.38"/>
        <n v="3430.43"/>
        <n v="10454.549999999999"/>
        <n v="2413.87"/>
        <n v="1445.14"/>
        <n v="4022.64"/>
        <n v="8651.2000000000007"/>
        <n v="725.16"/>
        <n v="2385.4"/>
        <n v="726.04"/>
        <n v="4742.3500000000004"/>
        <n v="2556.96"/>
        <n v="8376.69"/>
        <n v="840.71"/>
        <n v="207.87"/>
        <n v="13370.34"/>
        <n v="6811.37"/>
        <n v="6096.52"/>
        <n v="8684.58"/>
        <n v="873.26"/>
        <n v="1912.66"/>
        <n v="321.61"/>
        <n v="511.12"/>
        <n v="7887.15"/>
        <n v="1793.67"/>
        <n v="12129.42"/>
        <n v="11749.75"/>
        <n v="3967.25"/>
        <n v="8105.37"/>
        <n v="1614.17"/>
        <n v="1613.3"/>
        <n v="2155.64"/>
        <n v="8184.37"/>
        <n v="3613.32"/>
        <n v="801.09"/>
        <n v="2069.48"/>
        <n v="5096.21"/>
        <n v="10573.5"/>
        <n v="4611.37"/>
        <n v="3288.77"/>
        <n v="10883.13"/>
        <n v="1516.56"/>
        <n v="391.33"/>
        <n v="7969.08"/>
        <n v="63.71"/>
        <n v="8832.33"/>
        <n v="3542.19"/>
        <n v="6052.07"/>
        <n v="543.20000000000005"/>
        <n v="18894.919999999998"/>
        <n v="689.4"/>
        <n v="4435.95"/>
        <n v="9111.34"/>
        <n v="10369.709999999999"/>
        <n v="5833.2"/>
        <n v="1229.96"/>
        <n v="8839.7199999999993"/>
        <n v="5747.66"/>
        <n v="3666.04"/>
        <n v="6853.82"/>
        <n v="4361.01"/>
        <n v="7686.15"/>
        <n v="4188.43"/>
        <n v="5425.24"/>
        <n v="2896.97"/>
        <n v="1071.31"/>
        <n v="6417.05"/>
        <n v="10967.31"/>
        <n v="6345.02"/>
        <n v="2824.71"/>
        <n v="1463.67"/>
        <n v="5856.52"/>
        <n v="4303.8599999999997"/>
        <n v="2047.77"/>
        <n v="4692.3599999999997"/>
        <n v="7302.42"/>
        <n v="2056.92"/>
        <n v="11032.79"/>
        <n v="7773.64"/>
        <n v="3843.01"/>
        <n v="9163.7900000000009"/>
        <n v="7628.59"/>
        <n v="18220.59"/>
        <n v="9828.94"/>
        <n v="4726.6499999999996"/>
        <n v="344.82"/>
        <n v="3451.24"/>
        <n v="5071.49"/>
        <n v="4719.38"/>
        <n v="3430.58"/>
        <n v="268.3"/>
        <n v="991.46"/>
        <n v="213.45"/>
        <n v="7586.38"/>
        <n v="6192.19"/>
        <n v="1510.58"/>
        <n v="8693.31"/>
        <n v="5509.77"/>
        <n v="1863.2"/>
        <n v="4822.5"/>
        <n v="10856.55"/>
        <n v="11252.11"/>
        <n v="1387.72"/>
        <n v="5509.22"/>
        <n v="2444.25"/>
        <n v="3175.62"/>
        <n v="7900.42"/>
        <n v="9072.4599999999991"/>
        <n v="8.06"/>
        <n v="1548.54"/>
        <n v="5501.67"/>
        <n v="7685.42"/>
        <n v="5147.7700000000004"/>
        <n v="3070.43"/>
        <n v="1127.5"/>
        <n v="8502.77"/>
        <n v="5961.02"/>
        <n v="2478.33"/>
        <n v="1269.56"/>
        <n v="11130.52"/>
        <n v="2455.09"/>
        <n v="12764.94"/>
        <n v="13351.42"/>
        <n v="2763.22"/>
        <n v="6523.34"/>
        <n v="1868.25"/>
        <n v="8431.83"/>
        <n v="5646.99"/>
        <n v="1484.67"/>
        <n v="3859.95"/>
        <n v="3237.3"/>
        <n v="4072.43"/>
        <n v="8054.87"/>
        <n v="420.3"/>
        <n v="17073.990000000002"/>
        <n v="13624.31"/>
        <n v="2318.46"/>
        <n v="10740.05"/>
        <n v="7624.67"/>
        <n v="10168.32"/>
        <n v="6635.15"/>
        <n v="860.12"/>
        <n v="8671.2099999999991"/>
        <n v="5534.11"/>
        <n v="6800.26"/>
        <n v="3927.83"/>
        <n v="5833.8"/>
        <n v="733.08"/>
        <n v="7164.51"/>
        <n v="7900.52"/>
        <n v="3550.76"/>
        <n v="10281.51"/>
        <n v="5936.81"/>
        <n v="4552.1499999999996"/>
        <n v="15944.86"/>
        <n v="7722.58"/>
        <n v="3105.38"/>
        <n v="6994.35"/>
        <n v="4264.49"/>
        <n v="1215.3"/>
        <n v="8519.3700000000008"/>
        <n v="9810.9500000000007"/>
        <n v="1065.6300000000001"/>
        <n v="3894.68"/>
        <n v="12194.27"/>
        <n v="2455.13"/>
        <n v="14887.76"/>
        <n v="15276.46"/>
        <n v="13520.48"/>
        <n v="9195.5300000000007"/>
        <n v="460.98"/>
        <n v="8216.56"/>
        <n v="1863.54"/>
        <n v="3283"/>
        <n v="5967.18"/>
        <n v="12083.5"/>
        <n v="12397.06"/>
        <n v="1746.01"/>
        <n v="9021.65"/>
        <n v="5263.45"/>
        <n v="15473"/>
        <n v="5566.57"/>
        <n v="8111.43"/>
        <n v="2341.8000000000002"/>
        <n v="8650.42"/>
        <n v="4444.72"/>
        <n v="12531.37"/>
        <n v="3558.89"/>
        <n v="7889.9"/>
        <n v="3589.18"/>
        <n v="305.39"/>
        <n v="1896.64"/>
        <n v="18494.72"/>
        <n v="11103.47"/>
        <n v="4162.28"/>
        <n v="3357.3"/>
        <n v="7033.52"/>
        <n v="9896.7999999999993"/>
        <n v="15653.44"/>
        <n v="7899.31"/>
        <n v="10644.74"/>
        <n v="872.83"/>
        <n v="6337.94"/>
        <n v="31.15"/>
        <n v="7107.55"/>
        <n v="5465.85"/>
        <n v="2462.14"/>
        <n v="4194.4399999999996"/>
        <n v="1994.44"/>
        <n v="12124.05"/>
        <n v="5884.09"/>
        <n v="2639.16"/>
        <n v="5031.3999999999996"/>
        <n v="11510.71"/>
        <n v="15021.98"/>
        <n v="4517.1899999999996"/>
        <n v="10778.53"/>
        <n v="1145.72"/>
        <n v="2518.5"/>
        <n v="596.63"/>
        <n v="1858.71"/>
        <n v="5194.28"/>
        <n v="960.69"/>
        <n v="5347.12"/>
        <n v="9805.11"/>
        <n v="13205.42"/>
        <n v="5929.2"/>
        <n v="516.91999999999996"/>
        <n v="2882.76"/>
        <n v="1637.72"/>
        <n v="10791.46"/>
        <n v="1093.46"/>
        <n v="3407.61"/>
        <n v="4753.93"/>
        <n v="8280.6200000000008"/>
        <n v="4981.78"/>
        <n v="13998.33"/>
        <n v="13105.65"/>
        <n v="15728.81"/>
        <n v="53.85"/>
        <n v="10857.23"/>
        <n v="12412.53"/>
        <n v="3669.15"/>
        <n v="13555.26"/>
        <n v="2333.84"/>
        <n v="8973.0499999999993"/>
        <n v="8610.3799999999992"/>
        <n v="3432.3"/>
        <n v="2283.39"/>
        <n v="7190.49"/>
        <n v="11303.07"/>
        <n v="18911.490000000002"/>
        <n v="6233.02"/>
        <n v="2334.5"/>
        <n v="11099.73"/>
        <n v="3590.55"/>
        <n v="5209.3999999999996"/>
        <n v="6315.14"/>
        <n v="4454.71"/>
        <n v="6078.71"/>
        <n v="695.96"/>
        <n v="563.76"/>
        <n v="4479.6899999999996"/>
        <n v="1093.72"/>
        <n v="15870.43"/>
        <n v="2529.8200000000002"/>
        <n v="11258.39"/>
        <n v="6180.45"/>
        <n v="2496.06"/>
        <n v="10964.29"/>
        <n v="4012.51"/>
        <n v="4919.25"/>
        <n v="5602.02"/>
        <n v="3563.87"/>
        <n v="8313.09"/>
        <n v="8447.48"/>
        <n v="2646.23"/>
        <n v="2706.83"/>
        <n v="1710.48"/>
        <n v="318.19"/>
        <n v="9479.65"/>
        <n v="6393.2"/>
        <n v="1355.65"/>
        <n v="7911.23"/>
        <n v="2583.0300000000002"/>
        <n v="66.13"/>
        <n v="10668.69"/>
        <n v="10994.3"/>
        <n v="1259.6099999999999"/>
        <n v="492.13"/>
        <n v="1016.77"/>
        <n v="4111.42"/>
        <n v="503.97"/>
        <n v="2883.71"/>
        <n v="11861.89"/>
        <n v="8564.73"/>
        <n v="538.03"/>
        <n v="5231.88"/>
        <n v="7916.13"/>
        <n v="6016.32"/>
        <n v="7504.86"/>
        <n v="1590.98"/>
        <n v="740.07"/>
        <n v="4591.1099999999997"/>
        <n v="2686.51"/>
        <n v="735.48"/>
        <n v="1160.54"/>
        <n v="8078.15"/>
        <n v="7467.74"/>
        <n v="7588.41"/>
        <n v="15372.54"/>
        <n v="3907.5"/>
        <n v="3740.76"/>
        <n v="6211.75"/>
        <n v="2924.46"/>
        <n v="501.79"/>
        <n v="6594.09"/>
        <n v="960.68"/>
        <n v="11370.32"/>
        <n v="6067.94"/>
        <n v="8909.75"/>
        <n v="6865.35"/>
        <n v="805.23"/>
        <n v="9851.6200000000008"/>
        <n v="11823.35"/>
        <n v="683.63"/>
        <n v="14002.42"/>
        <n v="8744.9500000000007"/>
        <n v="9294.14"/>
        <n v="8831.89"/>
        <n v="3474.98"/>
        <n v="311.61"/>
        <n v="4791.2"/>
        <n v="6646.33"/>
        <n v="593.63"/>
        <n v="2345.9499999999998"/>
        <n v="5083.07"/>
        <n v="6339.57"/>
        <n v="9005.8700000000008"/>
        <n v="5159.07"/>
        <n v="13370.97"/>
        <n v="14791.64"/>
        <n v="6429.35"/>
        <n v="15900.6"/>
        <n v="3400.26"/>
        <n v="4357.76"/>
        <n v="3356.17"/>
        <n v="5287.86"/>
        <n v="4244.3599999999997"/>
        <n v="1671.64"/>
        <n v="181.84"/>
        <n v="8950.59"/>
        <n v="7271.76"/>
        <n v="4864.83"/>
        <n v="3175.11"/>
        <n v="10137.790000000001"/>
        <n v="1206.95"/>
        <n v="8222.65"/>
        <n v="1440.85"/>
        <n v="5611.65"/>
        <n v="3562.44"/>
        <n v="8385.26"/>
        <n v="181.31"/>
        <n v="1800.27"/>
        <n v="4449.37"/>
        <n v="10113.4"/>
        <n v="5932.84"/>
        <n v="2006.71"/>
        <n v="14086.69"/>
        <n v="4799.54"/>
        <n v="8101.98"/>
        <n v="2321.9699999999998"/>
        <n v="10245"/>
        <n v="2930.4"/>
        <n v="170.24"/>
        <n v="4247.49"/>
        <n v="2696.1"/>
        <n v="1083.76"/>
        <n v="17037.09"/>
        <n v="5706.43"/>
        <n v="6682.34"/>
        <n v="8192.6"/>
        <n v="7568.16"/>
        <n v="10772.33"/>
        <n v="7467.12"/>
        <n v="4985.8999999999996"/>
        <n v="5693.6"/>
        <n v="5879.1"/>
        <n v="9771.93"/>
        <n v="105.06"/>
        <n v="16414.689999999999"/>
        <n v="2553.41"/>
        <n v="473.99"/>
        <n v="3873.98"/>
        <n v="17718.25"/>
        <n v="16572.07"/>
        <n v="5220.1899999999996"/>
        <n v="1797.26"/>
        <n v="295.62"/>
        <n v="3597.37"/>
        <n v="6580.43"/>
        <n v="12232.97"/>
        <n v="2243.44"/>
        <n v="22943.37"/>
        <n v="10590.61"/>
        <n v="6468.82"/>
        <n v="10463.57"/>
        <n v="14154.35"/>
        <n v="6031.14"/>
        <n v="3308.4"/>
        <n v="1119.94"/>
        <n v="2303.39"/>
        <n v="723.37"/>
        <n v="1413.64"/>
        <n v="9001.89"/>
        <n v="5283.91"/>
        <n v="10958.51"/>
        <n v="15531.78"/>
        <n v="317.36"/>
        <n v="71.41"/>
        <n v="9317.33"/>
        <n v="4790.71"/>
        <n v="6166.8"/>
        <n v="11741.46"/>
        <n v="8519.77"/>
        <n v="8278.86"/>
        <n v="7560.62"/>
        <n v="6702.11"/>
        <n v="4758.6899999999996"/>
        <n v="709.25"/>
        <n v="2003.05"/>
        <n v="3248"/>
        <n v="51.98"/>
        <n v="2134.65"/>
        <n v="15540.41"/>
        <n v="1117.77"/>
        <n v="13999.05"/>
        <n v="6265.59"/>
        <n v="1536.82"/>
        <n v="6069.93"/>
        <n v="4861.33"/>
        <n v="8993.24"/>
        <n v="150.41999999999999"/>
        <n v="5593.68"/>
        <n v="9376.61"/>
        <n v="11315.16"/>
        <n v="2048.34"/>
        <n v="12562.81"/>
        <n v="6883.75"/>
        <n v="6105.6"/>
        <n v="12634.72"/>
        <n v="663.74"/>
        <n v="7044.68"/>
        <n v="1804.9"/>
        <n v="513.42999999999995"/>
        <n v="13699.76"/>
        <n v="19995.68"/>
        <n v="2189.6999999999998"/>
        <n v="8727.09"/>
        <n v="911.46"/>
        <n v="7620.86"/>
        <n v="5054.5600000000004"/>
        <n v="5230.5"/>
        <n v="17104.04"/>
        <n v="1642.32"/>
        <n v="10322.19"/>
        <n v="2715.92"/>
        <n v="5598.05"/>
        <n v="2996.99"/>
        <n v="7946.49"/>
        <n v="4991.22"/>
        <n v="4151.7"/>
        <n v="22701.85"/>
        <n v="6014.3"/>
        <n v="2788.6"/>
        <n v="6503.75"/>
        <n v="433.92"/>
        <n v="12314.13"/>
        <n v="9876.86"/>
        <n v="2043.06"/>
        <n v="8728.7999999999993"/>
        <n v="4906.57"/>
        <n v="2278.06"/>
        <n v="1108.18"/>
        <n v="14957.65"/>
        <n v="3020.67"/>
        <n v="3677.47"/>
        <n v="6999.62"/>
        <n v="10901.65"/>
        <n v="2586.62"/>
        <n v="5077.5"/>
        <n v="8360.11"/>
        <n v="3566.77"/>
        <n v="9186.69"/>
        <n v="917.35"/>
        <n v="6199.12"/>
        <n v="3368.63"/>
        <n v="10527.23"/>
        <n v="7927.57"/>
        <n v="14493.5"/>
        <n v="3112.2"/>
        <n v="9617.64"/>
        <n v="4198.08"/>
        <n v="10927.22"/>
        <n v="10759.18"/>
        <n v="6250.42"/>
        <n v="1103.54"/>
        <n v="13435.98"/>
        <n v="1855.03"/>
        <n v="5799.09"/>
        <n v="3631.78"/>
        <n v="5461.43"/>
        <n v="5315.95"/>
        <n v="16059.94"/>
        <n v="7803.84"/>
        <n v="10751.19"/>
        <n v="12156.54"/>
        <n v="9402.26"/>
        <n v="3653.39"/>
        <n v="320.11"/>
        <n v="7618.91"/>
        <n v="2843.9"/>
        <n v="11946.4"/>
        <n v="5055.05"/>
        <n v="10378.36"/>
        <n v="595.16"/>
        <n v="639.95000000000005"/>
        <n v="3717.35"/>
        <n v="5057.1000000000004"/>
        <n v="3729.83"/>
        <n v="13786.87"/>
        <n v="2206.2800000000002"/>
        <n v="4672.25"/>
        <n v="7667.99"/>
        <n v="8338.51"/>
        <n v="7548.62"/>
        <n v="3608.83"/>
        <n v="7108.96"/>
        <n v="1293.02"/>
        <n v="15365.78"/>
        <n v="3766.49"/>
        <n v="1664.68"/>
        <n v="8972.7900000000009"/>
        <n v="10576.55"/>
        <n v="8857.15"/>
        <n v="6756.17"/>
        <n v="5532.85"/>
        <n v="3713.66"/>
        <n v="906.85"/>
        <n v="22558.880000000001"/>
        <n v="1517.05"/>
        <n v="770.45"/>
        <n v="7623.35"/>
        <n v="3418.05"/>
        <n v="4055.71"/>
        <n v="5432.84"/>
        <n v="6016.8"/>
        <n v="3609.76"/>
        <n v="302.25"/>
        <n v="6062.87"/>
        <n v="3589.91"/>
        <n v="16457.28"/>
        <n v="4813.53"/>
        <n v="5819.17"/>
        <n v="7824.91"/>
        <n v="9446.67"/>
        <n v="1447.58"/>
        <n v="3356.27"/>
        <n v="1031.25"/>
        <n v="9471.51"/>
        <n v="10573.29"/>
        <n v="3321.9"/>
        <n v="5318"/>
        <n v="415.67"/>
        <n v="8295.8799999999992"/>
        <n v="3857.25"/>
        <n v="14102.83"/>
        <n v="2453.44"/>
        <n v="5910.67"/>
        <n v="1515.42"/>
        <n v="4498.05"/>
        <n v="8755.31"/>
        <n v="2651.48"/>
        <n v="5119.3500000000004"/>
        <n v="3360.74"/>
        <n v="495.65"/>
        <n v="5108.8500000000004"/>
        <n v="77.099999999999994"/>
        <n v="1860.29"/>
        <n v="7917.76"/>
        <n v="4059.92"/>
        <n v="2816.85"/>
        <n v="5306.48"/>
        <n v="2756.63"/>
        <n v="17903.7"/>
        <n v="15825.08"/>
        <n v="7745.33"/>
        <n v="2214.91"/>
        <n v="190.24"/>
        <n v="2960"/>
        <n v="2937.62"/>
        <n v="4778.3599999999997"/>
        <n v="5401.01"/>
        <n v="15372.94"/>
        <n v="7121.02"/>
        <n v="9057.64"/>
        <n v="5439.43"/>
        <n v="2659.78"/>
        <n v="7897.59"/>
        <n v="1959.22"/>
        <n v="15305.32"/>
        <n v="11257.11"/>
        <n v="9207.09"/>
        <n v="2769.94"/>
        <n v="7477.56"/>
        <n v="5231.54"/>
        <n v="3745.21"/>
        <n v="8503.93"/>
        <n v="12524.3"/>
        <n v="472.27"/>
        <n v="9771.8700000000008"/>
        <n v="8130.06"/>
        <n v="1624.06"/>
        <n v="2984.4"/>
        <n v="15593.5"/>
        <n v="3387.76"/>
        <n v="2847.18"/>
        <n v="7511.77"/>
        <n v="2711.58"/>
        <n v="1673.44"/>
        <n v="8853.16"/>
        <n v="4722.3900000000003"/>
        <n v="8408.1200000000008"/>
        <n v="2442.36"/>
        <n v="4010.08"/>
        <n v="492.21"/>
        <n v="11650.88"/>
        <n v="6426.04"/>
        <n v="2665.28"/>
        <n v="2048.58"/>
        <n v="6267.19"/>
        <n v="12886.26"/>
        <n v="6143.64"/>
        <n v="8273.83"/>
        <n v="12163.59"/>
        <n v="7192.41"/>
        <n v="1452.94"/>
        <n v="3375.83"/>
        <n v="8328.7999999999993"/>
        <n v="1634.54"/>
        <n v="8265.41"/>
        <n v="1448.1"/>
        <n v="709.53"/>
        <n v="12197.19"/>
        <n v="10917.59"/>
        <n v="1679.89"/>
        <n v="2303.17"/>
        <n v="9261.26"/>
        <n v="5252.8"/>
        <n v="5385.55"/>
        <n v="3741.19"/>
        <n v="2223.4899999999998"/>
        <n v="7720.37"/>
        <n v="468.09"/>
        <n v="3083.39"/>
        <n v="6898.94"/>
        <n v="1036.05"/>
        <n v="17518.04"/>
        <n v="11691.86"/>
        <n v="3136.53"/>
        <n v="1677.71"/>
        <n v="8937.3700000000008"/>
        <n v="4761.38"/>
        <n v="942.02"/>
        <n v="6623.03"/>
        <n v="4067.36"/>
        <n v="4712.55"/>
        <n v="9571.2999999999993"/>
        <n v="6779.99"/>
        <n v="10772.46"/>
        <n v="189.34"/>
        <n v="3015.47"/>
        <n v="3538.27"/>
        <n v="5196.97"/>
        <n v="6654.14"/>
        <n v="8639.19"/>
        <n v="6397.05"/>
        <n v="14596.37"/>
        <n v="7712.91"/>
        <n v="2456.77"/>
        <n v="1435.27"/>
        <n v="4324.4799999999996"/>
        <n v="2207.7600000000002"/>
        <n v="7571.51"/>
        <n v="7189.76"/>
        <n v="10858.21"/>
        <n v="6524.65"/>
        <n v="4624.45"/>
        <n v="1961.82"/>
        <n v="12782.63"/>
        <n v="4928.3"/>
        <n v="1115.8399999999999"/>
        <n v="5346.62"/>
        <n v="3168.11"/>
        <n v="9007.92"/>
        <n v="7400.07"/>
        <n v="1420.22"/>
        <n v="2555.9499999999998"/>
        <n v="4059.65"/>
        <n v="18581.37"/>
        <n v="8813.58"/>
        <n v="7914.74"/>
        <n v="2787.72"/>
        <n v="681.71"/>
        <n v="6827.53"/>
        <n v="1082"/>
        <n v="2966.98"/>
        <n v="3951.74"/>
        <n v="3151.23"/>
        <n v="2672.67"/>
        <n v="1742.37"/>
        <n v="7301.31"/>
        <n v="6322.14"/>
        <n v="13731.44"/>
        <n v="4051.88"/>
        <n v="8474.69"/>
        <n v="9426.56"/>
        <n v="9770.2800000000007"/>
        <n v="14234.61"/>
        <n v="6885.01"/>
        <n v="14687.62"/>
        <n v="16585.43"/>
        <n v="17415.669999999998"/>
        <n v="5954.47"/>
        <n v="4179.91"/>
        <n v="3939.95"/>
        <n v="791.19"/>
        <n v="2941.65"/>
        <n v="12476.68"/>
        <n v="2817.14"/>
        <n v="2411.52"/>
        <n v="13072.74"/>
        <n v="6790.41"/>
        <n v="6092.47"/>
        <n v="7185.5"/>
        <n v="6170.8"/>
        <n v="1945.05"/>
        <n v="6767.42"/>
        <n v="3911.69"/>
        <n v="16733.759999999998"/>
        <n v="3916.92"/>
        <n v="1082.69"/>
        <n v="4822.33"/>
        <n v="1827.45"/>
        <n v="1142.4100000000001"/>
        <n v="6290.89"/>
        <n v="5616.01"/>
        <n v="11250.69"/>
        <n v="2799.42"/>
        <n v="1157.8800000000001"/>
        <n v="7049.32"/>
        <n v="9460.5"/>
        <n v="4173.7299999999996"/>
        <n v="4005.08"/>
        <n v="4650.58"/>
        <n v="3814.56"/>
        <n v="6321.35"/>
        <n v="5245.53"/>
        <n v="12998.67"/>
        <n v="5932.12"/>
        <n v="6811.55"/>
        <n v="21381.14"/>
        <n v="8423.36"/>
        <n v="7951.43"/>
        <n v="18389.099999999999"/>
        <n v="6555.46"/>
        <n v="5129.71"/>
        <n v="2399.02"/>
        <n v="6096.53"/>
        <n v="8134.67"/>
        <n v="9969.65"/>
        <n v="3894.16"/>
        <n v="11533.35"/>
        <n v="8754.31"/>
        <n v="5475.65"/>
        <n v="2252.94"/>
        <n v="278.77999999999997"/>
        <n v="8936.91"/>
        <n v="2010.22"/>
        <n v="2901.91"/>
        <n v="9231.31"/>
        <n v="12744.67"/>
        <n v="1436.97"/>
        <n v="4900.32"/>
        <n v="8263.11"/>
        <n v="10139.68"/>
        <n v="132.68"/>
        <n v="9479.6299999999992"/>
        <n v="3114.84"/>
        <n v="17866.48"/>
        <n v="4651.03"/>
        <n v="14360.42"/>
        <n v="2595.52"/>
        <n v="1853.03"/>
        <n v="1392.99"/>
        <n v="7943.17"/>
        <n v="5552.79"/>
        <n v="1539.14"/>
        <n v="9117.77"/>
        <n v="631.02"/>
        <n v="4486.37"/>
        <n v="5591.29"/>
        <n v="2662.54"/>
        <n v="7481.93"/>
        <n v="7418.41"/>
        <n v="1969.06"/>
        <n v="7197.75"/>
        <n v="11719.06"/>
        <n v="2755.14"/>
        <n v="2438.56"/>
        <n v="7661.86"/>
        <n v="4886.1499999999996"/>
        <n v="3572.26"/>
        <n v="6937.75"/>
        <n v="1941.25"/>
        <n v="6173.15"/>
        <n v="3105.45"/>
        <n v="3691.6"/>
        <n v="3950.65"/>
        <n v="13497.17"/>
        <n v="4389.2299999999996"/>
        <n v="6310.98"/>
        <n v="9693.3700000000008"/>
        <n v="2348.1999999999998"/>
        <n v="3516.72"/>
        <n v="16807.37"/>
        <n v="1736.59"/>
        <n v="7900.11"/>
        <n v="4016.89"/>
        <n v="9642.6200000000008"/>
        <n v="773.7"/>
        <n v="7852.03"/>
        <n v="1649.57"/>
        <n v="9333.4500000000007"/>
        <n v="1540.11"/>
        <n v="7840.94"/>
        <n v="17102.97"/>
        <n v="11496.42"/>
        <n v="3072.89"/>
        <n v="14990.79"/>
        <n v="3170.18"/>
        <n v="2528.14"/>
        <n v="8551.6"/>
        <n v="13072.95"/>
        <n v="11987.26"/>
        <n v="18385.439999999999"/>
        <n v="14028.4"/>
        <n v="4812.71"/>
        <n v="11963.91"/>
        <n v="5574.83"/>
        <n v="9205.15"/>
        <n v="4133.74"/>
        <n v="1312.23"/>
        <n v="11735.75"/>
        <n v="7650.76"/>
        <n v="4994.93"/>
        <n v="890.78"/>
        <n v="4142.16"/>
        <n v="7308.24"/>
        <n v="6833.86"/>
        <n v="8878.27"/>
        <n v="4134.93"/>
        <n v="6641.89"/>
        <n v="7117.3"/>
        <n v="11815.59"/>
        <n v="6962.79"/>
        <n v="11786.42"/>
        <n v="1200.19"/>
        <n v="10791.08"/>
        <n v="26170.95"/>
        <n v="2987.81"/>
        <n v="11705.99"/>
        <n v="5256.03"/>
        <n v="3794.1"/>
        <n v="9655.2999999999993"/>
        <n v="16001.54"/>
        <n v="1386.1"/>
        <n v="3821.76"/>
        <n v="15722.43"/>
        <n v="6287.25"/>
        <n v="9831.9699999999993"/>
        <n v="90.36"/>
        <n v="3799.5"/>
        <n v="4674.2"/>
        <n v="4011.83"/>
        <n v="3429.85"/>
        <n v="4920.68"/>
        <n v="10049.719999999999"/>
        <n v="8485.1"/>
        <n v="6030.31"/>
        <n v="13331.77"/>
        <n v="15245.95"/>
        <n v="11618.55"/>
        <n v="2629.59"/>
        <n v="10089.49"/>
        <n v="308.24"/>
        <n v="7978.76"/>
        <n v="8.16"/>
        <n v="3303.13"/>
        <n v="13959.74"/>
        <n v="4251.42"/>
        <n v="9885.5300000000007"/>
        <n v="12864.47"/>
        <n v="5245.6"/>
        <n v="14345.5"/>
        <n v="11462.19"/>
        <n v="11667.94"/>
        <n v="7455.17"/>
        <n v="7203.64"/>
        <n v="8081.58"/>
        <n v="2055.4"/>
        <n v="6476.09"/>
        <n v="17490.080000000002"/>
        <n v="13644"/>
        <n v="2930.46"/>
        <n v="22717.09"/>
        <n v="9471.7199999999993"/>
        <n v="3400.47"/>
        <n v="10696.21"/>
        <n v="17101.669999999998"/>
        <n v="18936.88"/>
        <n v="6015.37"/>
        <n v="7623.58"/>
        <n v="2996.83"/>
        <n v="1718.97"/>
        <n v="3523.33"/>
        <n v="1092.3599999999999"/>
        <n v="2495.71"/>
        <n v="813.41"/>
        <n v="2489.06"/>
        <n v="5701.35"/>
        <n v="5084.32"/>
        <n v="15789.48"/>
        <n v="6541.75"/>
        <n v="11409.11"/>
        <n v="19258.41"/>
        <n v="5074.8599999999997"/>
        <n v="115.9"/>
        <n v="2797.19"/>
        <n v="1608.04"/>
        <n v="2960.99"/>
        <n v="3703.51"/>
        <n v="5679.57"/>
        <n v="6764.17"/>
        <n v="1108.8499999999999"/>
        <n v="9477.32"/>
        <n v="5301.93"/>
        <n v="8041.25"/>
        <n v="3716.17"/>
        <n v="4591.7700000000004"/>
        <n v="1928.33"/>
        <n v="1225.1199999999999"/>
        <n v="11326.55"/>
        <n v="3063.08"/>
        <n v="7093.33"/>
        <n v="337.37"/>
        <n v="3764.59"/>
        <n v="695.32"/>
        <n v="14609.99"/>
        <n v="5298.68"/>
        <n v="4552.3"/>
        <n v="9099.26"/>
        <n v="603.97"/>
        <n v="3172.23"/>
        <n v="4737.32"/>
        <n v="15201.56"/>
        <n v="7912.62"/>
        <n v="14190.78"/>
        <n v="9327.08"/>
        <n v="434.42"/>
        <n v="1497.58"/>
        <n v="3124.74"/>
        <n v="2356.21"/>
        <n v="8548"/>
        <n v="12094.34"/>
        <n v="2119.42"/>
        <n v="3038.32"/>
        <n v="5187.72"/>
        <n v="5384.52"/>
        <n v="6575.07"/>
        <n v="6350.37"/>
        <n v="7488.06"/>
        <n v="6997.57"/>
        <n v="13081.57"/>
        <n v="5964.72"/>
        <n v="6651.11"/>
        <n v="2606.11"/>
        <n v="3615.98"/>
        <n v="3658.27"/>
        <n v="1997.46"/>
        <n v="3618.67"/>
        <n v="5538.85"/>
        <n v="1382.49"/>
        <n v="1223.79"/>
        <n v="8043.29"/>
        <n v="6878.47"/>
        <n v="9420.2199999999993"/>
        <n v="2516.34"/>
        <n v="4334.75"/>
        <n v="1588.49"/>
        <n v="8959.3799999999992"/>
        <n v="9409.06"/>
        <n v="3315.64"/>
        <n v="10920.7"/>
        <n v="7605.55"/>
        <n v="1859.96"/>
        <n v="1743.87"/>
        <n v="758.28"/>
        <n v="125.37"/>
        <n v="6170.75"/>
        <n v="6867.13"/>
        <n v="8775.4500000000007"/>
        <n v="10422.84"/>
        <n v="7402.04"/>
        <n v="2498.04"/>
        <n v="6873.56"/>
        <n v="2015.93"/>
        <n v="8077.51"/>
        <n v="11149.46"/>
        <n v="4739.3900000000003"/>
        <n v="1844.54"/>
        <n v="1263.98"/>
        <n v="7527.84"/>
        <n v="12265.45"/>
        <n v="17662.05"/>
        <n v="5520"/>
        <n v="10712.76"/>
        <n v="8416.7999999999993"/>
        <n v="9986.0499999999993"/>
        <n v="15629.82"/>
        <n v="6224.33"/>
        <n v="7736.85"/>
        <n v="4860.75"/>
        <n v="1754.64"/>
        <n v="897.13"/>
        <n v="10607.29"/>
        <n v="10772"/>
        <n v="4116.96"/>
        <n v="5185.3599999999997"/>
        <n v="6974.95"/>
        <n v="99.5"/>
        <n v="10203.469999999999"/>
        <n v="5081.5200000000004"/>
        <n v="7166.62"/>
        <n v="7026.54"/>
        <n v="8265.32"/>
        <n v="1516.19"/>
        <n v="1258.54"/>
        <n v="3506.38"/>
        <n v="8442.19"/>
        <n v="11000.85"/>
        <n v="6987.59"/>
        <n v="3735"/>
        <n v="17346.79"/>
        <n v="16517.2"/>
        <n v="7642.94"/>
        <n v="10337.23"/>
        <n v="1367.24"/>
        <n v="570.58000000000004"/>
        <n v="2012.27"/>
        <n v="1469.24"/>
        <n v="10020.18"/>
        <n v="1914.65"/>
        <n v="73.91"/>
        <n v="2794.33"/>
        <n v="3192.06"/>
        <n v="2447.37"/>
        <n v="7696.46"/>
        <n v="14731.55"/>
        <n v="9321.64"/>
        <n v="18473.63"/>
        <n v="7437.55"/>
        <n v="14581.33"/>
        <n v="3389.96"/>
        <n v="3968.38"/>
        <n v="1084.26"/>
        <n v="20690.2"/>
        <n v="8929.57"/>
        <n v="15497.27"/>
        <n v="9172.1299999999992"/>
        <n v="6093.61"/>
        <n v="9144.7900000000009"/>
        <n v="5902.91"/>
        <n v="3277.47"/>
        <n v="9759.5300000000007"/>
        <n v="2504.9"/>
        <n v="1527.99"/>
        <n v="3767.49"/>
        <n v="9452.18"/>
        <n v="764.63"/>
        <n v="2432.75"/>
        <n v="779.04"/>
        <n v="5050.53"/>
        <n v="2727.35"/>
        <n v="9089.2099999999991"/>
        <n v="881.49"/>
        <n v="227.55"/>
        <n v="14193.58"/>
        <n v="7459.88"/>
        <n v="6578.55"/>
        <n v="8975.44"/>
        <n v="852.29"/>
        <n v="1955.2"/>
        <n v="323.29000000000002"/>
        <n v="542.39"/>
        <n v="7666.62"/>
        <n v="1826.32"/>
        <n v="11510.68"/>
        <n v="12263.85"/>
        <n v="3878.6"/>
        <n v="8328.52"/>
        <n v="1666.46"/>
        <n v="1754.11"/>
        <n v="2390.6999999999998"/>
        <n v="8546.7199999999993"/>
        <n v="4115.57"/>
        <n v="787.38"/>
        <n v="2095.7800000000002"/>
        <n v="5220.8"/>
        <n v="11264.45"/>
        <n v="5477.33"/>
        <n v="3389"/>
        <n v="11559.52"/>
        <n v="1676.82"/>
        <n v="437.48"/>
        <n v="8487.6299999999992"/>
        <n v="71.989999999999995"/>
        <n v="9863.6200000000008"/>
        <n v="3468.53"/>
        <n v="6770.35"/>
        <n v="564.14"/>
        <n v="21044.07"/>
        <n v="677.38"/>
        <n v="4368.01"/>
        <n v="9866.2000000000007"/>
        <n v="10723.86"/>
        <n v="5443.42"/>
        <n v="1312.35"/>
        <n v="8471.68"/>
        <n v="5774.6"/>
        <n v="3780.02"/>
        <n v="6831.03"/>
        <n v="4834.51"/>
        <n v="8119.65"/>
        <n v="4811.88"/>
        <n v="5930.01"/>
        <n v="3040.05"/>
        <n v="1126.8699999999999"/>
        <n v="6051.65"/>
        <n v="12279.35"/>
        <n v="7091.66"/>
        <n v="3160.97"/>
        <n v="1408.28"/>
        <n v="5776.61"/>
        <n v="4890.59"/>
        <n v="2048.13"/>
        <n v="4590.46"/>
        <n v="8665.99"/>
        <n v="2202.46"/>
        <n v="11720.11"/>
        <n v="7884.86"/>
        <n v="3857.88"/>
        <n v="10123.959999999999"/>
        <n v="8170.88"/>
        <n v="19390.61"/>
        <n v="10197.43"/>
        <n v="5188.18"/>
        <n v="350.27"/>
        <n v="3766.32"/>
        <n v="4888.37"/>
        <n v="5230.3599999999997"/>
        <n v="3790.18"/>
        <n v="302.18"/>
        <n v="1017.17"/>
        <n v="241.36"/>
        <n v="8347.2999999999993"/>
        <n v="6291.74"/>
        <n v="1543.77"/>
        <n v="9744.5"/>
        <n v="5414.75"/>
        <n v="1898.07"/>
        <n v="4911.08"/>
        <n v="11293.17"/>
        <n v="12398.37"/>
        <n v="1508.57"/>
        <n v="5869.09"/>
        <n v="2770.47"/>
        <n v="3541.73"/>
        <n v="7624.41"/>
        <n v="9928.42"/>
        <n v="7.67"/>
        <n v="1624.86"/>
        <n v="6301.56"/>
        <n v="8578.4"/>
        <n v="5573.57"/>
        <n v="3465.68"/>
        <n v="1245.9100000000001"/>
        <n v="8888.61"/>
        <n v="5931.82"/>
        <n v="2620.66"/>
        <n v="1284.3699999999999"/>
        <n v="11033.61"/>
        <n v="2413.0500000000002"/>
        <n v="13136.08"/>
        <n v="14297.82"/>
        <n v="2837.65"/>
        <n v="7496.03"/>
        <n v="1815.29"/>
        <n v="8250.0300000000007"/>
        <n v="5605.82"/>
        <n v="1563.39"/>
        <n v="3997.02"/>
        <n v="3284.22"/>
        <n v="4609.67"/>
        <n v="9412.06"/>
        <n v="427.36"/>
        <n v="19449.02"/>
        <n v="14122.44"/>
        <n v="2257.14"/>
        <n v="11334.21"/>
        <n v="7865.93"/>
        <n v="11462.32"/>
        <n v="6154.53"/>
        <n v="867.5"/>
        <n v="9056.1"/>
        <n v="6569.4"/>
        <n v="7431"/>
        <n v="3672.65"/>
        <n v="6464.8"/>
        <n v="813.58"/>
        <n v="7301.81"/>
        <n v="8523.42"/>
        <n v="3822.64"/>
        <n v="10219.39"/>
        <n v="5798.43"/>
        <n v="4487.01"/>
        <n v="17237.669999999998"/>
        <n v="7497.22"/>
        <n v="3034.06"/>
        <n v="6795.06"/>
        <n v="4273.09"/>
        <n v="1412.6"/>
        <n v="9852.89"/>
        <n v="10744.23"/>
        <n v="1213.6300000000001"/>
        <n v="4263.93"/>
        <n v="13808.46"/>
        <n v="2411.9299999999998"/>
        <n v="14603.41"/>
        <n v="17813.77"/>
        <n v="14346.28"/>
        <n v="10009.51"/>
        <n v="494.27"/>
        <n v="9118.67"/>
        <n v="1751.26"/>
        <n v="3402.47"/>
        <n v="6841.28"/>
        <n v="12584.46"/>
        <n v="14291.3"/>
        <n v="1998.41"/>
        <n v="9558.06"/>
        <n v="5594.84"/>
        <n v="16520.75"/>
        <n v="5545.62"/>
        <n v="8260.58"/>
        <n v="2636.16"/>
        <n v="8285.3799999999992"/>
        <n v="4590"/>
        <n v="13189.14"/>
        <n v="3768.3"/>
        <n v="7962.71"/>
        <n v="3665.13"/>
        <n v="334.81"/>
        <n v="2187.5"/>
        <n v="18481.73"/>
        <n v="11863.69"/>
        <n v="4332.41"/>
        <n v="3653.33"/>
        <n v="7023.94"/>
        <n v="10001.950000000001"/>
        <n v="16460.650000000001"/>
        <n v="8575.27"/>
        <n v="12191.42"/>
        <n v="969.15"/>
        <n v="6498.96"/>
        <n v="33.68"/>
        <n v="7640.61"/>
        <n v="5596.93"/>
        <n v="2639.55"/>
        <n v="4626.87"/>
        <n v="1900.09"/>
        <n v="13315.47"/>
        <n v="6359.09"/>
        <n v="2644.65"/>
        <n v="4879.55"/>
        <n v="11572.5"/>
        <n v="15626.93"/>
        <n v="4781.1400000000003"/>
        <n v="11793.4"/>
        <n v="1061.03"/>
        <n v="2499.92"/>
        <n v="676.29"/>
        <n v="1886.06"/>
        <n v="5093.92"/>
        <n v="1018.8"/>
        <n v="5616.77"/>
        <n v="10461.82"/>
        <n v="12841.79"/>
        <n v="6723.42"/>
        <n v="521.35"/>
        <n v="3106.11"/>
        <n v="1684.28"/>
        <n v="11226.14"/>
        <n v="1172.53"/>
        <n v="3917.13"/>
        <n v="4871.07"/>
        <n v="9306.64"/>
        <n v="5270.33"/>
        <n v="14722.35"/>
        <n v="13444.87"/>
        <n v="14885.97"/>
        <n v="53.31"/>
        <n v="11767.94"/>
        <n v="12897.53"/>
        <n v="3867.62"/>
        <n v="13524.05"/>
        <n v="2319.1"/>
        <n v="9036.58"/>
        <n v="8905.5300000000007"/>
        <n v="4040.65"/>
        <n v="2204.17"/>
        <n v="7037.21"/>
        <n v="12285.41"/>
        <n v="21812.86"/>
        <n v="6707.97"/>
        <n v="2513.58"/>
        <n v="11491.21"/>
        <n v="3762.58"/>
        <n v="5158.01"/>
        <n v="6660.69"/>
        <n v="4786.05"/>
        <n v="6797.67"/>
        <n v="782.24"/>
        <n v="653.1"/>
        <n v="4768.88"/>
        <n v="1123.57"/>
        <n v="16435.38"/>
        <n v="2922.18"/>
        <n v="12123.84"/>
        <n v="6448.87"/>
        <n v="2587.61"/>
        <n v="12109"/>
        <n v="4482.33"/>
        <n v="5294.88"/>
        <n v="5512.57"/>
        <n v="3707.27"/>
        <n v="7899.01"/>
        <n v="9813.42"/>
        <n v="2845.74"/>
        <n v="2941.72"/>
        <n v="1969.62"/>
        <n v="339.64"/>
        <n v="8818.17"/>
        <n v="6829.86"/>
        <n v="1370.19"/>
        <n v="7731.47"/>
        <n v="2757.16"/>
        <n v="70.19"/>
        <n v="10817.45"/>
        <n v="11595.41"/>
        <n v="1375.22"/>
        <n v="503.52"/>
        <n v="1135.1600000000001"/>
        <n v="4375.45"/>
        <n v="536.74"/>
        <n v="2702.08"/>
        <n v="11064.27"/>
        <n v="8861.83"/>
        <n v="564.66999999999996"/>
        <n v="5267.69"/>
        <n v="8698.4699999999993"/>
        <n v="6025.6"/>
        <n v="7032.54"/>
        <n v="1572.79"/>
        <n v="857.34"/>
        <n v="4899.47"/>
        <n v="2924.06"/>
        <n v="730.06"/>
        <n v="1348.05"/>
        <n v="8561.59"/>
        <n v="7326.91"/>
        <n v="8196.93"/>
        <n v="17841.919999999998"/>
        <n v="4285.13"/>
        <n v="4196.2299999999996"/>
        <n v="6409.31"/>
        <n v="3010.07"/>
        <n v="567.91"/>
        <n v="6948.79"/>
        <n v="1009.28"/>
        <n v="12049.05"/>
        <n v="6969.38"/>
        <n v="10257.74"/>
        <n v="7220.35"/>
        <n v="783.35"/>
        <n v="9434.44"/>
        <n v="12755.99"/>
        <n v="807.26"/>
        <n v="13541.21"/>
        <n v="9976.2199999999993"/>
        <n v="9152.7199999999993"/>
        <n v="9251.3700000000008"/>
        <n v="3634.26"/>
        <n v="352.51"/>
        <n v="5303.58"/>
        <n v="7339.32"/>
        <n v="616.09"/>
        <n v="2504.62"/>
        <n v="5915.87"/>
      </sharedItems>
    </cacheField>
    <cacheField name="Boxes Shipped" numFmtId="0">
      <sharedItems containsSemiMixedTypes="0" containsString="0" containsNumber="1" containsInteger="1" minValue="1" maxValue="778" count="507">
        <n v="180"/>
        <n v="94"/>
        <n v="91"/>
        <n v="342"/>
        <n v="184"/>
        <n v="38"/>
        <n v="176"/>
        <n v="73"/>
        <n v="59"/>
        <n v="102"/>
        <n v="62"/>
        <n v="11"/>
        <n v="286"/>
        <n v="156"/>
        <n v="173"/>
        <n v="356"/>
        <n v="42"/>
        <n v="140"/>
        <n v="250"/>
        <n v="172"/>
        <n v="88"/>
        <n v="157"/>
        <n v="163"/>
        <n v="113"/>
        <n v="115"/>
        <n v="321"/>
        <n v="186"/>
        <n v="112"/>
        <n v="151"/>
        <n v="301"/>
        <n v="121"/>
        <n v="150"/>
        <n v="133"/>
        <n v="70"/>
        <n v="315"/>
        <n v="314"/>
        <n v="72"/>
        <n v="14"/>
        <n v="581"/>
        <n v="16"/>
        <n v="354"/>
        <n v="241"/>
        <n v="142"/>
        <n v="188"/>
        <n v="160"/>
        <n v="18"/>
        <n v="303"/>
        <n v="23"/>
        <n v="135"/>
        <n v="83"/>
        <n v="179"/>
        <n v="24"/>
        <n v="416"/>
        <n v="55"/>
        <n v="227"/>
        <n v="48"/>
        <n v="174"/>
        <n v="302"/>
        <n v="149"/>
        <n v="411"/>
        <n v="56"/>
        <n v="103"/>
        <n v="9"/>
        <n v="265"/>
        <n v="214"/>
        <n v="32"/>
        <n v="244"/>
        <n v="181"/>
        <n v="137"/>
        <n v="21"/>
        <n v="311"/>
        <n v="10"/>
        <n v="82"/>
        <n v="108"/>
        <n v="401"/>
        <n v="408"/>
        <n v="420"/>
        <n v="348"/>
        <n v="270"/>
        <n v="264"/>
        <n v="111"/>
        <n v="65"/>
        <n v="97"/>
        <n v="6"/>
        <n v="482"/>
        <n v="106"/>
        <n v="31"/>
        <n v="359"/>
        <n v="80"/>
        <n v="296"/>
        <n v="101"/>
        <n v="40"/>
        <n v="167"/>
        <n v="138"/>
        <n v="520"/>
        <n v="175"/>
        <n v="92"/>
        <n v="141"/>
        <n v="283"/>
        <n v="47"/>
        <n v="125"/>
        <n v="396"/>
        <n v="87"/>
        <n v="27"/>
        <n v="547"/>
        <n v="118"/>
        <n v="46"/>
        <n v="57"/>
        <n v="22"/>
        <n v="96"/>
        <n v="44"/>
        <n v="387"/>
        <n v="50"/>
        <n v="7"/>
        <n v="90"/>
        <n v="403"/>
        <n v="110"/>
        <n v="30"/>
        <n v="117"/>
        <n v="272"/>
        <n v="128"/>
        <n v="45"/>
        <n v="212"/>
        <n v="477"/>
        <n v="178"/>
        <n v="81"/>
        <n v="196"/>
        <n v="447"/>
        <n v="136"/>
        <n v="12"/>
        <n v="104"/>
        <n v="116"/>
        <n v="202"/>
        <n v="418"/>
        <n v="389"/>
        <n v="26"/>
        <n v="146"/>
        <n v="41"/>
        <n v="54"/>
        <n v="370"/>
        <n v="210"/>
        <n v="159"/>
        <n v="187"/>
        <n v="233"/>
        <n v="282"/>
        <n v="475"/>
        <n v="43"/>
        <n v="84"/>
        <n v="78"/>
        <n v="100"/>
        <n v="66"/>
        <n v="76"/>
        <n v="190"/>
        <n v="424"/>
        <n v="134"/>
        <n v="358"/>
        <n v="249"/>
        <n v="144"/>
        <n v="390"/>
        <n v="79"/>
        <n v="122"/>
        <n v="430"/>
        <n v="69"/>
        <n v="154"/>
        <n v="99"/>
        <n v="433"/>
        <n v="19"/>
        <n v="258"/>
        <n v="200"/>
        <n v="61"/>
        <n v="246"/>
        <n v="252"/>
        <n v="256"/>
        <n v="277"/>
        <n v="216"/>
        <n v="37"/>
        <n v="109"/>
        <n v="185"/>
        <n v="170"/>
        <n v="126"/>
        <n v="275"/>
        <n v="145"/>
        <n v="139"/>
        <n v="406"/>
        <n v="417"/>
        <n v="166"/>
        <n v="3"/>
        <n v="95"/>
        <n v="312"/>
        <n v="86"/>
        <n v="242"/>
        <n v="158"/>
        <n v="209"/>
        <n v="52"/>
        <n v="51"/>
        <n v="318"/>
        <n v="238"/>
        <n v="127"/>
        <n v="53"/>
        <n v="259"/>
        <n v="107"/>
        <n v="288"/>
        <n v="218"/>
        <n v="60"/>
        <n v="58"/>
        <n v="273"/>
        <n v="28"/>
        <n v="75"/>
        <n v="329"/>
        <n v="395"/>
        <n v="195"/>
        <n v="554"/>
        <n v="152"/>
        <n v="371"/>
        <n v="203"/>
        <n v="183"/>
        <n v="197"/>
        <n v="25"/>
        <n v="415"/>
        <n v="211"/>
        <n v="74"/>
        <n v="368"/>
        <n v="409"/>
        <n v="164"/>
        <n v="352"/>
        <n v="169"/>
        <n v="223"/>
        <n v="284"/>
        <n v="309"/>
        <n v="234"/>
        <n v="215"/>
        <n v="336"/>
        <n v="280"/>
        <n v="177"/>
        <n v="147"/>
        <n v="13"/>
        <n v="2"/>
        <n v="261"/>
        <n v="68"/>
        <n v="105"/>
        <n v="39"/>
        <n v="120"/>
        <n v="257"/>
        <n v="85"/>
        <n v="226"/>
        <n v="341"/>
        <n v="330"/>
        <n v="4"/>
        <n v="285"/>
        <n v="281"/>
        <n v="322"/>
        <n v="182"/>
        <n v="467"/>
        <n v="191"/>
        <n v="317"/>
        <n v="410"/>
        <n v="254"/>
        <n v="232"/>
        <n v="543"/>
        <n v="204"/>
        <n v="469"/>
        <n v="213"/>
        <n v="5"/>
        <n v="248"/>
        <n v="129"/>
        <n v="148"/>
        <n v="93"/>
        <n v="208"/>
        <n v="316"/>
        <n v="384"/>
        <n v="260"/>
        <n v="71"/>
        <n v="224"/>
        <n v="153"/>
        <n v="67"/>
        <n v="194"/>
        <n v="334"/>
        <n v="155"/>
        <n v="407"/>
        <n v="353"/>
        <n v="114"/>
        <n v="320"/>
        <n v="49"/>
        <n v="34"/>
        <n v="130"/>
        <n v="339"/>
        <n v="392"/>
        <n v="347"/>
        <n v="333"/>
        <n v="432"/>
        <n v="236"/>
        <n v="168"/>
        <n v="402"/>
        <n v="89"/>
        <n v="199"/>
        <n v="131"/>
        <n v="479"/>
        <n v="287"/>
        <n v="269"/>
        <n v="229"/>
        <n v="293"/>
        <n v="219"/>
        <n v="189"/>
        <n v="15"/>
        <n v="198"/>
        <n v="8"/>
        <n v="162"/>
        <n v="207"/>
        <n v="300"/>
        <n v="235"/>
        <n v="251"/>
        <n v="361"/>
        <n v="239"/>
        <n v="350"/>
        <n v="33"/>
        <n v="201"/>
        <n v="323"/>
        <n v="220"/>
        <n v="488"/>
        <n v="344"/>
        <n v="512"/>
        <n v="276"/>
        <n v="271"/>
        <n v="508"/>
        <n v="243"/>
        <n v="98"/>
        <n v="308"/>
        <n v="398"/>
        <n v="124"/>
        <n v="351"/>
        <n v="708"/>
        <n v="289"/>
        <n v="20"/>
        <n v="171"/>
        <n v="29"/>
        <n v="419"/>
        <n v="457"/>
        <n v="524"/>
        <n v="597"/>
        <n v="305"/>
        <n v="313"/>
        <n v="377"/>
        <n v="205"/>
        <n v="307"/>
        <n v="228"/>
        <n v="425"/>
        <n v="495"/>
        <n v="1"/>
        <n v="310"/>
        <n v="294"/>
        <n v="413"/>
        <n v="237"/>
        <n v="614"/>
        <n v="222"/>
        <n v="468"/>
        <n v="518"/>
        <n v="247"/>
        <n v="63"/>
        <n v="123"/>
        <n v="438"/>
        <n v="64"/>
        <n v="262"/>
        <n v="306"/>
        <n v="304"/>
        <n v="165"/>
        <n v="446"/>
        <n v="119"/>
        <n v="539"/>
        <n v="434"/>
        <n v="299"/>
        <n v="35"/>
        <n v="363"/>
        <n v="421"/>
        <n v="709"/>
        <n v="380"/>
        <n v="465"/>
        <n v="77"/>
        <n v="464"/>
        <n v="132"/>
        <n v="295"/>
        <n v="319"/>
        <n v="591"/>
        <n v="268"/>
        <n v="338"/>
        <n v="217"/>
        <n v="355"/>
        <n v="193"/>
        <n v="325"/>
        <n v="337"/>
        <n v="583"/>
        <n v="17"/>
        <n v="231"/>
        <n v="291"/>
        <n v="328"/>
        <n v="343"/>
        <n v="255"/>
        <n v="509"/>
        <n v="192"/>
        <n v="431"/>
        <n v="570"/>
        <n v="375"/>
        <n v="206"/>
        <n v="531"/>
        <n v="422"/>
        <n v="373"/>
        <n v="386"/>
        <n v="489"/>
        <n v="274"/>
        <n v="372"/>
        <n v="240"/>
        <n v="400"/>
        <n v="440"/>
        <n v="161"/>
        <n v="456"/>
        <n v="435"/>
        <n v="245"/>
        <n v="279"/>
        <n v="599"/>
        <n v="143"/>
        <n v="340"/>
        <n v="349"/>
        <n v="297"/>
        <n v="506"/>
        <n v="445"/>
        <n v="562"/>
        <n v="513"/>
        <n v="332"/>
        <n v="360"/>
        <n v="436"/>
        <n v="324"/>
        <n v="364"/>
        <n v="462"/>
        <n v="399"/>
        <n v="221"/>
        <n v="548"/>
        <n v="266"/>
        <n v="536"/>
        <n v="404"/>
        <n v="378"/>
        <n v="772"/>
        <n v="453"/>
        <n v="540"/>
        <n v="646"/>
        <n v="253"/>
        <n v="335"/>
        <n v="394"/>
        <n v="331"/>
        <n v="290"/>
        <n v="497"/>
        <n v="439"/>
        <n v="602"/>
        <n v="507"/>
        <n v="298"/>
        <n v="451"/>
        <n v="454"/>
        <n v="452"/>
        <n v="449"/>
        <n v="230"/>
        <n v="746"/>
        <n v="493"/>
        <n v="501"/>
        <n v="561"/>
        <n v="388"/>
        <n v="385"/>
        <n v="605"/>
        <n v="443"/>
        <n v="263"/>
        <n v="523"/>
        <n v="423"/>
        <n v="500"/>
        <n v="426"/>
        <n v="563"/>
        <n v="461"/>
        <n v="450"/>
        <n v="442"/>
        <n v="327"/>
        <n v="225"/>
        <n v="594"/>
        <n v="369"/>
        <n v="383"/>
        <n v="365"/>
        <n v="491"/>
        <n v="278"/>
        <n v="552"/>
        <n v="494"/>
        <n v="366"/>
        <n v="267"/>
        <n v="36"/>
        <n v="485"/>
        <n v="382"/>
        <n v="492"/>
        <n v="529"/>
        <n v="538"/>
        <n v="381"/>
        <n v="778"/>
        <n v="441"/>
        <n v="535"/>
        <n v="490"/>
        <n v="674"/>
        <n v="560"/>
        <n v="487"/>
        <n v="427"/>
        <n v="679"/>
        <n v="463"/>
        <n v="621"/>
        <n v="292"/>
        <n v="3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782255092592" createdVersion="8" refreshedVersion="8" minRefreshableVersion="3" recordCount="3282" xr:uid="{4E92C586-9338-4C27-B184-F6ABC748249D}">
  <cacheSource type="worksheet">
    <worksheetSource ref="A1:M3283" sheet="Working Sheet"/>
  </cacheSource>
  <cacheFields count="13">
    <cacheField name="Sales Person" numFmtId="0">
      <sharedItems/>
    </cacheField>
    <cacheField name="Country" numFmtId="0">
      <sharedItems/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0">
      <sharedItems containsDate="1" containsMixedTypes="1" minDate="2022-01-02T00:00:00" maxDate="2024-12-09T00:00:00"/>
    </cacheField>
    <cacheField name="Date in Text" numFmtId="14">
      <sharedItems/>
    </cacheField>
    <cacheField name="Year" numFmtId="0">
      <sharedItems containsBlank="1"/>
    </cacheField>
    <cacheField name="Month" numFmtId="14">
      <sharedItems/>
    </cacheField>
    <cacheField name="Amount" numFmtId="164">
      <sharedItems containsSemiMixedTypes="0" containsString="0" containsNumber="1" minValue="7" maxValue="26170.95"/>
    </cacheField>
    <cacheField name="Boxes Shipped" numFmtId="0">
      <sharedItems containsSemiMixedTypes="0" containsString="0" containsNumber="1" containsInteger="1" minValue="1" maxValue="778"/>
    </cacheField>
    <cacheField name="Field10" caption="Field10" numFmtId="0">
      <sharedItems containsNonDate="0" containsString="0" containsBlank="1"/>
    </cacheField>
    <cacheField name="Average" numFmtId="0">
      <sharedItems containsString="0" containsBlank="1" containsNumber="1" minValue="6030.3387751371092" maxValue="6030.3387751371092"/>
    </cacheField>
    <cacheField name="Average Bracket" numFmtId="0">
      <sharedItems/>
    </cacheField>
    <cacheField name="Rank" numFmtId="0">
      <sharedItems containsSemiMixedTypes="0" containsString="0" containsNumber="1" containsInteger="1" minValue="1" maxValue="32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x v="0"/>
    <x v="0"/>
    <x v="0"/>
    <d v="2022-04-01T00:00:00"/>
    <s v="01/04/2022"/>
    <s v="2022"/>
    <x v="0"/>
    <x v="0"/>
    <x v="0"/>
  </r>
  <r>
    <x v="1"/>
    <x v="1"/>
    <x v="1"/>
    <d v="2022-01-08T00:00:00"/>
    <s v="08/01/2022"/>
    <s v="2022"/>
    <x v="1"/>
    <x v="1"/>
    <x v="1"/>
  </r>
  <r>
    <x v="2"/>
    <x v="1"/>
    <x v="2"/>
    <d v="2022-07-07T00:00:00"/>
    <s v="07/07/2022"/>
    <s v="2022"/>
    <x v="2"/>
    <x v="2"/>
    <x v="2"/>
  </r>
  <r>
    <x v="3"/>
    <x v="2"/>
    <x v="2"/>
    <s v="27/04/2022"/>
    <s v="27/04/2022"/>
    <s v="2022"/>
    <x v="0"/>
    <x v="3"/>
    <x v="3"/>
  </r>
  <r>
    <x v="0"/>
    <x v="0"/>
    <x v="2"/>
    <s v="24/02/2022"/>
    <s v="24/02/2022"/>
    <s v="2022"/>
    <x v="3"/>
    <x v="4"/>
    <x v="4"/>
  </r>
  <r>
    <x v="1"/>
    <x v="1"/>
    <x v="3"/>
    <d v="2022-06-06T00:00:00"/>
    <s v="06/06/2022"/>
    <s v="2022"/>
    <x v="4"/>
    <x v="5"/>
    <x v="5"/>
  </r>
  <r>
    <x v="4"/>
    <x v="0"/>
    <x v="4"/>
    <s v="25/01/2022"/>
    <s v="25/01/2022"/>
    <s v="2022"/>
    <x v="1"/>
    <x v="4"/>
    <x v="6"/>
  </r>
  <r>
    <x v="5"/>
    <x v="2"/>
    <x v="5"/>
    <s v="24/03/2022"/>
    <s v="24/03/2022"/>
    <s v="2022"/>
    <x v="5"/>
    <x v="6"/>
    <x v="7"/>
  </r>
  <r>
    <x v="0"/>
    <x v="3"/>
    <x v="6"/>
    <s v="20/04/2022"/>
    <s v="20/04/2022"/>
    <s v="2022"/>
    <x v="0"/>
    <x v="7"/>
    <x v="8"/>
  </r>
  <r>
    <x v="6"/>
    <x v="2"/>
    <x v="4"/>
    <d v="2022-04-07T00:00:00"/>
    <s v="07/04/2022"/>
    <s v="2022"/>
    <x v="0"/>
    <x v="8"/>
    <x v="9"/>
  </r>
  <r>
    <x v="7"/>
    <x v="0"/>
    <x v="3"/>
    <s v="13/01/2022"/>
    <s v="13/01/2022"/>
    <s v="2022"/>
    <x v="1"/>
    <x v="9"/>
    <x v="10"/>
  </r>
  <r>
    <x v="8"/>
    <x v="4"/>
    <x v="7"/>
    <d v="2022-10-03T00:00:00"/>
    <s v="03/10/2022"/>
    <s v="2022"/>
    <x v="6"/>
    <x v="10"/>
    <x v="11"/>
  </r>
  <r>
    <x v="9"/>
    <x v="5"/>
    <x v="8"/>
    <s v="13/01/2022"/>
    <s v="13/01/2022"/>
    <s v="2022"/>
    <x v="1"/>
    <x v="11"/>
    <x v="12"/>
  </r>
  <r>
    <x v="10"/>
    <x v="3"/>
    <x v="9"/>
    <s v="28/07/2022"/>
    <s v="28/07/2022"/>
    <s v="2022"/>
    <x v="2"/>
    <x v="12"/>
    <x v="13"/>
  </r>
  <r>
    <x v="11"/>
    <x v="3"/>
    <x v="2"/>
    <d v="2022-03-08T00:00:00"/>
    <s v="08/03/2022"/>
    <s v="2022"/>
    <x v="5"/>
    <x v="13"/>
    <x v="14"/>
  </r>
  <r>
    <x v="12"/>
    <x v="2"/>
    <x v="10"/>
    <s v="26/01/2022"/>
    <s v="26/01/2022"/>
    <s v="2022"/>
    <x v="1"/>
    <x v="14"/>
    <x v="15"/>
  </r>
  <r>
    <x v="1"/>
    <x v="5"/>
    <x v="10"/>
    <s v="14/02/2022"/>
    <s v="14/02/2022"/>
    <s v="2022"/>
    <x v="3"/>
    <x v="15"/>
    <x v="16"/>
  </r>
  <r>
    <x v="13"/>
    <x v="4"/>
    <x v="3"/>
    <d v="2022-05-04T00:00:00"/>
    <s v="04/05/2022"/>
    <s v="2022"/>
    <x v="7"/>
    <x v="16"/>
    <x v="17"/>
  </r>
  <r>
    <x v="12"/>
    <x v="5"/>
    <x v="11"/>
    <s v="16/02/2022"/>
    <s v="16/02/2022"/>
    <s v="2022"/>
    <x v="3"/>
    <x v="17"/>
    <x v="18"/>
  </r>
  <r>
    <x v="14"/>
    <x v="0"/>
    <x v="1"/>
    <d v="2022-08-06T00:00:00"/>
    <s v="06/08/2022"/>
    <s v="2022"/>
    <x v="8"/>
    <x v="18"/>
    <x v="19"/>
  </r>
  <r>
    <x v="6"/>
    <x v="2"/>
    <x v="8"/>
    <s v="27/06/2022"/>
    <s v="27/06/2022"/>
    <s v="2022"/>
    <x v="4"/>
    <x v="19"/>
    <x v="20"/>
  </r>
  <r>
    <x v="5"/>
    <x v="4"/>
    <x v="12"/>
    <s v="17/02/2022"/>
    <s v="17/02/2022"/>
    <s v="2022"/>
    <x v="3"/>
    <x v="20"/>
    <x v="21"/>
  </r>
  <r>
    <x v="11"/>
    <x v="4"/>
    <x v="5"/>
    <s v="30/05/2022"/>
    <s v="30/05/2022"/>
    <s v="2022"/>
    <x v="7"/>
    <x v="21"/>
    <x v="22"/>
  </r>
  <r>
    <x v="15"/>
    <x v="0"/>
    <x v="9"/>
    <s v="14/03/2022"/>
    <s v="14/03/2022"/>
    <s v="2022"/>
    <x v="5"/>
    <x v="22"/>
    <x v="23"/>
  </r>
  <r>
    <x v="16"/>
    <x v="2"/>
    <x v="8"/>
    <s v="28/02/2022"/>
    <s v="28/02/2022"/>
    <s v="2022"/>
    <x v="3"/>
    <x v="23"/>
    <x v="24"/>
  </r>
  <r>
    <x v="10"/>
    <x v="1"/>
    <x v="13"/>
    <s v="26/01/2022"/>
    <s v="26/01/2022"/>
    <s v="2022"/>
    <x v="1"/>
    <x v="12"/>
    <x v="25"/>
  </r>
  <r>
    <x v="13"/>
    <x v="5"/>
    <x v="12"/>
    <d v="2022-09-02T00:00:00"/>
    <s v="02/09/2022"/>
    <s v="2022"/>
    <x v="9"/>
    <x v="24"/>
    <x v="26"/>
  </r>
  <r>
    <x v="15"/>
    <x v="4"/>
    <x v="8"/>
    <d v="2022-07-07T00:00:00"/>
    <s v="07/07/2022"/>
    <s v="2022"/>
    <x v="2"/>
    <x v="25"/>
    <x v="27"/>
  </r>
  <r>
    <x v="17"/>
    <x v="3"/>
    <x v="14"/>
    <d v="2022-05-07T00:00:00"/>
    <s v="07/05/2022"/>
    <s v="2022"/>
    <x v="7"/>
    <x v="26"/>
    <x v="28"/>
  </r>
  <r>
    <x v="17"/>
    <x v="3"/>
    <x v="15"/>
    <s v="15/06/2022"/>
    <s v="15/06/2022"/>
    <s v="2022"/>
    <x v="4"/>
    <x v="27"/>
    <x v="29"/>
  </r>
  <r>
    <x v="1"/>
    <x v="3"/>
    <x v="1"/>
    <s v="24/05/2022"/>
    <s v="24/05/2022"/>
    <s v="2022"/>
    <x v="7"/>
    <x v="28"/>
    <x v="30"/>
  </r>
  <r>
    <x v="7"/>
    <x v="0"/>
    <x v="4"/>
    <s v="29/06/2022"/>
    <s v="29/06/2022"/>
    <s v="2022"/>
    <x v="4"/>
    <x v="29"/>
    <x v="31"/>
  </r>
  <r>
    <x v="18"/>
    <x v="2"/>
    <x v="15"/>
    <d v="2022-11-05T00:00:00"/>
    <s v="05/11/2022"/>
    <s v="2022"/>
    <x v="10"/>
    <x v="30"/>
    <x v="1"/>
  </r>
  <r>
    <x v="10"/>
    <x v="0"/>
    <x v="16"/>
    <s v="30/06/2022"/>
    <s v="30/06/2022"/>
    <s v="2022"/>
    <x v="4"/>
    <x v="31"/>
    <x v="32"/>
  </r>
  <r>
    <x v="19"/>
    <x v="5"/>
    <x v="5"/>
    <d v="2022-11-05T00:00:00"/>
    <s v="05/11/2022"/>
    <s v="2022"/>
    <x v="10"/>
    <x v="32"/>
    <x v="33"/>
  </r>
  <r>
    <x v="13"/>
    <x v="4"/>
    <x v="15"/>
    <s v="22/07/2022"/>
    <s v="22/07/2022"/>
    <s v="2022"/>
    <x v="2"/>
    <x v="33"/>
    <x v="34"/>
  </r>
  <r>
    <x v="19"/>
    <x v="0"/>
    <x v="6"/>
    <s v="24/08/2022"/>
    <s v="24/08/2022"/>
    <s v="2022"/>
    <x v="8"/>
    <x v="34"/>
    <x v="35"/>
  </r>
  <r>
    <x v="20"/>
    <x v="3"/>
    <x v="5"/>
    <d v="2022-07-07T00:00:00"/>
    <s v="07/07/2022"/>
    <s v="2022"/>
    <x v="2"/>
    <x v="35"/>
    <x v="36"/>
  </r>
  <r>
    <x v="21"/>
    <x v="2"/>
    <x v="1"/>
    <s v="19/05/2022"/>
    <s v="19/05/2022"/>
    <s v="2022"/>
    <x v="7"/>
    <x v="36"/>
    <x v="37"/>
  </r>
  <r>
    <x v="10"/>
    <x v="1"/>
    <x v="15"/>
    <d v="2022-04-07T00:00:00"/>
    <s v="07/04/2022"/>
    <s v="2022"/>
    <x v="0"/>
    <x v="37"/>
    <x v="38"/>
  </r>
  <r>
    <x v="20"/>
    <x v="4"/>
    <x v="5"/>
    <d v="2022-02-06T00:00:00"/>
    <s v="06/02/2022"/>
    <s v="2022"/>
    <x v="3"/>
    <x v="38"/>
    <x v="39"/>
  </r>
  <r>
    <x v="10"/>
    <x v="4"/>
    <x v="17"/>
    <s v="15/04/2022"/>
    <s v="15/04/2022"/>
    <s v="2022"/>
    <x v="0"/>
    <x v="39"/>
    <x v="40"/>
  </r>
  <r>
    <x v="9"/>
    <x v="5"/>
    <x v="18"/>
    <d v="2022-11-07T00:00:00"/>
    <s v="07/11/2022"/>
    <s v="2022"/>
    <x v="10"/>
    <x v="40"/>
    <x v="41"/>
  </r>
  <r>
    <x v="19"/>
    <x v="1"/>
    <x v="12"/>
    <s v="23/02/2022"/>
    <s v="23/02/2022"/>
    <s v="2022"/>
    <x v="3"/>
    <x v="41"/>
    <x v="42"/>
  </r>
  <r>
    <x v="22"/>
    <x v="5"/>
    <x v="16"/>
    <s v="22/08/2022"/>
    <s v="22/08/2022"/>
    <s v="2022"/>
    <x v="8"/>
    <x v="42"/>
    <x v="9"/>
  </r>
  <r>
    <x v="16"/>
    <x v="4"/>
    <x v="2"/>
    <s v="16/02/2022"/>
    <s v="16/02/2022"/>
    <s v="2022"/>
    <x v="3"/>
    <x v="14"/>
    <x v="43"/>
  </r>
  <r>
    <x v="1"/>
    <x v="4"/>
    <x v="6"/>
    <s v="13/01/2022"/>
    <s v="13/01/2022"/>
    <s v="2022"/>
    <x v="1"/>
    <x v="43"/>
    <x v="44"/>
  </r>
  <r>
    <x v="14"/>
    <x v="2"/>
    <x v="11"/>
    <s v="14/02/2022"/>
    <s v="14/02/2022"/>
    <s v="2022"/>
    <x v="3"/>
    <x v="44"/>
    <x v="45"/>
  </r>
  <r>
    <x v="13"/>
    <x v="1"/>
    <x v="8"/>
    <d v="2022-10-06T00:00:00"/>
    <s v="06/10/2022"/>
    <s v="2022"/>
    <x v="6"/>
    <x v="45"/>
    <x v="46"/>
  </r>
  <r>
    <x v="14"/>
    <x v="1"/>
    <x v="13"/>
    <d v="2022-07-07T00:00:00"/>
    <s v="07/07/2022"/>
    <s v="2022"/>
    <x v="2"/>
    <x v="46"/>
    <x v="6"/>
  </r>
  <r>
    <x v="14"/>
    <x v="5"/>
    <x v="16"/>
    <s v="24/03/2022"/>
    <s v="24/03/2022"/>
    <s v="2022"/>
    <x v="5"/>
    <x v="47"/>
    <x v="33"/>
  </r>
  <r>
    <x v="6"/>
    <x v="2"/>
    <x v="13"/>
    <d v="2022-06-06T00:00:00"/>
    <s v="06/06/2022"/>
    <s v="2022"/>
    <x v="4"/>
    <x v="48"/>
    <x v="47"/>
  </r>
  <r>
    <x v="23"/>
    <x v="2"/>
    <x v="9"/>
    <s v="19/07/2022"/>
    <s v="19/07/2022"/>
    <s v="2022"/>
    <x v="2"/>
    <x v="49"/>
    <x v="48"/>
  </r>
  <r>
    <x v="12"/>
    <x v="4"/>
    <x v="17"/>
    <s v="19/04/2022"/>
    <s v="19/04/2022"/>
    <s v="2022"/>
    <x v="0"/>
    <x v="50"/>
    <x v="49"/>
  </r>
  <r>
    <x v="11"/>
    <x v="1"/>
    <x v="1"/>
    <s v="19/07/2022"/>
    <s v="19/07/2022"/>
    <s v="2022"/>
    <x v="2"/>
    <x v="51"/>
    <x v="50"/>
  </r>
  <r>
    <x v="0"/>
    <x v="5"/>
    <x v="9"/>
    <s v="15/07/2022"/>
    <s v="15/07/2022"/>
    <s v="2022"/>
    <x v="2"/>
    <x v="52"/>
    <x v="51"/>
  </r>
  <r>
    <x v="24"/>
    <x v="3"/>
    <x v="12"/>
    <s v="14/02/2022"/>
    <s v="14/02/2022"/>
    <s v="2022"/>
    <x v="3"/>
    <x v="53"/>
    <x v="45"/>
  </r>
  <r>
    <x v="6"/>
    <x v="5"/>
    <x v="4"/>
    <s v="18/05/2022"/>
    <s v="18/05/2022"/>
    <s v="2022"/>
    <x v="7"/>
    <x v="54"/>
    <x v="52"/>
  </r>
  <r>
    <x v="8"/>
    <x v="2"/>
    <x v="13"/>
    <s v="30/06/2022"/>
    <s v="30/06/2022"/>
    <s v="2022"/>
    <x v="4"/>
    <x v="55"/>
    <x v="53"/>
  </r>
  <r>
    <x v="19"/>
    <x v="2"/>
    <x v="6"/>
    <d v="2022-02-06T00:00:00"/>
    <s v="06/02/2022"/>
    <s v="2022"/>
    <x v="3"/>
    <x v="56"/>
    <x v="54"/>
  </r>
  <r>
    <x v="19"/>
    <x v="2"/>
    <x v="9"/>
    <s v="28/06/2022"/>
    <s v="28/06/2022"/>
    <s v="2022"/>
    <x v="4"/>
    <x v="57"/>
    <x v="55"/>
  </r>
  <r>
    <x v="11"/>
    <x v="2"/>
    <x v="10"/>
    <s v="16/05/2022"/>
    <s v="16/05/2022"/>
    <s v="2022"/>
    <x v="7"/>
    <x v="58"/>
    <x v="56"/>
  </r>
  <r>
    <x v="20"/>
    <x v="5"/>
    <x v="19"/>
    <s v="26/05/2022"/>
    <s v="26/05/2022"/>
    <s v="2022"/>
    <x v="7"/>
    <x v="59"/>
    <x v="57"/>
  </r>
  <r>
    <x v="10"/>
    <x v="1"/>
    <x v="16"/>
    <d v="2022-06-07T00:00:00"/>
    <s v="07/06/2022"/>
    <s v="2022"/>
    <x v="4"/>
    <x v="60"/>
    <x v="58"/>
  </r>
  <r>
    <x v="4"/>
    <x v="1"/>
    <x v="4"/>
    <s v="27/05/2022"/>
    <s v="27/05/2022"/>
    <s v="2022"/>
    <x v="7"/>
    <x v="61"/>
    <x v="11"/>
  </r>
  <r>
    <x v="18"/>
    <x v="2"/>
    <x v="20"/>
    <s v="14/04/2022"/>
    <s v="14/04/2022"/>
    <s v="2022"/>
    <x v="0"/>
    <x v="62"/>
    <x v="11"/>
  </r>
  <r>
    <x v="1"/>
    <x v="2"/>
    <x v="10"/>
    <d v="2022-10-08T00:00:00"/>
    <s v="08/10/2022"/>
    <s v="2022"/>
    <x v="6"/>
    <x v="63"/>
    <x v="37"/>
  </r>
  <r>
    <x v="21"/>
    <x v="1"/>
    <x v="6"/>
    <d v="2022-04-07T00:00:00"/>
    <s v="07/04/2022"/>
    <s v="2022"/>
    <x v="0"/>
    <x v="64"/>
    <x v="59"/>
  </r>
  <r>
    <x v="4"/>
    <x v="1"/>
    <x v="10"/>
    <d v="2022-08-07T00:00:00"/>
    <s v="07/08/2022"/>
    <s v="2022"/>
    <x v="8"/>
    <x v="65"/>
    <x v="60"/>
  </r>
  <r>
    <x v="3"/>
    <x v="4"/>
    <x v="2"/>
    <s v="22/07/2022"/>
    <s v="22/07/2022"/>
    <s v="2022"/>
    <x v="2"/>
    <x v="66"/>
    <x v="9"/>
  </r>
  <r>
    <x v="2"/>
    <x v="4"/>
    <x v="18"/>
    <d v="2022-02-03T00:00:00"/>
    <s v="03/02/2022"/>
    <s v="2022"/>
    <x v="3"/>
    <x v="67"/>
    <x v="61"/>
  </r>
  <r>
    <x v="2"/>
    <x v="0"/>
    <x v="16"/>
    <d v="2022-10-01T00:00:00"/>
    <s v="01/10/2022"/>
    <s v="2022"/>
    <x v="6"/>
    <x v="68"/>
    <x v="62"/>
  </r>
  <r>
    <x v="0"/>
    <x v="3"/>
    <x v="14"/>
    <d v="2022-11-03T00:00:00"/>
    <s v="03/11/2022"/>
    <s v="2022"/>
    <x v="10"/>
    <x v="69"/>
    <x v="41"/>
  </r>
  <r>
    <x v="19"/>
    <x v="3"/>
    <x v="2"/>
    <s v="20/06/2022"/>
    <s v="20/06/2022"/>
    <s v="2022"/>
    <x v="4"/>
    <x v="70"/>
    <x v="63"/>
  </r>
  <r>
    <x v="1"/>
    <x v="0"/>
    <x v="10"/>
    <s v="26/08/2022"/>
    <s v="26/08/2022"/>
    <s v="2022"/>
    <x v="8"/>
    <x v="71"/>
    <x v="64"/>
  </r>
  <r>
    <x v="13"/>
    <x v="5"/>
    <x v="11"/>
    <s v="13/07/2022"/>
    <s v="13/07/2022"/>
    <s v="2022"/>
    <x v="2"/>
    <x v="72"/>
    <x v="65"/>
  </r>
  <r>
    <x v="21"/>
    <x v="4"/>
    <x v="12"/>
    <d v="2022-11-02T00:00:00"/>
    <s v="02/11/2022"/>
    <s v="2022"/>
    <x v="10"/>
    <x v="73"/>
    <x v="66"/>
  </r>
  <r>
    <x v="11"/>
    <x v="4"/>
    <x v="7"/>
    <s v="27/01/2022"/>
    <s v="27/01/2022"/>
    <s v="2022"/>
    <x v="1"/>
    <x v="74"/>
    <x v="67"/>
  </r>
  <r>
    <x v="1"/>
    <x v="0"/>
    <x v="4"/>
    <s v="31/01/2022"/>
    <s v="31/01/2022"/>
    <s v="2022"/>
    <x v="1"/>
    <x v="75"/>
    <x v="68"/>
  </r>
  <r>
    <x v="21"/>
    <x v="4"/>
    <x v="14"/>
    <s v="18/08/2022"/>
    <s v="18/08/2022"/>
    <s v="2022"/>
    <x v="8"/>
    <x v="76"/>
    <x v="51"/>
  </r>
  <r>
    <x v="19"/>
    <x v="4"/>
    <x v="17"/>
    <s v="30/06/2022"/>
    <s v="30/06/2022"/>
    <s v="2022"/>
    <x v="4"/>
    <x v="77"/>
    <x v="69"/>
  </r>
  <r>
    <x v="23"/>
    <x v="2"/>
    <x v="13"/>
    <s v="23/08/2022"/>
    <s v="23/08/2022"/>
    <s v="2022"/>
    <x v="8"/>
    <x v="78"/>
    <x v="70"/>
  </r>
  <r>
    <x v="6"/>
    <x v="3"/>
    <x v="0"/>
    <d v="2022-01-08T00:00:00"/>
    <s v="08/01/2022"/>
    <s v="2022"/>
    <x v="1"/>
    <x v="79"/>
    <x v="67"/>
  </r>
  <r>
    <x v="13"/>
    <x v="3"/>
    <x v="5"/>
    <s v="25/05/2022"/>
    <s v="25/05/2022"/>
    <s v="2022"/>
    <x v="7"/>
    <x v="80"/>
    <x v="71"/>
  </r>
  <r>
    <x v="13"/>
    <x v="5"/>
    <x v="10"/>
    <d v="2022-10-01T00:00:00"/>
    <s v="01/10/2022"/>
    <s v="2022"/>
    <x v="6"/>
    <x v="81"/>
    <x v="72"/>
  </r>
  <r>
    <x v="17"/>
    <x v="2"/>
    <x v="21"/>
    <d v="2022-07-02T00:00:00"/>
    <s v="02/07/2022"/>
    <s v="2022"/>
    <x v="2"/>
    <x v="82"/>
    <x v="73"/>
  </r>
  <r>
    <x v="10"/>
    <x v="4"/>
    <x v="7"/>
    <d v="2022-12-05T00:00:00"/>
    <s v="05/12/2022"/>
    <s v="2022"/>
    <x v="11"/>
    <x v="83"/>
    <x v="74"/>
  </r>
  <r>
    <x v="22"/>
    <x v="2"/>
    <x v="12"/>
    <d v="2022-07-03T00:00:00"/>
    <s v="03/07/2022"/>
    <s v="2022"/>
    <x v="2"/>
    <x v="84"/>
    <x v="75"/>
  </r>
  <r>
    <x v="17"/>
    <x v="2"/>
    <x v="1"/>
    <d v="2022-05-04T00:00:00"/>
    <s v="04/05/2022"/>
    <s v="2022"/>
    <x v="7"/>
    <x v="85"/>
    <x v="76"/>
  </r>
  <r>
    <x v="19"/>
    <x v="5"/>
    <x v="20"/>
    <d v="2022-03-01T00:00:00"/>
    <s v="01/03/2022"/>
    <s v="2022"/>
    <x v="5"/>
    <x v="86"/>
    <x v="77"/>
  </r>
  <r>
    <x v="17"/>
    <x v="0"/>
    <x v="8"/>
    <s v="24/03/2022"/>
    <s v="24/03/2022"/>
    <s v="2022"/>
    <x v="5"/>
    <x v="87"/>
    <x v="78"/>
  </r>
  <r>
    <x v="22"/>
    <x v="1"/>
    <x v="17"/>
    <d v="2022-07-07T00:00:00"/>
    <s v="07/07/2022"/>
    <s v="2022"/>
    <x v="2"/>
    <x v="88"/>
    <x v="62"/>
  </r>
  <r>
    <x v="1"/>
    <x v="4"/>
    <x v="5"/>
    <s v="26/07/2022"/>
    <s v="26/07/2022"/>
    <s v="2022"/>
    <x v="2"/>
    <x v="89"/>
    <x v="79"/>
  </r>
  <r>
    <x v="18"/>
    <x v="2"/>
    <x v="10"/>
    <d v="2022-07-07T00:00:00"/>
    <s v="07/07/2022"/>
    <s v="2022"/>
    <x v="2"/>
    <x v="90"/>
    <x v="80"/>
  </r>
  <r>
    <x v="10"/>
    <x v="5"/>
    <x v="6"/>
    <s v="15/07/2022"/>
    <s v="15/07/2022"/>
    <s v="2022"/>
    <x v="2"/>
    <x v="91"/>
    <x v="81"/>
  </r>
  <r>
    <x v="13"/>
    <x v="3"/>
    <x v="7"/>
    <d v="2022-01-04T00:00:00"/>
    <s v="04/01/2022"/>
    <s v="2022"/>
    <x v="1"/>
    <x v="92"/>
    <x v="82"/>
  </r>
  <r>
    <x v="12"/>
    <x v="2"/>
    <x v="8"/>
    <s v="20/06/2022"/>
    <s v="20/06/2022"/>
    <s v="2022"/>
    <x v="4"/>
    <x v="93"/>
    <x v="83"/>
  </r>
  <r>
    <x v="20"/>
    <x v="0"/>
    <x v="13"/>
    <s v="29/06/2022"/>
    <s v="29/06/2022"/>
    <s v="2022"/>
    <x v="4"/>
    <x v="94"/>
    <x v="84"/>
  </r>
  <r>
    <x v="11"/>
    <x v="4"/>
    <x v="6"/>
    <s v="15/06/2022"/>
    <s v="15/06/2022"/>
    <s v="2022"/>
    <x v="4"/>
    <x v="95"/>
    <x v="85"/>
  </r>
  <r>
    <x v="15"/>
    <x v="4"/>
    <x v="5"/>
    <d v="2022-08-04T00:00:00"/>
    <s v="04/08/2022"/>
    <s v="2022"/>
    <x v="8"/>
    <x v="96"/>
    <x v="0"/>
  </r>
  <r>
    <x v="17"/>
    <x v="2"/>
    <x v="17"/>
    <s v="14/03/2022"/>
    <s v="14/03/2022"/>
    <s v="2022"/>
    <x v="5"/>
    <x v="97"/>
    <x v="86"/>
  </r>
  <r>
    <x v="19"/>
    <x v="4"/>
    <x v="13"/>
    <s v="15/07/2022"/>
    <s v="15/07/2022"/>
    <s v="2022"/>
    <x v="2"/>
    <x v="98"/>
    <x v="87"/>
  </r>
  <r>
    <x v="20"/>
    <x v="1"/>
    <x v="8"/>
    <s v="19/04/2022"/>
    <s v="19/04/2022"/>
    <s v="2022"/>
    <x v="0"/>
    <x v="99"/>
    <x v="88"/>
  </r>
  <r>
    <x v="11"/>
    <x v="4"/>
    <x v="4"/>
    <s v="28/03/2022"/>
    <s v="28/03/2022"/>
    <s v="2022"/>
    <x v="5"/>
    <x v="100"/>
    <x v="89"/>
  </r>
  <r>
    <x v="6"/>
    <x v="5"/>
    <x v="12"/>
    <d v="2022-04-03T00:00:00"/>
    <s v="03/04/2022"/>
    <s v="2022"/>
    <x v="0"/>
    <x v="101"/>
    <x v="90"/>
  </r>
  <r>
    <x v="10"/>
    <x v="3"/>
    <x v="21"/>
    <d v="2022-02-08T00:00:00"/>
    <s v="08/02/2022"/>
    <s v="2022"/>
    <x v="3"/>
    <x v="102"/>
    <x v="91"/>
  </r>
  <r>
    <x v="15"/>
    <x v="0"/>
    <x v="12"/>
    <s v="25/08/2022"/>
    <s v="25/08/2022"/>
    <s v="2022"/>
    <x v="8"/>
    <x v="103"/>
    <x v="16"/>
  </r>
  <r>
    <x v="11"/>
    <x v="4"/>
    <x v="16"/>
    <s v="25/02/2022"/>
    <s v="25/02/2022"/>
    <s v="2022"/>
    <x v="3"/>
    <x v="104"/>
    <x v="92"/>
  </r>
  <r>
    <x v="20"/>
    <x v="1"/>
    <x v="7"/>
    <d v="2022-07-06T00:00:00"/>
    <s v="06/07/2022"/>
    <s v="2022"/>
    <x v="2"/>
    <x v="105"/>
    <x v="93"/>
  </r>
  <r>
    <x v="3"/>
    <x v="1"/>
    <x v="12"/>
    <d v="2022-12-04T00:00:00"/>
    <s v="04/12/2022"/>
    <s v="2022"/>
    <x v="11"/>
    <x v="106"/>
    <x v="94"/>
  </r>
  <r>
    <x v="24"/>
    <x v="1"/>
    <x v="12"/>
    <d v="2022-06-07T00:00:00"/>
    <s v="07/06/2022"/>
    <s v="2022"/>
    <x v="4"/>
    <x v="107"/>
    <x v="1"/>
  </r>
  <r>
    <x v="20"/>
    <x v="0"/>
    <x v="3"/>
    <s v="19/01/2022"/>
    <s v="19/01/2022"/>
    <s v="2022"/>
    <x v="1"/>
    <x v="108"/>
    <x v="95"/>
  </r>
  <r>
    <x v="22"/>
    <x v="2"/>
    <x v="13"/>
    <d v="2022-05-01T00:00:00"/>
    <s v="01/05/2022"/>
    <s v="2022"/>
    <x v="7"/>
    <x v="109"/>
    <x v="96"/>
  </r>
  <r>
    <x v="22"/>
    <x v="5"/>
    <x v="21"/>
    <s v="24/01/2022"/>
    <s v="24/01/2022"/>
    <s v="2022"/>
    <x v="1"/>
    <x v="110"/>
    <x v="97"/>
  </r>
  <r>
    <x v="18"/>
    <x v="2"/>
    <x v="9"/>
    <d v="2022-06-04T00:00:00"/>
    <s v="04/06/2022"/>
    <s v="2022"/>
    <x v="4"/>
    <x v="111"/>
    <x v="98"/>
  </r>
  <r>
    <x v="5"/>
    <x v="2"/>
    <x v="13"/>
    <s v="15/06/2022"/>
    <s v="15/06/2022"/>
    <s v="2022"/>
    <x v="4"/>
    <x v="112"/>
    <x v="69"/>
  </r>
  <r>
    <x v="2"/>
    <x v="5"/>
    <x v="19"/>
    <s v="28/01/2022"/>
    <s v="28/01/2022"/>
    <s v="2022"/>
    <x v="1"/>
    <x v="113"/>
    <x v="99"/>
  </r>
  <r>
    <x v="20"/>
    <x v="1"/>
    <x v="20"/>
    <s v="16/03/2022"/>
    <s v="16/03/2022"/>
    <s v="2022"/>
    <x v="5"/>
    <x v="114"/>
    <x v="100"/>
  </r>
  <r>
    <x v="7"/>
    <x v="2"/>
    <x v="9"/>
    <s v="21/02/2022"/>
    <s v="21/02/2022"/>
    <s v="2022"/>
    <x v="3"/>
    <x v="115"/>
    <x v="101"/>
  </r>
  <r>
    <x v="20"/>
    <x v="4"/>
    <x v="15"/>
    <s v="16/02/2022"/>
    <s v="16/02/2022"/>
    <s v="2022"/>
    <x v="3"/>
    <x v="116"/>
    <x v="102"/>
  </r>
  <r>
    <x v="0"/>
    <x v="5"/>
    <x v="12"/>
    <s v="13/01/2022"/>
    <s v="13/01/2022"/>
    <s v="2022"/>
    <x v="1"/>
    <x v="117"/>
    <x v="103"/>
  </r>
  <r>
    <x v="20"/>
    <x v="2"/>
    <x v="8"/>
    <s v="23/03/2022"/>
    <s v="23/03/2022"/>
    <s v="2022"/>
    <x v="5"/>
    <x v="118"/>
    <x v="104"/>
  </r>
  <r>
    <x v="14"/>
    <x v="5"/>
    <x v="12"/>
    <s v="16/06/2022"/>
    <s v="16/06/2022"/>
    <s v="2022"/>
    <x v="4"/>
    <x v="119"/>
    <x v="105"/>
  </r>
  <r>
    <x v="4"/>
    <x v="1"/>
    <x v="17"/>
    <s v="14/04/2022"/>
    <s v="14/04/2022"/>
    <s v="2022"/>
    <x v="0"/>
    <x v="120"/>
    <x v="106"/>
  </r>
  <r>
    <x v="20"/>
    <x v="0"/>
    <x v="8"/>
    <s v="25/01/2022"/>
    <s v="25/01/2022"/>
    <s v="2022"/>
    <x v="1"/>
    <x v="121"/>
    <x v="107"/>
  </r>
  <r>
    <x v="3"/>
    <x v="1"/>
    <x v="16"/>
    <d v="2022-11-03T00:00:00"/>
    <s v="03/11/2022"/>
    <s v="2022"/>
    <x v="10"/>
    <x v="122"/>
    <x v="108"/>
  </r>
  <r>
    <x v="23"/>
    <x v="0"/>
    <x v="16"/>
    <s v="28/07/2022"/>
    <s v="28/07/2022"/>
    <s v="2022"/>
    <x v="2"/>
    <x v="123"/>
    <x v="109"/>
  </r>
  <r>
    <x v="11"/>
    <x v="3"/>
    <x v="5"/>
    <d v="2022-09-03T00:00:00"/>
    <s v="03/09/2022"/>
    <s v="2022"/>
    <x v="9"/>
    <x v="124"/>
    <x v="110"/>
  </r>
  <r>
    <x v="15"/>
    <x v="2"/>
    <x v="7"/>
    <s v="28/06/2022"/>
    <s v="28/06/2022"/>
    <s v="2022"/>
    <x v="4"/>
    <x v="125"/>
    <x v="43"/>
  </r>
  <r>
    <x v="11"/>
    <x v="2"/>
    <x v="11"/>
    <s v="28/07/2022"/>
    <s v="28/07/2022"/>
    <s v="2022"/>
    <x v="2"/>
    <x v="126"/>
    <x v="111"/>
  </r>
  <r>
    <x v="20"/>
    <x v="5"/>
    <x v="4"/>
    <s v="15/08/2022"/>
    <s v="15/08/2022"/>
    <s v="2022"/>
    <x v="8"/>
    <x v="127"/>
    <x v="112"/>
  </r>
  <r>
    <x v="16"/>
    <x v="2"/>
    <x v="15"/>
    <d v="2022-12-01T00:00:00"/>
    <s v="01/12/2022"/>
    <s v="2022"/>
    <x v="11"/>
    <x v="128"/>
    <x v="79"/>
  </r>
  <r>
    <x v="12"/>
    <x v="3"/>
    <x v="14"/>
    <s v="24/03/2022"/>
    <s v="24/03/2022"/>
    <s v="2022"/>
    <x v="5"/>
    <x v="129"/>
    <x v="113"/>
  </r>
  <r>
    <x v="1"/>
    <x v="0"/>
    <x v="11"/>
    <s v="25/07/2022"/>
    <s v="25/07/2022"/>
    <s v="2022"/>
    <x v="2"/>
    <x v="130"/>
    <x v="114"/>
  </r>
  <r>
    <x v="4"/>
    <x v="5"/>
    <x v="4"/>
    <d v="2022-01-08T00:00:00"/>
    <s v="08/01/2022"/>
    <s v="2022"/>
    <x v="1"/>
    <x v="131"/>
    <x v="115"/>
  </r>
  <r>
    <x v="1"/>
    <x v="1"/>
    <x v="10"/>
    <s v="16/05/2022"/>
    <s v="16/05/2022"/>
    <s v="2022"/>
    <x v="7"/>
    <x v="132"/>
    <x v="56"/>
  </r>
  <r>
    <x v="13"/>
    <x v="1"/>
    <x v="3"/>
    <d v="2022-10-08T00:00:00"/>
    <s v="08/10/2022"/>
    <s v="2022"/>
    <x v="6"/>
    <x v="133"/>
    <x v="17"/>
  </r>
  <r>
    <x v="3"/>
    <x v="1"/>
    <x v="8"/>
    <d v="2022-05-01T00:00:00"/>
    <s v="01/05/2022"/>
    <s v="2022"/>
    <x v="7"/>
    <x v="134"/>
    <x v="103"/>
  </r>
  <r>
    <x v="24"/>
    <x v="0"/>
    <x v="3"/>
    <d v="2022-11-07T00:00:00"/>
    <s v="07/11/2022"/>
    <s v="2022"/>
    <x v="10"/>
    <x v="135"/>
    <x v="116"/>
  </r>
  <r>
    <x v="18"/>
    <x v="4"/>
    <x v="5"/>
    <s v="25/04/2022"/>
    <s v="25/04/2022"/>
    <s v="2022"/>
    <x v="0"/>
    <x v="136"/>
    <x v="117"/>
  </r>
  <r>
    <x v="2"/>
    <x v="3"/>
    <x v="13"/>
    <d v="2022-04-04T00:00:00"/>
    <s v="04/04/2022"/>
    <s v="2022"/>
    <x v="0"/>
    <x v="137"/>
    <x v="30"/>
  </r>
  <r>
    <x v="8"/>
    <x v="4"/>
    <x v="17"/>
    <d v="2022-12-04T00:00:00"/>
    <s v="04/12/2022"/>
    <s v="2022"/>
    <x v="11"/>
    <x v="138"/>
    <x v="90"/>
  </r>
  <r>
    <x v="18"/>
    <x v="3"/>
    <x v="1"/>
    <d v="2022-02-08T00:00:00"/>
    <s v="08/02/2022"/>
    <s v="2022"/>
    <x v="3"/>
    <x v="93"/>
    <x v="118"/>
  </r>
  <r>
    <x v="2"/>
    <x v="3"/>
    <x v="15"/>
    <s v="28/06/2022"/>
    <s v="28/06/2022"/>
    <s v="2022"/>
    <x v="4"/>
    <x v="139"/>
    <x v="119"/>
  </r>
  <r>
    <x v="24"/>
    <x v="2"/>
    <x v="8"/>
    <d v="2022-05-07T00:00:00"/>
    <s v="07/05/2022"/>
    <s v="2022"/>
    <x v="7"/>
    <x v="140"/>
    <x v="120"/>
  </r>
  <r>
    <x v="7"/>
    <x v="3"/>
    <x v="18"/>
    <d v="2022-07-06T00:00:00"/>
    <s v="06/07/2022"/>
    <s v="2022"/>
    <x v="2"/>
    <x v="141"/>
    <x v="121"/>
  </r>
  <r>
    <x v="6"/>
    <x v="3"/>
    <x v="3"/>
    <s v="18/01/2022"/>
    <s v="18/01/2022"/>
    <s v="2022"/>
    <x v="1"/>
    <x v="142"/>
    <x v="103"/>
  </r>
  <r>
    <x v="6"/>
    <x v="2"/>
    <x v="19"/>
    <d v="2022-04-01T00:00:00"/>
    <s v="01/04/2022"/>
    <s v="2022"/>
    <x v="0"/>
    <x v="143"/>
    <x v="122"/>
  </r>
  <r>
    <x v="17"/>
    <x v="2"/>
    <x v="4"/>
    <s v="31/01/2022"/>
    <s v="31/01/2022"/>
    <s v="2022"/>
    <x v="1"/>
    <x v="144"/>
    <x v="45"/>
  </r>
  <r>
    <x v="20"/>
    <x v="1"/>
    <x v="16"/>
    <s v="14/03/2022"/>
    <s v="14/03/2022"/>
    <s v="2022"/>
    <x v="5"/>
    <x v="145"/>
    <x v="58"/>
  </r>
  <r>
    <x v="21"/>
    <x v="2"/>
    <x v="21"/>
    <s v="29/04/2022"/>
    <s v="29/04/2022"/>
    <s v="2022"/>
    <x v="0"/>
    <x v="146"/>
    <x v="123"/>
  </r>
  <r>
    <x v="4"/>
    <x v="1"/>
    <x v="3"/>
    <d v="2022-07-02T00:00:00"/>
    <s v="02/07/2022"/>
    <s v="2022"/>
    <x v="2"/>
    <x v="147"/>
    <x v="73"/>
  </r>
  <r>
    <x v="16"/>
    <x v="0"/>
    <x v="10"/>
    <s v="31/03/2022"/>
    <s v="31/03/2022"/>
    <s v="2022"/>
    <x v="5"/>
    <x v="148"/>
    <x v="124"/>
  </r>
  <r>
    <x v="11"/>
    <x v="1"/>
    <x v="20"/>
    <s v="16/03/2022"/>
    <s v="16/03/2022"/>
    <s v="2022"/>
    <x v="5"/>
    <x v="149"/>
    <x v="125"/>
  </r>
  <r>
    <x v="10"/>
    <x v="0"/>
    <x v="8"/>
    <s v="25/01/2022"/>
    <s v="25/01/2022"/>
    <s v="2022"/>
    <x v="1"/>
    <x v="104"/>
    <x v="126"/>
  </r>
  <r>
    <x v="1"/>
    <x v="1"/>
    <x v="19"/>
    <s v="20/06/2022"/>
    <s v="20/06/2022"/>
    <s v="2022"/>
    <x v="4"/>
    <x v="150"/>
    <x v="127"/>
  </r>
  <r>
    <x v="2"/>
    <x v="0"/>
    <x v="5"/>
    <s v="29/03/2022"/>
    <s v="29/03/2022"/>
    <s v="2022"/>
    <x v="5"/>
    <x v="151"/>
    <x v="95"/>
  </r>
  <r>
    <x v="14"/>
    <x v="2"/>
    <x v="7"/>
    <d v="2022-12-07T00:00:00"/>
    <s v="07/12/2022"/>
    <s v="2022"/>
    <x v="11"/>
    <x v="119"/>
    <x v="128"/>
  </r>
  <r>
    <x v="0"/>
    <x v="5"/>
    <x v="3"/>
    <d v="2022-11-07T00:00:00"/>
    <s v="07/11/2022"/>
    <s v="2022"/>
    <x v="10"/>
    <x v="152"/>
    <x v="93"/>
  </r>
  <r>
    <x v="10"/>
    <x v="5"/>
    <x v="3"/>
    <s v="19/01/2022"/>
    <s v="19/01/2022"/>
    <s v="2022"/>
    <x v="1"/>
    <x v="16"/>
    <x v="4"/>
  </r>
  <r>
    <x v="19"/>
    <x v="4"/>
    <x v="1"/>
    <d v="2022-05-04T00:00:00"/>
    <s v="04/05/2022"/>
    <s v="2022"/>
    <x v="7"/>
    <x v="153"/>
    <x v="72"/>
  </r>
  <r>
    <x v="0"/>
    <x v="5"/>
    <x v="11"/>
    <s v="21/02/2022"/>
    <s v="21/02/2022"/>
    <s v="2022"/>
    <x v="3"/>
    <x v="154"/>
    <x v="129"/>
  </r>
  <r>
    <x v="7"/>
    <x v="3"/>
    <x v="20"/>
    <s v="20/05/2022"/>
    <s v="20/05/2022"/>
    <s v="2022"/>
    <x v="7"/>
    <x v="155"/>
    <x v="37"/>
  </r>
  <r>
    <x v="9"/>
    <x v="2"/>
    <x v="11"/>
    <s v="29/07/2022"/>
    <s v="29/07/2022"/>
    <s v="2022"/>
    <x v="2"/>
    <x v="156"/>
    <x v="130"/>
  </r>
  <r>
    <x v="8"/>
    <x v="4"/>
    <x v="13"/>
    <s v="28/01/2022"/>
    <s v="28/01/2022"/>
    <s v="2022"/>
    <x v="1"/>
    <x v="157"/>
    <x v="106"/>
  </r>
  <r>
    <x v="11"/>
    <x v="0"/>
    <x v="20"/>
    <s v="19/07/2022"/>
    <s v="19/07/2022"/>
    <s v="2022"/>
    <x v="2"/>
    <x v="158"/>
    <x v="27"/>
  </r>
  <r>
    <x v="9"/>
    <x v="3"/>
    <x v="15"/>
    <s v="13/04/2022"/>
    <s v="13/04/2022"/>
    <s v="2022"/>
    <x v="0"/>
    <x v="159"/>
    <x v="11"/>
  </r>
  <r>
    <x v="13"/>
    <x v="1"/>
    <x v="2"/>
    <d v="2022-11-02T00:00:00"/>
    <s v="02/11/2022"/>
    <s v="2022"/>
    <x v="10"/>
    <x v="160"/>
    <x v="69"/>
  </r>
  <r>
    <x v="13"/>
    <x v="3"/>
    <x v="11"/>
    <d v="2022-02-03T00:00:00"/>
    <s v="03/02/2022"/>
    <s v="2022"/>
    <x v="3"/>
    <x v="161"/>
    <x v="131"/>
  </r>
  <r>
    <x v="24"/>
    <x v="2"/>
    <x v="14"/>
    <d v="2022-02-03T00:00:00"/>
    <s v="03/02/2022"/>
    <s v="2022"/>
    <x v="3"/>
    <x v="162"/>
    <x v="132"/>
  </r>
  <r>
    <x v="1"/>
    <x v="4"/>
    <x v="4"/>
    <s v="28/07/2022"/>
    <s v="28/07/2022"/>
    <s v="2022"/>
    <x v="2"/>
    <x v="163"/>
    <x v="83"/>
  </r>
  <r>
    <x v="20"/>
    <x v="1"/>
    <x v="5"/>
    <d v="2022-07-01T00:00:00"/>
    <s v="01/07/2022"/>
    <s v="2022"/>
    <x v="2"/>
    <x v="164"/>
    <x v="94"/>
  </r>
  <r>
    <x v="6"/>
    <x v="0"/>
    <x v="14"/>
    <d v="2022-12-04T00:00:00"/>
    <s v="04/12/2022"/>
    <s v="2022"/>
    <x v="11"/>
    <x v="165"/>
    <x v="92"/>
  </r>
  <r>
    <x v="1"/>
    <x v="5"/>
    <x v="16"/>
    <s v="27/06/2022"/>
    <s v="27/06/2022"/>
    <s v="2022"/>
    <x v="4"/>
    <x v="166"/>
    <x v="36"/>
  </r>
  <r>
    <x v="0"/>
    <x v="2"/>
    <x v="6"/>
    <s v="14/01/2022"/>
    <s v="14/01/2022"/>
    <s v="2022"/>
    <x v="1"/>
    <x v="167"/>
    <x v="133"/>
  </r>
  <r>
    <x v="10"/>
    <x v="0"/>
    <x v="19"/>
    <d v="2022-07-02T00:00:00"/>
    <s v="02/07/2022"/>
    <s v="2022"/>
    <x v="2"/>
    <x v="21"/>
    <x v="134"/>
  </r>
  <r>
    <x v="0"/>
    <x v="2"/>
    <x v="7"/>
    <s v="23/03/2022"/>
    <s v="23/03/2022"/>
    <s v="2022"/>
    <x v="5"/>
    <x v="168"/>
    <x v="135"/>
  </r>
  <r>
    <x v="11"/>
    <x v="1"/>
    <x v="2"/>
    <d v="2022-10-01T00:00:00"/>
    <s v="01/10/2022"/>
    <s v="2022"/>
    <x v="6"/>
    <x v="169"/>
    <x v="136"/>
  </r>
  <r>
    <x v="4"/>
    <x v="0"/>
    <x v="18"/>
    <s v="17/03/2022"/>
    <s v="17/03/2022"/>
    <s v="2022"/>
    <x v="5"/>
    <x v="170"/>
    <x v="137"/>
  </r>
  <r>
    <x v="2"/>
    <x v="4"/>
    <x v="12"/>
    <s v="21/01/2022"/>
    <s v="21/01/2022"/>
    <s v="2022"/>
    <x v="1"/>
    <x v="171"/>
    <x v="138"/>
  </r>
  <r>
    <x v="8"/>
    <x v="2"/>
    <x v="14"/>
    <d v="2022-04-07T00:00:00"/>
    <s v="07/04/2022"/>
    <s v="2022"/>
    <x v="0"/>
    <x v="172"/>
    <x v="139"/>
  </r>
  <r>
    <x v="16"/>
    <x v="5"/>
    <x v="2"/>
    <d v="2022-04-07T00:00:00"/>
    <s v="07/04/2022"/>
    <s v="2022"/>
    <x v="0"/>
    <x v="173"/>
    <x v="6"/>
  </r>
  <r>
    <x v="23"/>
    <x v="4"/>
    <x v="15"/>
    <d v="2022-10-08T00:00:00"/>
    <s v="08/10/2022"/>
    <s v="2022"/>
    <x v="6"/>
    <x v="58"/>
    <x v="140"/>
  </r>
  <r>
    <x v="17"/>
    <x v="2"/>
    <x v="6"/>
    <d v="2022-01-04T00:00:00"/>
    <s v="04/01/2022"/>
    <s v="2022"/>
    <x v="1"/>
    <x v="174"/>
    <x v="129"/>
  </r>
  <r>
    <x v="2"/>
    <x v="1"/>
    <x v="17"/>
    <s v="22/02/2022"/>
    <s v="22/02/2022"/>
    <s v="2022"/>
    <x v="3"/>
    <x v="175"/>
    <x v="141"/>
  </r>
  <r>
    <x v="21"/>
    <x v="0"/>
    <x v="14"/>
    <d v="2022-03-01T00:00:00"/>
    <s v="01/03/2022"/>
    <s v="2022"/>
    <x v="5"/>
    <x v="176"/>
    <x v="142"/>
  </r>
  <r>
    <x v="10"/>
    <x v="1"/>
    <x v="9"/>
    <s v="31/05/2022"/>
    <s v="31/05/2022"/>
    <s v="2022"/>
    <x v="7"/>
    <x v="177"/>
    <x v="143"/>
  </r>
  <r>
    <x v="23"/>
    <x v="0"/>
    <x v="4"/>
    <d v="2022-03-01T00:00:00"/>
    <s v="01/03/2022"/>
    <s v="2022"/>
    <x v="5"/>
    <x v="178"/>
    <x v="144"/>
  </r>
  <r>
    <x v="15"/>
    <x v="3"/>
    <x v="20"/>
    <s v="27/01/2022"/>
    <s v="27/01/2022"/>
    <s v="2022"/>
    <x v="1"/>
    <x v="179"/>
    <x v="145"/>
  </r>
  <r>
    <x v="8"/>
    <x v="0"/>
    <x v="6"/>
    <s v="28/01/2022"/>
    <s v="28/01/2022"/>
    <s v="2022"/>
    <x v="1"/>
    <x v="180"/>
    <x v="81"/>
  </r>
  <r>
    <x v="14"/>
    <x v="2"/>
    <x v="10"/>
    <s v="28/06/2022"/>
    <s v="28/06/2022"/>
    <s v="2022"/>
    <x v="4"/>
    <x v="181"/>
    <x v="70"/>
  </r>
  <r>
    <x v="15"/>
    <x v="0"/>
    <x v="18"/>
    <d v="2022-02-03T00:00:00"/>
    <s v="03/02/2022"/>
    <s v="2022"/>
    <x v="3"/>
    <x v="182"/>
    <x v="146"/>
  </r>
  <r>
    <x v="18"/>
    <x v="2"/>
    <x v="5"/>
    <s v="27/05/2022"/>
    <s v="27/05/2022"/>
    <s v="2022"/>
    <x v="7"/>
    <x v="183"/>
    <x v="135"/>
  </r>
  <r>
    <x v="17"/>
    <x v="4"/>
    <x v="16"/>
    <s v="30/06/2022"/>
    <s v="30/06/2022"/>
    <s v="2022"/>
    <x v="4"/>
    <x v="184"/>
    <x v="147"/>
  </r>
  <r>
    <x v="8"/>
    <x v="5"/>
    <x v="2"/>
    <d v="2022-07-06T00:00:00"/>
    <s v="06/07/2022"/>
    <s v="2022"/>
    <x v="2"/>
    <x v="185"/>
    <x v="148"/>
  </r>
  <r>
    <x v="16"/>
    <x v="4"/>
    <x v="21"/>
    <d v="2022-12-05T00:00:00"/>
    <s v="05/12/2022"/>
    <s v="2022"/>
    <x v="11"/>
    <x v="186"/>
    <x v="149"/>
  </r>
  <r>
    <x v="8"/>
    <x v="3"/>
    <x v="17"/>
    <s v="29/07/2022"/>
    <s v="29/07/2022"/>
    <s v="2022"/>
    <x v="2"/>
    <x v="187"/>
    <x v="150"/>
  </r>
  <r>
    <x v="17"/>
    <x v="0"/>
    <x v="14"/>
    <d v="2022-03-08T00:00:00"/>
    <s v="08/03/2022"/>
    <s v="2022"/>
    <x v="5"/>
    <x v="188"/>
    <x v="63"/>
  </r>
  <r>
    <x v="8"/>
    <x v="1"/>
    <x v="19"/>
    <s v="18/08/2022"/>
    <s v="18/08/2022"/>
    <s v="2022"/>
    <x v="8"/>
    <x v="189"/>
    <x v="97"/>
  </r>
  <r>
    <x v="1"/>
    <x v="3"/>
    <x v="3"/>
    <s v="14/06/2022"/>
    <s v="14/06/2022"/>
    <s v="2022"/>
    <x v="4"/>
    <x v="190"/>
    <x v="16"/>
  </r>
  <r>
    <x v="12"/>
    <x v="0"/>
    <x v="14"/>
    <s v="30/06/2022"/>
    <s v="30/06/2022"/>
    <s v="2022"/>
    <x v="4"/>
    <x v="191"/>
    <x v="151"/>
  </r>
  <r>
    <x v="21"/>
    <x v="3"/>
    <x v="0"/>
    <s v="13/06/2022"/>
    <s v="13/06/2022"/>
    <s v="2022"/>
    <x v="4"/>
    <x v="192"/>
    <x v="152"/>
  </r>
  <r>
    <x v="24"/>
    <x v="0"/>
    <x v="7"/>
    <s v="27/04/2022"/>
    <s v="27/04/2022"/>
    <s v="2022"/>
    <x v="0"/>
    <x v="193"/>
    <x v="138"/>
  </r>
  <r>
    <x v="3"/>
    <x v="2"/>
    <x v="14"/>
    <s v="27/07/2022"/>
    <s v="27/07/2022"/>
    <s v="2022"/>
    <x v="2"/>
    <x v="181"/>
    <x v="65"/>
  </r>
  <r>
    <x v="9"/>
    <x v="5"/>
    <x v="1"/>
    <s v="20/04/2022"/>
    <s v="20/04/2022"/>
    <s v="2022"/>
    <x v="0"/>
    <x v="194"/>
    <x v="153"/>
  </r>
  <r>
    <x v="7"/>
    <x v="1"/>
    <x v="12"/>
    <d v="2022-04-01T00:00:00"/>
    <s v="01/04/2022"/>
    <s v="2022"/>
    <x v="0"/>
    <x v="195"/>
    <x v="154"/>
  </r>
  <r>
    <x v="24"/>
    <x v="2"/>
    <x v="0"/>
    <s v="21/02/2022"/>
    <s v="21/02/2022"/>
    <s v="2022"/>
    <x v="3"/>
    <x v="196"/>
    <x v="96"/>
  </r>
  <r>
    <x v="10"/>
    <x v="2"/>
    <x v="14"/>
    <d v="2022-05-01T00:00:00"/>
    <s v="01/05/2022"/>
    <s v="2022"/>
    <x v="7"/>
    <x v="197"/>
    <x v="55"/>
  </r>
  <r>
    <x v="12"/>
    <x v="1"/>
    <x v="9"/>
    <s v="15/07/2022"/>
    <s v="15/07/2022"/>
    <s v="2022"/>
    <x v="2"/>
    <x v="198"/>
    <x v="106"/>
  </r>
  <r>
    <x v="6"/>
    <x v="2"/>
    <x v="18"/>
    <s v="25/05/2022"/>
    <s v="25/05/2022"/>
    <s v="2022"/>
    <x v="7"/>
    <x v="199"/>
    <x v="10"/>
  </r>
  <r>
    <x v="10"/>
    <x v="5"/>
    <x v="8"/>
    <s v="20/04/2022"/>
    <s v="20/04/2022"/>
    <s v="2022"/>
    <x v="0"/>
    <x v="200"/>
    <x v="155"/>
  </r>
  <r>
    <x v="2"/>
    <x v="4"/>
    <x v="4"/>
    <d v="2022-02-06T00:00:00"/>
    <s v="06/02/2022"/>
    <s v="2022"/>
    <x v="3"/>
    <x v="201"/>
    <x v="156"/>
  </r>
  <r>
    <x v="11"/>
    <x v="0"/>
    <x v="3"/>
    <s v="13/05/2022"/>
    <s v="13/05/2022"/>
    <s v="2022"/>
    <x v="7"/>
    <x v="202"/>
    <x v="20"/>
  </r>
  <r>
    <x v="12"/>
    <x v="3"/>
    <x v="19"/>
    <d v="2022-03-08T00:00:00"/>
    <s v="08/03/2022"/>
    <s v="2022"/>
    <x v="5"/>
    <x v="203"/>
    <x v="157"/>
  </r>
  <r>
    <x v="12"/>
    <x v="2"/>
    <x v="11"/>
    <s v="25/05/2022"/>
    <s v="25/05/2022"/>
    <s v="2022"/>
    <x v="7"/>
    <x v="204"/>
    <x v="158"/>
  </r>
  <r>
    <x v="1"/>
    <x v="0"/>
    <x v="17"/>
    <s v="16/03/2022"/>
    <s v="16/03/2022"/>
    <s v="2022"/>
    <x v="5"/>
    <x v="205"/>
    <x v="159"/>
  </r>
  <r>
    <x v="3"/>
    <x v="2"/>
    <x v="7"/>
    <d v="2022-04-07T00:00:00"/>
    <s v="07/04/2022"/>
    <s v="2022"/>
    <x v="0"/>
    <x v="206"/>
    <x v="160"/>
  </r>
  <r>
    <x v="0"/>
    <x v="1"/>
    <x v="6"/>
    <d v="2022-05-07T00:00:00"/>
    <s v="07/05/2022"/>
    <s v="2022"/>
    <x v="7"/>
    <x v="181"/>
    <x v="48"/>
  </r>
  <r>
    <x v="22"/>
    <x v="4"/>
    <x v="5"/>
    <s v="15/03/2022"/>
    <s v="15/03/2022"/>
    <s v="2022"/>
    <x v="5"/>
    <x v="207"/>
    <x v="161"/>
  </r>
  <r>
    <x v="8"/>
    <x v="0"/>
    <x v="17"/>
    <s v="22/08/2022"/>
    <s v="22/08/2022"/>
    <s v="2022"/>
    <x v="8"/>
    <x v="208"/>
    <x v="162"/>
  </r>
  <r>
    <x v="24"/>
    <x v="2"/>
    <x v="21"/>
    <d v="2022-12-01T00:00:00"/>
    <s v="01/12/2022"/>
    <s v="2022"/>
    <x v="11"/>
    <x v="209"/>
    <x v="100"/>
  </r>
  <r>
    <x v="11"/>
    <x v="0"/>
    <x v="19"/>
    <d v="2022-10-06T00:00:00"/>
    <s v="06/10/2022"/>
    <s v="2022"/>
    <x v="6"/>
    <x v="210"/>
    <x v="163"/>
  </r>
  <r>
    <x v="16"/>
    <x v="2"/>
    <x v="2"/>
    <s v="25/03/2022"/>
    <s v="25/03/2022"/>
    <s v="2022"/>
    <x v="5"/>
    <x v="152"/>
    <x v="12"/>
  </r>
  <r>
    <x v="7"/>
    <x v="1"/>
    <x v="16"/>
    <s v="27/07/2022"/>
    <s v="27/07/2022"/>
    <s v="2022"/>
    <x v="2"/>
    <x v="211"/>
    <x v="164"/>
  </r>
  <r>
    <x v="15"/>
    <x v="0"/>
    <x v="20"/>
    <s v="15/04/2022"/>
    <s v="15/04/2022"/>
    <s v="2022"/>
    <x v="0"/>
    <x v="212"/>
    <x v="165"/>
  </r>
  <r>
    <x v="13"/>
    <x v="1"/>
    <x v="7"/>
    <s v="27/06/2022"/>
    <s v="27/06/2022"/>
    <s v="2022"/>
    <x v="4"/>
    <x v="213"/>
    <x v="166"/>
  </r>
  <r>
    <x v="0"/>
    <x v="0"/>
    <x v="21"/>
    <s v="14/04/2022"/>
    <s v="14/04/2022"/>
    <s v="2022"/>
    <x v="0"/>
    <x v="214"/>
    <x v="167"/>
  </r>
  <r>
    <x v="15"/>
    <x v="2"/>
    <x v="15"/>
    <s v="15/03/2022"/>
    <s v="15/03/2022"/>
    <s v="2022"/>
    <x v="5"/>
    <x v="215"/>
    <x v="96"/>
  </r>
  <r>
    <x v="22"/>
    <x v="4"/>
    <x v="8"/>
    <s v="18/03/2022"/>
    <s v="18/03/2022"/>
    <s v="2022"/>
    <x v="5"/>
    <x v="216"/>
    <x v="168"/>
  </r>
  <r>
    <x v="6"/>
    <x v="1"/>
    <x v="8"/>
    <s v="29/04/2022"/>
    <s v="29/04/2022"/>
    <s v="2022"/>
    <x v="0"/>
    <x v="217"/>
    <x v="169"/>
  </r>
  <r>
    <x v="9"/>
    <x v="3"/>
    <x v="14"/>
    <s v="25/02/2022"/>
    <s v="25/02/2022"/>
    <s v="2022"/>
    <x v="3"/>
    <x v="218"/>
    <x v="170"/>
  </r>
  <r>
    <x v="15"/>
    <x v="4"/>
    <x v="11"/>
    <d v="2022-02-03T00:00:00"/>
    <s v="03/02/2022"/>
    <s v="2022"/>
    <x v="3"/>
    <x v="119"/>
    <x v="60"/>
  </r>
  <r>
    <x v="1"/>
    <x v="2"/>
    <x v="11"/>
    <s v="20/06/2022"/>
    <s v="20/06/2022"/>
    <s v="2022"/>
    <x v="4"/>
    <x v="219"/>
    <x v="102"/>
  </r>
  <r>
    <x v="12"/>
    <x v="5"/>
    <x v="14"/>
    <s v="15/07/2022"/>
    <s v="15/07/2022"/>
    <s v="2022"/>
    <x v="2"/>
    <x v="64"/>
    <x v="14"/>
  </r>
  <r>
    <x v="23"/>
    <x v="2"/>
    <x v="6"/>
    <d v="2022-12-05T00:00:00"/>
    <s v="05/12/2022"/>
    <s v="2022"/>
    <x v="11"/>
    <x v="220"/>
    <x v="171"/>
  </r>
  <r>
    <x v="9"/>
    <x v="3"/>
    <x v="10"/>
    <d v="2022-01-07T00:00:00"/>
    <s v="07/01/2022"/>
    <s v="2022"/>
    <x v="1"/>
    <x v="221"/>
    <x v="172"/>
  </r>
  <r>
    <x v="15"/>
    <x v="4"/>
    <x v="1"/>
    <d v="2022-08-08T00:00:00"/>
    <s v="08/08/2022"/>
    <s v="2022"/>
    <x v="8"/>
    <x v="222"/>
    <x v="138"/>
  </r>
  <r>
    <x v="22"/>
    <x v="2"/>
    <x v="6"/>
    <s v="25/07/2022"/>
    <s v="25/07/2022"/>
    <s v="2022"/>
    <x v="2"/>
    <x v="223"/>
    <x v="83"/>
  </r>
  <r>
    <x v="18"/>
    <x v="0"/>
    <x v="9"/>
    <s v="18/05/2022"/>
    <s v="18/05/2022"/>
    <s v="2022"/>
    <x v="7"/>
    <x v="224"/>
    <x v="53"/>
  </r>
  <r>
    <x v="21"/>
    <x v="1"/>
    <x v="2"/>
    <s v="15/07/2022"/>
    <s v="15/07/2022"/>
    <s v="2022"/>
    <x v="2"/>
    <x v="225"/>
    <x v="173"/>
  </r>
  <r>
    <x v="14"/>
    <x v="1"/>
    <x v="21"/>
    <d v="2022-05-07T00:00:00"/>
    <s v="07/05/2022"/>
    <s v="2022"/>
    <x v="7"/>
    <x v="148"/>
    <x v="110"/>
  </r>
  <r>
    <x v="9"/>
    <x v="4"/>
    <x v="15"/>
    <d v="2022-04-07T00:00:00"/>
    <s v="07/04/2022"/>
    <s v="2022"/>
    <x v="0"/>
    <x v="226"/>
    <x v="109"/>
  </r>
  <r>
    <x v="23"/>
    <x v="0"/>
    <x v="21"/>
    <s v="20/06/2022"/>
    <s v="20/06/2022"/>
    <s v="2022"/>
    <x v="4"/>
    <x v="20"/>
    <x v="174"/>
  </r>
  <r>
    <x v="5"/>
    <x v="2"/>
    <x v="16"/>
    <s v="25/01/2022"/>
    <s v="25/01/2022"/>
    <s v="2022"/>
    <x v="1"/>
    <x v="227"/>
    <x v="153"/>
  </r>
  <r>
    <x v="16"/>
    <x v="3"/>
    <x v="12"/>
    <d v="2022-01-07T00:00:00"/>
    <s v="07/01/2022"/>
    <s v="2022"/>
    <x v="1"/>
    <x v="228"/>
    <x v="175"/>
  </r>
  <r>
    <x v="2"/>
    <x v="4"/>
    <x v="6"/>
    <s v="13/04/2022"/>
    <s v="13/04/2022"/>
    <s v="2022"/>
    <x v="0"/>
    <x v="229"/>
    <x v="8"/>
  </r>
  <r>
    <x v="12"/>
    <x v="0"/>
    <x v="3"/>
    <d v="2022-04-05T00:00:00"/>
    <s v="05/04/2022"/>
    <s v="2022"/>
    <x v="0"/>
    <x v="230"/>
    <x v="151"/>
  </r>
  <r>
    <x v="12"/>
    <x v="2"/>
    <x v="19"/>
    <d v="2022-04-08T00:00:00"/>
    <s v="08/04/2022"/>
    <s v="2022"/>
    <x v="0"/>
    <x v="231"/>
    <x v="176"/>
  </r>
  <r>
    <x v="12"/>
    <x v="1"/>
    <x v="21"/>
    <d v="2022-01-06T00:00:00"/>
    <s v="06/01/2022"/>
    <s v="2022"/>
    <x v="1"/>
    <x v="232"/>
    <x v="136"/>
  </r>
  <r>
    <x v="0"/>
    <x v="0"/>
    <x v="18"/>
    <s v="22/04/2022"/>
    <s v="22/04/2022"/>
    <s v="2022"/>
    <x v="0"/>
    <x v="233"/>
    <x v="177"/>
  </r>
  <r>
    <x v="16"/>
    <x v="4"/>
    <x v="6"/>
    <d v="2022-03-08T00:00:00"/>
    <s v="08/03/2022"/>
    <s v="2022"/>
    <x v="5"/>
    <x v="234"/>
    <x v="103"/>
  </r>
  <r>
    <x v="24"/>
    <x v="4"/>
    <x v="7"/>
    <d v="2022-10-06T00:00:00"/>
    <s v="06/10/2022"/>
    <s v="2022"/>
    <x v="6"/>
    <x v="90"/>
    <x v="162"/>
  </r>
  <r>
    <x v="5"/>
    <x v="0"/>
    <x v="15"/>
    <s v="27/06/2022"/>
    <s v="27/06/2022"/>
    <s v="2022"/>
    <x v="4"/>
    <x v="235"/>
    <x v="106"/>
  </r>
  <r>
    <x v="11"/>
    <x v="2"/>
    <x v="3"/>
    <d v="2022-03-01T00:00:00"/>
    <s v="01/03/2022"/>
    <s v="2022"/>
    <x v="5"/>
    <x v="236"/>
    <x v="178"/>
  </r>
  <r>
    <x v="11"/>
    <x v="1"/>
    <x v="5"/>
    <d v="2022-11-07T00:00:00"/>
    <s v="07/11/2022"/>
    <s v="2022"/>
    <x v="10"/>
    <x v="237"/>
    <x v="50"/>
  </r>
  <r>
    <x v="24"/>
    <x v="3"/>
    <x v="11"/>
    <s v="17/08/2022"/>
    <s v="17/08/2022"/>
    <s v="2022"/>
    <x v="8"/>
    <x v="238"/>
    <x v="179"/>
  </r>
  <r>
    <x v="7"/>
    <x v="4"/>
    <x v="13"/>
    <s v="18/01/2022"/>
    <s v="18/01/2022"/>
    <s v="2022"/>
    <x v="1"/>
    <x v="239"/>
    <x v="81"/>
  </r>
  <r>
    <x v="24"/>
    <x v="1"/>
    <x v="10"/>
    <d v="2022-08-03T00:00:00"/>
    <s v="03/08/2022"/>
    <s v="2022"/>
    <x v="8"/>
    <x v="240"/>
    <x v="164"/>
  </r>
  <r>
    <x v="9"/>
    <x v="2"/>
    <x v="7"/>
    <d v="2022-07-03T00:00:00"/>
    <s v="03/07/2022"/>
    <s v="2022"/>
    <x v="2"/>
    <x v="241"/>
    <x v="180"/>
  </r>
  <r>
    <x v="15"/>
    <x v="1"/>
    <x v="21"/>
    <d v="2022-09-05T00:00:00"/>
    <s v="05/09/2022"/>
    <s v="2022"/>
    <x v="9"/>
    <x v="189"/>
    <x v="21"/>
  </r>
  <r>
    <x v="8"/>
    <x v="3"/>
    <x v="1"/>
    <s v="23/05/2022"/>
    <s v="23/05/2022"/>
    <s v="2022"/>
    <x v="7"/>
    <x v="185"/>
    <x v="21"/>
  </r>
  <r>
    <x v="22"/>
    <x v="0"/>
    <x v="20"/>
    <s v="15/04/2022"/>
    <s v="15/04/2022"/>
    <s v="2022"/>
    <x v="0"/>
    <x v="242"/>
    <x v="181"/>
  </r>
  <r>
    <x v="2"/>
    <x v="2"/>
    <x v="9"/>
    <s v="27/07/2022"/>
    <s v="27/07/2022"/>
    <s v="2022"/>
    <x v="2"/>
    <x v="243"/>
    <x v="182"/>
  </r>
  <r>
    <x v="11"/>
    <x v="5"/>
    <x v="18"/>
    <s v="22/08/2022"/>
    <s v="22/08/2022"/>
    <s v="2022"/>
    <x v="8"/>
    <x v="237"/>
    <x v="183"/>
  </r>
  <r>
    <x v="24"/>
    <x v="4"/>
    <x v="21"/>
    <d v="2022-11-05T00:00:00"/>
    <s v="05/11/2022"/>
    <s v="2022"/>
    <x v="10"/>
    <x v="207"/>
    <x v="160"/>
  </r>
  <r>
    <x v="22"/>
    <x v="1"/>
    <x v="10"/>
    <s v="26/01/2022"/>
    <s v="26/01/2022"/>
    <s v="2022"/>
    <x v="1"/>
    <x v="40"/>
    <x v="5"/>
  </r>
  <r>
    <x v="8"/>
    <x v="4"/>
    <x v="6"/>
    <s v="14/04/2022"/>
    <s v="14/04/2022"/>
    <s v="2022"/>
    <x v="0"/>
    <x v="244"/>
    <x v="118"/>
  </r>
  <r>
    <x v="17"/>
    <x v="3"/>
    <x v="0"/>
    <d v="2022-05-04T00:00:00"/>
    <s v="04/05/2022"/>
    <s v="2022"/>
    <x v="7"/>
    <x v="189"/>
    <x v="184"/>
  </r>
  <r>
    <x v="11"/>
    <x v="3"/>
    <x v="3"/>
    <s v="14/06/2022"/>
    <s v="14/06/2022"/>
    <s v="2022"/>
    <x v="4"/>
    <x v="245"/>
    <x v="107"/>
  </r>
  <r>
    <x v="6"/>
    <x v="5"/>
    <x v="16"/>
    <s v="13/04/2022"/>
    <s v="13/04/2022"/>
    <s v="2022"/>
    <x v="0"/>
    <x v="40"/>
    <x v="100"/>
  </r>
  <r>
    <x v="12"/>
    <x v="2"/>
    <x v="14"/>
    <s v="27/06/2022"/>
    <s v="27/06/2022"/>
    <s v="2022"/>
    <x v="4"/>
    <x v="246"/>
    <x v="185"/>
  </r>
  <r>
    <x v="23"/>
    <x v="2"/>
    <x v="8"/>
    <s v="26/01/2022"/>
    <s v="26/01/2022"/>
    <s v="2022"/>
    <x v="1"/>
    <x v="44"/>
    <x v="186"/>
  </r>
  <r>
    <x v="8"/>
    <x v="0"/>
    <x v="14"/>
    <d v="2022-05-07T00:00:00"/>
    <s v="07/05/2022"/>
    <s v="2022"/>
    <x v="7"/>
    <x v="24"/>
    <x v="36"/>
  </r>
  <r>
    <x v="12"/>
    <x v="5"/>
    <x v="19"/>
    <d v="2022-11-01T00:00:00"/>
    <s v="01/11/2022"/>
    <s v="2022"/>
    <x v="10"/>
    <x v="247"/>
    <x v="187"/>
  </r>
  <r>
    <x v="20"/>
    <x v="4"/>
    <x v="14"/>
    <d v="2022-07-03T00:00:00"/>
    <s v="03/07/2022"/>
    <s v="2022"/>
    <x v="2"/>
    <x v="248"/>
    <x v="108"/>
  </r>
  <r>
    <x v="16"/>
    <x v="5"/>
    <x v="6"/>
    <d v="2022-04-03T00:00:00"/>
    <s v="03/04/2022"/>
    <s v="2022"/>
    <x v="0"/>
    <x v="249"/>
    <x v="149"/>
  </r>
  <r>
    <x v="10"/>
    <x v="5"/>
    <x v="10"/>
    <s v="15/07/2022"/>
    <s v="15/07/2022"/>
    <s v="2022"/>
    <x v="2"/>
    <x v="250"/>
    <x v="188"/>
  </r>
  <r>
    <x v="16"/>
    <x v="0"/>
    <x v="2"/>
    <d v="2022-11-05T00:00:00"/>
    <s v="05/11/2022"/>
    <s v="2022"/>
    <x v="10"/>
    <x v="251"/>
    <x v="189"/>
  </r>
  <r>
    <x v="10"/>
    <x v="4"/>
    <x v="11"/>
    <s v="27/01/2022"/>
    <s v="27/01/2022"/>
    <s v="2022"/>
    <x v="1"/>
    <x v="238"/>
    <x v="113"/>
  </r>
  <r>
    <x v="10"/>
    <x v="1"/>
    <x v="7"/>
    <s v="27/06/2022"/>
    <s v="27/06/2022"/>
    <s v="2022"/>
    <x v="4"/>
    <x v="252"/>
    <x v="58"/>
  </r>
  <r>
    <x v="24"/>
    <x v="1"/>
    <x v="3"/>
    <d v="2022-03-08T00:00:00"/>
    <s v="08/03/2022"/>
    <s v="2022"/>
    <x v="5"/>
    <x v="253"/>
    <x v="45"/>
  </r>
  <r>
    <x v="18"/>
    <x v="3"/>
    <x v="0"/>
    <s v="19/08/2022"/>
    <s v="19/08/2022"/>
    <s v="2022"/>
    <x v="8"/>
    <x v="254"/>
    <x v="190"/>
  </r>
  <r>
    <x v="18"/>
    <x v="2"/>
    <x v="13"/>
    <s v="15/06/2022"/>
    <s v="15/06/2022"/>
    <s v="2022"/>
    <x v="4"/>
    <x v="136"/>
    <x v="9"/>
  </r>
  <r>
    <x v="17"/>
    <x v="0"/>
    <x v="2"/>
    <d v="2022-07-02T00:00:00"/>
    <s v="02/07/2022"/>
    <s v="2022"/>
    <x v="2"/>
    <x v="255"/>
    <x v="191"/>
  </r>
  <r>
    <x v="10"/>
    <x v="2"/>
    <x v="16"/>
    <d v="2022-08-07T00:00:00"/>
    <s v="07/08/2022"/>
    <s v="2022"/>
    <x v="8"/>
    <x v="256"/>
    <x v="120"/>
  </r>
  <r>
    <x v="17"/>
    <x v="1"/>
    <x v="11"/>
    <s v="21/04/2022"/>
    <s v="21/04/2022"/>
    <s v="2022"/>
    <x v="0"/>
    <x v="257"/>
    <x v="109"/>
  </r>
  <r>
    <x v="24"/>
    <x v="0"/>
    <x v="0"/>
    <d v="2022-08-04T00:00:00"/>
    <s v="04/08/2022"/>
    <s v="2022"/>
    <x v="8"/>
    <x v="258"/>
    <x v="192"/>
  </r>
  <r>
    <x v="15"/>
    <x v="2"/>
    <x v="6"/>
    <s v="19/08/2022"/>
    <s v="19/08/2022"/>
    <s v="2022"/>
    <x v="8"/>
    <x v="259"/>
    <x v="193"/>
  </r>
  <r>
    <x v="3"/>
    <x v="1"/>
    <x v="13"/>
    <d v="2022-04-05T00:00:00"/>
    <s v="05/04/2022"/>
    <s v="2022"/>
    <x v="0"/>
    <x v="260"/>
    <x v="53"/>
  </r>
  <r>
    <x v="9"/>
    <x v="4"/>
    <x v="1"/>
    <d v="2022-11-05T00:00:00"/>
    <s v="05/11/2022"/>
    <s v="2022"/>
    <x v="10"/>
    <x v="261"/>
    <x v="73"/>
  </r>
  <r>
    <x v="9"/>
    <x v="4"/>
    <x v="8"/>
    <s v="22/03/2022"/>
    <s v="22/03/2022"/>
    <s v="2022"/>
    <x v="5"/>
    <x v="262"/>
    <x v="194"/>
  </r>
  <r>
    <x v="17"/>
    <x v="5"/>
    <x v="12"/>
    <d v="2022-10-08T00:00:00"/>
    <s v="08/10/2022"/>
    <s v="2022"/>
    <x v="6"/>
    <x v="263"/>
    <x v="174"/>
  </r>
  <r>
    <x v="17"/>
    <x v="4"/>
    <x v="13"/>
    <d v="2022-04-05T00:00:00"/>
    <s v="05/04/2022"/>
    <s v="2022"/>
    <x v="0"/>
    <x v="264"/>
    <x v="195"/>
  </r>
  <r>
    <x v="20"/>
    <x v="4"/>
    <x v="4"/>
    <s v="18/08/2022"/>
    <s v="18/08/2022"/>
    <s v="2022"/>
    <x v="8"/>
    <x v="265"/>
    <x v="196"/>
  </r>
  <r>
    <x v="23"/>
    <x v="5"/>
    <x v="17"/>
    <d v="2022-03-08T00:00:00"/>
    <s v="08/03/2022"/>
    <s v="2022"/>
    <x v="5"/>
    <x v="266"/>
    <x v="196"/>
  </r>
  <r>
    <x v="11"/>
    <x v="3"/>
    <x v="11"/>
    <s v="14/01/2022"/>
    <s v="14/01/2022"/>
    <s v="2022"/>
    <x v="1"/>
    <x v="267"/>
    <x v="34"/>
  </r>
  <r>
    <x v="22"/>
    <x v="2"/>
    <x v="18"/>
    <d v="2022-08-04T00:00:00"/>
    <s v="04/08/2022"/>
    <s v="2022"/>
    <x v="8"/>
    <x v="268"/>
    <x v="36"/>
  </r>
  <r>
    <x v="20"/>
    <x v="0"/>
    <x v="7"/>
    <d v="2022-01-08T00:00:00"/>
    <s v="08/01/2022"/>
    <s v="2022"/>
    <x v="1"/>
    <x v="269"/>
    <x v="186"/>
  </r>
  <r>
    <x v="17"/>
    <x v="5"/>
    <x v="8"/>
    <s v="15/03/2022"/>
    <s v="15/03/2022"/>
    <s v="2022"/>
    <x v="5"/>
    <x v="270"/>
    <x v="121"/>
  </r>
  <r>
    <x v="10"/>
    <x v="1"/>
    <x v="0"/>
    <s v="15/07/2022"/>
    <s v="15/07/2022"/>
    <s v="2022"/>
    <x v="2"/>
    <x v="271"/>
    <x v="4"/>
  </r>
  <r>
    <x v="8"/>
    <x v="3"/>
    <x v="16"/>
    <s v="13/01/2022"/>
    <s v="13/01/2022"/>
    <s v="2022"/>
    <x v="1"/>
    <x v="272"/>
    <x v="197"/>
  </r>
  <r>
    <x v="9"/>
    <x v="2"/>
    <x v="1"/>
    <s v="26/08/2022"/>
    <s v="26/08/2022"/>
    <s v="2022"/>
    <x v="8"/>
    <x v="134"/>
    <x v="198"/>
  </r>
  <r>
    <x v="24"/>
    <x v="5"/>
    <x v="8"/>
    <d v="2022-10-01T00:00:00"/>
    <s v="01/10/2022"/>
    <s v="2022"/>
    <x v="6"/>
    <x v="273"/>
    <x v="19"/>
  </r>
  <r>
    <x v="2"/>
    <x v="2"/>
    <x v="14"/>
    <d v="2022-11-05T00:00:00"/>
    <s v="05/11/2022"/>
    <s v="2022"/>
    <x v="10"/>
    <x v="274"/>
    <x v="102"/>
  </r>
  <r>
    <x v="12"/>
    <x v="3"/>
    <x v="1"/>
    <s v="30/08/2022"/>
    <s v="30/08/2022"/>
    <s v="2022"/>
    <x v="8"/>
    <x v="275"/>
    <x v="108"/>
  </r>
  <r>
    <x v="16"/>
    <x v="4"/>
    <x v="20"/>
    <s v="21/07/2022"/>
    <s v="21/07/2022"/>
    <s v="2022"/>
    <x v="2"/>
    <x v="276"/>
    <x v="160"/>
  </r>
  <r>
    <x v="9"/>
    <x v="2"/>
    <x v="16"/>
    <d v="2022-01-08T00:00:00"/>
    <s v="08/01/2022"/>
    <s v="2022"/>
    <x v="1"/>
    <x v="277"/>
    <x v="100"/>
  </r>
  <r>
    <x v="6"/>
    <x v="5"/>
    <x v="1"/>
    <s v="17/02/2022"/>
    <s v="17/02/2022"/>
    <s v="2022"/>
    <x v="3"/>
    <x v="278"/>
    <x v="199"/>
  </r>
  <r>
    <x v="6"/>
    <x v="2"/>
    <x v="9"/>
    <s v="27/07/2022"/>
    <s v="27/07/2022"/>
    <s v="2022"/>
    <x v="2"/>
    <x v="120"/>
    <x v="13"/>
  </r>
  <r>
    <x v="23"/>
    <x v="4"/>
    <x v="7"/>
    <s v="23/02/2022"/>
    <s v="23/02/2022"/>
    <s v="2022"/>
    <x v="3"/>
    <x v="279"/>
    <x v="200"/>
  </r>
  <r>
    <x v="7"/>
    <x v="2"/>
    <x v="6"/>
    <s v="22/03/2022"/>
    <s v="22/03/2022"/>
    <s v="2022"/>
    <x v="5"/>
    <x v="280"/>
    <x v="91"/>
  </r>
  <r>
    <x v="17"/>
    <x v="1"/>
    <x v="4"/>
    <s v="23/06/2022"/>
    <s v="23/06/2022"/>
    <s v="2022"/>
    <x v="4"/>
    <x v="19"/>
    <x v="70"/>
  </r>
  <r>
    <x v="14"/>
    <x v="0"/>
    <x v="14"/>
    <d v="2022-01-02T00:00:00"/>
    <s v="02/01/2022"/>
    <s v="2022"/>
    <x v="1"/>
    <x v="281"/>
    <x v="7"/>
  </r>
  <r>
    <x v="20"/>
    <x v="2"/>
    <x v="5"/>
    <d v="2022-02-03T00:00:00"/>
    <s v="03/02/2022"/>
    <s v="2022"/>
    <x v="3"/>
    <x v="282"/>
    <x v="201"/>
  </r>
  <r>
    <x v="2"/>
    <x v="0"/>
    <x v="13"/>
    <d v="2022-06-04T00:00:00"/>
    <s v="04/06/2022"/>
    <s v="2022"/>
    <x v="4"/>
    <x v="283"/>
    <x v="189"/>
  </r>
  <r>
    <x v="5"/>
    <x v="2"/>
    <x v="17"/>
    <s v="17/03/2022"/>
    <s v="17/03/2022"/>
    <s v="2022"/>
    <x v="5"/>
    <x v="284"/>
    <x v="36"/>
  </r>
  <r>
    <x v="14"/>
    <x v="0"/>
    <x v="13"/>
    <s v="24/06/2022"/>
    <s v="24/06/2022"/>
    <s v="2022"/>
    <x v="4"/>
    <x v="110"/>
    <x v="128"/>
  </r>
  <r>
    <x v="8"/>
    <x v="5"/>
    <x v="6"/>
    <s v="19/07/2022"/>
    <s v="19/07/2022"/>
    <s v="2022"/>
    <x v="2"/>
    <x v="285"/>
    <x v="46"/>
  </r>
  <r>
    <x v="14"/>
    <x v="4"/>
    <x v="12"/>
    <d v="2022-11-07T00:00:00"/>
    <s v="07/11/2022"/>
    <s v="2022"/>
    <x v="10"/>
    <x v="57"/>
    <x v="79"/>
  </r>
  <r>
    <x v="6"/>
    <x v="1"/>
    <x v="16"/>
    <s v="13/01/2022"/>
    <s v="13/01/2022"/>
    <s v="2022"/>
    <x v="1"/>
    <x v="286"/>
    <x v="202"/>
  </r>
  <r>
    <x v="4"/>
    <x v="3"/>
    <x v="3"/>
    <d v="2022-07-07T00:00:00"/>
    <s v="07/07/2022"/>
    <s v="2022"/>
    <x v="2"/>
    <x v="287"/>
    <x v="203"/>
  </r>
  <r>
    <x v="3"/>
    <x v="1"/>
    <x v="1"/>
    <s v="25/05/2022"/>
    <s v="25/05/2022"/>
    <s v="2022"/>
    <x v="7"/>
    <x v="288"/>
    <x v="133"/>
  </r>
  <r>
    <x v="11"/>
    <x v="1"/>
    <x v="13"/>
    <s v="13/04/2022"/>
    <s v="13/04/2022"/>
    <s v="2022"/>
    <x v="0"/>
    <x v="21"/>
    <x v="28"/>
  </r>
  <r>
    <x v="19"/>
    <x v="3"/>
    <x v="6"/>
    <d v="2022-02-03T00:00:00"/>
    <s v="03/02/2022"/>
    <s v="2022"/>
    <x v="3"/>
    <x v="289"/>
    <x v="132"/>
  </r>
  <r>
    <x v="5"/>
    <x v="5"/>
    <x v="17"/>
    <s v="23/06/2022"/>
    <s v="23/06/2022"/>
    <s v="2022"/>
    <x v="4"/>
    <x v="268"/>
    <x v="179"/>
  </r>
  <r>
    <x v="20"/>
    <x v="4"/>
    <x v="9"/>
    <s v="26/07/2022"/>
    <s v="26/07/2022"/>
    <s v="2022"/>
    <x v="2"/>
    <x v="189"/>
    <x v="44"/>
  </r>
  <r>
    <x v="1"/>
    <x v="5"/>
    <x v="14"/>
    <s v="22/03/2022"/>
    <s v="22/03/2022"/>
    <s v="2022"/>
    <x v="5"/>
    <x v="290"/>
    <x v="186"/>
  </r>
  <r>
    <x v="7"/>
    <x v="4"/>
    <x v="19"/>
    <d v="2022-09-06T00:00:00"/>
    <s v="06/09/2022"/>
    <s v="2022"/>
    <x v="9"/>
    <x v="291"/>
    <x v="204"/>
  </r>
  <r>
    <x v="1"/>
    <x v="2"/>
    <x v="20"/>
    <s v="17/05/2022"/>
    <s v="17/05/2022"/>
    <s v="2022"/>
    <x v="7"/>
    <x v="292"/>
    <x v="8"/>
  </r>
  <r>
    <x v="24"/>
    <x v="3"/>
    <x v="2"/>
    <d v="2022-04-03T00:00:00"/>
    <s v="03/04/2022"/>
    <s v="2022"/>
    <x v="0"/>
    <x v="293"/>
    <x v="205"/>
  </r>
  <r>
    <x v="20"/>
    <x v="5"/>
    <x v="11"/>
    <d v="2022-07-07T00:00:00"/>
    <s v="07/07/2022"/>
    <s v="2022"/>
    <x v="2"/>
    <x v="294"/>
    <x v="206"/>
  </r>
  <r>
    <x v="17"/>
    <x v="5"/>
    <x v="18"/>
    <s v="13/01/2022"/>
    <s v="13/01/2022"/>
    <s v="2022"/>
    <x v="1"/>
    <x v="295"/>
    <x v="105"/>
  </r>
  <r>
    <x v="14"/>
    <x v="2"/>
    <x v="16"/>
    <s v="13/07/2022"/>
    <s v="13/07/2022"/>
    <s v="2022"/>
    <x v="2"/>
    <x v="260"/>
    <x v="207"/>
  </r>
  <r>
    <x v="22"/>
    <x v="2"/>
    <x v="1"/>
    <s v="16/06/2022"/>
    <s v="16/06/2022"/>
    <s v="2022"/>
    <x v="4"/>
    <x v="296"/>
    <x v="208"/>
  </r>
  <r>
    <x v="2"/>
    <x v="0"/>
    <x v="6"/>
    <s v="18/07/2022"/>
    <s v="18/07/2022"/>
    <s v="2022"/>
    <x v="2"/>
    <x v="297"/>
    <x v="162"/>
  </r>
  <r>
    <x v="24"/>
    <x v="0"/>
    <x v="15"/>
    <s v="30/05/2022"/>
    <s v="30/05/2022"/>
    <s v="2022"/>
    <x v="7"/>
    <x v="88"/>
    <x v="209"/>
  </r>
  <r>
    <x v="2"/>
    <x v="0"/>
    <x v="21"/>
    <s v="21/06/2022"/>
    <s v="21/06/2022"/>
    <s v="2022"/>
    <x v="4"/>
    <x v="298"/>
    <x v="125"/>
  </r>
  <r>
    <x v="0"/>
    <x v="2"/>
    <x v="2"/>
    <s v="24/06/2022"/>
    <s v="24/06/2022"/>
    <s v="2022"/>
    <x v="4"/>
    <x v="299"/>
    <x v="5"/>
  </r>
  <r>
    <x v="11"/>
    <x v="1"/>
    <x v="8"/>
    <s v="13/01/2022"/>
    <s v="13/01/2022"/>
    <s v="2022"/>
    <x v="1"/>
    <x v="181"/>
    <x v="109"/>
  </r>
  <r>
    <x v="14"/>
    <x v="5"/>
    <x v="13"/>
    <d v="2022-04-04T00:00:00"/>
    <s v="04/04/2022"/>
    <s v="2022"/>
    <x v="0"/>
    <x v="300"/>
    <x v="210"/>
  </r>
  <r>
    <x v="16"/>
    <x v="0"/>
    <x v="3"/>
    <d v="2022-08-06T00:00:00"/>
    <s v="06/08/2022"/>
    <s v="2022"/>
    <x v="8"/>
    <x v="301"/>
    <x v="211"/>
  </r>
  <r>
    <x v="10"/>
    <x v="5"/>
    <x v="12"/>
    <d v="2022-02-08T00:00:00"/>
    <s v="08/02/2022"/>
    <s v="2022"/>
    <x v="3"/>
    <x v="262"/>
    <x v="99"/>
  </r>
  <r>
    <x v="20"/>
    <x v="4"/>
    <x v="10"/>
    <s v="21/07/2022"/>
    <s v="21/07/2022"/>
    <s v="2022"/>
    <x v="2"/>
    <x v="302"/>
    <x v="212"/>
  </r>
  <r>
    <x v="14"/>
    <x v="1"/>
    <x v="12"/>
    <s v="20/06/2022"/>
    <s v="20/06/2022"/>
    <s v="2022"/>
    <x v="4"/>
    <x v="242"/>
    <x v="154"/>
  </r>
  <r>
    <x v="13"/>
    <x v="1"/>
    <x v="5"/>
    <s v="22/06/2022"/>
    <s v="22/06/2022"/>
    <s v="2022"/>
    <x v="4"/>
    <x v="303"/>
    <x v="27"/>
  </r>
  <r>
    <x v="21"/>
    <x v="2"/>
    <x v="20"/>
    <d v="2022-02-05T00:00:00"/>
    <s v="05/02/2022"/>
    <s v="2022"/>
    <x v="3"/>
    <x v="304"/>
    <x v="39"/>
  </r>
  <r>
    <x v="14"/>
    <x v="2"/>
    <x v="4"/>
    <d v="2022-07-01T00:00:00"/>
    <s v="01/07/2022"/>
    <s v="2022"/>
    <x v="2"/>
    <x v="305"/>
    <x v="147"/>
  </r>
  <r>
    <x v="9"/>
    <x v="0"/>
    <x v="6"/>
    <s v="21/02/2022"/>
    <s v="21/02/2022"/>
    <s v="2022"/>
    <x v="3"/>
    <x v="306"/>
    <x v="164"/>
  </r>
  <r>
    <x v="24"/>
    <x v="5"/>
    <x v="19"/>
    <s v="21/03/2022"/>
    <s v="21/03/2022"/>
    <s v="2022"/>
    <x v="5"/>
    <x v="307"/>
    <x v="213"/>
  </r>
  <r>
    <x v="1"/>
    <x v="0"/>
    <x v="9"/>
    <d v="2022-04-04T00:00:00"/>
    <s v="04/04/2022"/>
    <s v="2022"/>
    <x v="0"/>
    <x v="308"/>
    <x v="128"/>
  </r>
  <r>
    <x v="5"/>
    <x v="5"/>
    <x v="13"/>
    <s v="24/03/2022"/>
    <s v="24/03/2022"/>
    <s v="2022"/>
    <x v="5"/>
    <x v="309"/>
    <x v="214"/>
  </r>
  <r>
    <x v="5"/>
    <x v="3"/>
    <x v="12"/>
    <s v="28/06/2022"/>
    <s v="28/06/2022"/>
    <s v="2022"/>
    <x v="4"/>
    <x v="310"/>
    <x v="215"/>
  </r>
  <r>
    <x v="5"/>
    <x v="2"/>
    <x v="9"/>
    <s v="14/01/2022"/>
    <s v="14/01/2022"/>
    <s v="2022"/>
    <x v="1"/>
    <x v="311"/>
    <x v="210"/>
  </r>
  <r>
    <x v="10"/>
    <x v="3"/>
    <x v="13"/>
    <d v="2022-07-02T00:00:00"/>
    <s v="02/07/2022"/>
    <s v="2022"/>
    <x v="2"/>
    <x v="312"/>
    <x v="48"/>
  </r>
  <r>
    <x v="17"/>
    <x v="3"/>
    <x v="9"/>
    <d v="2022-11-01T00:00:00"/>
    <s v="01/11/2022"/>
    <s v="2022"/>
    <x v="10"/>
    <x v="313"/>
    <x v="216"/>
  </r>
  <r>
    <x v="0"/>
    <x v="1"/>
    <x v="4"/>
    <s v="25/02/2022"/>
    <s v="25/02/2022"/>
    <s v="2022"/>
    <x v="3"/>
    <x v="314"/>
    <x v="190"/>
  </r>
  <r>
    <x v="23"/>
    <x v="2"/>
    <x v="0"/>
    <d v="2022-01-08T00:00:00"/>
    <s v="08/01/2022"/>
    <s v="2022"/>
    <x v="1"/>
    <x v="14"/>
    <x v="217"/>
  </r>
  <r>
    <x v="13"/>
    <x v="2"/>
    <x v="0"/>
    <d v="2022-05-05T00:00:00"/>
    <s v="05/05/2022"/>
    <s v="2022"/>
    <x v="7"/>
    <x v="315"/>
    <x v="171"/>
  </r>
  <r>
    <x v="22"/>
    <x v="3"/>
    <x v="17"/>
    <s v="18/05/2022"/>
    <s v="18/05/2022"/>
    <s v="2022"/>
    <x v="7"/>
    <x v="316"/>
    <x v="218"/>
  </r>
  <r>
    <x v="23"/>
    <x v="3"/>
    <x v="18"/>
    <d v="2022-04-01T00:00:00"/>
    <s v="01/04/2022"/>
    <s v="2022"/>
    <x v="0"/>
    <x v="317"/>
    <x v="77"/>
  </r>
  <r>
    <x v="13"/>
    <x v="3"/>
    <x v="6"/>
    <d v="2022-09-05T00:00:00"/>
    <s v="05/09/2022"/>
    <s v="2022"/>
    <x v="9"/>
    <x v="318"/>
    <x v="219"/>
  </r>
  <r>
    <x v="7"/>
    <x v="1"/>
    <x v="3"/>
    <d v="2022-06-05T00:00:00"/>
    <s v="05/06/2022"/>
    <s v="2022"/>
    <x v="4"/>
    <x v="319"/>
    <x v="125"/>
  </r>
  <r>
    <x v="15"/>
    <x v="0"/>
    <x v="14"/>
    <s v="13/01/2022"/>
    <s v="13/01/2022"/>
    <s v="2022"/>
    <x v="1"/>
    <x v="320"/>
    <x v="181"/>
  </r>
  <r>
    <x v="13"/>
    <x v="2"/>
    <x v="16"/>
    <s v="24/06/2022"/>
    <s v="24/06/2022"/>
    <s v="2022"/>
    <x v="4"/>
    <x v="122"/>
    <x v="220"/>
  </r>
  <r>
    <x v="1"/>
    <x v="4"/>
    <x v="20"/>
    <s v="14/02/2022"/>
    <s v="14/02/2022"/>
    <s v="2022"/>
    <x v="3"/>
    <x v="321"/>
    <x v="69"/>
  </r>
  <r>
    <x v="21"/>
    <x v="2"/>
    <x v="4"/>
    <s v="18/01/2022"/>
    <s v="18/01/2022"/>
    <s v="2022"/>
    <x v="1"/>
    <x v="322"/>
    <x v="90"/>
  </r>
  <r>
    <x v="16"/>
    <x v="1"/>
    <x v="11"/>
    <d v="2022-02-05T00:00:00"/>
    <s v="05/02/2022"/>
    <s v="2022"/>
    <x v="3"/>
    <x v="323"/>
    <x v="2"/>
  </r>
  <r>
    <x v="24"/>
    <x v="2"/>
    <x v="3"/>
    <s v="16/05/2022"/>
    <s v="16/05/2022"/>
    <s v="2022"/>
    <x v="7"/>
    <x v="267"/>
    <x v="138"/>
  </r>
  <r>
    <x v="9"/>
    <x v="4"/>
    <x v="16"/>
    <s v="28/01/2022"/>
    <s v="28/01/2022"/>
    <s v="2022"/>
    <x v="1"/>
    <x v="324"/>
    <x v="221"/>
  </r>
  <r>
    <x v="16"/>
    <x v="5"/>
    <x v="4"/>
    <s v="24/06/2022"/>
    <s v="24/06/2022"/>
    <s v="2022"/>
    <x v="4"/>
    <x v="325"/>
    <x v="222"/>
  </r>
  <r>
    <x v="4"/>
    <x v="0"/>
    <x v="5"/>
    <s v="18/07/2022"/>
    <s v="18/07/2022"/>
    <s v="2022"/>
    <x v="2"/>
    <x v="326"/>
    <x v="130"/>
  </r>
  <r>
    <x v="5"/>
    <x v="0"/>
    <x v="8"/>
    <s v="13/04/2022"/>
    <s v="13/04/2022"/>
    <s v="2022"/>
    <x v="0"/>
    <x v="327"/>
    <x v="223"/>
  </r>
  <r>
    <x v="23"/>
    <x v="4"/>
    <x v="20"/>
    <s v="15/04/2022"/>
    <s v="15/04/2022"/>
    <s v="2022"/>
    <x v="0"/>
    <x v="328"/>
    <x v="151"/>
  </r>
  <r>
    <x v="3"/>
    <x v="1"/>
    <x v="2"/>
    <d v="2022-04-01T00:00:00"/>
    <s v="01/04/2022"/>
    <s v="2022"/>
    <x v="0"/>
    <x v="329"/>
    <x v="124"/>
  </r>
  <r>
    <x v="15"/>
    <x v="2"/>
    <x v="8"/>
    <d v="2022-04-07T00:00:00"/>
    <s v="07/04/2022"/>
    <s v="2022"/>
    <x v="0"/>
    <x v="330"/>
    <x v="86"/>
  </r>
  <r>
    <x v="12"/>
    <x v="4"/>
    <x v="3"/>
    <s v="24/03/2022"/>
    <s v="24/03/2022"/>
    <s v="2022"/>
    <x v="5"/>
    <x v="311"/>
    <x v="224"/>
  </r>
  <r>
    <x v="21"/>
    <x v="2"/>
    <x v="15"/>
    <s v="17/03/2022"/>
    <s v="17/03/2022"/>
    <s v="2022"/>
    <x v="5"/>
    <x v="331"/>
    <x v="225"/>
  </r>
  <r>
    <x v="4"/>
    <x v="2"/>
    <x v="16"/>
    <s v="15/02/2022"/>
    <s v="15/02/2022"/>
    <s v="2022"/>
    <x v="3"/>
    <x v="332"/>
    <x v="226"/>
  </r>
  <r>
    <x v="3"/>
    <x v="4"/>
    <x v="7"/>
    <s v="29/06/2022"/>
    <s v="29/06/2022"/>
    <s v="2022"/>
    <x v="4"/>
    <x v="333"/>
    <x v="136"/>
  </r>
  <r>
    <x v="2"/>
    <x v="4"/>
    <x v="13"/>
    <s v="24/05/2022"/>
    <s v="24/05/2022"/>
    <s v="2022"/>
    <x v="7"/>
    <x v="334"/>
    <x v="27"/>
  </r>
  <r>
    <x v="9"/>
    <x v="0"/>
    <x v="11"/>
    <d v="2022-10-01T00:00:00"/>
    <s v="01/10/2022"/>
    <s v="2022"/>
    <x v="6"/>
    <x v="335"/>
    <x v="227"/>
  </r>
  <r>
    <x v="14"/>
    <x v="4"/>
    <x v="17"/>
    <s v="15/03/2022"/>
    <s v="15/03/2022"/>
    <s v="2022"/>
    <x v="5"/>
    <x v="336"/>
    <x v="182"/>
  </r>
  <r>
    <x v="11"/>
    <x v="5"/>
    <x v="11"/>
    <d v="2022-08-02T00:00:00"/>
    <s v="02/08/2022"/>
    <s v="2022"/>
    <x v="8"/>
    <x v="337"/>
    <x v="228"/>
  </r>
  <r>
    <x v="6"/>
    <x v="1"/>
    <x v="20"/>
    <s v="25/02/2022"/>
    <s v="25/02/2022"/>
    <s v="2022"/>
    <x v="3"/>
    <x v="281"/>
    <x v="149"/>
  </r>
  <r>
    <x v="5"/>
    <x v="4"/>
    <x v="8"/>
    <d v="2022-03-05T00:00:00"/>
    <s v="05/03/2022"/>
    <s v="2022"/>
    <x v="5"/>
    <x v="282"/>
    <x v="16"/>
  </r>
  <r>
    <x v="13"/>
    <x v="4"/>
    <x v="13"/>
    <s v="14/06/2022"/>
    <s v="14/06/2022"/>
    <s v="2022"/>
    <x v="4"/>
    <x v="338"/>
    <x v="51"/>
  </r>
  <r>
    <x v="5"/>
    <x v="1"/>
    <x v="6"/>
    <d v="2022-09-08T00:00:00"/>
    <s v="08/09/2022"/>
    <s v="2022"/>
    <x v="9"/>
    <x v="339"/>
    <x v="49"/>
  </r>
  <r>
    <x v="18"/>
    <x v="3"/>
    <x v="15"/>
    <d v="2022-11-07T00:00:00"/>
    <s v="07/11/2022"/>
    <s v="2022"/>
    <x v="10"/>
    <x v="340"/>
    <x v="229"/>
  </r>
  <r>
    <x v="16"/>
    <x v="0"/>
    <x v="15"/>
    <s v="14/01/2022"/>
    <s v="14/01/2022"/>
    <s v="2022"/>
    <x v="1"/>
    <x v="341"/>
    <x v="105"/>
  </r>
  <r>
    <x v="1"/>
    <x v="5"/>
    <x v="15"/>
    <s v="24/02/2022"/>
    <s v="24/02/2022"/>
    <s v="2022"/>
    <x v="3"/>
    <x v="342"/>
    <x v="106"/>
  </r>
  <r>
    <x v="18"/>
    <x v="3"/>
    <x v="16"/>
    <s v="15/03/2022"/>
    <s v="15/03/2022"/>
    <s v="2022"/>
    <x v="5"/>
    <x v="343"/>
    <x v="157"/>
  </r>
  <r>
    <x v="4"/>
    <x v="3"/>
    <x v="19"/>
    <s v="25/04/2022"/>
    <s v="25/04/2022"/>
    <s v="2022"/>
    <x v="0"/>
    <x v="344"/>
    <x v="99"/>
  </r>
  <r>
    <x v="17"/>
    <x v="2"/>
    <x v="10"/>
    <d v="2022-10-05T00:00:00"/>
    <s v="05/10/2022"/>
    <s v="2022"/>
    <x v="6"/>
    <x v="345"/>
    <x v="137"/>
  </r>
  <r>
    <x v="11"/>
    <x v="2"/>
    <x v="12"/>
    <s v="23/06/2022"/>
    <s v="23/06/2022"/>
    <s v="2022"/>
    <x v="4"/>
    <x v="346"/>
    <x v="180"/>
  </r>
  <r>
    <x v="12"/>
    <x v="5"/>
    <x v="3"/>
    <s v="28/02/2022"/>
    <s v="28/02/2022"/>
    <s v="2022"/>
    <x v="3"/>
    <x v="347"/>
    <x v="139"/>
  </r>
  <r>
    <x v="6"/>
    <x v="4"/>
    <x v="10"/>
    <s v="25/05/2022"/>
    <s v="25/05/2022"/>
    <s v="2022"/>
    <x v="7"/>
    <x v="348"/>
    <x v="93"/>
  </r>
  <r>
    <x v="13"/>
    <x v="3"/>
    <x v="19"/>
    <s v="22/02/2022"/>
    <s v="22/02/2022"/>
    <s v="2022"/>
    <x v="3"/>
    <x v="349"/>
    <x v="230"/>
  </r>
  <r>
    <x v="1"/>
    <x v="0"/>
    <x v="1"/>
    <d v="2022-11-07T00:00:00"/>
    <s v="07/11/2022"/>
    <s v="2022"/>
    <x v="10"/>
    <x v="350"/>
    <x v="154"/>
  </r>
  <r>
    <x v="11"/>
    <x v="5"/>
    <x v="12"/>
    <d v="2022-03-01T00:00:00"/>
    <s v="01/03/2022"/>
    <s v="2022"/>
    <x v="5"/>
    <x v="351"/>
    <x v="231"/>
  </r>
  <r>
    <x v="7"/>
    <x v="3"/>
    <x v="21"/>
    <s v="24/08/2022"/>
    <s v="24/08/2022"/>
    <s v="2022"/>
    <x v="8"/>
    <x v="352"/>
    <x v="232"/>
  </r>
  <r>
    <x v="12"/>
    <x v="4"/>
    <x v="6"/>
    <s v="28/07/2022"/>
    <s v="28/07/2022"/>
    <s v="2022"/>
    <x v="2"/>
    <x v="353"/>
    <x v="224"/>
  </r>
  <r>
    <x v="6"/>
    <x v="4"/>
    <x v="0"/>
    <s v="25/05/2022"/>
    <s v="25/05/2022"/>
    <s v="2022"/>
    <x v="7"/>
    <x v="354"/>
    <x v="31"/>
  </r>
  <r>
    <x v="10"/>
    <x v="3"/>
    <x v="8"/>
    <d v="2022-06-05T00:00:00"/>
    <s v="05/06/2022"/>
    <s v="2022"/>
    <x v="4"/>
    <x v="355"/>
    <x v="233"/>
  </r>
  <r>
    <x v="8"/>
    <x v="1"/>
    <x v="9"/>
    <s v="28/01/2022"/>
    <s v="28/01/2022"/>
    <s v="2022"/>
    <x v="1"/>
    <x v="356"/>
    <x v="42"/>
  </r>
  <r>
    <x v="11"/>
    <x v="0"/>
    <x v="7"/>
    <d v="2022-06-06T00:00:00"/>
    <s v="06/06/2022"/>
    <s v="2022"/>
    <x v="4"/>
    <x v="357"/>
    <x v="129"/>
  </r>
  <r>
    <x v="6"/>
    <x v="3"/>
    <x v="19"/>
    <d v="2022-12-07T00:00:00"/>
    <s v="07/12/2022"/>
    <s v="2022"/>
    <x v="11"/>
    <x v="358"/>
    <x v="51"/>
  </r>
  <r>
    <x v="24"/>
    <x v="5"/>
    <x v="12"/>
    <d v="2022-05-08T00:00:00"/>
    <s v="08/05/2022"/>
    <s v="2022"/>
    <x v="7"/>
    <x v="359"/>
    <x v="215"/>
  </r>
  <r>
    <x v="6"/>
    <x v="4"/>
    <x v="7"/>
    <s v="28/01/2022"/>
    <s v="28/01/2022"/>
    <s v="2022"/>
    <x v="1"/>
    <x v="360"/>
    <x v="234"/>
  </r>
  <r>
    <x v="16"/>
    <x v="1"/>
    <x v="12"/>
    <s v="31/08/2022"/>
    <s v="31/08/2022"/>
    <s v="2022"/>
    <x v="8"/>
    <x v="361"/>
    <x v="68"/>
  </r>
  <r>
    <x v="9"/>
    <x v="4"/>
    <x v="6"/>
    <s v="19/04/2022"/>
    <s v="19/04/2022"/>
    <s v="2022"/>
    <x v="0"/>
    <x v="362"/>
    <x v="235"/>
  </r>
  <r>
    <x v="9"/>
    <x v="0"/>
    <x v="0"/>
    <s v="29/06/2022"/>
    <s v="29/06/2022"/>
    <s v="2022"/>
    <x v="4"/>
    <x v="363"/>
    <x v="236"/>
  </r>
  <r>
    <x v="12"/>
    <x v="1"/>
    <x v="18"/>
    <s v="24/02/2022"/>
    <s v="24/02/2022"/>
    <s v="2022"/>
    <x v="3"/>
    <x v="350"/>
    <x v="237"/>
  </r>
  <r>
    <x v="22"/>
    <x v="0"/>
    <x v="3"/>
    <d v="2022-04-03T00:00:00"/>
    <s v="03/04/2022"/>
    <s v="2022"/>
    <x v="0"/>
    <x v="364"/>
    <x v="147"/>
  </r>
  <r>
    <x v="2"/>
    <x v="1"/>
    <x v="8"/>
    <s v="21/06/2022"/>
    <s v="21/06/2022"/>
    <s v="2022"/>
    <x v="4"/>
    <x v="365"/>
    <x v="238"/>
  </r>
  <r>
    <x v="7"/>
    <x v="2"/>
    <x v="10"/>
    <s v="26/01/2022"/>
    <s v="26/01/2022"/>
    <s v="2022"/>
    <x v="1"/>
    <x v="366"/>
    <x v="239"/>
  </r>
  <r>
    <x v="4"/>
    <x v="3"/>
    <x v="14"/>
    <d v="2022-10-06T00:00:00"/>
    <s v="06/10/2022"/>
    <s v="2022"/>
    <x v="6"/>
    <x v="149"/>
    <x v="91"/>
  </r>
  <r>
    <x v="19"/>
    <x v="0"/>
    <x v="9"/>
    <s v="23/05/2022"/>
    <s v="23/05/2022"/>
    <s v="2022"/>
    <x v="7"/>
    <x v="367"/>
    <x v="81"/>
  </r>
  <r>
    <x v="20"/>
    <x v="1"/>
    <x v="11"/>
    <s v="15/04/2022"/>
    <s v="15/04/2022"/>
    <s v="2022"/>
    <x v="0"/>
    <x v="368"/>
    <x v="200"/>
  </r>
  <r>
    <x v="10"/>
    <x v="3"/>
    <x v="20"/>
    <s v="31/01/2022"/>
    <s v="31/01/2022"/>
    <s v="2022"/>
    <x v="1"/>
    <x v="99"/>
    <x v="54"/>
  </r>
  <r>
    <x v="19"/>
    <x v="3"/>
    <x v="10"/>
    <d v="2022-04-03T00:00:00"/>
    <s v="03/04/2022"/>
    <s v="2022"/>
    <x v="0"/>
    <x v="369"/>
    <x v="240"/>
  </r>
  <r>
    <x v="8"/>
    <x v="3"/>
    <x v="5"/>
    <s v="19/04/2022"/>
    <s v="19/04/2022"/>
    <s v="2022"/>
    <x v="0"/>
    <x v="370"/>
    <x v="147"/>
  </r>
  <r>
    <x v="12"/>
    <x v="0"/>
    <x v="16"/>
    <s v="16/05/2022"/>
    <s v="16/05/2022"/>
    <s v="2022"/>
    <x v="7"/>
    <x v="371"/>
    <x v="149"/>
  </r>
  <r>
    <x v="4"/>
    <x v="2"/>
    <x v="17"/>
    <s v="17/02/2022"/>
    <s v="17/02/2022"/>
    <s v="2022"/>
    <x v="3"/>
    <x v="162"/>
    <x v="241"/>
  </r>
  <r>
    <x v="17"/>
    <x v="4"/>
    <x v="17"/>
    <s v="18/01/2022"/>
    <s v="18/01/2022"/>
    <s v="2022"/>
    <x v="1"/>
    <x v="372"/>
    <x v="242"/>
  </r>
  <r>
    <x v="13"/>
    <x v="5"/>
    <x v="7"/>
    <d v="2022-09-02T00:00:00"/>
    <s v="02/09/2022"/>
    <s v="2022"/>
    <x v="9"/>
    <x v="373"/>
    <x v="243"/>
  </r>
  <r>
    <x v="9"/>
    <x v="5"/>
    <x v="7"/>
    <s v="23/03/2022"/>
    <s v="23/03/2022"/>
    <s v="2022"/>
    <x v="5"/>
    <x v="350"/>
    <x v="124"/>
  </r>
  <r>
    <x v="22"/>
    <x v="3"/>
    <x v="20"/>
    <d v="2022-01-02T00:00:00"/>
    <s v="02/01/2022"/>
    <s v="2022"/>
    <x v="1"/>
    <x v="289"/>
    <x v="28"/>
  </r>
  <r>
    <x v="9"/>
    <x v="1"/>
    <x v="9"/>
    <d v="2022-07-03T00:00:00"/>
    <s v="03/07/2022"/>
    <s v="2022"/>
    <x v="2"/>
    <x v="374"/>
    <x v="42"/>
  </r>
  <r>
    <x v="24"/>
    <x v="0"/>
    <x v="14"/>
    <d v="2022-03-01T00:00:00"/>
    <s v="01/03/2022"/>
    <s v="2022"/>
    <x v="5"/>
    <x v="173"/>
    <x v="244"/>
  </r>
  <r>
    <x v="24"/>
    <x v="4"/>
    <x v="14"/>
    <d v="2022-11-02T00:00:00"/>
    <s v="02/11/2022"/>
    <s v="2022"/>
    <x v="10"/>
    <x v="375"/>
    <x v="245"/>
  </r>
  <r>
    <x v="17"/>
    <x v="3"/>
    <x v="7"/>
    <s v="16/03/2022"/>
    <s v="16/03/2022"/>
    <s v="2022"/>
    <x v="5"/>
    <x v="207"/>
    <x v="17"/>
  </r>
  <r>
    <x v="23"/>
    <x v="1"/>
    <x v="14"/>
    <s v="15/08/2022"/>
    <s v="15/08/2022"/>
    <s v="2022"/>
    <x v="8"/>
    <x v="376"/>
    <x v="246"/>
  </r>
  <r>
    <x v="2"/>
    <x v="1"/>
    <x v="15"/>
    <d v="2022-12-05T00:00:00"/>
    <s v="05/12/2022"/>
    <s v="2022"/>
    <x v="11"/>
    <x v="369"/>
    <x v="7"/>
  </r>
  <r>
    <x v="1"/>
    <x v="1"/>
    <x v="12"/>
    <d v="2022-11-04T00:00:00"/>
    <s v="04/11/2022"/>
    <s v="2022"/>
    <x v="10"/>
    <x v="377"/>
    <x v="247"/>
  </r>
  <r>
    <x v="3"/>
    <x v="3"/>
    <x v="0"/>
    <s v="30/06/2022"/>
    <s v="30/06/2022"/>
    <s v="2022"/>
    <x v="4"/>
    <x v="378"/>
    <x v="248"/>
  </r>
  <r>
    <x v="23"/>
    <x v="3"/>
    <x v="14"/>
    <s v="15/06/2022"/>
    <s v="15/06/2022"/>
    <s v="2022"/>
    <x v="4"/>
    <x v="379"/>
    <x v="203"/>
  </r>
  <r>
    <x v="7"/>
    <x v="5"/>
    <x v="20"/>
    <d v="2022-01-08T00:00:00"/>
    <s v="08/01/2022"/>
    <s v="2022"/>
    <x v="1"/>
    <x v="380"/>
    <x v="90"/>
  </r>
  <r>
    <x v="16"/>
    <x v="4"/>
    <x v="11"/>
    <s v="15/06/2022"/>
    <s v="15/06/2022"/>
    <s v="2022"/>
    <x v="4"/>
    <x v="381"/>
    <x v="204"/>
  </r>
  <r>
    <x v="6"/>
    <x v="1"/>
    <x v="5"/>
    <s v="16/06/2022"/>
    <s v="16/06/2022"/>
    <s v="2022"/>
    <x v="4"/>
    <x v="382"/>
    <x v="121"/>
  </r>
  <r>
    <x v="4"/>
    <x v="3"/>
    <x v="17"/>
    <s v="13/05/2022"/>
    <s v="13/05/2022"/>
    <s v="2022"/>
    <x v="7"/>
    <x v="383"/>
    <x v="249"/>
  </r>
  <r>
    <x v="17"/>
    <x v="4"/>
    <x v="9"/>
    <d v="2022-10-05T00:00:00"/>
    <s v="05/10/2022"/>
    <s v="2022"/>
    <x v="6"/>
    <x v="384"/>
    <x v="93"/>
  </r>
  <r>
    <x v="4"/>
    <x v="1"/>
    <x v="8"/>
    <s v="25/08/2022"/>
    <s v="25/08/2022"/>
    <s v="2022"/>
    <x v="8"/>
    <x v="135"/>
    <x v="250"/>
  </r>
  <r>
    <x v="24"/>
    <x v="3"/>
    <x v="10"/>
    <s v="15/07/2022"/>
    <s v="15/07/2022"/>
    <s v="2022"/>
    <x v="2"/>
    <x v="385"/>
    <x v="243"/>
  </r>
  <r>
    <x v="2"/>
    <x v="0"/>
    <x v="19"/>
    <s v="16/05/2022"/>
    <s v="16/05/2022"/>
    <s v="2022"/>
    <x v="7"/>
    <x v="386"/>
    <x v="222"/>
  </r>
  <r>
    <x v="3"/>
    <x v="2"/>
    <x v="6"/>
    <s v="14/06/2022"/>
    <s v="14/06/2022"/>
    <s v="2022"/>
    <x v="4"/>
    <x v="387"/>
    <x v="251"/>
  </r>
  <r>
    <x v="12"/>
    <x v="2"/>
    <x v="3"/>
    <s v="25/01/2022"/>
    <s v="25/01/2022"/>
    <s v="2022"/>
    <x v="1"/>
    <x v="388"/>
    <x v="252"/>
  </r>
  <r>
    <x v="24"/>
    <x v="4"/>
    <x v="10"/>
    <s v="28/07/2022"/>
    <s v="28/07/2022"/>
    <s v="2022"/>
    <x v="2"/>
    <x v="389"/>
    <x v="37"/>
  </r>
  <r>
    <x v="6"/>
    <x v="5"/>
    <x v="0"/>
    <s v="28/01/2022"/>
    <s v="28/01/2022"/>
    <s v="2022"/>
    <x v="1"/>
    <x v="390"/>
    <x v="124"/>
  </r>
  <r>
    <x v="16"/>
    <x v="0"/>
    <x v="7"/>
    <s v="29/06/2022"/>
    <s v="29/06/2022"/>
    <s v="2022"/>
    <x v="4"/>
    <x v="391"/>
    <x v="253"/>
  </r>
  <r>
    <x v="10"/>
    <x v="2"/>
    <x v="21"/>
    <s v="24/06/2022"/>
    <s v="24/06/2022"/>
    <s v="2022"/>
    <x v="4"/>
    <x v="392"/>
    <x v="254"/>
  </r>
  <r>
    <x v="5"/>
    <x v="5"/>
    <x v="0"/>
    <d v="2022-01-07T00:00:00"/>
    <s v="07/01/2022"/>
    <s v="2022"/>
    <x v="1"/>
    <x v="393"/>
    <x v="255"/>
  </r>
  <r>
    <x v="13"/>
    <x v="4"/>
    <x v="2"/>
    <s v="25/02/2022"/>
    <s v="25/02/2022"/>
    <s v="2022"/>
    <x v="3"/>
    <x v="362"/>
    <x v="68"/>
  </r>
  <r>
    <x v="14"/>
    <x v="5"/>
    <x v="3"/>
    <d v="2022-01-08T00:00:00"/>
    <s v="08/01/2022"/>
    <s v="2022"/>
    <x v="1"/>
    <x v="394"/>
    <x v="129"/>
  </r>
  <r>
    <x v="4"/>
    <x v="2"/>
    <x v="11"/>
    <s v="21/06/2022"/>
    <s v="21/06/2022"/>
    <s v="2022"/>
    <x v="4"/>
    <x v="23"/>
    <x v="256"/>
  </r>
  <r>
    <x v="21"/>
    <x v="3"/>
    <x v="12"/>
    <s v="25/01/2022"/>
    <s v="25/01/2022"/>
    <s v="2022"/>
    <x v="1"/>
    <x v="395"/>
    <x v="51"/>
  </r>
  <r>
    <x v="2"/>
    <x v="0"/>
    <x v="11"/>
    <s v="17/05/2022"/>
    <s v="17/05/2022"/>
    <s v="2022"/>
    <x v="7"/>
    <x v="396"/>
    <x v="257"/>
  </r>
  <r>
    <x v="19"/>
    <x v="2"/>
    <x v="1"/>
    <s v="23/08/2022"/>
    <s v="23/08/2022"/>
    <s v="2022"/>
    <x v="8"/>
    <x v="397"/>
    <x v="143"/>
  </r>
  <r>
    <x v="21"/>
    <x v="2"/>
    <x v="3"/>
    <d v="2022-03-03T00:00:00"/>
    <s v="03/03/2022"/>
    <s v="2022"/>
    <x v="5"/>
    <x v="398"/>
    <x v="105"/>
  </r>
  <r>
    <x v="13"/>
    <x v="1"/>
    <x v="20"/>
    <s v="30/05/2022"/>
    <s v="30/05/2022"/>
    <s v="2022"/>
    <x v="7"/>
    <x v="153"/>
    <x v="258"/>
  </r>
  <r>
    <x v="10"/>
    <x v="4"/>
    <x v="9"/>
    <s v="29/06/2022"/>
    <s v="29/06/2022"/>
    <s v="2022"/>
    <x v="4"/>
    <x v="399"/>
    <x v="226"/>
  </r>
  <r>
    <x v="19"/>
    <x v="5"/>
    <x v="10"/>
    <d v="2022-04-01T00:00:00"/>
    <s v="01/04/2022"/>
    <s v="2022"/>
    <x v="0"/>
    <x v="400"/>
    <x v="259"/>
  </r>
  <r>
    <x v="0"/>
    <x v="2"/>
    <x v="9"/>
    <s v="14/01/2022"/>
    <s v="14/01/2022"/>
    <s v="2022"/>
    <x v="1"/>
    <x v="401"/>
    <x v="81"/>
  </r>
  <r>
    <x v="10"/>
    <x v="4"/>
    <x v="0"/>
    <s v="15/02/2022"/>
    <s v="15/02/2022"/>
    <s v="2022"/>
    <x v="3"/>
    <x v="402"/>
    <x v="198"/>
  </r>
  <r>
    <x v="14"/>
    <x v="3"/>
    <x v="12"/>
    <d v="2022-10-01T00:00:00"/>
    <s v="01/10/2022"/>
    <s v="2022"/>
    <x v="6"/>
    <x v="403"/>
    <x v="260"/>
  </r>
  <r>
    <x v="22"/>
    <x v="4"/>
    <x v="14"/>
    <d v="2022-04-05T00:00:00"/>
    <s v="05/04/2022"/>
    <s v="2022"/>
    <x v="0"/>
    <x v="404"/>
    <x v="261"/>
  </r>
  <r>
    <x v="19"/>
    <x v="4"/>
    <x v="12"/>
    <s v="23/05/2022"/>
    <s v="23/05/2022"/>
    <s v="2022"/>
    <x v="7"/>
    <x v="405"/>
    <x v="262"/>
  </r>
  <r>
    <x v="8"/>
    <x v="3"/>
    <x v="13"/>
    <s v="26/04/2022"/>
    <s v="26/04/2022"/>
    <s v="2022"/>
    <x v="0"/>
    <x v="164"/>
    <x v="234"/>
  </r>
  <r>
    <x v="4"/>
    <x v="5"/>
    <x v="10"/>
    <d v="2022-05-07T00:00:00"/>
    <s v="07/05/2022"/>
    <s v="2022"/>
    <x v="7"/>
    <x v="283"/>
    <x v="220"/>
  </r>
  <r>
    <x v="22"/>
    <x v="0"/>
    <x v="10"/>
    <s v="21/07/2022"/>
    <s v="21/07/2022"/>
    <s v="2022"/>
    <x v="2"/>
    <x v="406"/>
    <x v="22"/>
  </r>
  <r>
    <x v="23"/>
    <x v="4"/>
    <x v="0"/>
    <s v="21/02/2022"/>
    <s v="21/02/2022"/>
    <s v="2022"/>
    <x v="3"/>
    <x v="407"/>
    <x v="263"/>
  </r>
  <r>
    <x v="20"/>
    <x v="4"/>
    <x v="7"/>
    <d v="2022-03-02T00:00:00"/>
    <s v="02/03/2022"/>
    <s v="2022"/>
    <x v="5"/>
    <x v="279"/>
    <x v="93"/>
  </r>
  <r>
    <x v="2"/>
    <x v="2"/>
    <x v="20"/>
    <d v="2022-08-07T00:00:00"/>
    <s v="07/08/2022"/>
    <s v="2022"/>
    <x v="8"/>
    <x v="80"/>
    <x v="28"/>
  </r>
  <r>
    <x v="9"/>
    <x v="1"/>
    <x v="6"/>
    <s v="31/05/2022"/>
    <s v="31/05/2022"/>
    <s v="2022"/>
    <x v="7"/>
    <x v="408"/>
    <x v="182"/>
  </r>
  <r>
    <x v="1"/>
    <x v="3"/>
    <x v="0"/>
    <s v="27/06/2022"/>
    <s v="27/06/2022"/>
    <s v="2022"/>
    <x v="4"/>
    <x v="409"/>
    <x v="61"/>
  </r>
  <r>
    <x v="1"/>
    <x v="1"/>
    <x v="6"/>
    <s v="13/05/2022"/>
    <s v="13/05/2022"/>
    <s v="2022"/>
    <x v="7"/>
    <x v="133"/>
    <x v="264"/>
  </r>
  <r>
    <x v="1"/>
    <x v="4"/>
    <x v="15"/>
    <s v="31/05/2022"/>
    <s v="31/05/2022"/>
    <s v="2022"/>
    <x v="7"/>
    <x v="311"/>
    <x v="9"/>
  </r>
  <r>
    <x v="18"/>
    <x v="4"/>
    <x v="7"/>
    <s v="28/02/2022"/>
    <s v="28/02/2022"/>
    <s v="2022"/>
    <x v="3"/>
    <x v="410"/>
    <x v="175"/>
  </r>
  <r>
    <x v="8"/>
    <x v="3"/>
    <x v="8"/>
    <s v="28/03/2022"/>
    <s v="28/03/2022"/>
    <s v="2022"/>
    <x v="5"/>
    <x v="411"/>
    <x v="86"/>
  </r>
  <r>
    <x v="2"/>
    <x v="4"/>
    <x v="5"/>
    <s v="14/01/2022"/>
    <s v="14/01/2022"/>
    <s v="2022"/>
    <x v="1"/>
    <x v="117"/>
    <x v="54"/>
  </r>
  <r>
    <x v="8"/>
    <x v="3"/>
    <x v="0"/>
    <s v="21/02/2022"/>
    <s v="21/02/2022"/>
    <s v="2022"/>
    <x v="3"/>
    <x v="412"/>
    <x v="181"/>
  </r>
  <r>
    <x v="17"/>
    <x v="5"/>
    <x v="1"/>
    <d v="2022-01-08T00:00:00"/>
    <s v="08/01/2022"/>
    <s v="2022"/>
    <x v="1"/>
    <x v="413"/>
    <x v="114"/>
  </r>
  <r>
    <x v="12"/>
    <x v="3"/>
    <x v="3"/>
    <s v="19/05/2022"/>
    <s v="19/05/2022"/>
    <s v="2022"/>
    <x v="7"/>
    <x v="414"/>
    <x v="8"/>
  </r>
  <r>
    <x v="15"/>
    <x v="4"/>
    <x v="14"/>
    <s v="13/07/2022"/>
    <s v="13/07/2022"/>
    <s v="2022"/>
    <x v="2"/>
    <x v="62"/>
    <x v="203"/>
  </r>
  <r>
    <x v="19"/>
    <x v="2"/>
    <x v="2"/>
    <s v="20/04/2022"/>
    <s v="20/04/2022"/>
    <s v="2022"/>
    <x v="0"/>
    <x v="415"/>
    <x v="265"/>
  </r>
  <r>
    <x v="17"/>
    <x v="1"/>
    <x v="1"/>
    <s v="30/06/2022"/>
    <s v="30/06/2022"/>
    <s v="2022"/>
    <x v="4"/>
    <x v="416"/>
    <x v="108"/>
  </r>
  <r>
    <x v="14"/>
    <x v="0"/>
    <x v="6"/>
    <d v="2022-08-03T00:00:00"/>
    <s v="03/08/2022"/>
    <s v="2022"/>
    <x v="8"/>
    <x v="289"/>
    <x v="42"/>
  </r>
  <r>
    <x v="5"/>
    <x v="4"/>
    <x v="13"/>
    <d v="2022-09-03T00:00:00"/>
    <s v="03/09/2022"/>
    <s v="2022"/>
    <x v="9"/>
    <x v="417"/>
    <x v="266"/>
  </r>
  <r>
    <x v="4"/>
    <x v="5"/>
    <x v="17"/>
    <s v="16/06/2022"/>
    <s v="16/06/2022"/>
    <s v="2022"/>
    <x v="4"/>
    <x v="418"/>
    <x v="267"/>
  </r>
  <r>
    <x v="2"/>
    <x v="0"/>
    <x v="9"/>
    <s v="30/06/2022"/>
    <s v="30/06/2022"/>
    <s v="2022"/>
    <x v="4"/>
    <x v="419"/>
    <x v="16"/>
  </r>
  <r>
    <x v="20"/>
    <x v="1"/>
    <x v="0"/>
    <s v="28/07/2022"/>
    <s v="28/07/2022"/>
    <s v="2022"/>
    <x v="2"/>
    <x v="420"/>
    <x v="241"/>
  </r>
  <r>
    <x v="10"/>
    <x v="5"/>
    <x v="2"/>
    <d v="2022-12-08T00:00:00"/>
    <s v="08/12/2022"/>
    <s v="2022"/>
    <x v="11"/>
    <x v="421"/>
    <x v="141"/>
  </r>
  <r>
    <x v="8"/>
    <x v="0"/>
    <x v="0"/>
    <d v="2022-07-07T00:00:00"/>
    <s v="07/07/2022"/>
    <s v="2022"/>
    <x v="2"/>
    <x v="340"/>
    <x v="268"/>
  </r>
  <r>
    <x v="8"/>
    <x v="4"/>
    <x v="1"/>
    <s v="25/08/2022"/>
    <s v="25/08/2022"/>
    <s v="2022"/>
    <x v="8"/>
    <x v="422"/>
    <x v="99"/>
  </r>
  <r>
    <x v="15"/>
    <x v="5"/>
    <x v="8"/>
    <s v="17/01/2022"/>
    <s v="17/01/2022"/>
    <s v="2022"/>
    <x v="1"/>
    <x v="423"/>
    <x v="143"/>
  </r>
  <r>
    <x v="3"/>
    <x v="2"/>
    <x v="21"/>
    <d v="2022-04-03T00:00:00"/>
    <s v="03/04/2022"/>
    <s v="2022"/>
    <x v="0"/>
    <x v="424"/>
    <x v="269"/>
  </r>
  <r>
    <x v="11"/>
    <x v="3"/>
    <x v="13"/>
    <s v="25/08/2022"/>
    <s v="25/08/2022"/>
    <s v="2022"/>
    <x v="8"/>
    <x v="425"/>
    <x v="247"/>
  </r>
  <r>
    <x v="24"/>
    <x v="0"/>
    <x v="2"/>
    <s v="15/04/2022"/>
    <s v="15/04/2022"/>
    <s v="2022"/>
    <x v="0"/>
    <x v="426"/>
    <x v="270"/>
  </r>
  <r>
    <x v="16"/>
    <x v="4"/>
    <x v="10"/>
    <d v="2022-11-03T00:00:00"/>
    <s v="03/11/2022"/>
    <s v="2022"/>
    <x v="10"/>
    <x v="427"/>
    <x v="108"/>
  </r>
  <r>
    <x v="21"/>
    <x v="4"/>
    <x v="17"/>
    <s v="20/05/2022"/>
    <s v="20/05/2022"/>
    <s v="2022"/>
    <x v="7"/>
    <x v="428"/>
    <x v="45"/>
  </r>
  <r>
    <x v="6"/>
    <x v="3"/>
    <x v="15"/>
    <s v="14/06/2022"/>
    <s v="14/06/2022"/>
    <s v="2022"/>
    <x v="4"/>
    <x v="429"/>
    <x v="16"/>
  </r>
  <r>
    <x v="0"/>
    <x v="3"/>
    <x v="5"/>
    <s v="14/04/2022"/>
    <s v="14/04/2022"/>
    <s v="2022"/>
    <x v="0"/>
    <x v="430"/>
    <x v="7"/>
  </r>
  <r>
    <x v="0"/>
    <x v="4"/>
    <x v="3"/>
    <d v="2022-07-07T00:00:00"/>
    <s v="07/07/2022"/>
    <s v="2022"/>
    <x v="2"/>
    <x v="431"/>
    <x v="163"/>
  </r>
  <r>
    <x v="22"/>
    <x v="1"/>
    <x v="0"/>
    <s v="24/08/2022"/>
    <s v="24/08/2022"/>
    <s v="2022"/>
    <x v="8"/>
    <x v="432"/>
    <x v="271"/>
  </r>
  <r>
    <x v="0"/>
    <x v="1"/>
    <x v="8"/>
    <s v="24/02/2022"/>
    <s v="24/02/2022"/>
    <s v="2022"/>
    <x v="3"/>
    <x v="433"/>
    <x v="197"/>
  </r>
  <r>
    <x v="10"/>
    <x v="5"/>
    <x v="17"/>
    <d v="2022-09-05T00:00:00"/>
    <s v="05/09/2022"/>
    <s v="2022"/>
    <x v="9"/>
    <x v="434"/>
    <x v="272"/>
  </r>
  <r>
    <x v="16"/>
    <x v="2"/>
    <x v="21"/>
    <d v="2022-08-02T00:00:00"/>
    <s v="02/08/2022"/>
    <s v="2022"/>
    <x v="8"/>
    <x v="435"/>
    <x v="226"/>
  </r>
  <r>
    <x v="13"/>
    <x v="0"/>
    <x v="21"/>
    <s v="24/03/2022"/>
    <s v="24/03/2022"/>
    <s v="2022"/>
    <x v="5"/>
    <x v="436"/>
    <x v="227"/>
  </r>
  <r>
    <x v="7"/>
    <x v="4"/>
    <x v="9"/>
    <s v="20/06/2022"/>
    <s v="20/06/2022"/>
    <s v="2022"/>
    <x v="4"/>
    <x v="437"/>
    <x v="7"/>
  </r>
  <r>
    <x v="9"/>
    <x v="5"/>
    <x v="15"/>
    <d v="2022-07-03T00:00:00"/>
    <s v="03/07/2022"/>
    <s v="2022"/>
    <x v="2"/>
    <x v="438"/>
    <x v="27"/>
  </r>
  <r>
    <x v="16"/>
    <x v="2"/>
    <x v="13"/>
    <s v="20/06/2022"/>
    <s v="20/06/2022"/>
    <s v="2022"/>
    <x v="4"/>
    <x v="439"/>
    <x v="243"/>
  </r>
  <r>
    <x v="4"/>
    <x v="3"/>
    <x v="10"/>
    <s v="17/02/2022"/>
    <s v="17/02/2022"/>
    <s v="2022"/>
    <x v="3"/>
    <x v="440"/>
    <x v="78"/>
  </r>
  <r>
    <x v="22"/>
    <x v="0"/>
    <x v="4"/>
    <s v="26/01/2022"/>
    <s v="26/01/2022"/>
    <s v="2022"/>
    <x v="1"/>
    <x v="295"/>
    <x v="121"/>
  </r>
  <r>
    <x v="22"/>
    <x v="2"/>
    <x v="0"/>
    <d v="2022-02-05T00:00:00"/>
    <s v="05/02/2022"/>
    <s v="2022"/>
    <x v="3"/>
    <x v="441"/>
    <x v="273"/>
  </r>
  <r>
    <x v="14"/>
    <x v="5"/>
    <x v="4"/>
    <d v="2022-07-07T00:00:00"/>
    <s v="07/07/2022"/>
    <s v="2022"/>
    <x v="2"/>
    <x v="163"/>
    <x v="113"/>
  </r>
  <r>
    <x v="7"/>
    <x v="2"/>
    <x v="19"/>
    <s v="22/08/2022"/>
    <s v="22/08/2022"/>
    <s v="2022"/>
    <x v="8"/>
    <x v="442"/>
    <x v="194"/>
  </r>
  <r>
    <x v="10"/>
    <x v="2"/>
    <x v="5"/>
    <d v="2022-11-08T00:00:00"/>
    <s v="08/11/2022"/>
    <s v="2022"/>
    <x v="10"/>
    <x v="443"/>
    <x v="274"/>
  </r>
  <r>
    <x v="11"/>
    <x v="0"/>
    <x v="4"/>
    <s v="13/01/2022"/>
    <s v="13/01/2022"/>
    <s v="2022"/>
    <x v="1"/>
    <x v="172"/>
    <x v="275"/>
  </r>
  <r>
    <x v="5"/>
    <x v="2"/>
    <x v="6"/>
    <d v="2022-02-03T00:00:00"/>
    <s v="03/02/2022"/>
    <s v="2022"/>
    <x v="3"/>
    <x v="444"/>
    <x v="131"/>
  </r>
  <r>
    <x v="11"/>
    <x v="2"/>
    <x v="18"/>
    <s v="27/07/2022"/>
    <s v="27/07/2022"/>
    <s v="2022"/>
    <x v="2"/>
    <x v="445"/>
    <x v="137"/>
  </r>
  <r>
    <x v="20"/>
    <x v="3"/>
    <x v="9"/>
    <d v="2022-10-03T00:00:00"/>
    <s v="03/10/2022"/>
    <s v="2022"/>
    <x v="6"/>
    <x v="446"/>
    <x v="80"/>
  </r>
  <r>
    <x v="12"/>
    <x v="4"/>
    <x v="1"/>
    <s v="23/08/2022"/>
    <s v="23/08/2022"/>
    <s v="2022"/>
    <x v="8"/>
    <x v="447"/>
    <x v="276"/>
  </r>
  <r>
    <x v="13"/>
    <x v="4"/>
    <x v="8"/>
    <s v="25/04/2022"/>
    <s v="25/04/2022"/>
    <s v="2022"/>
    <x v="0"/>
    <x v="7"/>
    <x v="277"/>
  </r>
  <r>
    <x v="17"/>
    <x v="0"/>
    <x v="11"/>
    <d v="2022-07-03T00:00:00"/>
    <s v="03/07/2022"/>
    <s v="2022"/>
    <x v="2"/>
    <x v="448"/>
    <x v="278"/>
  </r>
  <r>
    <x v="18"/>
    <x v="0"/>
    <x v="10"/>
    <d v="2022-12-07T00:00:00"/>
    <s v="07/12/2022"/>
    <s v="2022"/>
    <x v="11"/>
    <x v="449"/>
    <x v="193"/>
  </r>
  <r>
    <x v="22"/>
    <x v="4"/>
    <x v="7"/>
    <s v="16/05/2022"/>
    <s v="16/05/2022"/>
    <s v="2022"/>
    <x v="7"/>
    <x v="450"/>
    <x v="93"/>
  </r>
  <r>
    <x v="5"/>
    <x v="1"/>
    <x v="3"/>
    <d v="2022-02-03T00:00:00"/>
    <s v="03/02/2022"/>
    <s v="2022"/>
    <x v="3"/>
    <x v="227"/>
    <x v="33"/>
  </r>
  <r>
    <x v="11"/>
    <x v="3"/>
    <x v="1"/>
    <s v="30/05/2022"/>
    <s v="30/05/2022"/>
    <s v="2022"/>
    <x v="7"/>
    <x v="312"/>
    <x v="58"/>
  </r>
  <r>
    <x v="11"/>
    <x v="0"/>
    <x v="15"/>
    <d v="2022-10-06T00:00:00"/>
    <s v="06/10/2022"/>
    <s v="2022"/>
    <x v="6"/>
    <x v="451"/>
    <x v="50"/>
  </r>
  <r>
    <x v="6"/>
    <x v="4"/>
    <x v="4"/>
    <s v="25/07/2022"/>
    <s v="25/07/2022"/>
    <s v="2022"/>
    <x v="2"/>
    <x v="452"/>
    <x v="279"/>
  </r>
  <r>
    <x v="12"/>
    <x v="3"/>
    <x v="0"/>
    <d v="2022-09-06T00:00:00"/>
    <s v="06/09/2022"/>
    <s v="2022"/>
    <x v="9"/>
    <x v="149"/>
    <x v="82"/>
  </r>
  <r>
    <x v="17"/>
    <x v="4"/>
    <x v="11"/>
    <d v="2022-12-05T00:00:00"/>
    <s v="05/12/2022"/>
    <s v="2022"/>
    <x v="11"/>
    <x v="453"/>
    <x v="203"/>
  </r>
  <r>
    <x v="5"/>
    <x v="4"/>
    <x v="9"/>
    <d v="2022-09-05T00:00:00"/>
    <s v="05/09/2022"/>
    <s v="2022"/>
    <x v="9"/>
    <x v="454"/>
    <x v="262"/>
  </r>
  <r>
    <x v="6"/>
    <x v="5"/>
    <x v="15"/>
    <d v="2022-09-08T00:00:00"/>
    <s v="08/09/2022"/>
    <s v="2022"/>
    <x v="9"/>
    <x v="455"/>
    <x v="251"/>
  </r>
  <r>
    <x v="1"/>
    <x v="1"/>
    <x v="18"/>
    <s v="13/04/2022"/>
    <s v="13/04/2022"/>
    <s v="2022"/>
    <x v="0"/>
    <x v="317"/>
    <x v="280"/>
  </r>
  <r>
    <x v="19"/>
    <x v="4"/>
    <x v="20"/>
    <d v="2022-02-05T00:00:00"/>
    <s v="05/02/2022"/>
    <s v="2022"/>
    <x v="3"/>
    <x v="456"/>
    <x v="106"/>
  </r>
  <r>
    <x v="23"/>
    <x v="4"/>
    <x v="4"/>
    <d v="2022-09-08T00:00:00"/>
    <s v="08/09/2022"/>
    <s v="2022"/>
    <x v="9"/>
    <x v="457"/>
    <x v="281"/>
  </r>
  <r>
    <x v="21"/>
    <x v="2"/>
    <x v="17"/>
    <s v="23/08/2022"/>
    <s v="23/08/2022"/>
    <s v="2022"/>
    <x v="8"/>
    <x v="458"/>
    <x v="124"/>
  </r>
  <r>
    <x v="5"/>
    <x v="1"/>
    <x v="12"/>
    <s v="13/05/2022"/>
    <s v="13/05/2022"/>
    <s v="2022"/>
    <x v="7"/>
    <x v="459"/>
    <x v="178"/>
  </r>
  <r>
    <x v="10"/>
    <x v="4"/>
    <x v="15"/>
    <d v="2022-01-02T00:00:00"/>
    <s v="02/01/2022"/>
    <s v="2022"/>
    <x v="1"/>
    <x v="460"/>
    <x v="274"/>
  </r>
  <r>
    <x v="21"/>
    <x v="4"/>
    <x v="6"/>
    <s v="23/06/2022"/>
    <s v="23/06/2022"/>
    <s v="2022"/>
    <x v="4"/>
    <x v="461"/>
    <x v="29"/>
  </r>
  <r>
    <x v="22"/>
    <x v="0"/>
    <x v="18"/>
    <s v="24/05/2022"/>
    <s v="24/05/2022"/>
    <s v="2022"/>
    <x v="7"/>
    <x v="462"/>
    <x v="154"/>
  </r>
  <r>
    <x v="3"/>
    <x v="5"/>
    <x v="0"/>
    <d v="2022-01-04T00:00:00"/>
    <s v="04/01/2022"/>
    <s v="2022"/>
    <x v="1"/>
    <x v="95"/>
    <x v="219"/>
  </r>
  <r>
    <x v="21"/>
    <x v="5"/>
    <x v="21"/>
    <s v="27/07/2022"/>
    <s v="27/07/2022"/>
    <s v="2022"/>
    <x v="2"/>
    <x v="463"/>
    <x v="28"/>
  </r>
  <r>
    <x v="24"/>
    <x v="1"/>
    <x v="2"/>
    <s v="27/01/2022"/>
    <s v="27/01/2022"/>
    <s v="2022"/>
    <x v="1"/>
    <x v="464"/>
    <x v="267"/>
  </r>
  <r>
    <x v="3"/>
    <x v="1"/>
    <x v="18"/>
    <d v="2022-12-08T00:00:00"/>
    <s v="08/12/2022"/>
    <s v="2022"/>
    <x v="11"/>
    <x v="134"/>
    <x v="154"/>
  </r>
  <r>
    <x v="2"/>
    <x v="5"/>
    <x v="16"/>
    <d v="2022-01-02T00:00:00"/>
    <s v="02/01/2022"/>
    <s v="2022"/>
    <x v="1"/>
    <x v="465"/>
    <x v="282"/>
  </r>
  <r>
    <x v="7"/>
    <x v="1"/>
    <x v="5"/>
    <d v="2022-02-03T00:00:00"/>
    <s v="03/02/2022"/>
    <s v="2022"/>
    <x v="3"/>
    <x v="466"/>
    <x v="259"/>
  </r>
  <r>
    <x v="20"/>
    <x v="2"/>
    <x v="4"/>
    <s v="30/06/2022"/>
    <s v="30/06/2022"/>
    <s v="2022"/>
    <x v="4"/>
    <x v="467"/>
    <x v="283"/>
  </r>
  <r>
    <x v="23"/>
    <x v="2"/>
    <x v="12"/>
    <s v="17/01/2022"/>
    <s v="17/01/2022"/>
    <s v="2022"/>
    <x v="1"/>
    <x v="468"/>
    <x v="2"/>
  </r>
  <r>
    <x v="6"/>
    <x v="4"/>
    <x v="11"/>
    <d v="2022-07-07T00:00:00"/>
    <s v="07/07/2022"/>
    <s v="2022"/>
    <x v="2"/>
    <x v="469"/>
    <x v="284"/>
  </r>
  <r>
    <x v="9"/>
    <x v="3"/>
    <x v="0"/>
    <s v="31/01/2022"/>
    <s v="31/01/2022"/>
    <s v="2022"/>
    <x v="1"/>
    <x v="470"/>
    <x v="200"/>
  </r>
  <r>
    <x v="12"/>
    <x v="0"/>
    <x v="4"/>
    <d v="2022-10-08T00:00:00"/>
    <s v="08/10/2022"/>
    <s v="2022"/>
    <x v="6"/>
    <x v="471"/>
    <x v="30"/>
  </r>
  <r>
    <x v="12"/>
    <x v="4"/>
    <x v="2"/>
    <s v="18/08/2022"/>
    <s v="18/08/2022"/>
    <s v="2022"/>
    <x v="8"/>
    <x v="472"/>
    <x v="285"/>
  </r>
  <r>
    <x v="6"/>
    <x v="3"/>
    <x v="14"/>
    <s v="15/06/2022"/>
    <s v="15/06/2022"/>
    <s v="2022"/>
    <x v="4"/>
    <x v="338"/>
    <x v="25"/>
  </r>
  <r>
    <x v="11"/>
    <x v="4"/>
    <x v="19"/>
    <s v="26/01/2022"/>
    <s v="26/01/2022"/>
    <s v="2022"/>
    <x v="1"/>
    <x v="473"/>
    <x v="62"/>
  </r>
  <r>
    <x v="20"/>
    <x v="4"/>
    <x v="12"/>
    <s v="29/04/2022"/>
    <s v="29/04/2022"/>
    <s v="2022"/>
    <x v="0"/>
    <x v="474"/>
    <x v="162"/>
  </r>
  <r>
    <x v="9"/>
    <x v="5"/>
    <x v="14"/>
    <d v="2022-03-03T00:00:00"/>
    <s v="03/03/2022"/>
    <s v="2022"/>
    <x v="5"/>
    <x v="475"/>
    <x v="36"/>
  </r>
  <r>
    <x v="16"/>
    <x v="2"/>
    <x v="16"/>
    <s v="22/02/2022"/>
    <s v="22/02/2022"/>
    <s v="2022"/>
    <x v="3"/>
    <x v="476"/>
    <x v="286"/>
  </r>
  <r>
    <x v="4"/>
    <x v="4"/>
    <x v="3"/>
    <d v="2022-04-03T00:00:00"/>
    <s v="03/04/2022"/>
    <s v="2022"/>
    <x v="0"/>
    <x v="350"/>
    <x v="191"/>
  </r>
  <r>
    <x v="17"/>
    <x v="1"/>
    <x v="3"/>
    <d v="2022-07-07T00:00:00"/>
    <s v="07/07/2022"/>
    <s v="2022"/>
    <x v="2"/>
    <x v="477"/>
    <x v="62"/>
  </r>
  <r>
    <x v="21"/>
    <x v="3"/>
    <x v="20"/>
    <s v="17/06/2022"/>
    <s v="17/06/2022"/>
    <s v="2022"/>
    <x v="4"/>
    <x v="478"/>
    <x v="287"/>
  </r>
  <r>
    <x v="3"/>
    <x v="5"/>
    <x v="20"/>
    <d v="2022-02-08T00:00:00"/>
    <s v="08/02/2022"/>
    <s v="2022"/>
    <x v="3"/>
    <x v="479"/>
    <x v="280"/>
  </r>
  <r>
    <x v="4"/>
    <x v="4"/>
    <x v="19"/>
    <d v="2022-12-08T00:00:00"/>
    <s v="08/12/2022"/>
    <s v="2022"/>
    <x v="11"/>
    <x v="80"/>
    <x v="241"/>
  </r>
  <r>
    <x v="22"/>
    <x v="3"/>
    <x v="2"/>
    <s v="28/01/2022"/>
    <s v="28/01/2022"/>
    <s v="2022"/>
    <x v="1"/>
    <x v="480"/>
    <x v="288"/>
  </r>
  <r>
    <x v="20"/>
    <x v="2"/>
    <x v="7"/>
    <s v="29/04/2022"/>
    <s v="29/04/2022"/>
    <s v="2022"/>
    <x v="0"/>
    <x v="481"/>
    <x v="289"/>
  </r>
  <r>
    <x v="11"/>
    <x v="2"/>
    <x v="15"/>
    <d v="2022-05-04T00:00:00"/>
    <s v="04/05/2022"/>
    <s v="2022"/>
    <x v="7"/>
    <x v="482"/>
    <x v="290"/>
  </r>
  <r>
    <x v="16"/>
    <x v="5"/>
    <x v="15"/>
    <s v="18/01/2022"/>
    <s v="18/01/2022"/>
    <s v="2022"/>
    <x v="1"/>
    <x v="483"/>
    <x v="48"/>
  </r>
  <r>
    <x v="0"/>
    <x v="0"/>
    <x v="19"/>
    <s v="16/05/2022"/>
    <s v="16/05/2022"/>
    <s v="2022"/>
    <x v="7"/>
    <x v="484"/>
    <x v="82"/>
  </r>
  <r>
    <x v="20"/>
    <x v="2"/>
    <x v="14"/>
    <s v="24/08/2022"/>
    <s v="24/08/2022"/>
    <s v="2022"/>
    <x v="8"/>
    <x v="485"/>
    <x v="291"/>
  </r>
  <r>
    <x v="14"/>
    <x v="1"/>
    <x v="1"/>
    <s v="18/01/2022"/>
    <s v="18/01/2022"/>
    <s v="2022"/>
    <x v="1"/>
    <x v="58"/>
    <x v="292"/>
  </r>
  <r>
    <x v="16"/>
    <x v="4"/>
    <x v="8"/>
    <s v="22/08/2022"/>
    <s v="22/08/2022"/>
    <s v="2022"/>
    <x v="8"/>
    <x v="385"/>
    <x v="71"/>
  </r>
  <r>
    <x v="5"/>
    <x v="0"/>
    <x v="4"/>
    <d v="2022-07-03T00:00:00"/>
    <s v="03/07/2022"/>
    <s v="2022"/>
    <x v="2"/>
    <x v="486"/>
    <x v="147"/>
  </r>
  <r>
    <x v="12"/>
    <x v="0"/>
    <x v="18"/>
    <d v="2022-04-03T00:00:00"/>
    <s v="03/04/2022"/>
    <s v="2022"/>
    <x v="0"/>
    <x v="280"/>
    <x v="162"/>
  </r>
  <r>
    <x v="23"/>
    <x v="5"/>
    <x v="15"/>
    <s v="22/04/2022"/>
    <s v="22/04/2022"/>
    <s v="2022"/>
    <x v="0"/>
    <x v="115"/>
    <x v="80"/>
  </r>
  <r>
    <x v="16"/>
    <x v="2"/>
    <x v="11"/>
    <d v="2022-09-06T00:00:00"/>
    <s v="06/09/2022"/>
    <s v="2022"/>
    <x v="9"/>
    <x v="409"/>
    <x v="293"/>
  </r>
  <r>
    <x v="3"/>
    <x v="5"/>
    <x v="13"/>
    <s v="25/07/2022"/>
    <s v="25/07/2022"/>
    <s v="2022"/>
    <x v="2"/>
    <x v="487"/>
    <x v="294"/>
  </r>
  <r>
    <x v="3"/>
    <x v="1"/>
    <x v="3"/>
    <d v="2022-03-08T00:00:00"/>
    <s v="08/03/2022"/>
    <s v="2022"/>
    <x v="5"/>
    <x v="445"/>
    <x v="293"/>
  </r>
  <r>
    <x v="7"/>
    <x v="2"/>
    <x v="15"/>
    <d v="2022-03-08T00:00:00"/>
    <s v="08/03/2022"/>
    <s v="2022"/>
    <x v="5"/>
    <x v="488"/>
    <x v="295"/>
  </r>
  <r>
    <x v="0"/>
    <x v="0"/>
    <x v="11"/>
    <d v="2022-03-05T00:00:00"/>
    <s v="05/03/2022"/>
    <s v="2022"/>
    <x v="5"/>
    <x v="489"/>
    <x v="54"/>
  </r>
  <r>
    <x v="15"/>
    <x v="5"/>
    <x v="5"/>
    <s v="19/01/2022"/>
    <s v="19/01/2022"/>
    <s v="2022"/>
    <x v="1"/>
    <x v="490"/>
    <x v="29"/>
  </r>
  <r>
    <x v="13"/>
    <x v="4"/>
    <x v="6"/>
    <d v="2022-11-02T00:00:00"/>
    <s v="02/11/2022"/>
    <s v="2022"/>
    <x v="10"/>
    <x v="491"/>
    <x v="268"/>
  </r>
  <r>
    <x v="1"/>
    <x v="1"/>
    <x v="16"/>
    <s v="14/06/2022"/>
    <s v="14/06/2022"/>
    <s v="2022"/>
    <x v="4"/>
    <x v="492"/>
    <x v="158"/>
  </r>
  <r>
    <x v="20"/>
    <x v="4"/>
    <x v="6"/>
    <s v="23/03/2022"/>
    <s v="23/03/2022"/>
    <s v="2022"/>
    <x v="5"/>
    <x v="87"/>
    <x v="226"/>
  </r>
  <r>
    <x v="22"/>
    <x v="5"/>
    <x v="1"/>
    <s v="17/02/2022"/>
    <s v="17/02/2022"/>
    <s v="2022"/>
    <x v="3"/>
    <x v="493"/>
    <x v="90"/>
  </r>
  <r>
    <x v="17"/>
    <x v="5"/>
    <x v="3"/>
    <s v="17/03/2022"/>
    <s v="17/03/2022"/>
    <s v="2022"/>
    <x v="5"/>
    <x v="418"/>
    <x v="296"/>
  </r>
  <r>
    <x v="9"/>
    <x v="2"/>
    <x v="12"/>
    <s v="29/06/2022"/>
    <s v="29/06/2022"/>
    <s v="2022"/>
    <x v="4"/>
    <x v="494"/>
    <x v="297"/>
  </r>
  <r>
    <x v="24"/>
    <x v="5"/>
    <x v="18"/>
    <s v="24/08/2022"/>
    <s v="24/08/2022"/>
    <s v="2022"/>
    <x v="8"/>
    <x v="495"/>
    <x v="298"/>
  </r>
  <r>
    <x v="2"/>
    <x v="5"/>
    <x v="12"/>
    <d v="2022-04-07T00:00:00"/>
    <s v="07/04/2022"/>
    <s v="2022"/>
    <x v="0"/>
    <x v="496"/>
    <x v="173"/>
  </r>
  <r>
    <x v="13"/>
    <x v="3"/>
    <x v="16"/>
    <s v="28/03/2022"/>
    <s v="28/03/2022"/>
    <s v="2022"/>
    <x v="5"/>
    <x v="497"/>
    <x v="274"/>
  </r>
  <r>
    <x v="14"/>
    <x v="1"/>
    <x v="3"/>
    <s v="19/04/2022"/>
    <s v="19/04/2022"/>
    <s v="2022"/>
    <x v="0"/>
    <x v="498"/>
    <x v="48"/>
  </r>
  <r>
    <x v="24"/>
    <x v="3"/>
    <x v="0"/>
    <s v="18/01/2022"/>
    <s v="18/01/2022"/>
    <s v="2022"/>
    <x v="1"/>
    <x v="157"/>
    <x v="299"/>
  </r>
  <r>
    <x v="1"/>
    <x v="3"/>
    <x v="13"/>
    <s v="17/01/2022"/>
    <s v="17/01/2022"/>
    <s v="2022"/>
    <x v="1"/>
    <x v="336"/>
    <x v="20"/>
  </r>
  <r>
    <x v="19"/>
    <x v="3"/>
    <x v="0"/>
    <s v="15/02/2022"/>
    <s v="15/02/2022"/>
    <s v="2022"/>
    <x v="3"/>
    <x v="499"/>
    <x v="219"/>
  </r>
  <r>
    <x v="19"/>
    <x v="0"/>
    <x v="11"/>
    <d v="2022-11-02T00:00:00"/>
    <s v="02/11/2022"/>
    <s v="2022"/>
    <x v="10"/>
    <x v="500"/>
    <x v="300"/>
  </r>
  <r>
    <x v="21"/>
    <x v="4"/>
    <x v="15"/>
    <s v="21/03/2022"/>
    <s v="21/03/2022"/>
    <s v="2022"/>
    <x v="5"/>
    <x v="501"/>
    <x v="50"/>
  </r>
  <r>
    <x v="5"/>
    <x v="3"/>
    <x v="16"/>
    <d v="2022-05-01T00:00:00"/>
    <s v="01/05/2022"/>
    <s v="2022"/>
    <x v="7"/>
    <x v="502"/>
    <x v="264"/>
  </r>
  <r>
    <x v="6"/>
    <x v="1"/>
    <x v="17"/>
    <s v="30/05/2022"/>
    <s v="30/05/2022"/>
    <s v="2022"/>
    <x v="7"/>
    <x v="262"/>
    <x v="223"/>
  </r>
  <r>
    <x v="0"/>
    <x v="4"/>
    <x v="4"/>
    <d v="2022-04-01T00:00:00"/>
    <s v="01/04/2022"/>
    <s v="2022"/>
    <x v="0"/>
    <x v="503"/>
    <x v="301"/>
  </r>
  <r>
    <x v="12"/>
    <x v="2"/>
    <x v="13"/>
    <s v="22/04/2022"/>
    <s v="22/04/2022"/>
    <s v="2022"/>
    <x v="0"/>
    <x v="438"/>
    <x v="167"/>
  </r>
  <r>
    <x v="2"/>
    <x v="5"/>
    <x v="11"/>
    <d v="2022-10-02T00:00:00"/>
    <s v="02/10/2022"/>
    <s v="2022"/>
    <x v="6"/>
    <x v="150"/>
    <x v="131"/>
  </r>
  <r>
    <x v="23"/>
    <x v="1"/>
    <x v="12"/>
    <d v="2022-12-08T00:00:00"/>
    <s v="08/12/2022"/>
    <s v="2022"/>
    <x v="11"/>
    <x v="504"/>
    <x v="259"/>
  </r>
  <r>
    <x v="5"/>
    <x v="4"/>
    <x v="10"/>
    <d v="2022-10-08T00:00:00"/>
    <s v="08/10/2022"/>
    <s v="2022"/>
    <x v="6"/>
    <x v="505"/>
    <x v="25"/>
  </r>
  <r>
    <x v="20"/>
    <x v="2"/>
    <x v="17"/>
    <d v="2022-07-06T00:00:00"/>
    <s v="06/07/2022"/>
    <s v="2022"/>
    <x v="2"/>
    <x v="352"/>
    <x v="60"/>
  </r>
  <r>
    <x v="0"/>
    <x v="1"/>
    <x v="19"/>
    <d v="2022-06-06T00:00:00"/>
    <s v="06/06/2022"/>
    <s v="2022"/>
    <x v="4"/>
    <x v="506"/>
    <x v="220"/>
  </r>
  <r>
    <x v="10"/>
    <x v="3"/>
    <x v="19"/>
    <d v="2022-05-04T00:00:00"/>
    <s v="04/05/2022"/>
    <s v="2022"/>
    <x v="7"/>
    <x v="507"/>
    <x v="302"/>
  </r>
  <r>
    <x v="18"/>
    <x v="4"/>
    <x v="6"/>
    <s v="18/04/2022"/>
    <s v="18/04/2022"/>
    <s v="2022"/>
    <x v="0"/>
    <x v="2"/>
    <x v="295"/>
  </r>
  <r>
    <x v="19"/>
    <x v="1"/>
    <x v="6"/>
    <s v="31/01/2022"/>
    <s v="31/01/2022"/>
    <s v="2022"/>
    <x v="1"/>
    <x v="508"/>
    <x v="303"/>
  </r>
  <r>
    <x v="22"/>
    <x v="4"/>
    <x v="19"/>
    <s v="22/08/2022"/>
    <s v="22/08/2022"/>
    <s v="2022"/>
    <x v="8"/>
    <x v="509"/>
    <x v="17"/>
  </r>
  <r>
    <x v="0"/>
    <x v="2"/>
    <x v="4"/>
    <s v="25/02/2022"/>
    <s v="25/02/2022"/>
    <s v="2022"/>
    <x v="3"/>
    <x v="510"/>
    <x v="304"/>
  </r>
  <r>
    <x v="3"/>
    <x v="2"/>
    <x v="0"/>
    <s v="22/02/2022"/>
    <s v="22/02/2022"/>
    <s v="2022"/>
    <x v="3"/>
    <x v="511"/>
    <x v="61"/>
  </r>
  <r>
    <x v="4"/>
    <x v="3"/>
    <x v="11"/>
    <d v="2022-12-01T00:00:00"/>
    <s v="01/12/2022"/>
    <s v="2022"/>
    <x v="11"/>
    <x v="512"/>
    <x v="142"/>
  </r>
  <r>
    <x v="6"/>
    <x v="0"/>
    <x v="16"/>
    <s v="25/05/2022"/>
    <s v="25/05/2022"/>
    <s v="2022"/>
    <x v="7"/>
    <x v="513"/>
    <x v="100"/>
  </r>
  <r>
    <x v="20"/>
    <x v="1"/>
    <x v="3"/>
    <d v="2022-01-02T00:00:00"/>
    <s v="02/01/2022"/>
    <s v="2022"/>
    <x v="1"/>
    <x v="126"/>
    <x v="305"/>
  </r>
  <r>
    <x v="7"/>
    <x v="0"/>
    <x v="8"/>
    <s v="27/04/2022"/>
    <s v="27/04/2022"/>
    <s v="2022"/>
    <x v="0"/>
    <x v="279"/>
    <x v="33"/>
  </r>
  <r>
    <x v="2"/>
    <x v="4"/>
    <x v="3"/>
    <s v="22/07/2022"/>
    <s v="22/07/2022"/>
    <s v="2022"/>
    <x v="2"/>
    <x v="175"/>
    <x v="179"/>
  </r>
  <r>
    <x v="14"/>
    <x v="3"/>
    <x v="0"/>
    <s v="26/01/2022"/>
    <s v="26/01/2022"/>
    <s v="2022"/>
    <x v="1"/>
    <x v="514"/>
    <x v="63"/>
  </r>
  <r>
    <x v="14"/>
    <x v="4"/>
    <x v="0"/>
    <s v="24/08/2022"/>
    <s v="24/08/2022"/>
    <s v="2022"/>
    <x v="8"/>
    <x v="515"/>
    <x v="89"/>
  </r>
  <r>
    <x v="22"/>
    <x v="3"/>
    <x v="13"/>
    <s v="18/01/2022"/>
    <s v="18/01/2022"/>
    <s v="2022"/>
    <x v="1"/>
    <x v="516"/>
    <x v="69"/>
  </r>
  <r>
    <x v="10"/>
    <x v="1"/>
    <x v="1"/>
    <s v="30/03/2022"/>
    <s v="30/03/2022"/>
    <s v="2022"/>
    <x v="5"/>
    <x v="517"/>
    <x v="49"/>
  </r>
  <r>
    <x v="24"/>
    <x v="2"/>
    <x v="20"/>
    <s v="17/01/2022"/>
    <s v="17/01/2022"/>
    <s v="2022"/>
    <x v="1"/>
    <x v="518"/>
    <x v="306"/>
  </r>
  <r>
    <x v="20"/>
    <x v="4"/>
    <x v="13"/>
    <s v="17/02/2022"/>
    <s v="17/02/2022"/>
    <s v="2022"/>
    <x v="3"/>
    <x v="519"/>
    <x v="181"/>
  </r>
  <r>
    <x v="20"/>
    <x v="5"/>
    <x v="2"/>
    <d v="2022-08-04T00:00:00"/>
    <s v="04/08/2022"/>
    <s v="2022"/>
    <x v="8"/>
    <x v="520"/>
    <x v="110"/>
  </r>
  <r>
    <x v="2"/>
    <x v="5"/>
    <x v="9"/>
    <d v="2022-06-07T00:00:00"/>
    <s v="07/06/2022"/>
    <s v="2022"/>
    <x v="4"/>
    <x v="158"/>
    <x v="72"/>
  </r>
  <r>
    <x v="15"/>
    <x v="1"/>
    <x v="13"/>
    <d v="2022-04-04T00:00:00"/>
    <s v="04/04/2022"/>
    <s v="2022"/>
    <x v="0"/>
    <x v="521"/>
    <x v="244"/>
  </r>
  <r>
    <x v="3"/>
    <x v="3"/>
    <x v="10"/>
    <d v="2022-02-03T00:00:00"/>
    <s v="03/02/2022"/>
    <s v="2022"/>
    <x v="3"/>
    <x v="522"/>
    <x v="307"/>
  </r>
  <r>
    <x v="2"/>
    <x v="3"/>
    <x v="17"/>
    <d v="2022-09-08T00:00:00"/>
    <s v="08/09/2022"/>
    <s v="2022"/>
    <x v="9"/>
    <x v="523"/>
    <x v="6"/>
  </r>
  <r>
    <x v="17"/>
    <x v="2"/>
    <x v="11"/>
    <d v="2022-09-06T00:00:00"/>
    <s v="06/09/2022"/>
    <s v="2022"/>
    <x v="9"/>
    <x v="524"/>
    <x v="12"/>
  </r>
  <r>
    <x v="24"/>
    <x v="0"/>
    <x v="20"/>
    <d v="2022-02-06T00:00:00"/>
    <s v="06/02/2022"/>
    <s v="2022"/>
    <x v="3"/>
    <x v="525"/>
    <x v="308"/>
  </r>
  <r>
    <x v="1"/>
    <x v="4"/>
    <x v="13"/>
    <d v="2022-05-07T00:00:00"/>
    <s v="07/05/2022"/>
    <s v="2022"/>
    <x v="7"/>
    <x v="526"/>
    <x v="309"/>
  </r>
  <r>
    <x v="19"/>
    <x v="5"/>
    <x v="8"/>
    <d v="2022-11-08T00:00:00"/>
    <s v="08/11/2022"/>
    <s v="2022"/>
    <x v="10"/>
    <x v="527"/>
    <x v="100"/>
  </r>
  <r>
    <x v="22"/>
    <x v="1"/>
    <x v="18"/>
    <d v="2022-11-02T00:00:00"/>
    <s v="02/11/2022"/>
    <s v="2022"/>
    <x v="10"/>
    <x v="528"/>
    <x v="181"/>
  </r>
  <r>
    <x v="20"/>
    <x v="3"/>
    <x v="12"/>
    <d v="2022-11-08T00:00:00"/>
    <s v="08/11/2022"/>
    <s v="2022"/>
    <x v="10"/>
    <x v="529"/>
    <x v="81"/>
  </r>
  <r>
    <x v="13"/>
    <x v="2"/>
    <x v="9"/>
    <d v="2022-12-05T00:00:00"/>
    <s v="05/12/2022"/>
    <s v="2022"/>
    <x v="11"/>
    <x v="530"/>
    <x v="9"/>
  </r>
  <r>
    <x v="18"/>
    <x v="4"/>
    <x v="11"/>
    <s v="15/07/2022"/>
    <s v="15/07/2022"/>
    <s v="2022"/>
    <x v="2"/>
    <x v="507"/>
    <x v="266"/>
  </r>
  <r>
    <x v="19"/>
    <x v="1"/>
    <x v="10"/>
    <s v="18/01/2022"/>
    <s v="18/01/2022"/>
    <s v="2022"/>
    <x v="1"/>
    <x v="531"/>
    <x v="154"/>
  </r>
  <r>
    <x v="22"/>
    <x v="0"/>
    <x v="13"/>
    <d v="2022-05-01T00:00:00"/>
    <s v="01/05/2022"/>
    <s v="2022"/>
    <x v="7"/>
    <x v="532"/>
    <x v="302"/>
  </r>
  <r>
    <x v="14"/>
    <x v="2"/>
    <x v="6"/>
    <s v="29/06/2022"/>
    <s v="29/06/2022"/>
    <s v="2022"/>
    <x v="4"/>
    <x v="533"/>
    <x v="257"/>
  </r>
  <r>
    <x v="6"/>
    <x v="5"/>
    <x v="17"/>
    <s v="14/06/2022"/>
    <s v="14/06/2022"/>
    <s v="2022"/>
    <x v="4"/>
    <x v="69"/>
    <x v="121"/>
  </r>
  <r>
    <x v="5"/>
    <x v="1"/>
    <x v="0"/>
    <d v="2022-08-08T00:00:00"/>
    <s v="08/08/2022"/>
    <s v="2022"/>
    <x v="8"/>
    <x v="534"/>
    <x v="274"/>
  </r>
  <r>
    <x v="17"/>
    <x v="1"/>
    <x v="0"/>
    <s v="23/03/2022"/>
    <s v="23/03/2022"/>
    <s v="2022"/>
    <x v="5"/>
    <x v="535"/>
    <x v="93"/>
  </r>
  <r>
    <x v="8"/>
    <x v="1"/>
    <x v="20"/>
    <d v="2022-04-01T00:00:00"/>
    <s v="01/04/2022"/>
    <s v="2022"/>
    <x v="0"/>
    <x v="536"/>
    <x v="164"/>
  </r>
  <r>
    <x v="6"/>
    <x v="1"/>
    <x v="11"/>
    <s v="22/02/2022"/>
    <s v="22/02/2022"/>
    <s v="2022"/>
    <x v="3"/>
    <x v="537"/>
    <x v="310"/>
  </r>
  <r>
    <x v="12"/>
    <x v="0"/>
    <x v="12"/>
    <s v="17/02/2022"/>
    <s v="17/02/2022"/>
    <s v="2022"/>
    <x v="3"/>
    <x v="538"/>
    <x v="171"/>
  </r>
  <r>
    <x v="8"/>
    <x v="4"/>
    <x v="16"/>
    <d v="2022-03-02T00:00:00"/>
    <s v="02/03/2022"/>
    <s v="2022"/>
    <x v="5"/>
    <x v="539"/>
    <x v="148"/>
  </r>
  <r>
    <x v="1"/>
    <x v="5"/>
    <x v="17"/>
    <s v="17/03/2022"/>
    <s v="17/03/2022"/>
    <s v="2022"/>
    <x v="5"/>
    <x v="20"/>
    <x v="284"/>
  </r>
  <r>
    <x v="18"/>
    <x v="2"/>
    <x v="19"/>
    <s v="25/01/2022"/>
    <s v="25/01/2022"/>
    <s v="2022"/>
    <x v="1"/>
    <x v="540"/>
    <x v="163"/>
  </r>
  <r>
    <x v="6"/>
    <x v="2"/>
    <x v="11"/>
    <s v="27/07/2022"/>
    <s v="27/07/2022"/>
    <s v="2022"/>
    <x v="2"/>
    <x v="541"/>
    <x v="193"/>
  </r>
  <r>
    <x v="15"/>
    <x v="2"/>
    <x v="13"/>
    <s v="28/01/2022"/>
    <s v="28/01/2022"/>
    <s v="2022"/>
    <x v="1"/>
    <x v="542"/>
    <x v="198"/>
  </r>
  <r>
    <x v="22"/>
    <x v="2"/>
    <x v="10"/>
    <d v="2022-05-07T00:00:00"/>
    <s v="07/05/2022"/>
    <s v="2022"/>
    <x v="7"/>
    <x v="543"/>
    <x v="112"/>
  </r>
  <r>
    <x v="1"/>
    <x v="1"/>
    <x v="14"/>
    <s v="15/03/2022"/>
    <s v="15/03/2022"/>
    <s v="2022"/>
    <x v="5"/>
    <x v="544"/>
    <x v="110"/>
  </r>
  <r>
    <x v="5"/>
    <x v="5"/>
    <x v="5"/>
    <d v="2022-04-08T00:00:00"/>
    <s v="08/04/2022"/>
    <s v="2022"/>
    <x v="0"/>
    <x v="545"/>
    <x v="168"/>
  </r>
  <r>
    <x v="3"/>
    <x v="4"/>
    <x v="13"/>
    <s v="27/06/2022"/>
    <s v="27/06/2022"/>
    <s v="2022"/>
    <x v="4"/>
    <x v="45"/>
    <x v="311"/>
  </r>
  <r>
    <x v="3"/>
    <x v="5"/>
    <x v="5"/>
    <s v="13/07/2022"/>
    <s v="13/07/2022"/>
    <s v="2022"/>
    <x v="2"/>
    <x v="416"/>
    <x v="19"/>
  </r>
  <r>
    <x v="8"/>
    <x v="3"/>
    <x v="15"/>
    <s v="24/02/2022"/>
    <s v="24/02/2022"/>
    <s v="2022"/>
    <x v="3"/>
    <x v="546"/>
    <x v="312"/>
  </r>
  <r>
    <x v="10"/>
    <x v="3"/>
    <x v="1"/>
    <s v="28/06/2022"/>
    <s v="28/06/2022"/>
    <s v="2022"/>
    <x v="4"/>
    <x v="547"/>
    <x v="53"/>
  </r>
  <r>
    <x v="4"/>
    <x v="2"/>
    <x v="1"/>
    <s v="30/06/2022"/>
    <s v="30/06/2022"/>
    <s v="2022"/>
    <x v="4"/>
    <x v="548"/>
    <x v="103"/>
  </r>
  <r>
    <x v="14"/>
    <x v="5"/>
    <x v="18"/>
    <s v="18/08/2022"/>
    <s v="18/08/2022"/>
    <s v="2022"/>
    <x v="8"/>
    <x v="82"/>
    <x v="113"/>
  </r>
  <r>
    <x v="16"/>
    <x v="1"/>
    <x v="21"/>
    <s v="24/01/2022"/>
    <s v="24/01/2022"/>
    <s v="2022"/>
    <x v="1"/>
    <x v="549"/>
    <x v="29"/>
  </r>
  <r>
    <x v="12"/>
    <x v="4"/>
    <x v="14"/>
    <d v="2022-11-03T00:00:00"/>
    <s v="03/11/2022"/>
    <s v="2022"/>
    <x v="10"/>
    <x v="407"/>
    <x v="154"/>
  </r>
  <r>
    <x v="24"/>
    <x v="3"/>
    <x v="5"/>
    <s v="23/06/2022"/>
    <s v="23/06/2022"/>
    <s v="2022"/>
    <x v="4"/>
    <x v="550"/>
    <x v="313"/>
  </r>
  <r>
    <x v="15"/>
    <x v="1"/>
    <x v="12"/>
    <s v="22/08/2022"/>
    <s v="22/08/2022"/>
    <s v="2022"/>
    <x v="8"/>
    <x v="551"/>
    <x v="314"/>
  </r>
  <r>
    <x v="5"/>
    <x v="5"/>
    <x v="6"/>
    <d v="2022-04-01T00:00:00"/>
    <s v="01/04/2022"/>
    <s v="2022"/>
    <x v="0"/>
    <x v="552"/>
    <x v="47"/>
  </r>
  <r>
    <x v="14"/>
    <x v="1"/>
    <x v="11"/>
    <d v="2022-05-04T00:00:00"/>
    <s v="04/05/2022"/>
    <s v="2022"/>
    <x v="7"/>
    <x v="553"/>
    <x v="315"/>
  </r>
  <r>
    <x v="12"/>
    <x v="1"/>
    <x v="11"/>
    <s v="15/04/2022"/>
    <s v="15/04/2022"/>
    <s v="2022"/>
    <x v="0"/>
    <x v="554"/>
    <x v="316"/>
  </r>
  <r>
    <x v="15"/>
    <x v="2"/>
    <x v="14"/>
    <d v="2022-11-05T00:00:00"/>
    <s v="05/11/2022"/>
    <s v="2022"/>
    <x v="10"/>
    <x v="218"/>
    <x v="317"/>
  </r>
  <r>
    <x v="19"/>
    <x v="5"/>
    <x v="15"/>
    <s v="21/07/2022"/>
    <s v="21/07/2022"/>
    <s v="2022"/>
    <x v="2"/>
    <x v="449"/>
    <x v="318"/>
  </r>
  <r>
    <x v="3"/>
    <x v="3"/>
    <x v="7"/>
    <d v="2022-11-02T00:00:00"/>
    <s v="02/11/2022"/>
    <s v="2022"/>
    <x v="10"/>
    <x v="555"/>
    <x v="147"/>
  </r>
  <r>
    <x v="19"/>
    <x v="5"/>
    <x v="3"/>
    <d v="2022-08-07T00:00:00"/>
    <s v="07/08/2022"/>
    <s v="2022"/>
    <x v="8"/>
    <x v="556"/>
    <x v="159"/>
  </r>
  <r>
    <x v="5"/>
    <x v="0"/>
    <x v="17"/>
    <d v="2022-11-08T00:00:00"/>
    <s v="08/11/2022"/>
    <s v="2022"/>
    <x v="10"/>
    <x v="557"/>
    <x v="319"/>
  </r>
  <r>
    <x v="15"/>
    <x v="3"/>
    <x v="5"/>
    <d v="2022-04-08T00:00:00"/>
    <s v="08/04/2022"/>
    <s v="2022"/>
    <x v="0"/>
    <x v="558"/>
    <x v="113"/>
  </r>
  <r>
    <x v="19"/>
    <x v="3"/>
    <x v="7"/>
    <s v="14/06/2022"/>
    <s v="14/06/2022"/>
    <s v="2022"/>
    <x v="4"/>
    <x v="559"/>
    <x v="20"/>
  </r>
  <r>
    <x v="17"/>
    <x v="0"/>
    <x v="19"/>
    <s v="17/01/2022"/>
    <s v="17/01/2022"/>
    <s v="2022"/>
    <x v="1"/>
    <x v="560"/>
    <x v="180"/>
  </r>
  <r>
    <x v="0"/>
    <x v="5"/>
    <x v="7"/>
    <s v="23/06/2022"/>
    <s v="23/06/2022"/>
    <s v="2022"/>
    <x v="4"/>
    <x v="561"/>
    <x v="320"/>
  </r>
  <r>
    <x v="0"/>
    <x v="0"/>
    <x v="3"/>
    <s v="24/08/2022"/>
    <s v="24/08/2022"/>
    <s v="2022"/>
    <x v="8"/>
    <x v="562"/>
    <x v="23"/>
  </r>
  <r>
    <x v="19"/>
    <x v="0"/>
    <x v="20"/>
    <d v="2022-07-06T00:00:00"/>
    <s v="06/07/2022"/>
    <s v="2022"/>
    <x v="2"/>
    <x v="563"/>
    <x v="180"/>
  </r>
  <r>
    <x v="3"/>
    <x v="0"/>
    <x v="14"/>
    <s v="22/06/2022"/>
    <s v="22/06/2022"/>
    <s v="2022"/>
    <x v="4"/>
    <x v="17"/>
    <x v="99"/>
  </r>
  <r>
    <x v="23"/>
    <x v="4"/>
    <x v="13"/>
    <s v="13/07/2022"/>
    <s v="13/07/2022"/>
    <s v="2022"/>
    <x v="2"/>
    <x v="564"/>
    <x v="321"/>
  </r>
  <r>
    <x v="20"/>
    <x v="0"/>
    <x v="18"/>
    <s v="24/05/2022"/>
    <s v="24/05/2022"/>
    <s v="2022"/>
    <x v="7"/>
    <x v="565"/>
    <x v="122"/>
  </r>
  <r>
    <x v="5"/>
    <x v="3"/>
    <x v="5"/>
    <d v="2022-09-08T00:00:00"/>
    <s v="08/09/2022"/>
    <s v="2022"/>
    <x v="9"/>
    <x v="566"/>
    <x v="181"/>
  </r>
  <r>
    <x v="16"/>
    <x v="5"/>
    <x v="1"/>
    <d v="2022-06-04T00:00:00"/>
    <s v="04/06/2022"/>
    <s v="2022"/>
    <x v="4"/>
    <x v="567"/>
    <x v="86"/>
  </r>
  <r>
    <x v="3"/>
    <x v="3"/>
    <x v="15"/>
    <s v="28/07/2022"/>
    <s v="28/07/2022"/>
    <s v="2022"/>
    <x v="2"/>
    <x v="568"/>
    <x v="322"/>
  </r>
  <r>
    <x v="5"/>
    <x v="3"/>
    <x v="17"/>
    <s v="24/08/2022"/>
    <s v="24/08/2022"/>
    <s v="2022"/>
    <x v="8"/>
    <x v="89"/>
    <x v="193"/>
  </r>
  <r>
    <x v="1"/>
    <x v="2"/>
    <x v="4"/>
    <s v="17/01/2022"/>
    <s v="17/01/2022"/>
    <s v="2022"/>
    <x v="1"/>
    <x v="399"/>
    <x v="120"/>
  </r>
  <r>
    <x v="14"/>
    <x v="4"/>
    <x v="9"/>
    <d v="2022-07-02T00:00:00"/>
    <s v="02/07/2022"/>
    <s v="2022"/>
    <x v="2"/>
    <x v="569"/>
    <x v="42"/>
  </r>
  <r>
    <x v="6"/>
    <x v="2"/>
    <x v="12"/>
    <d v="2022-09-05T00:00:00"/>
    <s v="05/09/2022"/>
    <s v="2022"/>
    <x v="9"/>
    <x v="570"/>
    <x v="172"/>
  </r>
  <r>
    <x v="9"/>
    <x v="3"/>
    <x v="1"/>
    <d v="2022-06-06T00:00:00"/>
    <s v="06/06/2022"/>
    <s v="2022"/>
    <x v="4"/>
    <x v="265"/>
    <x v="85"/>
  </r>
  <r>
    <x v="18"/>
    <x v="4"/>
    <x v="18"/>
    <d v="2022-06-06T00:00:00"/>
    <s v="06/06/2022"/>
    <s v="2022"/>
    <x v="4"/>
    <x v="571"/>
    <x v="83"/>
  </r>
  <r>
    <x v="12"/>
    <x v="3"/>
    <x v="10"/>
    <s v="24/05/2022"/>
    <s v="24/05/2022"/>
    <s v="2022"/>
    <x v="7"/>
    <x v="415"/>
    <x v="244"/>
  </r>
  <r>
    <x v="5"/>
    <x v="0"/>
    <x v="6"/>
    <s v="13/01/2022"/>
    <s v="13/01/2022"/>
    <s v="2022"/>
    <x v="1"/>
    <x v="572"/>
    <x v="30"/>
  </r>
  <r>
    <x v="11"/>
    <x v="4"/>
    <x v="17"/>
    <s v="23/05/2022"/>
    <s v="23/05/2022"/>
    <s v="2022"/>
    <x v="7"/>
    <x v="547"/>
    <x v="28"/>
  </r>
  <r>
    <x v="0"/>
    <x v="0"/>
    <x v="14"/>
    <s v="29/06/2022"/>
    <s v="29/06/2022"/>
    <s v="2022"/>
    <x v="4"/>
    <x v="573"/>
    <x v="227"/>
  </r>
  <r>
    <x v="0"/>
    <x v="3"/>
    <x v="1"/>
    <d v="2022-11-03T00:00:00"/>
    <s v="03/11/2022"/>
    <s v="2022"/>
    <x v="10"/>
    <x v="574"/>
    <x v="293"/>
  </r>
  <r>
    <x v="23"/>
    <x v="4"/>
    <x v="1"/>
    <s v="25/04/2022"/>
    <s v="25/04/2022"/>
    <s v="2022"/>
    <x v="0"/>
    <x v="575"/>
    <x v="323"/>
  </r>
  <r>
    <x v="7"/>
    <x v="2"/>
    <x v="3"/>
    <s v="30/05/2022"/>
    <s v="30/05/2022"/>
    <s v="2022"/>
    <x v="7"/>
    <x v="576"/>
    <x v="324"/>
  </r>
  <r>
    <x v="14"/>
    <x v="1"/>
    <x v="15"/>
    <s v="23/05/2022"/>
    <s v="23/05/2022"/>
    <s v="2022"/>
    <x v="7"/>
    <x v="577"/>
    <x v="178"/>
  </r>
  <r>
    <x v="9"/>
    <x v="4"/>
    <x v="2"/>
    <s v="23/05/2022"/>
    <s v="23/05/2022"/>
    <s v="2022"/>
    <x v="7"/>
    <x v="192"/>
    <x v="45"/>
  </r>
  <r>
    <x v="1"/>
    <x v="5"/>
    <x v="2"/>
    <s v="24/06/2022"/>
    <s v="24/06/2022"/>
    <s v="2022"/>
    <x v="4"/>
    <x v="458"/>
    <x v="144"/>
  </r>
  <r>
    <x v="20"/>
    <x v="3"/>
    <x v="3"/>
    <d v="2022-11-03T00:00:00"/>
    <s v="03/11/2022"/>
    <s v="2022"/>
    <x v="10"/>
    <x v="578"/>
    <x v="173"/>
  </r>
  <r>
    <x v="7"/>
    <x v="4"/>
    <x v="3"/>
    <s v="27/07/2022"/>
    <s v="27/07/2022"/>
    <s v="2022"/>
    <x v="2"/>
    <x v="579"/>
    <x v="122"/>
  </r>
  <r>
    <x v="7"/>
    <x v="4"/>
    <x v="14"/>
    <s v="16/08/2022"/>
    <s v="16/08/2022"/>
    <s v="2022"/>
    <x v="8"/>
    <x v="9"/>
    <x v="179"/>
  </r>
  <r>
    <x v="13"/>
    <x v="5"/>
    <x v="3"/>
    <d v="2022-07-03T00:00:00"/>
    <s v="03/07/2022"/>
    <s v="2022"/>
    <x v="2"/>
    <x v="580"/>
    <x v="11"/>
  </r>
  <r>
    <x v="14"/>
    <x v="3"/>
    <x v="5"/>
    <d v="2022-05-04T00:00:00"/>
    <s v="04/05/2022"/>
    <s v="2022"/>
    <x v="7"/>
    <x v="542"/>
    <x v="117"/>
  </r>
  <r>
    <x v="21"/>
    <x v="1"/>
    <x v="1"/>
    <d v="2022-04-05T00:00:00"/>
    <s v="05/04/2022"/>
    <s v="2022"/>
    <x v="0"/>
    <x v="386"/>
    <x v="194"/>
  </r>
  <r>
    <x v="24"/>
    <x v="4"/>
    <x v="18"/>
    <d v="2022-04-01T00:00:00"/>
    <s v="01/04/2022"/>
    <s v="2022"/>
    <x v="0"/>
    <x v="581"/>
    <x v="96"/>
  </r>
  <r>
    <x v="11"/>
    <x v="2"/>
    <x v="19"/>
    <s v="13/01/2022"/>
    <s v="13/01/2022"/>
    <s v="2022"/>
    <x v="1"/>
    <x v="582"/>
    <x v="90"/>
  </r>
  <r>
    <x v="18"/>
    <x v="3"/>
    <x v="13"/>
    <d v="2022-11-07T00:00:00"/>
    <s v="07/11/2022"/>
    <s v="2022"/>
    <x v="10"/>
    <x v="492"/>
    <x v="325"/>
  </r>
  <r>
    <x v="16"/>
    <x v="2"/>
    <x v="0"/>
    <s v="17/05/2022"/>
    <s v="17/05/2022"/>
    <s v="2022"/>
    <x v="7"/>
    <x v="230"/>
    <x v="141"/>
  </r>
  <r>
    <x v="21"/>
    <x v="3"/>
    <x v="2"/>
    <s v="21/07/2022"/>
    <s v="21/07/2022"/>
    <s v="2022"/>
    <x v="2"/>
    <x v="583"/>
    <x v="10"/>
  </r>
  <r>
    <x v="14"/>
    <x v="5"/>
    <x v="10"/>
    <s v="22/02/2022"/>
    <s v="22/02/2022"/>
    <s v="2022"/>
    <x v="3"/>
    <x v="584"/>
    <x v="108"/>
  </r>
  <r>
    <x v="3"/>
    <x v="1"/>
    <x v="4"/>
    <s v="23/05/2022"/>
    <s v="23/05/2022"/>
    <s v="2022"/>
    <x v="7"/>
    <x v="585"/>
    <x v="142"/>
  </r>
  <r>
    <x v="7"/>
    <x v="5"/>
    <x v="9"/>
    <d v="2022-12-07T00:00:00"/>
    <s v="07/12/2022"/>
    <s v="2022"/>
    <x v="11"/>
    <x v="586"/>
    <x v="168"/>
  </r>
  <r>
    <x v="3"/>
    <x v="0"/>
    <x v="7"/>
    <s v="15/06/2022"/>
    <s v="15/06/2022"/>
    <s v="2022"/>
    <x v="4"/>
    <x v="587"/>
    <x v="315"/>
  </r>
  <r>
    <x v="8"/>
    <x v="3"/>
    <x v="6"/>
    <s v="23/06/2022"/>
    <s v="23/06/2022"/>
    <s v="2022"/>
    <x v="4"/>
    <x v="588"/>
    <x v="326"/>
  </r>
  <r>
    <x v="14"/>
    <x v="2"/>
    <x v="8"/>
    <s v="25/03/2022"/>
    <s v="25/03/2022"/>
    <s v="2022"/>
    <x v="5"/>
    <x v="589"/>
    <x v="53"/>
  </r>
  <r>
    <x v="3"/>
    <x v="1"/>
    <x v="20"/>
    <d v="2022-04-07T00:00:00"/>
    <s v="07/04/2022"/>
    <s v="2022"/>
    <x v="0"/>
    <x v="590"/>
    <x v="273"/>
  </r>
  <r>
    <x v="19"/>
    <x v="0"/>
    <x v="14"/>
    <d v="2022-12-05T00:00:00"/>
    <s v="05/12/2022"/>
    <s v="2022"/>
    <x v="11"/>
    <x v="66"/>
    <x v="90"/>
  </r>
  <r>
    <x v="21"/>
    <x v="3"/>
    <x v="17"/>
    <d v="2022-04-04T00:00:00"/>
    <s v="04/04/2022"/>
    <s v="2022"/>
    <x v="0"/>
    <x v="591"/>
    <x v="68"/>
  </r>
  <r>
    <x v="22"/>
    <x v="2"/>
    <x v="7"/>
    <s v="15/04/2022"/>
    <s v="15/04/2022"/>
    <s v="2022"/>
    <x v="0"/>
    <x v="411"/>
    <x v="327"/>
  </r>
  <r>
    <x v="13"/>
    <x v="5"/>
    <x v="8"/>
    <d v="2022-08-03T00:00:00"/>
    <s v="03/08/2022"/>
    <s v="2022"/>
    <x v="8"/>
    <x v="592"/>
    <x v="20"/>
  </r>
  <r>
    <x v="10"/>
    <x v="1"/>
    <x v="14"/>
    <s v="17/01/2022"/>
    <s v="17/01/2022"/>
    <s v="2022"/>
    <x v="1"/>
    <x v="593"/>
    <x v="257"/>
  </r>
  <r>
    <x v="18"/>
    <x v="1"/>
    <x v="0"/>
    <s v="22/08/2022"/>
    <s v="22/08/2022"/>
    <s v="2022"/>
    <x v="8"/>
    <x v="594"/>
    <x v="194"/>
  </r>
  <r>
    <x v="19"/>
    <x v="0"/>
    <x v="4"/>
    <s v="25/07/2022"/>
    <s v="25/07/2022"/>
    <s v="2022"/>
    <x v="2"/>
    <x v="556"/>
    <x v="150"/>
  </r>
  <r>
    <x v="11"/>
    <x v="0"/>
    <x v="6"/>
    <s v="14/06/2022"/>
    <s v="14/06/2022"/>
    <s v="2022"/>
    <x v="4"/>
    <x v="595"/>
    <x v="328"/>
  </r>
  <r>
    <x v="24"/>
    <x v="1"/>
    <x v="18"/>
    <d v="2022-05-04T00:00:00"/>
    <s v="04/05/2022"/>
    <s v="2022"/>
    <x v="7"/>
    <x v="596"/>
    <x v="148"/>
  </r>
  <r>
    <x v="22"/>
    <x v="0"/>
    <x v="17"/>
    <s v="26/08/2022"/>
    <s v="26/08/2022"/>
    <s v="2022"/>
    <x v="8"/>
    <x v="197"/>
    <x v="245"/>
  </r>
  <r>
    <x v="18"/>
    <x v="2"/>
    <x v="6"/>
    <d v="2022-03-08T00:00:00"/>
    <s v="08/03/2022"/>
    <s v="2022"/>
    <x v="5"/>
    <x v="597"/>
    <x v="280"/>
  </r>
  <r>
    <x v="2"/>
    <x v="5"/>
    <x v="14"/>
    <d v="2022-11-07T00:00:00"/>
    <s v="07/11/2022"/>
    <s v="2022"/>
    <x v="10"/>
    <x v="598"/>
    <x v="247"/>
  </r>
  <r>
    <x v="18"/>
    <x v="3"/>
    <x v="8"/>
    <d v="2022-11-03T00:00:00"/>
    <s v="03/11/2022"/>
    <s v="2022"/>
    <x v="10"/>
    <x v="599"/>
    <x v="108"/>
  </r>
  <r>
    <x v="6"/>
    <x v="0"/>
    <x v="2"/>
    <d v="2022-10-01T00:00:00"/>
    <s v="01/10/2022"/>
    <s v="2022"/>
    <x v="6"/>
    <x v="600"/>
    <x v="117"/>
  </r>
  <r>
    <x v="13"/>
    <x v="0"/>
    <x v="19"/>
    <d v="2022-04-04T00:00:00"/>
    <s v="04/04/2022"/>
    <s v="2022"/>
    <x v="0"/>
    <x v="601"/>
    <x v="329"/>
  </r>
  <r>
    <x v="10"/>
    <x v="2"/>
    <x v="6"/>
    <s v="17/01/2022"/>
    <s v="17/01/2022"/>
    <s v="2022"/>
    <x v="1"/>
    <x v="415"/>
    <x v="330"/>
  </r>
  <r>
    <x v="11"/>
    <x v="3"/>
    <x v="10"/>
    <d v="2022-08-07T00:00:00"/>
    <s v="07/08/2022"/>
    <s v="2022"/>
    <x v="8"/>
    <x v="602"/>
    <x v="112"/>
  </r>
  <r>
    <x v="3"/>
    <x v="0"/>
    <x v="10"/>
    <d v="2022-12-04T00:00:00"/>
    <s v="04/12/2022"/>
    <s v="2022"/>
    <x v="11"/>
    <x v="603"/>
    <x v="15"/>
  </r>
  <r>
    <x v="7"/>
    <x v="5"/>
    <x v="13"/>
    <s v="24/08/2022"/>
    <s v="24/08/2022"/>
    <s v="2022"/>
    <x v="8"/>
    <x v="604"/>
    <x v="177"/>
  </r>
  <r>
    <x v="24"/>
    <x v="0"/>
    <x v="18"/>
    <d v="2022-07-06T00:00:00"/>
    <s v="06/07/2022"/>
    <s v="2022"/>
    <x v="2"/>
    <x v="164"/>
    <x v="290"/>
  </r>
  <r>
    <x v="5"/>
    <x v="5"/>
    <x v="16"/>
    <s v="28/07/2022"/>
    <s v="28/07/2022"/>
    <s v="2022"/>
    <x v="2"/>
    <x v="594"/>
    <x v="117"/>
  </r>
  <r>
    <x v="15"/>
    <x v="4"/>
    <x v="4"/>
    <s v="21/02/2022"/>
    <s v="21/02/2022"/>
    <s v="2022"/>
    <x v="3"/>
    <x v="605"/>
    <x v="80"/>
  </r>
  <r>
    <x v="17"/>
    <x v="5"/>
    <x v="0"/>
    <d v="2022-08-04T00:00:00"/>
    <s v="04/08/2022"/>
    <s v="2022"/>
    <x v="8"/>
    <x v="606"/>
    <x v="331"/>
  </r>
  <r>
    <x v="6"/>
    <x v="0"/>
    <x v="15"/>
    <s v="28/06/2022"/>
    <s v="28/06/2022"/>
    <s v="2022"/>
    <x v="4"/>
    <x v="234"/>
    <x v="61"/>
  </r>
  <r>
    <x v="1"/>
    <x v="0"/>
    <x v="19"/>
    <s v="24/03/2022"/>
    <s v="24/03/2022"/>
    <s v="2022"/>
    <x v="5"/>
    <x v="37"/>
    <x v="332"/>
  </r>
  <r>
    <x v="8"/>
    <x v="2"/>
    <x v="20"/>
    <s v="29/07/2022"/>
    <s v="29/07/2022"/>
    <s v="2022"/>
    <x v="2"/>
    <x v="607"/>
    <x v="53"/>
  </r>
  <r>
    <x v="17"/>
    <x v="4"/>
    <x v="8"/>
    <s v="25/05/2022"/>
    <s v="25/05/2022"/>
    <s v="2022"/>
    <x v="7"/>
    <x v="608"/>
    <x v="114"/>
  </r>
  <r>
    <x v="2"/>
    <x v="2"/>
    <x v="17"/>
    <s v="30/03/2022"/>
    <s v="30/03/2022"/>
    <s v="2022"/>
    <x v="5"/>
    <x v="372"/>
    <x v="46"/>
  </r>
  <r>
    <x v="17"/>
    <x v="4"/>
    <x v="10"/>
    <s v="18/07/2022"/>
    <s v="18/07/2022"/>
    <s v="2022"/>
    <x v="2"/>
    <x v="609"/>
    <x v="179"/>
  </r>
  <r>
    <x v="12"/>
    <x v="5"/>
    <x v="7"/>
    <d v="2022-10-05T00:00:00"/>
    <s v="05/10/2022"/>
    <s v="2022"/>
    <x v="6"/>
    <x v="610"/>
    <x v="176"/>
  </r>
  <r>
    <x v="9"/>
    <x v="2"/>
    <x v="18"/>
    <s v="18/03/2022"/>
    <s v="18/03/2022"/>
    <s v="2022"/>
    <x v="5"/>
    <x v="611"/>
    <x v="96"/>
  </r>
  <r>
    <x v="24"/>
    <x v="1"/>
    <x v="20"/>
    <s v="15/06/2022"/>
    <s v="15/06/2022"/>
    <s v="2022"/>
    <x v="4"/>
    <x v="31"/>
    <x v="60"/>
  </r>
  <r>
    <x v="1"/>
    <x v="5"/>
    <x v="6"/>
    <d v="2022-12-05T00:00:00"/>
    <s v="05/12/2022"/>
    <s v="2022"/>
    <x v="11"/>
    <x v="4"/>
    <x v="204"/>
  </r>
  <r>
    <x v="20"/>
    <x v="3"/>
    <x v="19"/>
    <s v="23/06/2022"/>
    <s v="23/06/2022"/>
    <s v="2022"/>
    <x v="4"/>
    <x v="260"/>
    <x v="116"/>
  </r>
  <r>
    <x v="12"/>
    <x v="1"/>
    <x v="12"/>
    <s v="21/04/2022"/>
    <s v="21/04/2022"/>
    <s v="2022"/>
    <x v="0"/>
    <x v="428"/>
    <x v="333"/>
  </r>
  <r>
    <x v="2"/>
    <x v="2"/>
    <x v="16"/>
    <s v="17/08/2022"/>
    <s v="17/08/2022"/>
    <s v="2022"/>
    <x v="8"/>
    <x v="504"/>
    <x v="118"/>
  </r>
  <r>
    <x v="7"/>
    <x v="3"/>
    <x v="8"/>
    <d v="2022-07-02T00:00:00"/>
    <s v="02/07/2022"/>
    <s v="2022"/>
    <x v="2"/>
    <x v="612"/>
    <x v="194"/>
  </r>
  <r>
    <x v="20"/>
    <x v="5"/>
    <x v="3"/>
    <s v="17/03/2022"/>
    <s v="17/03/2022"/>
    <s v="2022"/>
    <x v="5"/>
    <x v="613"/>
    <x v="105"/>
  </r>
  <r>
    <x v="3"/>
    <x v="1"/>
    <x v="19"/>
    <d v="2022-01-08T00:00:00"/>
    <s v="08/01/2022"/>
    <s v="2022"/>
    <x v="1"/>
    <x v="614"/>
    <x v="159"/>
  </r>
  <r>
    <x v="0"/>
    <x v="2"/>
    <x v="11"/>
    <s v="18/03/2022"/>
    <s v="18/03/2022"/>
    <s v="2022"/>
    <x v="5"/>
    <x v="615"/>
    <x v="334"/>
  </r>
  <r>
    <x v="2"/>
    <x v="5"/>
    <x v="13"/>
    <s v="14/06/2022"/>
    <s v="14/06/2022"/>
    <s v="2022"/>
    <x v="4"/>
    <x v="419"/>
    <x v="61"/>
  </r>
  <r>
    <x v="12"/>
    <x v="0"/>
    <x v="8"/>
    <s v="22/04/2022"/>
    <s v="22/04/2022"/>
    <s v="2022"/>
    <x v="0"/>
    <x v="616"/>
    <x v="277"/>
  </r>
  <r>
    <x v="11"/>
    <x v="3"/>
    <x v="8"/>
    <s v="18/01/2022"/>
    <s v="18/01/2022"/>
    <s v="2022"/>
    <x v="1"/>
    <x v="617"/>
    <x v="86"/>
  </r>
  <r>
    <x v="15"/>
    <x v="2"/>
    <x v="4"/>
    <s v="26/08/2022"/>
    <s v="26/08/2022"/>
    <s v="2022"/>
    <x v="8"/>
    <x v="618"/>
    <x v="120"/>
  </r>
  <r>
    <x v="5"/>
    <x v="3"/>
    <x v="13"/>
    <d v="2022-10-06T00:00:00"/>
    <s v="06/10/2022"/>
    <s v="2022"/>
    <x v="6"/>
    <x v="619"/>
    <x v="335"/>
  </r>
  <r>
    <x v="14"/>
    <x v="5"/>
    <x v="21"/>
    <s v="31/01/2022"/>
    <s v="31/01/2022"/>
    <s v="2022"/>
    <x v="1"/>
    <x v="443"/>
    <x v="113"/>
  </r>
  <r>
    <x v="20"/>
    <x v="3"/>
    <x v="15"/>
    <d v="2022-08-04T00:00:00"/>
    <s v="04/08/2022"/>
    <s v="2022"/>
    <x v="8"/>
    <x v="620"/>
    <x v="85"/>
  </r>
  <r>
    <x v="23"/>
    <x v="2"/>
    <x v="19"/>
    <d v="2022-07-06T00:00:00"/>
    <s v="06/07/2022"/>
    <s v="2022"/>
    <x v="2"/>
    <x v="131"/>
    <x v="238"/>
  </r>
  <r>
    <x v="8"/>
    <x v="2"/>
    <x v="1"/>
    <d v="2022-10-02T00:00:00"/>
    <s v="02/10/2022"/>
    <s v="2022"/>
    <x v="6"/>
    <x v="621"/>
    <x v="110"/>
  </r>
  <r>
    <x v="12"/>
    <x v="2"/>
    <x v="6"/>
    <s v="16/05/2022"/>
    <s v="16/05/2022"/>
    <s v="2022"/>
    <x v="7"/>
    <x v="622"/>
    <x v="336"/>
  </r>
  <r>
    <x v="5"/>
    <x v="1"/>
    <x v="19"/>
    <s v="18/03/2022"/>
    <s v="18/03/2022"/>
    <s v="2022"/>
    <x v="5"/>
    <x v="384"/>
    <x v="337"/>
  </r>
  <r>
    <x v="1"/>
    <x v="2"/>
    <x v="6"/>
    <s v="13/07/2022"/>
    <s v="13/07/2022"/>
    <s v="2022"/>
    <x v="2"/>
    <x v="623"/>
    <x v="68"/>
  </r>
  <r>
    <x v="4"/>
    <x v="4"/>
    <x v="15"/>
    <s v="25/07/2022"/>
    <s v="25/07/2022"/>
    <s v="2022"/>
    <x v="2"/>
    <x v="521"/>
    <x v="189"/>
  </r>
  <r>
    <x v="1"/>
    <x v="5"/>
    <x v="18"/>
    <s v="19/08/2022"/>
    <s v="19/08/2022"/>
    <s v="2022"/>
    <x v="8"/>
    <x v="148"/>
    <x v="89"/>
  </r>
  <r>
    <x v="10"/>
    <x v="5"/>
    <x v="21"/>
    <s v="24/06/2022"/>
    <s v="24/06/2022"/>
    <s v="2022"/>
    <x v="4"/>
    <x v="265"/>
    <x v="338"/>
  </r>
  <r>
    <x v="20"/>
    <x v="5"/>
    <x v="13"/>
    <s v="20/06/2022"/>
    <s v="20/06/2022"/>
    <s v="2022"/>
    <x v="4"/>
    <x v="624"/>
    <x v="58"/>
  </r>
  <r>
    <x v="21"/>
    <x v="1"/>
    <x v="4"/>
    <d v="2022-02-08T00:00:00"/>
    <s v="08/02/2022"/>
    <s v="2022"/>
    <x v="3"/>
    <x v="625"/>
    <x v="307"/>
  </r>
  <r>
    <x v="22"/>
    <x v="3"/>
    <x v="21"/>
    <s v="22/02/2022"/>
    <s v="22/02/2022"/>
    <s v="2022"/>
    <x v="3"/>
    <x v="626"/>
    <x v="266"/>
  </r>
  <r>
    <x v="9"/>
    <x v="3"/>
    <x v="7"/>
    <d v="2022-01-02T00:00:00"/>
    <s v="02/01/2022"/>
    <s v="2022"/>
    <x v="1"/>
    <x v="459"/>
    <x v="47"/>
  </r>
  <r>
    <x v="3"/>
    <x v="5"/>
    <x v="21"/>
    <s v="14/02/2022"/>
    <s v="14/02/2022"/>
    <s v="2022"/>
    <x v="3"/>
    <x v="627"/>
    <x v="339"/>
  </r>
  <r>
    <x v="20"/>
    <x v="2"/>
    <x v="11"/>
    <s v="24/02/2022"/>
    <s v="24/02/2022"/>
    <s v="2022"/>
    <x v="3"/>
    <x v="219"/>
    <x v="100"/>
  </r>
  <r>
    <x v="17"/>
    <x v="1"/>
    <x v="7"/>
    <s v="18/03/2022"/>
    <s v="18/03/2022"/>
    <s v="2022"/>
    <x v="5"/>
    <x v="201"/>
    <x v="264"/>
  </r>
  <r>
    <x v="15"/>
    <x v="0"/>
    <x v="8"/>
    <s v="30/08/2022"/>
    <s v="30/08/2022"/>
    <s v="2022"/>
    <x v="8"/>
    <x v="418"/>
    <x v="171"/>
  </r>
  <r>
    <x v="2"/>
    <x v="4"/>
    <x v="2"/>
    <d v="2022-09-05T00:00:00"/>
    <s v="05/09/2022"/>
    <s v="2022"/>
    <x v="9"/>
    <x v="78"/>
    <x v="207"/>
  </r>
  <r>
    <x v="18"/>
    <x v="4"/>
    <x v="3"/>
    <s v="18/01/2022"/>
    <s v="18/01/2022"/>
    <s v="2022"/>
    <x v="1"/>
    <x v="533"/>
    <x v="102"/>
  </r>
  <r>
    <x v="14"/>
    <x v="1"/>
    <x v="14"/>
    <d v="2022-04-07T00:00:00"/>
    <s v="07/04/2022"/>
    <s v="2022"/>
    <x v="0"/>
    <x v="86"/>
    <x v="3"/>
  </r>
  <r>
    <x v="4"/>
    <x v="3"/>
    <x v="12"/>
    <d v="2022-03-06T00:00:00"/>
    <s v="06/03/2022"/>
    <s v="2022"/>
    <x v="5"/>
    <x v="628"/>
    <x v="235"/>
  </r>
  <r>
    <x v="12"/>
    <x v="3"/>
    <x v="2"/>
    <s v="23/02/2022"/>
    <s v="23/02/2022"/>
    <s v="2022"/>
    <x v="3"/>
    <x v="629"/>
    <x v="117"/>
  </r>
  <r>
    <x v="23"/>
    <x v="3"/>
    <x v="4"/>
    <d v="2022-09-05T00:00:00"/>
    <s v="05/09/2022"/>
    <s v="2022"/>
    <x v="9"/>
    <x v="630"/>
    <x v="214"/>
  </r>
  <r>
    <x v="20"/>
    <x v="1"/>
    <x v="21"/>
    <d v="2022-06-06T00:00:00"/>
    <s v="06/06/2022"/>
    <s v="2022"/>
    <x v="4"/>
    <x v="269"/>
    <x v="85"/>
  </r>
  <r>
    <x v="20"/>
    <x v="1"/>
    <x v="9"/>
    <d v="2022-04-07T00:00:00"/>
    <s v="07/04/2022"/>
    <s v="2022"/>
    <x v="0"/>
    <x v="520"/>
    <x v="229"/>
  </r>
  <r>
    <x v="6"/>
    <x v="3"/>
    <x v="9"/>
    <d v="2022-06-06T00:00:00"/>
    <s v="06/06/2022"/>
    <s v="2022"/>
    <x v="4"/>
    <x v="583"/>
    <x v="149"/>
  </r>
  <r>
    <x v="23"/>
    <x v="2"/>
    <x v="16"/>
    <s v="13/05/2022"/>
    <s v="13/05/2022"/>
    <s v="2022"/>
    <x v="7"/>
    <x v="98"/>
    <x v="2"/>
  </r>
  <r>
    <x v="18"/>
    <x v="3"/>
    <x v="10"/>
    <s v="31/01/2022"/>
    <s v="31/01/2022"/>
    <s v="2022"/>
    <x v="1"/>
    <x v="631"/>
    <x v="173"/>
  </r>
  <r>
    <x v="24"/>
    <x v="3"/>
    <x v="20"/>
    <s v="30/06/2022"/>
    <s v="30/06/2022"/>
    <s v="2022"/>
    <x v="4"/>
    <x v="632"/>
    <x v="16"/>
  </r>
  <r>
    <x v="8"/>
    <x v="5"/>
    <x v="15"/>
    <s v="25/08/2022"/>
    <s v="25/08/2022"/>
    <s v="2022"/>
    <x v="8"/>
    <x v="387"/>
    <x v="156"/>
  </r>
  <r>
    <x v="2"/>
    <x v="3"/>
    <x v="3"/>
    <d v="2022-10-01T00:00:00"/>
    <s v="01/10/2022"/>
    <s v="2022"/>
    <x v="6"/>
    <x v="622"/>
    <x v="82"/>
  </r>
  <r>
    <x v="6"/>
    <x v="4"/>
    <x v="15"/>
    <s v="22/08/2022"/>
    <s v="22/08/2022"/>
    <s v="2022"/>
    <x v="8"/>
    <x v="633"/>
    <x v="305"/>
  </r>
  <r>
    <x v="13"/>
    <x v="3"/>
    <x v="1"/>
    <s v="14/04/2022"/>
    <s v="14/04/2022"/>
    <s v="2022"/>
    <x v="0"/>
    <x v="634"/>
    <x v="180"/>
  </r>
  <r>
    <x v="4"/>
    <x v="0"/>
    <x v="3"/>
    <s v="31/05/2022"/>
    <s v="31/05/2022"/>
    <s v="2022"/>
    <x v="7"/>
    <x v="596"/>
    <x v="340"/>
  </r>
  <r>
    <x v="4"/>
    <x v="0"/>
    <x v="17"/>
    <d v="2022-08-04T00:00:00"/>
    <s v="04/08/2022"/>
    <s v="2022"/>
    <x v="8"/>
    <x v="635"/>
    <x v="316"/>
  </r>
  <r>
    <x v="13"/>
    <x v="4"/>
    <x v="9"/>
    <s v="21/02/2022"/>
    <s v="21/02/2022"/>
    <s v="2022"/>
    <x v="3"/>
    <x v="22"/>
    <x v="277"/>
  </r>
  <r>
    <x v="19"/>
    <x v="2"/>
    <x v="15"/>
    <s v="30/03/2022"/>
    <s v="30/03/2022"/>
    <s v="2022"/>
    <x v="5"/>
    <x v="636"/>
    <x v="341"/>
  </r>
  <r>
    <x v="9"/>
    <x v="1"/>
    <x v="17"/>
    <d v="2022-02-03T00:00:00"/>
    <s v="03/02/2022"/>
    <s v="2022"/>
    <x v="3"/>
    <x v="637"/>
    <x v="236"/>
  </r>
  <r>
    <x v="0"/>
    <x v="4"/>
    <x v="7"/>
    <s v="28/07/2022"/>
    <s v="28/07/2022"/>
    <s v="2022"/>
    <x v="2"/>
    <x v="638"/>
    <x v="178"/>
  </r>
  <r>
    <x v="16"/>
    <x v="3"/>
    <x v="21"/>
    <s v="24/03/2022"/>
    <s v="24/03/2022"/>
    <s v="2022"/>
    <x v="5"/>
    <x v="639"/>
    <x v="5"/>
  </r>
  <r>
    <x v="14"/>
    <x v="2"/>
    <x v="5"/>
    <d v="2022-11-08T00:00:00"/>
    <s v="08/11/2022"/>
    <s v="2022"/>
    <x v="10"/>
    <x v="79"/>
    <x v="239"/>
  </r>
  <r>
    <x v="15"/>
    <x v="0"/>
    <x v="16"/>
    <s v="17/05/2022"/>
    <s v="17/05/2022"/>
    <s v="2022"/>
    <x v="7"/>
    <x v="640"/>
    <x v="185"/>
  </r>
  <r>
    <x v="16"/>
    <x v="5"/>
    <x v="18"/>
    <s v="18/05/2022"/>
    <s v="18/05/2022"/>
    <s v="2022"/>
    <x v="7"/>
    <x v="641"/>
    <x v="223"/>
  </r>
  <r>
    <x v="13"/>
    <x v="0"/>
    <x v="2"/>
    <s v="17/08/2022"/>
    <s v="17/08/2022"/>
    <s v="2022"/>
    <x v="8"/>
    <x v="299"/>
    <x v="333"/>
  </r>
  <r>
    <x v="24"/>
    <x v="3"/>
    <x v="8"/>
    <d v="2022-04-04T00:00:00"/>
    <s v="04/04/2022"/>
    <s v="2022"/>
    <x v="0"/>
    <x v="642"/>
    <x v="282"/>
  </r>
  <r>
    <x v="6"/>
    <x v="1"/>
    <x v="1"/>
    <d v="2022-09-08T00:00:00"/>
    <s v="08/09/2022"/>
    <s v="2022"/>
    <x v="9"/>
    <x v="643"/>
    <x v="342"/>
  </r>
  <r>
    <x v="6"/>
    <x v="3"/>
    <x v="10"/>
    <s v="17/01/2022"/>
    <s v="17/01/2022"/>
    <s v="2022"/>
    <x v="1"/>
    <x v="331"/>
    <x v="340"/>
  </r>
  <r>
    <x v="19"/>
    <x v="5"/>
    <x v="14"/>
    <s v="14/02/2022"/>
    <s v="14/02/2022"/>
    <s v="2022"/>
    <x v="3"/>
    <x v="15"/>
    <x v="334"/>
  </r>
  <r>
    <x v="2"/>
    <x v="3"/>
    <x v="7"/>
    <s v="16/05/2022"/>
    <s v="16/05/2022"/>
    <s v="2022"/>
    <x v="7"/>
    <x v="400"/>
    <x v="343"/>
  </r>
  <r>
    <x v="24"/>
    <x v="5"/>
    <x v="3"/>
    <s v="16/03/2022"/>
    <s v="16/03/2022"/>
    <s v="2022"/>
    <x v="5"/>
    <x v="302"/>
    <x v="30"/>
  </r>
  <r>
    <x v="15"/>
    <x v="5"/>
    <x v="21"/>
    <s v="31/01/2022"/>
    <s v="31/01/2022"/>
    <s v="2022"/>
    <x v="1"/>
    <x v="644"/>
    <x v="248"/>
  </r>
  <r>
    <x v="8"/>
    <x v="5"/>
    <x v="10"/>
    <d v="2022-10-03T00:00:00"/>
    <s v="03/10/2022"/>
    <s v="2022"/>
    <x v="6"/>
    <x v="645"/>
    <x v="342"/>
  </r>
  <r>
    <x v="4"/>
    <x v="0"/>
    <x v="10"/>
    <s v="30/06/2022"/>
    <s v="30/06/2022"/>
    <s v="2022"/>
    <x v="4"/>
    <x v="646"/>
    <x v="21"/>
  </r>
  <r>
    <x v="1"/>
    <x v="3"/>
    <x v="8"/>
    <d v="2022-01-03T00:00:00"/>
    <s v="03/01/2022"/>
    <s v="2022"/>
    <x v="1"/>
    <x v="647"/>
    <x v="251"/>
  </r>
  <r>
    <x v="9"/>
    <x v="0"/>
    <x v="9"/>
    <s v="27/05/2022"/>
    <s v="27/05/2022"/>
    <s v="2022"/>
    <x v="7"/>
    <x v="648"/>
    <x v="149"/>
  </r>
  <r>
    <x v="4"/>
    <x v="0"/>
    <x v="11"/>
    <d v="2022-11-07T00:00:00"/>
    <s v="07/11/2022"/>
    <s v="2022"/>
    <x v="10"/>
    <x v="187"/>
    <x v="226"/>
  </r>
  <r>
    <x v="10"/>
    <x v="3"/>
    <x v="0"/>
    <d v="2022-02-03T00:00:00"/>
    <s v="03/02/2022"/>
    <s v="2022"/>
    <x v="3"/>
    <x v="649"/>
    <x v="169"/>
  </r>
  <r>
    <x v="0"/>
    <x v="4"/>
    <x v="17"/>
    <d v="2022-04-03T00:00:00"/>
    <s v="03/04/2022"/>
    <s v="2022"/>
    <x v="0"/>
    <x v="86"/>
    <x v="32"/>
  </r>
  <r>
    <x v="20"/>
    <x v="0"/>
    <x v="1"/>
    <s v="23/06/2022"/>
    <s v="23/06/2022"/>
    <s v="2022"/>
    <x v="4"/>
    <x v="650"/>
    <x v="344"/>
  </r>
  <r>
    <x v="20"/>
    <x v="4"/>
    <x v="16"/>
    <s v="27/01/2022"/>
    <s v="27/01/2022"/>
    <s v="2022"/>
    <x v="1"/>
    <x v="651"/>
    <x v="143"/>
  </r>
  <r>
    <x v="11"/>
    <x v="5"/>
    <x v="7"/>
    <s v="14/01/2022"/>
    <s v="14/01/2022"/>
    <s v="2022"/>
    <x v="1"/>
    <x v="497"/>
    <x v="345"/>
  </r>
  <r>
    <x v="17"/>
    <x v="1"/>
    <x v="13"/>
    <s v="29/07/2022"/>
    <s v="29/07/2022"/>
    <s v="2022"/>
    <x v="2"/>
    <x v="652"/>
    <x v="51"/>
  </r>
  <r>
    <x v="6"/>
    <x v="5"/>
    <x v="3"/>
    <s v="13/05/2022"/>
    <s v="13/05/2022"/>
    <s v="2022"/>
    <x v="7"/>
    <x v="299"/>
    <x v="346"/>
  </r>
  <r>
    <x v="8"/>
    <x v="5"/>
    <x v="19"/>
    <d v="2022-03-02T00:00:00"/>
    <s v="02/03/2022"/>
    <s v="2022"/>
    <x v="5"/>
    <x v="653"/>
    <x v="178"/>
  </r>
  <r>
    <x v="6"/>
    <x v="1"/>
    <x v="3"/>
    <s v="27/05/2022"/>
    <s v="27/05/2022"/>
    <s v="2022"/>
    <x v="7"/>
    <x v="654"/>
    <x v="135"/>
  </r>
  <r>
    <x v="3"/>
    <x v="2"/>
    <x v="9"/>
    <s v="18/02/2022"/>
    <s v="18/02/2022"/>
    <s v="2022"/>
    <x v="3"/>
    <x v="334"/>
    <x v="51"/>
  </r>
  <r>
    <x v="6"/>
    <x v="1"/>
    <x v="12"/>
    <s v="28/01/2022"/>
    <s v="28/01/2022"/>
    <s v="2022"/>
    <x v="1"/>
    <x v="655"/>
    <x v="314"/>
  </r>
  <r>
    <x v="1"/>
    <x v="0"/>
    <x v="8"/>
    <s v="29/06/2022"/>
    <s v="29/06/2022"/>
    <s v="2022"/>
    <x v="4"/>
    <x v="546"/>
    <x v="176"/>
  </r>
  <r>
    <x v="18"/>
    <x v="1"/>
    <x v="20"/>
    <s v="13/01/2022"/>
    <s v="13/01/2022"/>
    <s v="2022"/>
    <x v="1"/>
    <x v="656"/>
    <x v="321"/>
  </r>
  <r>
    <x v="0"/>
    <x v="0"/>
    <x v="5"/>
    <s v="27/06/2022"/>
    <s v="27/06/2022"/>
    <s v="2022"/>
    <x v="4"/>
    <x v="657"/>
    <x v="223"/>
  </r>
  <r>
    <x v="8"/>
    <x v="5"/>
    <x v="14"/>
    <s v="29/03/2022"/>
    <s v="29/03/2022"/>
    <s v="2022"/>
    <x v="5"/>
    <x v="658"/>
    <x v="347"/>
  </r>
  <r>
    <x v="5"/>
    <x v="1"/>
    <x v="10"/>
    <d v="2022-03-06T00:00:00"/>
    <s v="06/03/2022"/>
    <s v="2022"/>
    <x v="5"/>
    <x v="659"/>
    <x v="44"/>
  </r>
  <r>
    <x v="9"/>
    <x v="5"/>
    <x v="3"/>
    <s v="21/03/2022"/>
    <s v="21/03/2022"/>
    <s v="2022"/>
    <x v="5"/>
    <x v="106"/>
    <x v="325"/>
  </r>
  <r>
    <x v="9"/>
    <x v="1"/>
    <x v="8"/>
    <d v="2022-12-04T00:00:00"/>
    <s v="04/12/2022"/>
    <s v="2022"/>
    <x v="11"/>
    <x v="660"/>
    <x v="106"/>
  </r>
  <r>
    <x v="7"/>
    <x v="2"/>
    <x v="17"/>
    <s v="19/01/2022"/>
    <s v="19/01/2022"/>
    <s v="2022"/>
    <x v="1"/>
    <x v="282"/>
    <x v="199"/>
  </r>
  <r>
    <x v="10"/>
    <x v="0"/>
    <x v="6"/>
    <d v="2022-06-04T00:00:00"/>
    <s v="04/06/2022"/>
    <s v="2022"/>
    <x v="4"/>
    <x v="661"/>
    <x v="348"/>
  </r>
  <r>
    <x v="16"/>
    <x v="2"/>
    <x v="6"/>
    <d v="2022-02-08T00:00:00"/>
    <s v="08/02/2022"/>
    <s v="2022"/>
    <x v="3"/>
    <x v="662"/>
    <x v="148"/>
  </r>
  <r>
    <x v="2"/>
    <x v="2"/>
    <x v="8"/>
    <d v="2022-12-04T00:00:00"/>
    <s v="04/12/2022"/>
    <s v="2022"/>
    <x v="11"/>
    <x v="663"/>
    <x v="128"/>
  </r>
  <r>
    <x v="4"/>
    <x v="1"/>
    <x v="9"/>
    <s v="21/07/2022"/>
    <s v="21/07/2022"/>
    <s v="2022"/>
    <x v="2"/>
    <x v="664"/>
    <x v="284"/>
  </r>
  <r>
    <x v="1"/>
    <x v="3"/>
    <x v="19"/>
    <s v="22/03/2022"/>
    <s v="22/03/2022"/>
    <s v="2022"/>
    <x v="5"/>
    <x v="196"/>
    <x v="51"/>
  </r>
  <r>
    <x v="15"/>
    <x v="1"/>
    <x v="2"/>
    <d v="2022-09-05T00:00:00"/>
    <s v="05/09/2022"/>
    <s v="2022"/>
    <x v="9"/>
    <x v="665"/>
    <x v="262"/>
  </r>
  <r>
    <x v="19"/>
    <x v="2"/>
    <x v="19"/>
    <d v="2022-09-08T00:00:00"/>
    <s v="08/09/2022"/>
    <s v="2022"/>
    <x v="9"/>
    <x v="666"/>
    <x v="176"/>
  </r>
  <r>
    <x v="22"/>
    <x v="5"/>
    <x v="18"/>
    <s v="20/07/2022"/>
    <s v="20/07/2022"/>
    <s v="2022"/>
    <x v="2"/>
    <x v="667"/>
    <x v="349"/>
  </r>
  <r>
    <x v="6"/>
    <x v="1"/>
    <x v="21"/>
    <s v="14/04/2022"/>
    <s v="14/04/2022"/>
    <s v="2022"/>
    <x v="0"/>
    <x v="668"/>
    <x v="350"/>
  </r>
  <r>
    <x v="0"/>
    <x v="5"/>
    <x v="14"/>
    <s v="25/01/2022"/>
    <s v="25/01/2022"/>
    <s v="2022"/>
    <x v="1"/>
    <x v="669"/>
    <x v="128"/>
  </r>
  <r>
    <x v="19"/>
    <x v="2"/>
    <x v="16"/>
    <s v="25/04/2022"/>
    <s v="25/04/2022"/>
    <s v="2022"/>
    <x v="0"/>
    <x v="231"/>
    <x v="95"/>
  </r>
  <r>
    <x v="23"/>
    <x v="5"/>
    <x v="5"/>
    <s v="17/01/2022"/>
    <s v="17/01/2022"/>
    <s v="2022"/>
    <x v="1"/>
    <x v="210"/>
    <x v="351"/>
  </r>
  <r>
    <x v="10"/>
    <x v="4"/>
    <x v="8"/>
    <s v="15/08/2022"/>
    <s v="15/08/2022"/>
    <s v="2022"/>
    <x v="8"/>
    <x v="670"/>
    <x v="100"/>
  </r>
  <r>
    <x v="10"/>
    <x v="5"/>
    <x v="13"/>
    <d v="2022-02-06T00:00:00"/>
    <s v="06/02/2022"/>
    <s v="2022"/>
    <x v="3"/>
    <x v="671"/>
    <x v="39"/>
  </r>
  <r>
    <x v="5"/>
    <x v="4"/>
    <x v="1"/>
    <s v="30/06/2022"/>
    <s v="30/06/2022"/>
    <s v="2022"/>
    <x v="4"/>
    <x v="672"/>
    <x v="48"/>
  </r>
  <r>
    <x v="23"/>
    <x v="3"/>
    <x v="17"/>
    <d v="2022-10-02T00:00:00"/>
    <s v="02/10/2022"/>
    <s v="2022"/>
    <x v="6"/>
    <x v="673"/>
    <x v="2"/>
  </r>
  <r>
    <x v="11"/>
    <x v="5"/>
    <x v="20"/>
    <s v="23/02/2022"/>
    <s v="23/02/2022"/>
    <s v="2022"/>
    <x v="3"/>
    <x v="203"/>
    <x v="352"/>
  </r>
  <r>
    <x v="17"/>
    <x v="1"/>
    <x v="10"/>
    <s v="27/01/2022"/>
    <s v="27/01/2022"/>
    <s v="2022"/>
    <x v="1"/>
    <x v="674"/>
    <x v="174"/>
  </r>
  <r>
    <x v="21"/>
    <x v="0"/>
    <x v="0"/>
    <s v="26/05/2022"/>
    <s v="26/05/2022"/>
    <s v="2022"/>
    <x v="7"/>
    <x v="675"/>
    <x v="254"/>
  </r>
  <r>
    <x v="6"/>
    <x v="4"/>
    <x v="21"/>
    <s v="14/04/2022"/>
    <s v="14/04/2022"/>
    <s v="2022"/>
    <x v="0"/>
    <x v="606"/>
    <x v="69"/>
  </r>
  <r>
    <x v="22"/>
    <x v="2"/>
    <x v="4"/>
    <d v="2022-01-08T00:00:00"/>
    <s v="08/01/2022"/>
    <s v="2022"/>
    <x v="1"/>
    <x v="649"/>
    <x v="163"/>
  </r>
  <r>
    <x v="9"/>
    <x v="2"/>
    <x v="8"/>
    <s v="22/08/2022"/>
    <s v="22/08/2022"/>
    <s v="2022"/>
    <x v="8"/>
    <x v="676"/>
    <x v="353"/>
  </r>
  <r>
    <x v="11"/>
    <x v="1"/>
    <x v="4"/>
    <s v="22/07/2022"/>
    <s v="22/07/2022"/>
    <s v="2022"/>
    <x v="2"/>
    <x v="677"/>
    <x v="21"/>
  </r>
  <r>
    <x v="15"/>
    <x v="4"/>
    <x v="13"/>
    <s v="28/04/2022"/>
    <s v="28/04/2022"/>
    <s v="2022"/>
    <x v="0"/>
    <x v="325"/>
    <x v="103"/>
  </r>
  <r>
    <x v="20"/>
    <x v="2"/>
    <x v="16"/>
    <s v="30/05/2022"/>
    <s v="30/05/2022"/>
    <s v="2022"/>
    <x v="7"/>
    <x v="678"/>
    <x v="313"/>
  </r>
  <r>
    <x v="24"/>
    <x v="4"/>
    <x v="11"/>
    <s v="21/07/2022"/>
    <s v="21/07/2022"/>
    <s v="2022"/>
    <x v="2"/>
    <x v="679"/>
    <x v="21"/>
  </r>
  <r>
    <x v="3"/>
    <x v="0"/>
    <x v="20"/>
    <d v="2022-02-08T00:00:00"/>
    <s v="08/02/2022"/>
    <s v="2022"/>
    <x v="3"/>
    <x v="421"/>
    <x v="354"/>
  </r>
  <r>
    <x v="6"/>
    <x v="3"/>
    <x v="21"/>
    <s v="15/06/2022"/>
    <s v="15/06/2022"/>
    <s v="2022"/>
    <x v="4"/>
    <x v="639"/>
    <x v="284"/>
  </r>
  <r>
    <x v="4"/>
    <x v="1"/>
    <x v="1"/>
    <d v="2022-05-07T00:00:00"/>
    <s v="07/05/2022"/>
    <s v="2022"/>
    <x v="7"/>
    <x v="680"/>
    <x v="284"/>
  </r>
  <r>
    <x v="16"/>
    <x v="3"/>
    <x v="3"/>
    <d v="2022-12-04T00:00:00"/>
    <s v="04/12/2022"/>
    <s v="2022"/>
    <x v="11"/>
    <x v="486"/>
    <x v="355"/>
  </r>
  <r>
    <x v="2"/>
    <x v="2"/>
    <x v="21"/>
    <s v="18/08/2022"/>
    <s v="18/08/2022"/>
    <s v="2022"/>
    <x v="8"/>
    <x v="203"/>
    <x v="239"/>
  </r>
  <r>
    <x v="3"/>
    <x v="0"/>
    <x v="6"/>
    <d v="2022-12-01T00:00:00"/>
    <s v="01/12/2022"/>
    <s v="2022"/>
    <x v="11"/>
    <x v="681"/>
    <x v="300"/>
  </r>
  <r>
    <x v="5"/>
    <x v="5"/>
    <x v="14"/>
    <d v="2022-11-08T00:00:00"/>
    <s v="08/11/2022"/>
    <s v="2022"/>
    <x v="10"/>
    <x v="682"/>
    <x v="303"/>
  </r>
  <r>
    <x v="0"/>
    <x v="2"/>
    <x v="12"/>
    <s v="13/01/2022"/>
    <s v="13/01/2022"/>
    <s v="2022"/>
    <x v="1"/>
    <x v="507"/>
    <x v="269"/>
  </r>
  <r>
    <x v="15"/>
    <x v="0"/>
    <x v="19"/>
    <s v="29/04/2022"/>
    <s v="29/04/2022"/>
    <s v="2022"/>
    <x v="0"/>
    <x v="683"/>
    <x v="48"/>
  </r>
  <r>
    <x v="7"/>
    <x v="3"/>
    <x v="5"/>
    <d v="2022-07-07T00:00:00"/>
    <s v="07/07/2022"/>
    <s v="2022"/>
    <x v="2"/>
    <x v="684"/>
    <x v="96"/>
  </r>
  <r>
    <x v="22"/>
    <x v="3"/>
    <x v="0"/>
    <d v="2022-11-03T00:00:00"/>
    <s v="03/11/2022"/>
    <s v="2022"/>
    <x v="10"/>
    <x v="685"/>
    <x v="247"/>
  </r>
  <r>
    <x v="22"/>
    <x v="0"/>
    <x v="21"/>
    <s v="16/02/2022"/>
    <s v="16/02/2022"/>
    <s v="2022"/>
    <x v="3"/>
    <x v="686"/>
    <x v="312"/>
  </r>
  <r>
    <x v="8"/>
    <x v="2"/>
    <x v="10"/>
    <d v="2022-07-01T00:00:00"/>
    <s v="01/07/2022"/>
    <s v="2022"/>
    <x v="2"/>
    <x v="443"/>
    <x v="314"/>
  </r>
  <r>
    <x v="12"/>
    <x v="3"/>
    <x v="9"/>
    <d v="2022-12-01T00:00:00"/>
    <s v="01/12/2022"/>
    <s v="2022"/>
    <x v="11"/>
    <x v="645"/>
    <x v="355"/>
  </r>
  <r>
    <x v="12"/>
    <x v="1"/>
    <x v="8"/>
    <d v="2022-09-06T00:00:00"/>
    <s v="06/09/2022"/>
    <s v="2022"/>
    <x v="9"/>
    <x v="687"/>
    <x v="234"/>
  </r>
  <r>
    <x v="19"/>
    <x v="1"/>
    <x v="8"/>
    <s v="16/05/2022"/>
    <s v="16/05/2022"/>
    <s v="2022"/>
    <x v="7"/>
    <x v="688"/>
    <x v="147"/>
  </r>
  <r>
    <x v="2"/>
    <x v="0"/>
    <x v="1"/>
    <s v="23/06/2022"/>
    <s v="23/06/2022"/>
    <s v="2022"/>
    <x v="4"/>
    <x v="689"/>
    <x v="1"/>
  </r>
  <r>
    <x v="13"/>
    <x v="0"/>
    <x v="17"/>
    <s v="28/01/2022"/>
    <s v="28/01/2022"/>
    <s v="2022"/>
    <x v="1"/>
    <x v="690"/>
    <x v="275"/>
  </r>
  <r>
    <x v="23"/>
    <x v="0"/>
    <x v="0"/>
    <s v="14/07/2022"/>
    <s v="14/07/2022"/>
    <s v="2022"/>
    <x v="2"/>
    <x v="37"/>
    <x v="174"/>
  </r>
  <r>
    <x v="8"/>
    <x v="5"/>
    <x v="9"/>
    <s v="18/04/2022"/>
    <s v="18/04/2022"/>
    <s v="2022"/>
    <x v="0"/>
    <x v="592"/>
    <x v="356"/>
  </r>
  <r>
    <x v="4"/>
    <x v="4"/>
    <x v="11"/>
    <s v="14/06/2022"/>
    <s v="14/06/2022"/>
    <s v="2022"/>
    <x v="4"/>
    <x v="362"/>
    <x v="159"/>
  </r>
  <r>
    <x v="4"/>
    <x v="0"/>
    <x v="7"/>
    <s v="15/04/2022"/>
    <s v="15/04/2022"/>
    <s v="2022"/>
    <x v="0"/>
    <x v="691"/>
    <x v="351"/>
  </r>
  <r>
    <x v="14"/>
    <x v="5"/>
    <x v="2"/>
    <s v="19/05/2022"/>
    <s v="19/05/2022"/>
    <s v="2022"/>
    <x v="7"/>
    <x v="369"/>
    <x v="357"/>
  </r>
  <r>
    <x v="2"/>
    <x v="1"/>
    <x v="14"/>
    <s v="13/04/2022"/>
    <s v="13/04/2022"/>
    <s v="2022"/>
    <x v="0"/>
    <x v="692"/>
    <x v="19"/>
  </r>
  <r>
    <x v="15"/>
    <x v="5"/>
    <x v="18"/>
    <s v="15/08/2022"/>
    <s v="15/08/2022"/>
    <s v="2022"/>
    <x v="8"/>
    <x v="475"/>
    <x v="75"/>
  </r>
  <r>
    <x v="18"/>
    <x v="1"/>
    <x v="18"/>
    <s v="22/08/2022"/>
    <s v="22/08/2022"/>
    <s v="2022"/>
    <x v="8"/>
    <x v="607"/>
    <x v="143"/>
  </r>
  <r>
    <x v="18"/>
    <x v="3"/>
    <x v="19"/>
    <s v="22/04/2022"/>
    <s v="22/04/2022"/>
    <s v="2022"/>
    <x v="0"/>
    <x v="432"/>
    <x v="8"/>
  </r>
  <r>
    <x v="16"/>
    <x v="0"/>
    <x v="18"/>
    <d v="2022-03-08T00:00:00"/>
    <s v="08/03/2022"/>
    <s v="2022"/>
    <x v="5"/>
    <x v="693"/>
    <x v="358"/>
  </r>
  <r>
    <x v="17"/>
    <x v="3"/>
    <x v="10"/>
    <d v="2022-04-01T00:00:00"/>
    <s v="01/04/2022"/>
    <s v="2022"/>
    <x v="0"/>
    <x v="694"/>
    <x v="299"/>
  </r>
  <r>
    <x v="20"/>
    <x v="5"/>
    <x v="5"/>
    <s v="13/01/2022"/>
    <s v="13/01/2022"/>
    <s v="2022"/>
    <x v="1"/>
    <x v="695"/>
    <x v="304"/>
  </r>
  <r>
    <x v="1"/>
    <x v="2"/>
    <x v="19"/>
    <d v="2022-11-05T00:00:00"/>
    <s v="05/11/2022"/>
    <s v="2022"/>
    <x v="10"/>
    <x v="696"/>
    <x v="65"/>
  </r>
  <r>
    <x v="15"/>
    <x v="3"/>
    <x v="2"/>
    <s v="16/02/2022"/>
    <s v="16/02/2022"/>
    <s v="2022"/>
    <x v="3"/>
    <x v="268"/>
    <x v="290"/>
  </r>
  <r>
    <x v="16"/>
    <x v="0"/>
    <x v="20"/>
    <s v="20/05/2022"/>
    <s v="20/05/2022"/>
    <s v="2022"/>
    <x v="7"/>
    <x v="697"/>
    <x v="274"/>
  </r>
  <r>
    <x v="0"/>
    <x v="0"/>
    <x v="9"/>
    <d v="2022-03-02T00:00:00"/>
    <s v="02/03/2022"/>
    <s v="2022"/>
    <x v="5"/>
    <x v="698"/>
    <x v="359"/>
  </r>
  <r>
    <x v="12"/>
    <x v="1"/>
    <x v="15"/>
    <d v="2022-06-05T00:00:00"/>
    <s v="05/06/2022"/>
    <s v="2022"/>
    <x v="4"/>
    <x v="699"/>
    <x v="92"/>
  </r>
  <r>
    <x v="5"/>
    <x v="0"/>
    <x v="18"/>
    <s v="30/06/2022"/>
    <s v="30/06/2022"/>
    <s v="2022"/>
    <x v="4"/>
    <x v="345"/>
    <x v="48"/>
  </r>
  <r>
    <x v="5"/>
    <x v="0"/>
    <x v="3"/>
    <s v="22/03/2022"/>
    <s v="22/03/2022"/>
    <s v="2022"/>
    <x v="5"/>
    <x v="700"/>
    <x v="265"/>
  </r>
  <r>
    <x v="21"/>
    <x v="5"/>
    <x v="7"/>
    <s v="17/02/2022"/>
    <s v="17/02/2022"/>
    <s v="2022"/>
    <x v="3"/>
    <x v="701"/>
    <x v="138"/>
  </r>
  <r>
    <x v="0"/>
    <x v="0"/>
    <x v="1"/>
    <d v="2022-07-07T00:00:00"/>
    <s v="07/07/2022"/>
    <s v="2022"/>
    <x v="2"/>
    <x v="306"/>
    <x v="360"/>
  </r>
  <r>
    <x v="4"/>
    <x v="0"/>
    <x v="21"/>
    <s v="16/03/2022"/>
    <s v="16/03/2022"/>
    <s v="2022"/>
    <x v="5"/>
    <x v="570"/>
    <x v="67"/>
  </r>
  <r>
    <x v="20"/>
    <x v="0"/>
    <x v="4"/>
    <d v="2022-12-08T00:00:00"/>
    <s v="08/12/2022"/>
    <s v="2022"/>
    <x v="11"/>
    <x v="702"/>
    <x v="280"/>
  </r>
  <r>
    <x v="2"/>
    <x v="3"/>
    <x v="5"/>
    <s v="21/01/2022"/>
    <s v="21/01/2022"/>
    <s v="2022"/>
    <x v="1"/>
    <x v="703"/>
    <x v="67"/>
  </r>
  <r>
    <x v="4"/>
    <x v="2"/>
    <x v="6"/>
    <d v="2022-06-05T00:00:00"/>
    <s v="05/06/2022"/>
    <s v="2022"/>
    <x v="4"/>
    <x v="704"/>
    <x v="28"/>
  </r>
  <r>
    <x v="4"/>
    <x v="5"/>
    <x v="6"/>
    <s v="24/06/2022"/>
    <s v="24/06/2022"/>
    <s v="2022"/>
    <x v="4"/>
    <x v="705"/>
    <x v="68"/>
  </r>
  <r>
    <x v="8"/>
    <x v="4"/>
    <x v="14"/>
    <d v="2022-05-05T00:00:00"/>
    <s v="05/05/2022"/>
    <s v="2022"/>
    <x v="7"/>
    <x v="706"/>
    <x v="22"/>
  </r>
  <r>
    <x v="7"/>
    <x v="3"/>
    <x v="4"/>
    <s v="25/03/2022"/>
    <s v="25/03/2022"/>
    <s v="2022"/>
    <x v="5"/>
    <x v="641"/>
    <x v="147"/>
  </r>
  <r>
    <x v="14"/>
    <x v="2"/>
    <x v="20"/>
    <s v="14/02/2022"/>
    <s v="14/02/2022"/>
    <s v="2022"/>
    <x v="3"/>
    <x v="707"/>
    <x v="17"/>
  </r>
  <r>
    <x v="14"/>
    <x v="3"/>
    <x v="1"/>
    <d v="2022-12-05T00:00:00"/>
    <s v="05/12/2022"/>
    <s v="2022"/>
    <x v="11"/>
    <x v="708"/>
    <x v="142"/>
  </r>
  <r>
    <x v="8"/>
    <x v="3"/>
    <x v="3"/>
    <s v="25/01/2022"/>
    <s v="25/01/2022"/>
    <s v="2022"/>
    <x v="1"/>
    <x v="7"/>
    <x v="225"/>
  </r>
  <r>
    <x v="24"/>
    <x v="0"/>
    <x v="1"/>
    <s v="28/06/2022"/>
    <s v="28/06/2022"/>
    <s v="2022"/>
    <x v="4"/>
    <x v="709"/>
    <x v="129"/>
  </r>
  <r>
    <x v="17"/>
    <x v="2"/>
    <x v="9"/>
    <s v="13/07/2022"/>
    <s v="13/07/2022"/>
    <s v="2022"/>
    <x v="2"/>
    <x v="710"/>
    <x v="275"/>
  </r>
  <r>
    <x v="13"/>
    <x v="4"/>
    <x v="11"/>
    <s v="16/05/2022"/>
    <s v="16/05/2022"/>
    <s v="2022"/>
    <x v="7"/>
    <x v="243"/>
    <x v="171"/>
  </r>
  <r>
    <x v="3"/>
    <x v="1"/>
    <x v="5"/>
    <s v="14/03/2022"/>
    <s v="14/03/2022"/>
    <s v="2022"/>
    <x v="5"/>
    <x v="711"/>
    <x v="291"/>
  </r>
  <r>
    <x v="5"/>
    <x v="4"/>
    <x v="5"/>
    <s v="15/08/2022"/>
    <s v="15/08/2022"/>
    <s v="2022"/>
    <x v="8"/>
    <x v="712"/>
    <x v="237"/>
  </r>
  <r>
    <x v="24"/>
    <x v="1"/>
    <x v="7"/>
    <s v="16/02/2022"/>
    <s v="16/02/2022"/>
    <s v="2022"/>
    <x v="3"/>
    <x v="713"/>
    <x v="172"/>
  </r>
  <r>
    <x v="9"/>
    <x v="0"/>
    <x v="15"/>
    <s v="15/06/2022"/>
    <s v="15/06/2022"/>
    <s v="2022"/>
    <x v="4"/>
    <x v="13"/>
    <x v="146"/>
  </r>
  <r>
    <x v="8"/>
    <x v="2"/>
    <x v="17"/>
    <s v="27/05/2022"/>
    <s v="27/05/2022"/>
    <s v="2022"/>
    <x v="7"/>
    <x v="714"/>
    <x v="149"/>
  </r>
  <r>
    <x v="18"/>
    <x v="4"/>
    <x v="9"/>
    <s v="14/06/2022"/>
    <s v="14/06/2022"/>
    <s v="2022"/>
    <x v="4"/>
    <x v="715"/>
    <x v="325"/>
  </r>
  <r>
    <x v="18"/>
    <x v="1"/>
    <x v="8"/>
    <s v="25/02/2022"/>
    <s v="25/02/2022"/>
    <s v="2022"/>
    <x v="3"/>
    <x v="158"/>
    <x v="151"/>
  </r>
  <r>
    <x v="18"/>
    <x v="1"/>
    <x v="5"/>
    <d v="2022-04-08T00:00:00"/>
    <s v="08/04/2022"/>
    <s v="2022"/>
    <x v="0"/>
    <x v="716"/>
    <x v="361"/>
  </r>
  <r>
    <x v="20"/>
    <x v="1"/>
    <x v="4"/>
    <s v="28/06/2022"/>
    <s v="28/06/2022"/>
    <s v="2022"/>
    <x v="4"/>
    <x v="443"/>
    <x v="66"/>
  </r>
  <r>
    <x v="5"/>
    <x v="5"/>
    <x v="12"/>
    <d v="2022-05-04T00:00:00"/>
    <s v="04/05/2022"/>
    <s v="2022"/>
    <x v="7"/>
    <x v="717"/>
    <x v="129"/>
  </r>
  <r>
    <x v="22"/>
    <x v="5"/>
    <x v="2"/>
    <d v="2022-05-07T00:00:00"/>
    <s v="07/05/2022"/>
    <s v="2022"/>
    <x v="7"/>
    <x v="718"/>
    <x v="23"/>
  </r>
  <r>
    <x v="16"/>
    <x v="3"/>
    <x v="8"/>
    <s v="20/01/2022"/>
    <s v="20/01/2022"/>
    <s v="2022"/>
    <x v="1"/>
    <x v="719"/>
    <x v="55"/>
  </r>
  <r>
    <x v="24"/>
    <x v="3"/>
    <x v="9"/>
    <s v="16/02/2022"/>
    <s v="16/02/2022"/>
    <s v="2022"/>
    <x v="3"/>
    <x v="720"/>
    <x v="295"/>
  </r>
  <r>
    <x v="14"/>
    <x v="0"/>
    <x v="9"/>
    <d v="2022-12-07T00:00:00"/>
    <s v="07/12/2022"/>
    <s v="2022"/>
    <x v="11"/>
    <x v="270"/>
    <x v="56"/>
  </r>
  <r>
    <x v="20"/>
    <x v="1"/>
    <x v="17"/>
    <s v="16/06/2022"/>
    <s v="16/06/2022"/>
    <s v="2022"/>
    <x v="4"/>
    <x v="721"/>
    <x v="256"/>
  </r>
  <r>
    <x v="23"/>
    <x v="2"/>
    <x v="18"/>
    <s v="13/04/2022"/>
    <s v="13/04/2022"/>
    <s v="2022"/>
    <x v="0"/>
    <x v="722"/>
    <x v="227"/>
  </r>
  <r>
    <x v="16"/>
    <x v="0"/>
    <x v="6"/>
    <s v="21/02/2022"/>
    <s v="21/02/2022"/>
    <s v="2022"/>
    <x v="3"/>
    <x v="723"/>
    <x v="274"/>
  </r>
  <r>
    <x v="13"/>
    <x v="5"/>
    <x v="18"/>
    <d v="2022-11-05T00:00:00"/>
    <s v="05/11/2022"/>
    <s v="2022"/>
    <x v="10"/>
    <x v="724"/>
    <x v="156"/>
  </r>
  <r>
    <x v="24"/>
    <x v="1"/>
    <x v="6"/>
    <s v="15/04/2022"/>
    <s v="15/04/2022"/>
    <s v="2022"/>
    <x v="0"/>
    <x v="445"/>
    <x v="340"/>
  </r>
  <r>
    <x v="4"/>
    <x v="5"/>
    <x v="2"/>
    <d v="2022-07-06T00:00:00"/>
    <s v="06/07/2022"/>
    <s v="2022"/>
    <x v="2"/>
    <x v="725"/>
    <x v="92"/>
  </r>
  <r>
    <x v="4"/>
    <x v="0"/>
    <x v="14"/>
    <s v="27/06/2022"/>
    <s v="27/06/2022"/>
    <s v="2022"/>
    <x v="4"/>
    <x v="726"/>
    <x v="12"/>
  </r>
  <r>
    <x v="8"/>
    <x v="1"/>
    <x v="5"/>
    <s v="29/07/2022"/>
    <s v="29/07/2022"/>
    <s v="2022"/>
    <x v="2"/>
    <x v="727"/>
    <x v="176"/>
  </r>
  <r>
    <x v="18"/>
    <x v="5"/>
    <x v="3"/>
    <d v="2022-02-06T00:00:00"/>
    <s v="06/02/2022"/>
    <s v="2022"/>
    <x v="3"/>
    <x v="728"/>
    <x v="185"/>
  </r>
  <r>
    <x v="7"/>
    <x v="1"/>
    <x v="0"/>
    <s v="26/01/2022"/>
    <s v="26/01/2022"/>
    <s v="2022"/>
    <x v="1"/>
    <x v="381"/>
    <x v="243"/>
  </r>
  <r>
    <x v="7"/>
    <x v="5"/>
    <x v="4"/>
    <d v="2022-02-03T00:00:00"/>
    <s v="03/02/2022"/>
    <s v="2022"/>
    <x v="3"/>
    <x v="729"/>
    <x v="42"/>
  </r>
  <r>
    <x v="1"/>
    <x v="2"/>
    <x v="21"/>
    <d v="2022-10-01T00:00:00"/>
    <s v="01/10/2022"/>
    <s v="2022"/>
    <x v="6"/>
    <x v="730"/>
    <x v="130"/>
  </r>
  <r>
    <x v="12"/>
    <x v="4"/>
    <x v="21"/>
    <s v="27/06/2022"/>
    <s v="27/06/2022"/>
    <s v="2022"/>
    <x v="4"/>
    <x v="560"/>
    <x v="24"/>
  </r>
  <r>
    <x v="8"/>
    <x v="5"/>
    <x v="7"/>
    <s v="30/06/2022"/>
    <s v="30/06/2022"/>
    <s v="2022"/>
    <x v="4"/>
    <x v="42"/>
    <x v="45"/>
  </r>
  <r>
    <x v="13"/>
    <x v="2"/>
    <x v="1"/>
    <d v="2022-08-07T00:00:00"/>
    <s v="07/08/2022"/>
    <s v="2022"/>
    <x v="8"/>
    <x v="731"/>
    <x v="88"/>
  </r>
  <r>
    <x v="4"/>
    <x v="1"/>
    <x v="12"/>
    <d v="2022-08-06T00:00:00"/>
    <s v="06/08/2022"/>
    <s v="2022"/>
    <x v="8"/>
    <x v="732"/>
    <x v="20"/>
  </r>
  <r>
    <x v="3"/>
    <x v="0"/>
    <x v="15"/>
    <s v="18/08/2022"/>
    <s v="18/08/2022"/>
    <s v="2022"/>
    <x v="8"/>
    <x v="224"/>
    <x v="122"/>
  </r>
  <r>
    <x v="16"/>
    <x v="2"/>
    <x v="5"/>
    <d v="2022-08-04T00:00:00"/>
    <s v="04/08/2022"/>
    <s v="2022"/>
    <x v="8"/>
    <x v="120"/>
    <x v="362"/>
  </r>
  <r>
    <x v="18"/>
    <x v="5"/>
    <x v="13"/>
    <d v="2022-08-08T00:00:00"/>
    <s v="08/08/2022"/>
    <s v="2022"/>
    <x v="8"/>
    <x v="553"/>
    <x v="67"/>
  </r>
  <r>
    <x v="18"/>
    <x v="0"/>
    <x v="11"/>
    <s v="26/08/2022"/>
    <s v="26/08/2022"/>
    <s v="2022"/>
    <x v="8"/>
    <x v="733"/>
    <x v="81"/>
  </r>
  <r>
    <x v="4"/>
    <x v="5"/>
    <x v="13"/>
    <s v="14/01/2022"/>
    <s v="14/01/2022"/>
    <s v="2022"/>
    <x v="1"/>
    <x v="554"/>
    <x v="191"/>
  </r>
  <r>
    <x v="17"/>
    <x v="4"/>
    <x v="19"/>
    <d v="2022-11-08T00:00:00"/>
    <s v="08/11/2022"/>
    <s v="2022"/>
    <x v="10"/>
    <x v="734"/>
    <x v="322"/>
  </r>
  <r>
    <x v="22"/>
    <x v="4"/>
    <x v="16"/>
    <s v="31/05/2022"/>
    <s v="31/05/2022"/>
    <s v="2022"/>
    <x v="7"/>
    <x v="735"/>
    <x v="51"/>
  </r>
  <r>
    <x v="1"/>
    <x v="3"/>
    <x v="6"/>
    <d v="2022-11-07T00:00:00"/>
    <s v="07/11/2022"/>
    <s v="2022"/>
    <x v="10"/>
    <x v="736"/>
    <x v="71"/>
  </r>
  <r>
    <x v="10"/>
    <x v="5"/>
    <x v="20"/>
    <d v="2022-02-03T00:00:00"/>
    <s v="03/02/2022"/>
    <s v="2022"/>
    <x v="3"/>
    <x v="737"/>
    <x v="363"/>
  </r>
  <r>
    <x v="22"/>
    <x v="2"/>
    <x v="17"/>
    <s v="13/07/2022"/>
    <s v="13/07/2022"/>
    <s v="2022"/>
    <x v="2"/>
    <x v="738"/>
    <x v="20"/>
  </r>
  <r>
    <x v="7"/>
    <x v="0"/>
    <x v="12"/>
    <d v="2022-03-08T00:00:00"/>
    <s v="08/03/2022"/>
    <s v="2022"/>
    <x v="5"/>
    <x v="739"/>
    <x v="32"/>
  </r>
  <r>
    <x v="14"/>
    <x v="0"/>
    <x v="2"/>
    <d v="2022-01-03T00:00:00"/>
    <s v="03/01/2022"/>
    <s v="2022"/>
    <x v="1"/>
    <x v="740"/>
    <x v="364"/>
  </r>
  <r>
    <x v="20"/>
    <x v="3"/>
    <x v="14"/>
    <s v="13/04/2022"/>
    <s v="13/04/2022"/>
    <s v="2022"/>
    <x v="0"/>
    <x v="741"/>
    <x v="31"/>
  </r>
  <r>
    <x v="12"/>
    <x v="5"/>
    <x v="13"/>
    <s v="14/02/2022"/>
    <s v="14/02/2022"/>
    <s v="2022"/>
    <x v="3"/>
    <x v="742"/>
    <x v="0"/>
  </r>
  <r>
    <x v="9"/>
    <x v="1"/>
    <x v="14"/>
    <s v="26/07/2022"/>
    <s v="26/07/2022"/>
    <s v="2022"/>
    <x v="2"/>
    <x v="743"/>
    <x v="261"/>
  </r>
  <r>
    <x v="6"/>
    <x v="0"/>
    <x v="9"/>
    <s v="27/01/2022"/>
    <s v="27/01/2022"/>
    <s v="2022"/>
    <x v="1"/>
    <x v="744"/>
    <x v="32"/>
  </r>
  <r>
    <x v="0"/>
    <x v="1"/>
    <x v="2"/>
    <s v="14/04/2022"/>
    <s v="14/04/2022"/>
    <s v="2022"/>
    <x v="0"/>
    <x v="745"/>
    <x v="365"/>
  </r>
  <r>
    <x v="4"/>
    <x v="4"/>
    <x v="16"/>
    <s v="19/05/2022"/>
    <s v="19/05/2022"/>
    <s v="2022"/>
    <x v="7"/>
    <x v="412"/>
    <x v="97"/>
  </r>
  <r>
    <x v="15"/>
    <x v="1"/>
    <x v="8"/>
    <d v="2022-09-02T00:00:00"/>
    <s v="02/09/2022"/>
    <s v="2022"/>
    <x v="9"/>
    <x v="746"/>
    <x v="204"/>
  </r>
  <r>
    <x v="6"/>
    <x v="0"/>
    <x v="12"/>
    <s v="25/05/2022"/>
    <s v="25/05/2022"/>
    <s v="2022"/>
    <x v="7"/>
    <x v="747"/>
    <x v="204"/>
  </r>
  <r>
    <x v="4"/>
    <x v="2"/>
    <x v="15"/>
    <s v="26/01/2022"/>
    <s v="26/01/2022"/>
    <s v="2022"/>
    <x v="1"/>
    <x v="748"/>
    <x v="151"/>
  </r>
  <r>
    <x v="12"/>
    <x v="1"/>
    <x v="14"/>
    <d v="2022-04-07T00:00:00"/>
    <s v="07/04/2022"/>
    <s v="2022"/>
    <x v="0"/>
    <x v="749"/>
    <x v="89"/>
  </r>
  <r>
    <x v="24"/>
    <x v="1"/>
    <x v="16"/>
    <s v="13/04/2022"/>
    <s v="13/04/2022"/>
    <s v="2022"/>
    <x v="0"/>
    <x v="750"/>
    <x v="7"/>
  </r>
  <r>
    <x v="2"/>
    <x v="2"/>
    <x v="3"/>
    <s v="25/01/2022"/>
    <s v="25/01/2022"/>
    <s v="2022"/>
    <x v="1"/>
    <x v="751"/>
    <x v="366"/>
  </r>
  <r>
    <x v="21"/>
    <x v="4"/>
    <x v="1"/>
    <s v="25/04/2022"/>
    <s v="25/04/2022"/>
    <s v="2022"/>
    <x v="0"/>
    <x v="752"/>
    <x v="148"/>
  </r>
  <r>
    <x v="21"/>
    <x v="4"/>
    <x v="8"/>
    <d v="2022-10-06T00:00:00"/>
    <s v="06/10/2022"/>
    <s v="2022"/>
    <x v="6"/>
    <x v="416"/>
    <x v="286"/>
  </r>
  <r>
    <x v="22"/>
    <x v="3"/>
    <x v="14"/>
    <s v="22/08/2022"/>
    <s v="22/08/2022"/>
    <s v="2022"/>
    <x v="8"/>
    <x v="543"/>
    <x v="194"/>
  </r>
  <r>
    <x v="1"/>
    <x v="1"/>
    <x v="5"/>
    <s v="27/06/2022"/>
    <s v="27/06/2022"/>
    <s v="2022"/>
    <x v="4"/>
    <x v="168"/>
    <x v="307"/>
  </r>
  <r>
    <x v="15"/>
    <x v="1"/>
    <x v="7"/>
    <s v="30/06/2022"/>
    <s v="30/06/2022"/>
    <s v="2022"/>
    <x v="4"/>
    <x v="149"/>
    <x v="91"/>
  </r>
  <r>
    <x v="0"/>
    <x v="1"/>
    <x v="16"/>
    <s v="30/08/2022"/>
    <s v="30/08/2022"/>
    <s v="2022"/>
    <x v="8"/>
    <x v="753"/>
    <x v="149"/>
  </r>
  <r>
    <x v="10"/>
    <x v="2"/>
    <x v="17"/>
    <s v="23/08/2022"/>
    <s v="23/08/2022"/>
    <s v="2022"/>
    <x v="8"/>
    <x v="366"/>
    <x v="107"/>
  </r>
  <r>
    <x v="21"/>
    <x v="3"/>
    <x v="4"/>
    <s v="26/08/2022"/>
    <s v="26/08/2022"/>
    <s v="2022"/>
    <x v="8"/>
    <x v="754"/>
    <x v="16"/>
  </r>
  <r>
    <x v="2"/>
    <x v="2"/>
    <x v="7"/>
    <d v="2022-09-03T00:00:00"/>
    <s v="03/09/2022"/>
    <s v="2022"/>
    <x v="9"/>
    <x v="755"/>
    <x v="13"/>
  </r>
  <r>
    <x v="20"/>
    <x v="0"/>
    <x v="9"/>
    <s v="20/04/2022"/>
    <s v="20/04/2022"/>
    <s v="2022"/>
    <x v="0"/>
    <x v="756"/>
    <x v="47"/>
  </r>
  <r>
    <x v="9"/>
    <x v="5"/>
    <x v="20"/>
    <d v="2022-10-06T00:00:00"/>
    <s v="06/10/2022"/>
    <s v="2022"/>
    <x v="6"/>
    <x v="634"/>
    <x v="367"/>
  </r>
  <r>
    <x v="15"/>
    <x v="2"/>
    <x v="10"/>
    <d v="2022-08-02T00:00:00"/>
    <s v="02/08/2022"/>
    <s v="2022"/>
    <x v="8"/>
    <x v="38"/>
    <x v="191"/>
  </r>
  <r>
    <x v="6"/>
    <x v="2"/>
    <x v="14"/>
    <s v="25/08/2022"/>
    <s v="25/08/2022"/>
    <s v="2022"/>
    <x v="8"/>
    <x v="678"/>
    <x v="108"/>
  </r>
  <r>
    <x v="23"/>
    <x v="1"/>
    <x v="2"/>
    <s v="16/02/2022"/>
    <s v="16/02/2022"/>
    <s v="2022"/>
    <x v="3"/>
    <x v="757"/>
    <x v="7"/>
  </r>
  <r>
    <x v="17"/>
    <x v="0"/>
    <x v="4"/>
    <s v="30/05/2022"/>
    <s v="30/05/2022"/>
    <s v="2022"/>
    <x v="7"/>
    <x v="758"/>
    <x v="103"/>
  </r>
  <r>
    <x v="2"/>
    <x v="3"/>
    <x v="6"/>
    <s v="29/06/2022"/>
    <s v="29/06/2022"/>
    <s v="2022"/>
    <x v="4"/>
    <x v="759"/>
    <x v="360"/>
  </r>
  <r>
    <x v="2"/>
    <x v="4"/>
    <x v="11"/>
    <s v="16/06/2022"/>
    <s v="16/06/2022"/>
    <s v="2022"/>
    <x v="4"/>
    <x v="114"/>
    <x v="32"/>
  </r>
  <r>
    <x v="6"/>
    <x v="0"/>
    <x v="20"/>
    <d v="2022-04-03T00:00:00"/>
    <s v="03/04/2022"/>
    <s v="2022"/>
    <x v="0"/>
    <x v="760"/>
    <x v="58"/>
  </r>
  <r>
    <x v="14"/>
    <x v="3"/>
    <x v="2"/>
    <s v="15/03/2022"/>
    <s v="15/03/2022"/>
    <s v="2022"/>
    <x v="5"/>
    <x v="761"/>
    <x v="368"/>
  </r>
  <r>
    <x v="14"/>
    <x v="3"/>
    <x v="6"/>
    <s v="27/01/2022"/>
    <s v="27/01/2022"/>
    <s v="2022"/>
    <x v="1"/>
    <x v="762"/>
    <x v="243"/>
  </r>
  <r>
    <x v="12"/>
    <x v="5"/>
    <x v="9"/>
    <d v="2022-05-07T00:00:00"/>
    <s v="07/05/2022"/>
    <s v="2022"/>
    <x v="7"/>
    <x v="366"/>
    <x v="105"/>
  </r>
  <r>
    <x v="8"/>
    <x v="4"/>
    <x v="20"/>
    <s v="29/03/2022"/>
    <s v="29/03/2022"/>
    <s v="2022"/>
    <x v="5"/>
    <x v="763"/>
    <x v="369"/>
  </r>
  <r>
    <x v="9"/>
    <x v="5"/>
    <x v="16"/>
    <d v="2022-12-05T00:00:00"/>
    <s v="05/12/2022"/>
    <s v="2022"/>
    <x v="11"/>
    <x v="764"/>
    <x v="370"/>
  </r>
  <r>
    <x v="4"/>
    <x v="4"/>
    <x v="9"/>
    <d v="2022-11-03T00:00:00"/>
    <s v="03/11/2022"/>
    <s v="2022"/>
    <x v="10"/>
    <x v="265"/>
    <x v="110"/>
  </r>
  <r>
    <x v="6"/>
    <x v="3"/>
    <x v="8"/>
    <d v="2022-11-07T00:00:00"/>
    <s v="07/11/2022"/>
    <s v="2022"/>
    <x v="10"/>
    <x v="765"/>
    <x v="369"/>
  </r>
  <r>
    <x v="5"/>
    <x v="3"/>
    <x v="18"/>
    <d v="2022-01-08T00:00:00"/>
    <s v="08/01/2022"/>
    <s v="2022"/>
    <x v="1"/>
    <x v="766"/>
    <x v="10"/>
  </r>
  <r>
    <x v="5"/>
    <x v="0"/>
    <x v="12"/>
    <s v="16/02/2022"/>
    <s v="16/02/2022"/>
    <s v="2022"/>
    <x v="3"/>
    <x v="767"/>
    <x v="168"/>
  </r>
  <r>
    <x v="14"/>
    <x v="4"/>
    <x v="5"/>
    <s v="13/04/2022"/>
    <s v="13/04/2022"/>
    <s v="2022"/>
    <x v="0"/>
    <x v="768"/>
    <x v="309"/>
  </r>
  <r>
    <x v="4"/>
    <x v="1"/>
    <x v="18"/>
    <s v="14/02/2022"/>
    <s v="14/02/2022"/>
    <s v="2022"/>
    <x v="3"/>
    <x v="92"/>
    <x v="371"/>
  </r>
  <r>
    <x v="24"/>
    <x v="2"/>
    <x v="2"/>
    <s v="14/03/2022"/>
    <s v="14/03/2022"/>
    <s v="2022"/>
    <x v="5"/>
    <x v="769"/>
    <x v="238"/>
  </r>
  <r>
    <x v="4"/>
    <x v="2"/>
    <x v="12"/>
    <s v="26/04/2022"/>
    <s v="26/04/2022"/>
    <s v="2022"/>
    <x v="0"/>
    <x v="770"/>
    <x v="135"/>
  </r>
  <r>
    <x v="0"/>
    <x v="5"/>
    <x v="15"/>
    <d v="2022-05-04T00:00:00"/>
    <s v="04/05/2022"/>
    <s v="2022"/>
    <x v="7"/>
    <x v="771"/>
    <x v="168"/>
  </r>
  <r>
    <x v="21"/>
    <x v="5"/>
    <x v="9"/>
    <d v="2022-03-03T00:00:00"/>
    <s v="03/03/2022"/>
    <s v="2022"/>
    <x v="5"/>
    <x v="772"/>
    <x v="79"/>
  </r>
  <r>
    <x v="16"/>
    <x v="4"/>
    <x v="12"/>
    <s v="13/06/2022"/>
    <s v="13/06/2022"/>
    <s v="2022"/>
    <x v="4"/>
    <x v="572"/>
    <x v="95"/>
  </r>
  <r>
    <x v="11"/>
    <x v="3"/>
    <x v="21"/>
    <s v="14/02/2022"/>
    <s v="14/02/2022"/>
    <s v="2022"/>
    <x v="3"/>
    <x v="773"/>
    <x v="224"/>
  </r>
  <r>
    <x v="13"/>
    <x v="3"/>
    <x v="4"/>
    <s v="18/04/2022"/>
    <s v="18/04/2022"/>
    <s v="2022"/>
    <x v="0"/>
    <x v="593"/>
    <x v="215"/>
  </r>
  <r>
    <x v="4"/>
    <x v="3"/>
    <x v="1"/>
    <d v="2022-01-02T00:00:00"/>
    <s v="02/01/2022"/>
    <s v="2022"/>
    <x v="1"/>
    <x v="475"/>
    <x v="184"/>
  </r>
  <r>
    <x v="23"/>
    <x v="3"/>
    <x v="7"/>
    <d v="2022-04-08T00:00:00"/>
    <s v="08/04/2022"/>
    <s v="2022"/>
    <x v="0"/>
    <x v="62"/>
    <x v="136"/>
  </r>
  <r>
    <x v="19"/>
    <x v="3"/>
    <x v="16"/>
    <d v="2022-05-04T00:00:00"/>
    <s v="04/05/2022"/>
    <s v="2022"/>
    <x v="7"/>
    <x v="774"/>
    <x v="191"/>
  </r>
  <r>
    <x v="10"/>
    <x v="2"/>
    <x v="4"/>
    <s v="26/01/2022"/>
    <s v="26/01/2022"/>
    <s v="2022"/>
    <x v="1"/>
    <x v="629"/>
    <x v="291"/>
  </r>
  <r>
    <x v="16"/>
    <x v="0"/>
    <x v="5"/>
    <s v="21/01/2022"/>
    <s v="21/01/2022"/>
    <s v="2022"/>
    <x v="1"/>
    <x v="775"/>
    <x v="6"/>
  </r>
  <r>
    <x v="16"/>
    <x v="5"/>
    <x v="5"/>
    <s v="22/08/2022"/>
    <s v="22/08/2022"/>
    <s v="2022"/>
    <x v="8"/>
    <x v="673"/>
    <x v="19"/>
  </r>
  <r>
    <x v="16"/>
    <x v="0"/>
    <x v="9"/>
    <s v="27/01/2022"/>
    <s v="27/01/2022"/>
    <s v="2022"/>
    <x v="1"/>
    <x v="311"/>
    <x v="272"/>
  </r>
  <r>
    <x v="7"/>
    <x v="0"/>
    <x v="6"/>
    <s v="16/02/2022"/>
    <s v="16/02/2022"/>
    <s v="2022"/>
    <x v="3"/>
    <x v="776"/>
    <x v="238"/>
  </r>
  <r>
    <x v="23"/>
    <x v="4"/>
    <x v="17"/>
    <d v="2022-03-01T00:00:00"/>
    <s v="01/03/2022"/>
    <s v="2022"/>
    <x v="5"/>
    <x v="553"/>
    <x v="106"/>
  </r>
  <r>
    <x v="10"/>
    <x v="4"/>
    <x v="14"/>
    <s v="24/08/2022"/>
    <s v="24/08/2022"/>
    <s v="2022"/>
    <x v="8"/>
    <x v="777"/>
    <x v="236"/>
  </r>
  <r>
    <x v="4"/>
    <x v="4"/>
    <x v="12"/>
    <d v="2022-07-02T00:00:00"/>
    <s v="02/07/2022"/>
    <s v="2022"/>
    <x v="2"/>
    <x v="299"/>
    <x v="184"/>
  </r>
  <r>
    <x v="9"/>
    <x v="2"/>
    <x v="3"/>
    <d v="2022-11-02T00:00:00"/>
    <s v="02/11/2022"/>
    <s v="2022"/>
    <x v="10"/>
    <x v="778"/>
    <x v="176"/>
  </r>
  <r>
    <x v="16"/>
    <x v="5"/>
    <x v="10"/>
    <s v="29/03/2022"/>
    <s v="29/03/2022"/>
    <s v="2022"/>
    <x v="5"/>
    <x v="779"/>
    <x v="125"/>
  </r>
  <r>
    <x v="11"/>
    <x v="4"/>
    <x v="2"/>
    <s v="15/06/2022"/>
    <s v="15/06/2022"/>
    <s v="2022"/>
    <x v="4"/>
    <x v="780"/>
    <x v="313"/>
  </r>
  <r>
    <x v="17"/>
    <x v="0"/>
    <x v="3"/>
    <s v="26/04/2022"/>
    <s v="26/04/2022"/>
    <s v="2022"/>
    <x v="0"/>
    <x v="781"/>
    <x v="42"/>
  </r>
  <r>
    <x v="6"/>
    <x v="2"/>
    <x v="10"/>
    <s v="15/07/2022"/>
    <s v="15/07/2022"/>
    <s v="2022"/>
    <x v="2"/>
    <x v="130"/>
    <x v="79"/>
  </r>
  <r>
    <x v="12"/>
    <x v="1"/>
    <x v="10"/>
    <s v="23/06/2022"/>
    <s v="23/06/2022"/>
    <s v="2022"/>
    <x v="4"/>
    <x v="782"/>
    <x v="332"/>
  </r>
  <r>
    <x v="17"/>
    <x v="2"/>
    <x v="19"/>
    <d v="2022-11-01T00:00:00"/>
    <s v="01/11/2022"/>
    <s v="2022"/>
    <x v="10"/>
    <x v="783"/>
    <x v="372"/>
  </r>
  <r>
    <x v="12"/>
    <x v="0"/>
    <x v="6"/>
    <d v="2022-09-02T00:00:00"/>
    <s v="02/09/2022"/>
    <s v="2022"/>
    <x v="9"/>
    <x v="784"/>
    <x v="322"/>
  </r>
  <r>
    <x v="1"/>
    <x v="0"/>
    <x v="16"/>
    <d v="2022-06-06T00:00:00"/>
    <s v="06/06/2022"/>
    <s v="2022"/>
    <x v="4"/>
    <x v="785"/>
    <x v="259"/>
  </r>
  <r>
    <x v="23"/>
    <x v="0"/>
    <x v="20"/>
    <d v="2022-10-08T00:00:00"/>
    <s v="08/10/2022"/>
    <s v="2022"/>
    <x v="6"/>
    <x v="751"/>
    <x v="309"/>
  </r>
  <r>
    <x v="18"/>
    <x v="2"/>
    <x v="3"/>
    <d v="2022-04-01T00:00:00"/>
    <s v="01/04/2022"/>
    <s v="2022"/>
    <x v="0"/>
    <x v="786"/>
    <x v="106"/>
  </r>
  <r>
    <x v="19"/>
    <x v="5"/>
    <x v="21"/>
    <d v="2022-08-04T00:00:00"/>
    <s v="04/08/2022"/>
    <s v="2022"/>
    <x v="8"/>
    <x v="787"/>
    <x v="303"/>
  </r>
  <r>
    <x v="8"/>
    <x v="0"/>
    <x v="11"/>
    <d v="2022-02-03T00:00:00"/>
    <s v="03/02/2022"/>
    <s v="2022"/>
    <x v="3"/>
    <x v="788"/>
    <x v="161"/>
  </r>
  <r>
    <x v="1"/>
    <x v="5"/>
    <x v="9"/>
    <s v="15/06/2022"/>
    <s v="15/06/2022"/>
    <s v="2022"/>
    <x v="4"/>
    <x v="789"/>
    <x v="373"/>
  </r>
  <r>
    <x v="0"/>
    <x v="2"/>
    <x v="5"/>
    <s v="14/02/2022"/>
    <s v="14/02/2022"/>
    <s v="2022"/>
    <x v="3"/>
    <x v="681"/>
    <x v="99"/>
  </r>
  <r>
    <x v="15"/>
    <x v="0"/>
    <x v="5"/>
    <d v="2022-05-07T00:00:00"/>
    <s v="07/05/2022"/>
    <s v="2022"/>
    <x v="7"/>
    <x v="702"/>
    <x v="374"/>
  </r>
  <r>
    <x v="8"/>
    <x v="1"/>
    <x v="0"/>
    <d v="2022-12-01T00:00:00"/>
    <s v="01/12/2022"/>
    <s v="2022"/>
    <x v="11"/>
    <x v="685"/>
    <x v="375"/>
  </r>
  <r>
    <x v="14"/>
    <x v="1"/>
    <x v="0"/>
    <d v="2022-03-03T00:00:00"/>
    <s v="03/03/2022"/>
    <s v="2022"/>
    <x v="5"/>
    <x v="790"/>
    <x v="109"/>
  </r>
  <r>
    <x v="0"/>
    <x v="3"/>
    <x v="11"/>
    <s v="18/05/2022"/>
    <s v="18/05/2022"/>
    <s v="2022"/>
    <x v="7"/>
    <x v="791"/>
    <x v="43"/>
  </r>
  <r>
    <x v="5"/>
    <x v="1"/>
    <x v="20"/>
    <s v="28/07/2022"/>
    <s v="28/07/2022"/>
    <s v="2022"/>
    <x v="2"/>
    <x v="792"/>
    <x v="132"/>
  </r>
  <r>
    <x v="14"/>
    <x v="0"/>
    <x v="15"/>
    <d v="2022-07-02T00:00:00"/>
    <s v="02/07/2022"/>
    <s v="2022"/>
    <x v="2"/>
    <x v="793"/>
    <x v="85"/>
  </r>
  <r>
    <x v="19"/>
    <x v="1"/>
    <x v="7"/>
    <s v="30/05/2022"/>
    <s v="30/05/2022"/>
    <s v="2022"/>
    <x v="7"/>
    <x v="733"/>
    <x v="372"/>
  </r>
  <r>
    <x v="9"/>
    <x v="2"/>
    <x v="17"/>
    <s v="25/04/2022"/>
    <s v="25/04/2022"/>
    <s v="2022"/>
    <x v="0"/>
    <x v="794"/>
    <x v="103"/>
  </r>
  <r>
    <x v="12"/>
    <x v="5"/>
    <x v="1"/>
    <s v="16/02/2022"/>
    <s v="16/02/2022"/>
    <s v="2022"/>
    <x v="3"/>
    <x v="795"/>
    <x v="121"/>
  </r>
  <r>
    <x v="20"/>
    <x v="2"/>
    <x v="9"/>
    <d v="2022-04-05T00:00:00"/>
    <s v="05/04/2022"/>
    <s v="2022"/>
    <x v="0"/>
    <x v="325"/>
    <x v="203"/>
  </r>
  <r>
    <x v="1"/>
    <x v="5"/>
    <x v="21"/>
    <d v="2022-02-06T00:00:00"/>
    <s v="06/02/2022"/>
    <s v="2022"/>
    <x v="3"/>
    <x v="796"/>
    <x v="376"/>
  </r>
  <r>
    <x v="17"/>
    <x v="4"/>
    <x v="20"/>
    <d v="2022-11-07T00:00:00"/>
    <s v="07/11/2022"/>
    <s v="2022"/>
    <x v="10"/>
    <x v="311"/>
    <x v="377"/>
  </r>
  <r>
    <x v="12"/>
    <x v="3"/>
    <x v="12"/>
    <d v="2022-07-06T00:00:00"/>
    <s v="06/07/2022"/>
    <s v="2022"/>
    <x v="2"/>
    <x v="79"/>
    <x v="203"/>
  </r>
  <r>
    <x v="3"/>
    <x v="0"/>
    <x v="16"/>
    <d v="2022-06-07T00:00:00"/>
    <s v="07/06/2022"/>
    <s v="2022"/>
    <x v="4"/>
    <x v="636"/>
    <x v="21"/>
  </r>
  <r>
    <x v="15"/>
    <x v="1"/>
    <x v="17"/>
    <s v="15/06/2022"/>
    <s v="15/06/2022"/>
    <s v="2022"/>
    <x v="4"/>
    <x v="797"/>
    <x v="163"/>
  </r>
  <r>
    <x v="23"/>
    <x v="1"/>
    <x v="0"/>
    <s v="14/04/2022"/>
    <s v="14/04/2022"/>
    <s v="2022"/>
    <x v="0"/>
    <x v="798"/>
    <x v="312"/>
  </r>
  <r>
    <x v="21"/>
    <x v="1"/>
    <x v="9"/>
    <d v="2022-08-08T00:00:00"/>
    <s v="08/08/2022"/>
    <s v="2022"/>
    <x v="8"/>
    <x v="799"/>
    <x v="22"/>
  </r>
  <r>
    <x v="11"/>
    <x v="0"/>
    <x v="9"/>
    <s v="29/03/2022"/>
    <s v="29/03/2022"/>
    <s v="2022"/>
    <x v="5"/>
    <x v="800"/>
    <x v="206"/>
  </r>
  <r>
    <x v="13"/>
    <x v="2"/>
    <x v="10"/>
    <d v="2022-04-07T00:00:00"/>
    <s v="07/04/2022"/>
    <s v="2022"/>
    <x v="0"/>
    <x v="661"/>
    <x v="151"/>
  </r>
  <r>
    <x v="24"/>
    <x v="1"/>
    <x v="4"/>
    <s v="16/02/2022"/>
    <s v="16/02/2022"/>
    <s v="2022"/>
    <x v="3"/>
    <x v="270"/>
    <x v="109"/>
  </r>
  <r>
    <x v="7"/>
    <x v="5"/>
    <x v="12"/>
    <d v="2022-02-05T00:00:00"/>
    <s v="05/02/2022"/>
    <s v="2022"/>
    <x v="3"/>
    <x v="801"/>
    <x v="13"/>
  </r>
  <r>
    <x v="1"/>
    <x v="1"/>
    <x v="8"/>
    <s v="21/07/2022"/>
    <s v="21/07/2022"/>
    <s v="2022"/>
    <x v="2"/>
    <x v="802"/>
    <x v="85"/>
  </r>
  <r>
    <x v="5"/>
    <x v="2"/>
    <x v="4"/>
    <s v="18/08/2022"/>
    <s v="18/08/2022"/>
    <s v="2022"/>
    <x v="8"/>
    <x v="803"/>
    <x v="309"/>
  </r>
  <r>
    <x v="16"/>
    <x v="4"/>
    <x v="1"/>
    <s v="22/06/2022"/>
    <s v="22/06/2022"/>
    <s v="2022"/>
    <x v="4"/>
    <x v="604"/>
    <x v="199"/>
  </r>
  <r>
    <x v="21"/>
    <x v="0"/>
    <x v="2"/>
    <s v="19/07/2022"/>
    <s v="19/07/2022"/>
    <s v="2022"/>
    <x v="2"/>
    <x v="804"/>
    <x v="179"/>
  </r>
  <r>
    <x v="22"/>
    <x v="0"/>
    <x v="2"/>
    <d v="2022-12-08T00:00:00"/>
    <s v="08/12/2022"/>
    <s v="2022"/>
    <x v="11"/>
    <x v="393"/>
    <x v="243"/>
  </r>
  <r>
    <x v="22"/>
    <x v="4"/>
    <x v="18"/>
    <d v="2022-07-06T00:00:00"/>
    <s v="06/07/2022"/>
    <s v="2022"/>
    <x v="2"/>
    <x v="161"/>
    <x v="378"/>
  </r>
  <r>
    <x v="11"/>
    <x v="5"/>
    <x v="2"/>
    <d v="2022-08-03T00:00:00"/>
    <s v="03/08/2022"/>
    <s v="2022"/>
    <x v="8"/>
    <x v="805"/>
    <x v="2"/>
  </r>
  <r>
    <x v="24"/>
    <x v="2"/>
    <x v="18"/>
    <d v="2022-08-04T00:00:00"/>
    <s v="04/08/2022"/>
    <s v="2022"/>
    <x v="8"/>
    <x v="806"/>
    <x v="92"/>
  </r>
  <r>
    <x v="14"/>
    <x v="5"/>
    <x v="8"/>
    <d v="2022-06-05T00:00:00"/>
    <s v="05/06/2022"/>
    <s v="2022"/>
    <x v="4"/>
    <x v="704"/>
    <x v="214"/>
  </r>
  <r>
    <x v="13"/>
    <x v="1"/>
    <x v="9"/>
    <s v="31/05/2022"/>
    <s v="31/05/2022"/>
    <s v="2022"/>
    <x v="7"/>
    <x v="512"/>
    <x v="11"/>
  </r>
  <r>
    <x v="1"/>
    <x v="2"/>
    <x v="0"/>
    <s v="13/01/2022"/>
    <s v="13/01/2022"/>
    <s v="2022"/>
    <x v="1"/>
    <x v="807"/>
    <x v="379"/>
  </r>
  <r>
    <x v="17"/>
    <x v="4"/>
    <x v="21"/>
    <s v="15/03/2022"/>
    <s v="15/03/2022"/>
    <s v="2022"/>
    <x v="5"/>
    <x v="529"/>
    <x v="376"/>
  </r>
  <r>
    <x v="19"/>
    <x v="5"/>
    <x v="2"/>
    <s v="16/02/2022"/>
    <s v="16/02/2022"/>
    <s v="2022"/>
    <x v="3"/>
    <x v="523"/>
    <x v="380"/>
  </r>
  <r>
    <x v="2"/>
    <x v="4"/>
    <x v="21"/>
    <s v="14/01/2022"/>
    <s v="14/01/2022"/>
    <s v="2022"/>
    <x v="1"/>
    <x v="808"/>
    <x v="126"/>
  </r>
  <r>
    <x v="7"/>
    <x v="2"/>
    <x v="14"/>
    <s v="21/03/2022"/>
    <s v="21/03/2022"/>
    <s v="2022"/>
    <x v="5"/>
    <x v="809"/>
    <x v="9"/>
  </r>
  <r>
    <x v="13"/>
    <x v="5"/>
    <x v="9"/>
    <s v="17/05/2022"/>
    <s v="17/05/2022"/>
    <s v="2022"/>
    <x v="7"/>
    <x v="810"/>
    <x v="188"/>
  </r>
  <r>
    <x v="21"/>
    <x v="3"/>
    <x v="1"/>
    <d v="2022-08-08T00:00:00"/>
    <s v="08/08/2022"/>
    <s v="2022"/>
    <x v="8"/>
    <x v="811"/>
    <x v="53"/>
  </r>
  <r>
    <x v="22"/>
    <x v="5"/>
    <x v="11"/>
    <s v="26/04/2022"/>
    <s v="26/04/2022"/>
    <s v="2022"/>
    <x v="0"/>
    <x v="812"/>
    <x v="72"/>
  </r>
  <r>
    <x v="22"/>
    <x v="2"/>
    <x v="21"/>
    <s v="15/04/2022"/>
    <s v="15/04/2022"/>
    <s v="2022"/>
    <x v="0"/>
    <x v="813"/>
    <x v="270"/>
  </r>
  <r>
    <x v="4"/>
    <x v="5"/>
    <x v="8"/>
    <s v="19/05/2022"/>
    <s v="19/05/2022"/>
    <s v="2022"/>
    <x v="7"/>
    <x v="814"/>
    <x v="381"/>
  </r>
  <r>
    <x v="17"/>
    <x v="5"/>
    <x v="9"/>
    <d v="2022-10-01T00:00:00"/>
    <s v="01/10/2022"/>
    <s v="2022"/>
    <x v="6"/>
    <x v="815"/>
    <x v="51"/>
  </r>
  <r>
    <x v="9"/>
    <x v="3"/>
    <x v="5"/>
    <d v="2022-04-05T00:00:00"/>
    <s v="05/04/2022"/>
    <s v="2022"/>
    <x v="0"/>
    <x v="604"/>
    <x v="344"/>
  </r>
  <r>
    <x v="13"/>
    <x v="5"/>
    <x v="14"/>
    <d v="2022-05-04T00:00:00"/>
    <s v="04/05/2022"/>
    <s v="2022"/>
    <x v="7"/>
    <x v="816"/>
    <x v="382"/>
  </r>
  <r>
    <x v="19"/>
    <x v="1"/>
    <x v="5"/>
    <s v="17/01/2022"/>
    <s v="17/01/2022"/>
    <s v="2022"/>
    <x v="1"/>
    <x v="652"/>
    <x v="238"/>
  </r>
  <r>
    <x v="13"/>
    <x v="1"/>
    <x v="12"/>
    <s v="22/03/2022"/>
    <s v="22/03/2022"/>
    <s v="2022"/>
    <x v="5"/>
    <x v="817"/>
    <x v="14"/>
  </r>
  <r>
    <x v="23"/>
    <x v="2"/>
    <x v="14"/>
    <d v="2022-05-07T00:00:00"/>
    <s v="07/05/2022"/>
    <s v="2022"/>
    <x v="7"/>
    <x v="198"/>
    <x v="266"/>
  </r>
  <r>
    <x v="4"/>
    <x v="5"/>
    <x v="7"/>
    <s v="27/04/2022"/>
    <s v="27/04/2022"/>
    <s v="2022"/>
    <x v="0"/>
    <x v="518"/>
    <x v="383"/>
  </r>
  <r>
    <x v="16"/>
    <x v="5"/>
    <x v="16"/>
    <d v="2022-12-08T00:00:00"/>
    <s v="08/12/2022"/>
    <s v="2022"/>
    <x v="11"/>
    <x v="198"/>
    <x v="7"/>
  </r>
  <r>
    <x v="3"/>
    <x v="0"/>
    <x v="19"/>
    <d v="2022-11-03T00:00:00"/>
    <s v="03/11/2022"/>
    <s v="2022"/>
    <x v="10"/>
    <x v="704"/>
    <x v="310"/>
  </r>
  <r>
    <x v="0"/>
    <x v="0"/>
    <x v="13"/>
    <s v="13/05/2022"/>
    <s v="13/05/2022"/>
    <s v="2022"/>
    <x v="7"/>
    <x v="818"/>
    <x v="299"/>
  </r>
  <r>
    <x v="17"/>
    <x v="4"/>
    <x v="3"/>
    <d v="2022-12-05T00:00:00"/>
    <s v="05/12/2022"/>
    <s v="2022"/>
    <x v="11"/>
    <x v="819"/>
    <x v="2"/>
  </r>
  <r>
    <x v="6"/>
    <x v="4"/>
    <x v="17"/>
    <d v="2022-12-01T00:00:00"/>
    <s v="01/12/2022"/>
    <s v="2022"/>
    <x v="11"/>
    <x v="820"/>
    <x v="275"/>
  </r>
  <r>
    <x v="22"/>
    <x v="3"/>
    <x v="11"/>
    <s v="29/03/2022"/>
    <s v="29/03/2022"/>
    <s v="2022"/>
    <x v="5"/>
    <x v="821"/>
    <x v="115"/>
  </r>
  <r>
    <x v="13"/>
    <x v="1"/>
    <x v="6"/>
    <s v="14/03/2022"/>
    <s v="14/03/2022"/>
    <s v="2022"/>
    <x v="5"/>
    <x v="822"/>
    <x v="129"/>
  </r>
  <r>
    <x v="8"/>
    <x v="3"/>
    <x v="4"/>
    <s v="24/05/2022"/>
    <s v="24/05/2022"/>
    <s v="2022"/>
    <x v="7"/>
    <x v="823"/>
    <x v="210"/>
  </r>
  <r>
    <x v="17"/>
    <x v="5"/>
    <x v="10"/>
    <s v="28/01/2022"/>
    <s v="28/01/2022"/>
    <s v="2022"/>
    <x v="1"/>
    <x v="824"/>
    <x v="207"/>
  </r>
  <r>
    <x v="12"/>
    <x v="1"/>
    <x v="16"/>
    <s v="24/05/2022"/>
    <s v="24/05/2022"/>
    <s v="2022"/>
    <x v="7"/>
    <x v="825"/>
    <x v="109"/>
  </r>
  <r>
    <x v="6"/>
    <x v="2"/>
    <x v="2"/>
    <s v="19/08/2022"/>
    <s v="19/08/2022"/>
    <s v="2022"/>
    <x v="8"/>
    <x v="733"/>
    <x v="342"/>
  </r>
  <r>
    <x v="10"/>
    <x v="2"/>
    <x v="12"/>
    <s v="17/05/2022"/>
    <s v="17/05/2022"/>
    <s v="2022"/>
    <x v="7"/>
    <x v="826"/>
    <x v="316"/>
  </r>
  <r>
    <x v="0"/>
    <x v="4"/>
    <x v="14"/>
    <d v="2022-07-06T00:00:00"/>
    <s v="06/07/2022"/>
    <s v="2022"/>
    <x v="2"/>
    <x v="774"/>
    <x v="366"/>
  </r>
  <r>
    <x v="24"/>
    <x v="5"/>
    <x v="10"/>
    <s v="26/07/2022"/>
    <s v="26/07/2022"/>
    <s v="2022"/>
    <x v="2"/>
    <x v="755"/>
    <x v="384"/>
  </r>
  <r>
    <x v="23"/>
    <x v="1"/>
    <x v="8"/>
    <s v="28/07/2022"/>
    <s v="28/07/2022"/>
    <s v="2022"/>
    <x v="2"/>
    <x v="506"/>
    <x v="269"/>
  </r>
  <r>
    <x v="10"/>
    <x v="1"/>
    <x v="21"/>
    <s v="23/05/2022"/>
    <s v="23/05/2022"/>
    <s v="2022"/>
    <x v="7"/>
    <x v="221"/>
    <x v="319"/>
  </r>
  <r>
    <x v="0"/>
    <x v="0"/>
    <x v="0"/>
    <d v="2023-04-01T00:00:00"/>
    <s v="01/04/2023"/>
    <s v="2023"/>
    <x v="0"/>
    <x v="827"/>
    <x v="124"/>
  </r>
  <r>
    <x v="1"/>
    <x v="1"/>
    <x v="1"/>
    <d v="2023-01-08T00:00:00"/>
    <s v="08/01/2023"/>
    <s v="2023"/>
    <x v="1"/>
    <x v="828"/>
    <x v="149"/>
  </r>
  <r>
    <x v="2"/>
    <x v="1"/>
    <x v="2"/>
    <d v="2023-07-07T00:00:00"/>
    <s v="07/07/2023"/>
    <s v="2023"/>
    <x v="2"/>
    <x v="829"/>
    <x v="149"/>
  </r>
  <r>
    <x v="3"/>
    <x v="2"/>
    <x v="2"/>
    <s v="27/04/2023"/>
    <s v="27/04/2023"/>
    <s v="2023"/>
    <x v="0"/>
    <x v="830"/>
    <x v="313"/>
  </r>
  <r>
    <x v="0"/>
    <x v="0"/>
    <x v="2"/>
    <s v="24/02/2023"/>
    <s v="24/02/2023"/>
    <s v="2023"/>
    <x v="3"/>
    <x v="831"/>
    <x v="124"/>
  </r>
  <r>
    <x v="1"/>
    <x v="1"/>
    <x v="3"/>
    <d v="2023-06-06T00:00:00"/>
    <s v="06/06/2023"/>
    <s v="2023"/>
    <x v="4"/>
    <x v="832"/>
    <x v="175"/>
  </r>
  <r>
    <x v="4"/>
    <x v="0"/>
    <x v="4"/>
    <s v="25/01/2023"/>
    <s v="25/01/2023"/>
    <s v="2023"/>
    <x v="1"/>
    <x v="833"/>
    <x v="95"/>
  </r>
  <r>
    <x v="5"/>
    <x v="2"/>
    <x v="5"/>
    <s v="24/03/2023"/>
    <s v="24/03/2023"/>
    <s v="2023"/>
    <x v="5"/>
    <x v="834"/>
    <x v="148"/>
  </r>
  <r>
    <x v="0"/>
    <x v="3"/>
    <x v="6"/>
    <s v="20/04/2023"/>
    <s v="20/04/2023"/>
    <s v="2023"/>
    <x v="0"/>
    <x v="835"/>
    <x v="360"/>
  </r>
  <r>
    <x v="6"/>
    <x v="2"/>
    <x v="4"/>
    <d v="2023-04-07T00:00:00"/>
    <s v="07/04/2023"/>
    <s v="2023"/>
    <x v="0"/>
    <x v="836"/>
    <x v="325"/>
  </r>
  <r>
    <x v="7"/>
    <x v="0"/>
    <x v="3"/>
    <s v="13/01/2023"/>
    <s v="13/01/2023"/>
    <s v="2023"/>
    <x v="1"/>
    <x v="837"/>
    <x v="81"/>
  </r>
  <r>
    <x v="8"/>
    <x v="4"/>
    <x v="7"/>
    <d v="2023-10-03T00:00:00"/>
    <s v="03/10/2023"/>
    <s v="2023"/>
    <x v="6"/>
    <x v="838"/>
    <x v="129"/>
  </r>
  <r>
    <x v="9"/>
    <x v="5"/>
    <x v="8"/>
    <s v="13/01/2023"/>
    <s v="13/01/2023"/>
    <s v="2023"/>
    <x v="1"/>
    <x v="839"/>
    <x v="173"/>
  </r>
  <r>
    <x v="10"/>
    <x v="3"/>
    <x v="9"/>
    <s v="28/07/2023"/>
    <s v="28/07/2023"/>
    <s v="2023"/>
    <x v="2"/>
    <x v="840"/>
    <x v="22"/>
  </r>
  <r>
    <x v="11"/>
    <x v="3"/>
    <x v="2"/>
    <d v="2023-03-08T00:00:00"/>
    <s v="08/03/2023"/>
    <s v="2023"/>
    <x v="5"/>
    <x v="841"/>
    <x v="225"/>
  </r>
  <r>
    <x v="12"/>
    <x v="2"/>
    <x v="10"/>
    <s v="26/01/2023"/>
    <s v="26/01/2023"/>
    <s v="2023"/>
    <x v="1"/>
    <x v="842"/>
    <x v="385"/>
  </r>
  <r>
    <x v="1"/>
    <x v="5"/>
    <x v="10"/>
    <s v="14/02/2023"/>
    <s v="14/02/2023"/>
    <s v="2023"/>
    <x v="3"/>
    <x v="843"/>
    <x v="110"/>
  </r>
  <r>
    <x v="13"/>
    <x v="4"/>
    <x v="3"/>
    <d v="2023-05-04T00:00:00"/>
    <s v="04/05/2023"/>
    <s v="2023"/>
    <x v="7"/>
    <x v="844"/>
    <x v="265"/>
  </r>
  <r>
    <x v="12"/>
    <x v="5"/>
    <x v="11"/>
    <s v="16/02/2023"/>
    <s v="16/02/2023"/>
    <s v="2023"/>
    <x v="3"/>
    <x v="845"/>
    <x v="263"/>
  </r>
  <r>
    <x v="14"/>
    <x v="0"/>
    <x v="1"/>
    <d v="2023-08-06T00:00:00"/>
    <s v="06/08/2023"/>
    <s v="2023"/>
    <x v="8"/>
    <x v="846"/>
    <x v="95"/>
  </r>
  <r>
    <x v="6"/>
    <x v="2"/>
    <x v="8"/>
    <s v="27/06/2023"/>
    <s v="27/06/2023"/>
    <s v="2023"/>
    <x v="4"/>
    <x v="847"/>
    <x v="1"/>
  </r>
  <r>
    <x v="5"/>
    <x v="4"/>
    <x v="12"/>
    <s v="17/02/2023"/>
    <s v="17/02/2023"/>
    <s v="2023"/>
    <x v="3"/>
    <x v="848"/>
    <x v="185"/>
  </r>
  <r>
    <x v="11"/>
    <x v="4"/>
    <x v="5"/>
    <s v="30/05/2023"/>
    <s v="30/05/2023"/>
    <s v="2023"/>
    <x v="7"/>
    <x v="849"/>
    <x v="141"/>
  </r>
  <r>
    <x v="15"/>
    <x v="0"/>
    <x v="9"/>
    <s v="14/03/2023"/>
    <s v="14/03/2023"/>
    <s v="2023"/>
    <x v="5"/>
    <x v="850"/>
    <x v="241"/>
  </r>
  <r>
    <x v="16"/>
    <x v="2"/>
    <x v="8"/>
    <s v="28/02/2023"/>
    <s v="28/02/2023"/>
    <s v="2023"/>
    <x v="3"/>
    <x v="851"/>
    <x v="105"/>
  </r>
  <r>
    <x v="10"/>
    <x v="1"/>
    <x v="13"/>
    <s v="26/01/2023"/>
    <s v="26/01/2023"/>
    <s v="2023"/>
    <x v="1"/>
    <x v="852"/>
    <x v="34"/>
  </r>
  <r>
    <x v="13"/>
    <x v="5"/>
    <x v="12"/>
    <d v="2023-09-02T00:00:00"/>
    <s v="02/09/2023"/>
    <s v="2023"/>
    <x v="9"/>
    <x v="853"/>
    <x v="386"/>
  </r>
  <r>
    <x v="15"/>
    <x v="4"/>
    <x v="8"/>
    <d v="2023-07-07T00:00:00"/>
    <s v="07/07/2023"/>
    <s v="2023"/>
    <x v="2"/>
    <x v="854"/>
    <x v="160"/>
  </r>
  <r>
    <x v="17"/>
    <x v="3"/>
    <x v="14"/>
    <d v="2023-05-07T00:00:00"/>
    <s v="07/05/2023"/>
    <s v="2023"/>
    <x v="7"/>
    <x v="855"/>
    <x v="364"/>
  </r>
  <r>
    <x v="17"/>
    <x v="3"/>
    <x v="15"/>
    <s v="15/06/2023"/>
    <s v="15/06/2023"/>
    <s v="2023"/>
    <x v="4"/>
    <x v="856"/>
    <x v="387"/>
  </r>
  <r>
    <x v="1"/>
    <x v="3"/>
    <x v="1"/>
    <s v="24/05/2023"/>
    <s v="24/05/2023"/>
    <s v="2023"/>
    <x v="7"/>
    <x v="857"/>
    <x v="30"/>
  </r>
  <r>
    <x v="7"/>
    <x v="0"/>
    <x v="4"/>
    <s v="29/06/2023"/>
    <s v="29/06/2023"/>
    <s v="2023"/>
    <x v="4"/>
    <x v="858"/>
    <x v="31"/>
  </r>
  <r>
    <x v="18"/>
    <x v="2"/>
    <x v="15"/>
    <d v="2023-11-05T00:00:00"/>
    <s v="05/11/2023"/>
    <s v="2023"/>
    <x v="10"/>
    <x v="859"/>
    <x v="187"/>
  </r>
  <r>
    <x v="10"/>
    <x v="0"/>
    <x v="16"/>
    <s v="30/06/2023"/>
    <s v="30/06/2023"/>
    <s v="2023"/>
    <x v="4"/>
    <x v="860"/>
    <x v="179"/>
  </r>
  <r>
    <x v="19"/>
    <x v="5"/>
    <x v="5"/>
    <d v="2023-11-05T00:00:00"/>
    <s v="05/11/2023"/>
    <s v="2023"/>
    <x v="10"/>
    <x v="861"/>
    <x v="376"/>
  </r>
  <r>
    <x v="13"/>
    <x v="4"/>
    <x v="15"/>
    <s v="22/07/2023"/>
    <s v="22/07/2023"/>
    <s v="2023"/>
    <x v="2"/>
    <x v="862"/>
    <x v="57"/>
  </r>
  <r>
    <x v="19"/>
    <x v="0"/>
    <x v="6"/>
    <s v="24/08/2023"/>
    <s v="24/08/2023"/>
    <s v="2023"/>
    <x v="8"/>
    <x v="863"/>
    <x v="388"/>
  </r>
  <r>
    <x v="20"/>
    <x v="3"/>
    <x v="5"/>
    <d v="2023-07-07T00:00:00"/>
    <s v="07/07/2023"/>
    <s v="2023"/>
    <x v="2"/>
    <x v="864"/>
    <x v="220"/>
  </r>
  <r>
    <x v="21"/>
    <x v="2"/>
    <x v="1"/>
    <s v="19/05/2023"/>
    <s v="19/05/2023"/>
    <s v="2023"/>
    <x v="7"/>
    <x v="865"/>
    <x v="37"/>
  </r>
  <r>
    <x v="10"/>
    <x v="1"/>
    <x v="15"/>
    <d v="2023-04-07T00:00:00"/>
    <s v="07/04/2023"/>
    <s v="2023"/>
    <x v="0"/>
    <x v="866"/>
    <x v="389"/>
  </r>
  <r>
    <x v="20"/>
    <x v="4"/>
    <x v="5"/>
    <d v="2023-02-06T00:00:00"/>
    <s v="06/02/2023"/>
    <s v="2023"/>
    <x v="3"/>
    <x v="867"/>
    <x v="390"/>
  </r>
  <r>
    <x v="10"/>
    <x v="4"/>
    <x v="17"/>
    <s v="15/04/2023"/>
    <s v="15/04/2023"/>
    <s v="2023"/>
    <x v="0"/>
    <x v="868"/>
    <x v="279"/>
  </r>
  <r>
    <x v="9"/>
    <x v="5"/>
    <x v="18"/>
    <d v="2023-11-07T00:00:00"/>
    <s v="07/11/2023"/>
    <s v="2023"/>
    <x v="10"/>
    <x v="869"/>
    <x v="18"/>
  </r>
  <r>
    <x v="19"/>
    <x v="1"/>
    <x v="12"/>
    <s v="23/02/2023"/>
    <s v="23/02/2023"/>
    <s v="2023"/>
    <x v="3"/>
    <x v="870"/>
    <x v="163"/>
  </r>
  <r>
    <x v="22"/>
    <x v="5"/>
    <x v="16"/>
    <s v="22/08/2023"/>
    <s v="22/08/2023"/>
    <s v="2023"/>
    <x v="8"/>
    <x v="871"/>
    <x v="200"/>
  </r>
  <r>
    <x v="16"/>
    <x v="4"/>
    <x v="2"/>
    <s v="16/02/2023"/>
    <s v="16/02/2023"/>
    <s v="2023"/>
    <x v="3"/>
    <x v="872"/>
    <x v="302"/>
  </r>
  <r>
    <x v="1"/>
    <x v="4"/>
    <x v="6"/>
    <s v="13/01/2023"/>
    <s v="13/01/2023"/>
    <s v="2023"/>
    <x v="1"/>
    <x v="873"/>
    <x v="277"/>
  </r>
  <r>
    <x v="14"/>
    <x v="2"/>
    <x v="11"/>
    <s v="14/02/2023"/>
    <s v="14/02/2023"/>
    <s v="2023"/>
    <x v="3"/>
    <x v="874"/>
    <x v="332"/>
  </r>
  <r>
    <x v="13"/>
    <x v="1"/>
    <x v="8"/>
    <d v="2023-10-06T00:00:00"/>
    <s v="06/10/2023"/>
    <s v="2023"/>
    <x v="6"/>
    <x v="875"/>
    <x v="348"/>
  </r>
  <r>
    <x v="14"/>
    <x v="1"/>
    <x v="13"/>
    <d v="2023-07-07T00:00:00"/>
    <s v="07/07/2023"/>
    <s v="2023"/>
    <x v="2"/>
    <x v="876"/>
    <x v="152"/>
  </r>
  <r>
    <x v="14"/>
    <x v="5"/>
    <x v="16"/>
    <s v="24/03/2023"/>
    <s v="24/03/2023"/>
    <s v="2023"/>
    <x v="5"/>
    <x v="877"/>
    <x v="151"/>
  </r>
  <r>
    <x v="6"/>
    <x v="2"/>
    <x v="13"/>
    <d v="2023-06-06T00:00:00"/>
    <s v="06/06/2023"/>
    <s v="2023"/>
    <x v="4"/>
    <x v="878"/>
    <x v="51"/>
  </r>
  <r>
    <x v="23"/>
    <x v="2"/>
    <x v="9"/>
    <s v="19/07/2023"/>
    <s v="19/07/2023"/>
    <s v="2023"/>
    <x v="2"/>
    <x v="879"/>
    <x v="181"/>
  </r>
  <r>
    <x v="12"/>
    <x v="4"/>
    <x v="17"/>
    <s v="19/04/2023"/>
    <s v="19/04/2023"/>
    <s v="2023"/>
    <x v="0"/>
    <x v="880"/>
    <x v="102"/>
  </r>
  <r>
    <x v="11"/>
    <x v="1"/>
    <x v="1"/>
    <s v="19/07/2023"/>
    <s v="19/07/2023"/>
    <s v="2023"/>
    <x v="2"/>
    <x v="881"/>
    <x v="95"/>
  </r>
  <r>
    <x v="0"/>
    <x v="5"/>
    <x v="9"/>
    <s v="15/07/2023"/>
    <s v="15/07/2023"/>
    <s v="2023"/>
    <x v="2"/>
    <x v="882"/>
    <x v="47"/>
  </r>
  <r>
    <x v="24"/>
    <x v="3"/>
    <x v="12"/>
    <s v="14/02/2023"/>
    <s v="14/02/2023"/>
    <s v="2023"/>
    <x v="3"/>
    <x v="883"/>
    <x v="45"/>
  </r>
  <r>
    <x v="6"/>
    <x v="5"/>
    <x v="4"/>
    <s v="18/05/2023"/>
    <s v="18/05/2023"/>
    <s v="2023"/>
    <x v="7"/>
    <x v="884"/>
    <x v="365"/>
  </r>
  <r>
    <x v="8"/>
    <x v="2"/>
    <x v="13"/>
    <s v="30/06/2023"/>
    <s v="30/06/2023"/>
    <s v="2023"/>
    <x v="4"/>
    <x v="885"/>
    <x v="204"/>
  </r>
  <r>
    <x v="19"/>
    <x v="2"/>
    <x v="6"/>
    <d v="2023-02-06T00:00:00"/>
    <s v="06/02/2023"/>
    <s v="2023"/>
    <x v="3"/>
    <x v="886"/>
    <x v="301"/>
  </r>
  <r>
    <x v="19"/>
    <x v="2"/>
    <x v="9"/>
    <s v="28/06/2023"/>
    <s v="28/06/2023"/>
    <s v="2023"/>
    <x v="4"/>
    <x v="887"/>
    <x v="282"/>
  </r>
  <r>
    <x v="11"/>
    <x v="2"/>
    <x v="10"/>
    <s v="16/05/2023"/>
    <s v="16/05/2023"/>
    <s v="2023"/>
    <x v="7"/>
    <x v="888"/>
    <x v="302"/>
  </r>
  <r>
    <x v="20"/>
    <x v="5"/>
    <x v="19"/>
    <s v="26/05/2023"/>
    <s v="26/05/2023"/>
    <s v="2023"/>
    <x v="7"/>
    <x v="889"/>
    <x v="387"/>
  </r>
  <r>
    <x v="10"/>
    <x v="1"/>
    <x v="16"/>
    <d v="2023-06-07T00:00:00"/>
    <s v="07/06/2023"/>
    <s v="2023"/>
    <x v="4"/>
    <x v="890"/>
    <x v="21"/>
  </r>
  <r>
    <x v="4"/>
    <x v="1"/>
    <x v="4"/>
    <s v="27/05/2023"/>
    <s v="27/05/2023"/>
    <s v="2023"/>
    <x v="7"/>
    <x v="891"/>
    <x v="11"/>
  </r>
  <r>
    <x v="18"/>
    <x v="2"/>
    <x v="20"/>
    <s v="14/04/2023"/>
    <s v="14/04/2023"/>
    <s v="2023"/>
    <x v="0"/>
    <x v="892"/>
    <x v="129"/>
  </r>
  <r>
    <x v="1"/>
    <x v="2"/>
    <x v="10"/>
    <d v="2023-10-08T00:00:00"/>
    <s v="08/10/2023"/>
    <s v="2023"/>
    <x v="6"/>
    <x v="893"/>
    <x v="303"/>
  </r>
  <r>
    <x v="21"/>
    <x v="1"/>
    <x v="6"/>
    <d v="2023-04-07T00:00:00"/>
    <s v="07/04/2023"/>
    <s v="2023"/>
    <x v="0"/>
    <x v="894"/>
    <x v="327"/>
  </r>
  <r>
    <x v="4"/>
    <x v="1"/>
    <x v="10"/>
    <d v="2023-08-07T00:00:00"/>
    <s v="07/08/2023"/>
    <s v="2023"/>
    <x v="8"/>
    <x v="895"/>
    <x v="203"/>
  </r>
  <r>
    <x v="3"/>
    <x v="4"/>
    <x v="2"/>
    <s v="22/07/2023"/>
    <s v="22/07/2023"/>
    <s v="2023"/>
    <x v="2"/>
    <x v="896"/>
    <x v="325"/>
  </r>
  <r>
    <x v="2"/>
    <x v="4"/>
    <x v="18"/>
    <d v="2023-02-03T00:00:00"/>
    <s v="03/02/2023"/>
    <s v="2023"/>
    <x v="3"/>
    <x v="897"/>
    <x v="61"/>
  </r>
  <r>
    <x v="2"/>
    <x v="0"/>
    <x v="16"/>
    <d v="2023-10-01T00:00:00"/>
    <s v="01/10/2023"/>
    <s v="2023"/>
    <x v="6"/>
    <x v="898"/>
    <x v="71"/>
  </r>
  <r>
    <x v="0"/>
    <x v="3"/>
    <x v="14"/>
    <d v="2023-11-03T00:00:00"/>
    <s v="03/11/2023"/>
    <s v="2023"/>
    <x v="10"/>
    <x v="899"/>
    <x v="391"/>
  </r>
  <r>
    <x v="19"/>
    <x v="3"/>
    <x v="2"/>
    <s v="20/06/2023"/>
    <s v="20/06/2023"/>
    <s v="2023"/>
    <x v="4"/>
    <x v="900"/>
    <x v="392"/>
  </r>
  <r>
    <x v="1"/>
    <x v="0"/>
    <x v="10"/>
    <s v="26/08/2023"/>
    <s v="26/08/2023"/>
    <s v="2023"/>
    <x v="8"/>
    <x v="901"/>
    <x v="267"/>
  </r>
  <r>
    <x v="13"/>
    <x v="5"/>
    <x v="11"/>
    <s v="13/07/2023"/>
    <s v="13/07/2023"/>
    <s v="2023"/>
    <x v="2"/>
    <x v="902"/>
    <x v="283"/>
  </r>
  <r>
    <x v="21"/>
    <x v="4"/>
    <x v="12"/>
    <d v="2023-11-02T00:00:00"/>
    <s v="02/11/2023"/>
    <s v="2023"/>
    <x v="10"/>
    <x v="903"/>
    <x v="310"/>
  </r>
  <r>
    <x v="11"/>
    <x v="4"/>
    <x v="7"/>
    <s v="27/01/2023"/>
    <s v="27/01/2023"/>
    <s v="2023"/>
    <x v="1"/>
    <x v="904"/>
    <x v="4"/>
  </r>
  <r>
    <x v="1"/>
    <x v="0"/>
    <x v="4"/>
    <s v="31/01/2023"/>
    <s v="31/01/2023"/>
    <s v="2023"/>
    <x v="1"/>
    <x v="905"/>
    <x v="181"/>
  </r>
  <r>
    <x v="21"/>
    <x v="4"/>
    <x v="14"/>
    <s v="18/08/2023"/>
    <s v="18/08/2023"/>
    <s v="2023"/>
    <x v="8"/>
    <x v="906"/>
    <x v="51"/>
  </r>
  <r>
    <x v="19"/>
    <x v="4"/>
    <x v="17"/>
    <s v="30/06/2023"/>
    <s v="30/06/2023"/>
    <s v="2023"/>
    <x v="4"/>
    <x v="907"/>
    <x v="69"/>
  </r>
  <r>
    <x v="23"/>
    <x v="2"/>
    <x v="13"/>
    <s v="23/08/2023"/>
    <s v="23/08/2023"/>
    <s v="2023"/>
    <x v="8"/>
    <x v="908"/>
    <x v="393"/>
  </r>
  <r>
    <x v="6"/>
    <x v="3"/>
    <x v="0"/>
    <d v="2023-01-08T00:00:00"/>
    <s v="08/01/2023"/>
    <s v="2023"/>
    <x v="1"/>
    <x v="909"/>
    <x v="216"/>
  </r>
  <r>
    <x v="13"/>
    <x v="3"/>
    <x v="5"/>
    <s v="25/05/2023"/>
    <s v="25/05/2023"/>
    <s v="2023"/>
    <x v="7"/>
    <x v="910"/>
    <x v="71"/>
  </r>
  <r>
    <x v="13"/>
    <x v="5"/>
    <x v="10"/>
    <d v="2023-10-01T00:00:00"/>
    <s v="01/10/2023"/>
    <s v="2023"/>
    <x v="6"/>
    <x v="911"/>
    <x v="243"/>
  </r>
  <r>
    <x v="17"/>
    <x v="2"/>
    <x v="21"/>
    <d v="2023-07-02T00:00:00"/>
    <s v="02/07/2023"/>
    <s v="2023"/>
    <x v="2"/>
    <x v="912"/>
    <x v="23"/>
  </r>
  <r>
    <x v="10"/>
    <x v="4"/>
    <x v="7"/>
    <d v="2023-12-05T00:00:00"/>
    <s v="05/12/2023"/>
    <s v="2023"/>
    <x v="11"/>
    <x v="913"/>
    <x v="345"/>
  </r>
  <r>
    <x v="22"/>
    <x v="2"/>
    <x v="12"/>
    <d v="2023-07-03T00:00:00"/>
    <s v="03/07/2023"/>
    <s v="2023"/>
    <x v="2"/>
    <x v="914"/>
    <x v="286"/>
  </r>
  <r>
    <x v="17"/>
    <x v="2"/>
    <x v="1"/>
    <d v="2023-05-04T00:00:00"/>
    <s v="04/05/2023"/>
    <s v="2023"/>
    <x v="7"/>
    <x v="915"/>
    <x v="335"/>
  </r>
  <r>
    <x v="19"/>
    <x v="5"/>
    <x v="20"/>
    <d v="2023-03-01T00:00:00"/>
    <s v="01/03/2023"/>
    <s v="2023"/>
    <x v="5"/>
    <x v="916"/>
    <x v="394"/>
  </r>
  <r>
    <x v="17"/>
    <x v="0"/>
    <x v="8"/>
    <s v="24/03/2023"/>
    <s v="24/03/2023"/>
    <s v="2023"/>
    <x v="5"/>
    <x v="917"/>
    <x v="321"/>
  </r>
  <r>
    <x v="22"/>
    <x v="1"/>
    <x v="17"/>
    <d v="2023-07-07T00:00:00"/>
    <s v="07/07/2023"/>
    <s v="2023"/>
    <x v="2"/>
    <x v="918"/>
    <x v="71"/>
  </r>
  <r>
    <x v="1"/>
    <x v="4"/>
    <x v="5"/>
    <s v="26/07/2023"/>
    <s v="26/07/2023"/>
    <s v="2023"/>
    <x v="2"/>
    <x v="919"/>
    <x v="395"/>
  </r>
  <r>
    <x v="18"/>
    <x v="2"/>
    <x v="10"/>
    <d v="2023-07-07T00:00:00"/>
    <s v="07/07/2023"/>
    <s v="2023"/>
    <x v="2"/>
    <x v="920"/>
    <x v="24"/>
  </r>
  <r>
    <x v="10"/>
    <x v="5"/>
    <x v="6"/>
    <s v="15/07/2023"/>
    <s v="15/07/2023"/>
    <s v="2023"/>
    <x v="2"/>
    <x v="921"/>
    <x v="81"/>
  </r>
  <r>
    <x v="13"/>
    <x v="3"/>
    <x v="7"/>
    <d v="2023-01-04T00:00:00"/>
    <s v="04/01/2023"/>
    <s v="2023"/>
    <x v="1"/>
    <x v="922"/>
    <x v="149"/>
  </r>
  <r>
    <x v="12"/>
    <x v="2"/>
    <x v="8"/>
    <s v="20/06/2023"/>
    <s v="20/06/2023"/>
    <s v="2023"/>
    <x v="4"/>
    <x v="923"/>
    <x v="83"/>
  </r>
  <r>
    <x v="20"/>
    <x v="0"/>
    <x v="13"/>
    <s v="29/06/2023"/>
    <s v="29/06/2023"/>
    <s v="2023"/>
    <x v="4"/>
    <x v="924"/>
    <x v="396"/>
  </r>
  <r>
    <x v="11"/>
    <x v="4"/>
    <x v="6"/>
    <s v="15/06/2023"/>
    <s v="15/06/2023"/>
    <s v="2023"/>
    <x v="4"/>
    <x v="925"/>
    <x v="85"/>
  </r>
  <r>
    <x v="15"/>
    <x v="4"/>
    <x v="5"/>
    <d v="2023-08-04T00:00:00"/>
    <s v="04/08/2023"/>
    <s v="2023"/>
    <x v="8"/>
    <x v="926"/>
    <x v="386"/>
  </r>
  <r>
    <x v="17"/>
    <x v="2"/>
    <x v="17"/>
    <s v="14/03/2023"/>
    <s v="14/03/2023"/>
    <s v="2023"/>
    <x v="5"/>
    <x v="927"/>
    <x v="86"/>
  </r>
  <r>
    <x v="19"/>
    <x v="4"/>
    <x v="13"/>
    <s v="15/07/2023"/>
    <s v="15/07/2023"/>
    <s v="2023"/>
    <x v="2"/>
    <x v="928"/>
    <x v="224"/>
  </r>
  <r>
    <x v="20"/>
    <x v="1"/>
    <x v="8"/>
    <s v="19/04/2023"/>
    <s v="19/04/2023"/>
    <s v="2023"/>
    <x v="0"/>
    <x v="929"/>
    <x v="88"/>
  </r>
  <r>
    <x v="11"/>
    <x v="4"/>
    <x v="4"/>
    <s v="28/03/2023"/>
    <s v="28/03/2023"/>
    <s v="2023"/>
    <x v="5"/>
    <x v="930"/>
    <x v="254"/>
  </r>
  <r>
    <x v="6"/>
    <x v="5"/>
    <x v="12"/>
    <d v="2023-04-03T00:00:00"/>
    <s v="03/04/2023"/>
    <s v="2023"/>
    <x v="0"/>
    <x v="931"/>
    <x v="149"/>
  </r>
  <r>
    <x v="10"/>
    <x v="3"/>
    <x v="21"/>
    <d v="2023-02-08T00:00:00"/>
    <s v="08/02/2023"/>
    <s v="2023"/>
    <x v="3"/>
    <x v="932"/>
    <x v="5"/>
  </r>
  <r>
    <x v="15"/>
    <x v="0"/>
    <x v="12"/>
    <s v="25/08/2023"/>
    <s v="25/08/2023"/>
    <s v="2023"/>
    <x v="8"/>
    <x v="933"/>
    <x v="121"/>
  </r>
  <r>
    <x v="11"/>
    <x v="4"/>
    <x v="16"/>
    <s v="25/02/2023"/>
    <s v="25/02/2023"/>
    <s v="2023"/>
    <x v="3"/>
    <x v="934"/>
    <x v="22"/>
  </r>
  <r>
    <x v="20"/>
    <x v="1"/>
    <x v="7"/>
    <d v="2023-07-06T00:00:00"/>
    <s v="06/07/2023"/>
    <s v="2023"/>
    <x v="2"/>
    <x v="935"/>
    <x v="154"/>
  </r>
  <r>
    <x v="3"/>
    <x v="1"/>
    <x v="12"/>
    <d v="2023-12-04T00:00:00"/>
    <s v="04/12/2023"/>
    <s v="2023"/>
    <x v="11"/>
    <x v="936"/>
    <x v="346"/>
  </r>
  <r>
    <x v="24"/>
    <x v="1"/>
    <x v="12"/>
    <d v="2023-06-07T00:00:00"/>
    <s v="07/06/2023"/>
    <s v="2023"/>
    <x v="4"/>
    <x v="937"/>
    <x v="61"/>
  </r>
  <r>
    <x v="20"/>
    <x v="0"/>
    <x v="3"/>
    <s v="19/01/2023"/>
    <s v="19/01/2023"/>
    <s v="2023"/>
    <x v="1"/>
    <x v="938"/>
    <x v="397"/>
  </r>
  <r>
    <x v="22"/>
    <x v="2"/>
    <x v="13"/>
    <d v="2023-05-01T00:00:00"/>
    <s v="01/05/2023"/>
    <s v="2023"/>
    <x v="7"/>
    <x v="939"/>
    <x v="114"/>
  </r>
  <r>
    <x v="22"/>
    <x v="5"/>
    <x v="21"/>
    <s v="24/01/2023"/>
    <s v="24/01/2023"/>
    <s v="2023"/>
    <x v="1"/>
    <x v="940"/>
    <x v="42"/>
  </r>
  <r>
    <x v="18"/>
    <x v="2"/>
    <x v="9"/>
    <d v="2023-06-04T00:00:00"/>
    <s v="04/06/2023"/>
    <s v="2023"/>
    <x v="4"/>
    <x v="941"/>
    <x v="248"/>
  </r>
  <r>
    <x v="5"/>
    <x v="2"/>
    <x v="13"/>
    <s v="15/06/2023"/>
    <s v="15/06/2023"/>
    <s v="2023"/>
    <x v="4"/>
    <x v="942"/>
    <x v="108"/>
  </r>
  <r>
    <x v="2"/>
    <x v="5"/>
    <x v="19"/>
    <s v="28/01/2023"/>
    <s v="28/01/2023"/>
    <s v="2023"/>
    <x v="1"/>
    <x v="943"/>
    <x v="99"/>
  </r>
  <r>
    <x v="20"/>
    <x v="1"/>
    <x v="20"/>
    <s v="16/03/2023"/>
    <s v="16/03/2023"/>
    <s v="2023"/>
    <x v="5"/>
    <x v="944"/>
    <x v="358"/>
  </r>
  <r>
    <x v="7"/>
    <x v="2"/>
    <x v="9"/>
    <s v="21/02/2023"/>
    <s v="21/02/2023"/>
    <s v="2023"/>
    <x v="3"/>
    <x v="945"/>
    <x v="398"/>
  </r>
  <r>
    <x v="20"/>
    <x v="4"/>
    <x v="15"/>
    <s v="16/02/2023"/>
    <s v="16/02/2023"/>
    <s v="2023"/>
    <x v="3"/>
    <x v="946"/>
    <x v="109"/>
  </r>
  <r>
    <x v="0"/>
    <x v="5"/>
    <x v="12"/>
    <s v="13/01/2023"/>
    <s v="13/01/2023"/>
    <s v="2023"/>
    <x v="1"/>
    <x v="947"/>
    <x v="206"/>
  </r>
  <r>
    <x v="20"/>
    <x v="2"/>
    <x v="8"/>
    <s v="23/03/2023"/>
    <s v="23/03/2023"/>
    <s v="2023"/>
    <x v="5"/>
    <x v="948"/>
    <x v="399"/>
  </r>
  <r>
    <x v="14"/>
    <x v="5"/>
    <x v="12"/>
    <s v="16/06/2023"/>
    <s v="16/06/2023"/>
    <s v="2023"/>
    <x v="4"/>
    <x v="949"/>
    <x v="160"/>
  </r>
  <r>
    <x v="4"/>
    <x v="1"/>
    <x v="17"/>
    <s v="14/04/2023"/>
    <s v="14/04/2023"/>
    <s v="2023"/>
    <x v="0"/>
    <x v="950"/>
    <x v="110"/>
  </r>
  <r>
    <x v="20"/>
    <x v="0"/>
    <x v="8"/>
    <s v="25/01/2023"/>
    <s v="25/01/2023"/>
    <s v="2023"/>
    <x v="1"/>
    <x v="951"/>
    <x v="169"/>
  </r>
  <r>
    <x v="3"/>
    <x v="1"/>
    <x v="16"/>
    <d v="2023-11-03T00:00:00"/>
    <s v="03/11/2023"/>
    <s v="2023"/>
    <x v="10"/>
    <x v="952"/>
    <x v="69"/>
  </r>
  <r>
    <x v="23"/>
    <x v="0"/>
    <x v="16"/>
    <s v="28/07/2023"/>
    <s v="28/07/2023"/>
    <s v="2023"/>
    <x v="2"/>
    <x v="953"/>
    <x v="9"/>
  </r>
  <r>
    <x v="11"/>
    <x v="3"/>
    <x v="5"/>
    <d v="2023-09-03T00:00:00"/>
    <s v="03/09/2023"/>
    <s v="2023"/>
    <x v="9"/>
    <x v="954"/>
    <x v="106"/>
  </r>
  <r>
    <x v="15"/>
    <x v="2"/>
    <x v="7"/>
    <s v="28/06/2023"/>
    <s v="28/06/2023"/>
    <s v="2023"/>
    <x v="4"/>
    <x v="955"/>
    <x v="126"/>
  </r>
  <r>
    <x v="11"/>
    <x v="2"/>
    <x v="11"/>
    <s v="28/07/2023"/>
    <s v="28/07/2023"/>
    <s v="2023"/>
    <x v="2"/>
    <x v="956"/>
    <x v="400"/>
  </r>
  <r>
    <x v="20"/>
    <x v="5"/>
    <x v="4"/>
    <s v="15/08/2023"/>
    <s v="15/08/2023"/>
    <s v="2023"/>
    <x v="8"/>
    <x v="957"/>
    <x v="138"/>
  </r>
  <r>
    <x v="16"/>
    <x v="2"/>
    <x v="15"/>
    <d v="2023-12-01T00:00:00"/>
    <s v="01/12/2023"/>
    <s v="2023"/>
    <x v="11"/>
    <x v="958"/>
    <x v="322"/>
  </r>
  <r>
    <x v="12"/>
    <x v="3"/>
    <x v="14"/>
    <s v="24/03/2023"/>
    <s v="24/03/2023"/>
    <s v="2023"/>
    <x v="5"/>
    <x v="959"/>
    <x v="113"/>
  </r>
  <r>
    <x v="1"/>
    <x v="0"/>
    <x v="11"/>
    <s v="25/07/2023"/>
    <s v="25/07/2023"/>
    <s v="2023"/>
    <x v="2"/>
    <x v="960"/>
    <x v="2"/>
  </r>
  <r>
    <x v="4"/>
    <x v="5"/>
    <x v="4"/>
    <d v="2023-01-08T00:00:00"/>
    <s v="08/01/2023"/>
    <s v="2023"/>
    <x v="1"/>
    <x v="961"/>
    <x v="161"/>
  </r>
  <r>
    <x v="1"/>
    <x v="1"/>
    <x v="10"/>
    <s v="16/05/2023"/>
    <s v="16/05/2023"/>
    <s v="2023"/>
    <x v="7"/>
    <x v="962"/>
    <x v="251"/>
  </r>
  <r>
    <x v="13"/>
    <x v="1"/>
    <x v="3"/>
    <d v="2023-10-08T00:00:00"/>
    <s v="08/10/2023"/>
    <s v="2023"/>
    <x v="6"/>
    <x v="963"/>
    <x v="68"/>
  </r>
  <r>
    <x v="3"/>
    <x v="1"/>
    <x v="8"/>
    <d v="2023-05-01T00:00:00"/>
    <s v="01/05/2023"/>
    <s v="2023"/>
    <x v="7"/>
    <x v="964"/>
    <x v="135"/>
  </r>
  <r>
    <x v="24"/>
    <x v="0"/>
    <x v="3"/>
    <d v="2023-11-07T00:00:00"/>
    <s v="07/11/2023"/>
    <s v="2023"/>
    <x v="10"/>
    <x v="965"/>
    <x v="30"/>
  </r>
  <r>
    <x v="18"/>
    <x v="4"/>
    <x v="5"/>
    <s v="25/04/2023"/>
    <s v="25/04/2023"/>
    <s v="2023"/>
    <x v="0"/>
    <x v="966"/>
    <x v="65"/>
  </r>
  <r>
    <x v="2"/>
    <x v="3"/>
    <x v="13"/>
    <d v="2023-04-04T00:00:00"/>
    <s v="04/04/2023"/>
    <s v="2023"/>
    <x v="0"/>
    <x v="967"/>
    <x v="105"/>
  </r>
  <r>
    <x v="8"/>
    <x v="4"/>
    <x v="17"/>
    <d v="2023-12-04T00:00:00"/>
    <s v="04/12/2023"/>
    <s v="2023"/>
    <x v="11"/>
    <x v="968"/>
    <x v="200"/>
  </r>
  <r>
    <x v="18"/>
    <x v="3"/>
    <x v="1"/>
    <d v="2023-02-08T00:00:00"/>
    <s v="08/02/2023"/>
    <s v="2023"/>
    <x v="3"/>
    <x v="969"/>
    <x v="366"/>
  </r>
  <r>
    <x v="2"/>
    <x v="3"/>
    <x v="15"/>
    <s v="28/06/2023"/>
    <s v="28/06/2023"/>
    <s v="2023"/>
    <x v="4"/>
    <x v="970"/>
    <x v="382"/>
  </r>
  <r>
    <x v="24"/>
    <x v="2"/>
    <x v="8"/>
    <d v="2023-05-07T00:00:00"/>
    <s v="07/05/2023"/>
    <s v="2023"/>
    <x v="7"/>
    <x v="971"/>
    <x v="284"/>
  </r>
  <r>
    <x v="7"/>
    <x v="3"/>
    <x v="18"/>
    <d v="2023-07-06T00:00:00"/>
    <s v="06/07/2023"/>
    <s v="2023"/>
    <x v="2"/>
    <x v="972"/>
    <x v="106"/>
  </r>
  <r>
    <x v="6"/>
    <x v="3"/>
    <x v="3"/>
    <s v="18/01/2023"/>
    <s v="18/01/2023"/>
    <s v="2023"/>
    <x v="1"/>
    <x v="973"/>
    <x v="135"/>
  </r>
  <r>
    <x v="6"/>
    <x v="2"/>
    <x v="19"/>
    <d v="2023-04-01T00:00:00"/>
    <s v="01/04/2023"/>
    <s v="2023"/>
    <x v="0"/>
    <x v="974"/>
    <x v="54"/>
  </r>
  <r>
    <x v="17"/>
    <x v="2"/>
    <x v="4"/>
    <s v="31/01/2023"/>
    <s v="31/01/2023"/>
    <s v="2023"/>
    <x v="1"/>
    <x v="975"/>
    <x v="166"/>
  </r>
  <r>
    <x v="20"/>
    <x v="1"/>
    <x v="16"/>
    <s v="14/03/2023"/>
    <s v="14/03/2023"/>
    <s v="2023"/>
    <x v="5"/>
    <x v="976"/>
    <x v="58"/>
  </r>
  <r>
    <x v="21"/>
    <x v="2"/>
    <x v="21"/>
    <s v="29/04/2023"/>
    <s v="29/04/2023"/>
    <s v="2023"/>
    <x v="0"/>
    <x v="977"/>
    <x v="396"/>
  </r>
  <r>
    <x v="4"/>
    <x v="1"/>
    <x v="3"/>
    <d v="2023-07-02T00:00:00"/>
    <s v="02/07/2023"/>
    <s v="2023"/>
    <x v="2"/>
    <x v="978"/>
    <x v="200"/>
  </r>
  <r>
    <x v="16"/>
    <x v="0"/>
    <x v="10"/>
    <s v="31/03/2023"/>
    <s v="31/03/2023"/>
    <s v="2023"/>
    <x v="5"/>
    <x v="979"/>
    <x v="95"/>
  </r>
  <r>
    <x v="11"/>
    <x v="1"/>
    <x v="20"/>
    <s v="16/03/2023"/>
    <s v="16/03/2023"/>
    <s v="2023"/>
    <x v="5"/>
    <x v="980"/>
    <x v="49"/>
  </r>
  <r>
    <x v="10"/>
    <x v="0"/>
    <x v="8"/>
    <s v="25/01/2023"/>
    <s v="25/01/2023"/>
    <s v="2023"/>
    <x v="1"/>
    <x v="981"/>
    <x v="168"/>
  </r>
  <r>
    <x v="1"/>
    <x v="1"/>
    <x v="19"/>
    <s v="20/06/2023"/>
    <s v="20/06/2023"/>
    <s v="2023"/>
    <x v="4"/>
    <x v="982"/>
    <x v="296"/>
  </r>
  <r>
    <x v="2"/>
    <x v="0"/>
    <x v="5"/>
    <s v="29/03/2023"/>
    <s v="29/03/2023"/>
    <s v="2023"/>
    <x v="5"/>
    <x v="983"/>
    <x v="333"/>
  </r>
  <r>
    <x v="14"/>
    <x v="2"/>
    <x v="7"/>
    <d v="2023-12-07T00:00:00"/>
    <s v="07/12/2023"/>
    <s v="2023"/>
    <x v="11"/>
    <x v="984"/>
    <x v="378"/>
  </r>
  <r>
    <x v="0"/>
    <x v="5"/>
    <x v="3"/>
    <d v="2023-11-07T00:00:00"/>
    <s v="07/11/2023"/>
    <s v="2023"/>
    <x v="10"/>
    <x v="985"/>
    <x v="42"/>
  </r>
  <r>
    <x v="10"/>
    <x v="5"/>
    <x v="3"/>
    <s v="19/01/2023"/>
    <s v="19/01/2023"/>
    <s v="2023"/>
    <x v="1"/>
    <x v="986"/>
    <x v="26"/>
  </r>
  <r>
    <x v="19"/>
    <x v="4"/>
    <x v="1"/>
    <d v="2023-05-04T00:00:00"/>
    <s v="04/05/2023"/>
    <s v="2023"/>
    <x v="7"/>
    <x v="987"/>
    <x v="102"/>
  </r>
  <r>
    <x v="0"/>
    <x v="5"/>
    <x v="11"/>
    <s v="21/02/2023"/>
    <s v="21/02/2023"/>
    <s v="2023"/>
    <x v="3"/>
    <x v="988"/>
    <x v="129"/>
  </r>
  <r>
    <x v="7"/>
    <x v="3"/>
    <x v="20"/>
    <s v="20/05/2023"/>
    <s v="20/05/2023"/>
    <s v="2023"/>
    <x v="7"/>
    <x v="989"/>
    <x v="303"/>
  </r>
  <r>
    <x v="9"/>
    <x v="2"/>
    <x v="11"/>
    <s v="29/07/2023"/>
    <s v="29/07/2023"/>
    <s v="2023"/>
    <x v="2"/>
    <x v="990"/>
    <x v="85"/>
  </r>
  <r>
    <x v="8"/>
    <x v="4"/>
    <x v="13"/>
    <s v="28/01/2023"/>
    <s v="28/01/2023"/>
    <s v="2023"/>
    <x v="1"/>
    <x v="991"/>
    <x v="121"/>
  </r>
  <r>
    <x v="11"/>
    <x v="0"/>
    <x v="20"/>
    <s v="19/07/2023"/>
    <s v="19/07/2023"/>
    <s v="2023"/>
    <x v="2"/>
    <x v="992"/>
    <x v="27"/>
  </r>
  <r>
    <x v="9"/>
    <x v="3"/>
    <x v="15"/>
    <s v="13/04/2023"/>
    <s v="13/04/2023"/>
    <s v="2023"/>
    <x v="0"/>
    <x v="993"/>
    <x v="129"/>
  </r>
  <r>
    <x v="13"/>
    <x v="1"/>
    <x v="2"/>
    <d v="2023-11-02T00:00:00"/>
    <s v="02/11/2023"/>
    <s v="2023"/>
    <x v="10"/>
    <x v="994"/>
    <x v="108"/>
  </r>
  <r>
    <x v="13"/>
    <x v="3"/>
    <x v="11"/>
    <d v="2023-02-03T00:00:00"/>
    <s v="03/02/2023"/>
    <s v="2023"/>
    <x v="3"/>
    <x v="995"/>
    <x v="80"/>
  </r>
  <r>
    <x v="24"/>
    <x v="2"/>
    <x v="14"/>
    <d v="2023-02-03T00:00:00"/>
    <s v="03/02/2023"/>
    <s v="2023"/>
    <x v="3"/>
    <x v="996"/>
    <x v="401"/>
  </r>
  <r>
    <x v="1"/>
    <x v="4"/>
    <x v="4"/>
    <s v="28/07/2023"/>
    <s v="28/07/2023"/>
    <s v="2023"/>
    <x v="2"/>
    <x v="997"/>
    <x v="83"/>
  </r>
  <r>
    <x v="20"/>
    <x v="1"/>
    <x v="5"/>
    <d v="2023-07-01T00:00:00"/>
    <s v="01/07/2023"/>
    <s v="2023"/>
    <x v="2"/>
    <x v="998"/>
    <x v="402"/>
  </r>
  <r>
    <x v="6"/>
    <x v="0"/>
    <x v="14"/>
    <d v="2023-12-04T00:00:00"/>
    <s v="04/12/2023"/>
    <s v="2023"/>
    <x v="11"/>
    <x v="999"/>
    <x v="14"/>
  </r>
  <r>
    <x v="1"/>
    <x v="5"/>
    <x v="16"/>
    <s v="27/06/2023"/>
    <s v="27/06/2023"/>
    <s v="2023"/>
    <x v="4"/>
    <x v="1000"/>
    <x v="33"/>
  </r>
  <r>
    <x v="0"/>
    <x v="2"/>
    <x v="6"/>
    <s v="14/01/2023"/>
    <s v="14/01/2023"/>
    <s v="2023"/>
    <x v="1"/>
    <x v="1001"/>
    <x v="403"/>
  </r>
  <r>
    <x v="10"/>
    <x v="0"/>
    <x v="19"/>
    <d v="2023-07-02T00:00:00"/>
    <s v="02/07/2023"/>
    <s v="2023"/>
    <x v="2"/>
    <x v="1002"/>
    <x v="404"/>
  </r>
  <r>
    <x v="0"/>
    <x v="2"/>
    <x v="7"/>
    <s v="23/03/2023"/>
    <s v="23/03/2023"/>
    <s v="2023"/>
    <x v="5"/>
    <x v="1003"/>
    <x v="135"/>
  </r>
  <r>
    <x v="11"/>
    <x v="1"/>
    <x v="2"/>
    <d v="2023-10-01T00:00:00"/>
    <s v="01/10/2023"/>
    <s v="2023"/>
    <x v="6"/>
    <x v="1004"/>
    <x v="181"/>
  </r>
  <r>
    <x v="4"/>
    <x v="0"/>
    <x v="18"/>
    <s v="17/03/2023"/>
    <s v="17/03/2023"/>
    <s v="2023"/>
    <x v="5"/>
    <x v="1005"/>
    <x v="110"/>
  </r>
  <r>
    <x v="2"/>
    <x v="4"/>
    <x v="12"/>
    <s v="21/01/2023"/>
    <s v="21/01/2023"/>
    <s v="2023"/>
    <x v="1"/>
    <x v="1006"/>
    <x v="107"/>
  </r>
  <r>
    <x v="8"/>
    <x v="2"/>
    <x v="14"/>
    <d v="2023-04-07T00:00:00"/>
    <s v="07/04/2023"/>
    <s v="2023"/>
    <x v="0"/>
    <x v="1007"/>
    <x v="405"/>
  </r>
  <r>
    <x v="16"/>
    <x v="5"/>
    <x v="2"/>
    <d v="2023-04-07T00:00:00"/>
    <s v="07/04/2023"/>
    <s v="2023"/>
    <x v="0"/>
    <x v="1008"/>
    <x v="253"/>
  </r>
  <r>
    <x v="23"/>
    <x v="4"/>
    <x v="15"/>
    <d v="2023-10-08T00:00:00"/>
    <s v="08/10/2023"/>
    <s v="2023"/>
    <x v="6"/>
    <x v="1009"/>
    <x v="307"/>
  </r>
  <r>
    <x v="17"/>
    <x v="2"/>
    <x v="6"/>
    <d v="2023-01-04T00:00:00"/>
    <s v="04/01/2023"/>
    <s v="2023"/>
    <x v="1"/>
    <x v="1010"/>
    <x v="129"/>
  </r>
  <r>
    <x v="2"/>
    <x v="1"/>
    <x v="17"/>
    <s v="22/02/2023"/>
    <s v="22/02/2023"/>
    <s v="2023"/>
    <x v="3"/>
    <x v="1011"/>
    <x v="56"/>
  </r>
  <r>
    <x v="21"/>
    <x v="0"/>
    <x v="14"/>
    <d v="2023-03-01T00:00:00"/>
    <s v="01/03/2023"/>
    <s v="2023"/>
    <x v="5"/>
    <x v="1012"/>
    <x v="275"/>
  </r>
  <r>
    <x v="10"/>
    <x v="1"/>
    <x v="9"/>
    <s v="31/05/2023"/>
    <s v="31/05/2023"/>
    <s v="2023"/>
    <x v="7"/>
    <x v="1013"/>
    <x v="310"/>
  </r>
  <r>
    <x v="23"/>
    <x v="0"/>
    <x v="4"/>
    <d v="2023-03-01T00:00:00"/>
    <s v="01/03/2023"/>
    <s v="2023"/>
    <x v="5"/>
    <x v="1014"/>
    <x v="205"/>
  </r>
  <r>
    <x v="15"/>
    <x v="3"/>
    <x v="20"/>
    <s v="27/01/2023"/>
    <s v="27/01/2023"/>
    <s v="2023"/>
    <x v="1"/>
    <x v="1015"/>
    <x v="406"/>
  </r>
  <r>
    <x v="8"/>
    <x v="0"/>
    <x v="6"/>
    <s v="28/01/2023"/>
    <s v="28/01/2023"/>
    <s v="2023"/>
    <x v="1"/>
    <x v="1016"/>
    <x v="274"/>
  </r>
  <r>
    <x v="14"/>
    <x v="2"/>
    <x v="10"/>
    <s v="28/06/2023"/>
    <s v="28/06/2023"/>
    <s v="2023"/>
    <x v="4"/>
    <x v="1017"/>
    <x v="29"/>
  </r>
  <r>
    <x v="15"/>
    <x v="0"/>
    <x v="18"/>
    <d v="2023-02-03T00:00:00"/>
    <s v="03/02/2023"/>
    <s v="2023"/>
    <x v="3"/>
    <x v="1018"/>
    <x v="146"/>
  </r>
  <r>
    <x v="18"/>
    <x v="2"/>
    <x v="5"/>
    <s v="27/05/2023"/>
    <s v="27/05/2023"/>
    <s v="2023"/>
    <x v="7"/>
    <x v="1019"/>
    <x v="206"/>
  </r>
  <r>
    <x v="17"/>
    <x v="4"/>
    <x v="16"/>
    <s v="30/06/2023"/>
    <s v="30/06/2023"/>
    <s v="2023"/>
    <x v="4"/>
    <x v="1020"/>
    <x v="72"/>
  </r>
  <r>
    <x v="8"/>
    <x v="5"/>
    <x v="2"/>
    <d v="2023-07-06T00:00:00"/>
    <s v="06/07/2023"/>
    <s v="2023"/>
    <x v="2"/>
    <x v="1021"/>
    <x v="243"/>
  </r>
  <r>
    <x v="16"/>
    <x v="4"/>
    <x v="21"/>
    <d v="2023-12-05T00:00:00"/>
    <s v="05/12/2023"/>
    <s v="2023"/>
    <x v="11"/>
    <x v="1022"/>
    <x v="200"/>
  </r>
  <r>
    <x v="8"/>
    <x v="3"/>
    <x v="17"/>
    <s v="29/07/2023"/>
    <s v="29/07/2023"/>
    <s v="2023"/>
    <x v="2"/>
    <x v="1023"/>
    <x v="238"/>
  </r>
  <r>
    <x v="17"/>
    <x v="0"/>
    <x v="14"/>
    <d v="2023-03-08T00:00:00"/>
    <s v="08/03/2023"/>
    <s v="2023"/>
    <x v="5"/>
    <x v="1024"/>
    <x v="407"/>
  </r>
  <r>
    <x v="8"/>
    <x v="1"/>
    <x v="19"/>
    <s v="18/08/2023"/>
    <s v="18/08/2023"/>
    <s v="2023"/>
    <x v="8"/>
    <x v="1025"/>
    <x v="265"/>
  </r>
  <r>
    <x v="1"/>
    <x v="3"/>
    <x v="3"/>
    <s v="14/06/2023"/>
    <s v="14/06/2023"/>
    <s v="2023"/>
    <x v="4"/>
    <x v="1026"/>
    <x v="137"/>
  </r>
  <r>
    <x v="12"/>
    <x v="0"/>
    <x v="14"/>
    <s v="30/06/2023"/>
    <s v="30/06/2023"/>
    <s v="2023"/>
    <x v="4"/>
    <x v="1027"/>
    <x v="88"/>
  </r>
  <r>
    <x v="21"/>
    <x v="3"/>
    <x v="0"/>
    <s v="13/06/2023"/>
    <s v="13/06/2023"/>
    <s v="2023"/>
    <x v="4"/>
    <x v="1028"/>
    <x v="294"/>
  </r>
  <r>
    <x v="24"/>
    <x v="0"/>
    <x v="7"/>
    <s v="27/04/2023"/>
    <s v="27/04/2023"/>
    <s v="2023"/>
    <x v="0"/>
    <x v="1029"/>
    <x v="198"/>
  </r>
  <r>
    <x v="3"/>
    <x v="2"/>
    <x v="14"/>
    <s v="27/07/2023"/>
    <s v="27/07/2023"/>
    <s v="2023"/>
    <x v="2"/>
    <x v="1030"/>
    <x v="314"/>
  </r>
  <r>
    <x v="9"/>
    <x v="5"/>
    <x v="1"/>
    <s v="20/04/2023"/>
    <s v="20/04/2023"/>
    <s v="2023"/>
    <x v="0"/>
    <x v="1031"/>
    <x v="161"/>
  </r>
  <r>
    <x v="7"/>
    <x v="1"/>
    <x v="12"/>
    <d v="2023-04-01T00:00:00"/>
    <s v="01/04/2023"/>
    <s v="2023"/>
    <x v="0"/>
    <x v="1032"/>
    <x v="157"/>
  </r>
  <r>
    <x v="24"/>
    <x v="2"/>
    <x v="0"/>
    <s v="21/02/2023"/>
    <s v="21/02/2023"/>
    <s v="2023"/>
    <x v="3"/>
    <x v="1033"/>
    <x v="325"/>
  </r>
  <r>
    <x v="10"/>
    <x v="2"/>
    <x v="14"/>
    <d v="2023-05-01T00:00:00"/>
    <s v="01/05/2023"/>
    <s v="2023"/>
    <x v="7"/>
    <x v="1034"/>
    <x v="193"/>
  </r>
  <r>
    <x v="12"/>
    <x v="1"/>
    <x v="9"/>
    <s v="15/07/2023"/>
    <s v="15/07/2023"/>
    <s v="2023"/>
    <x v="2"/>
    <x v="1035"/>
    <x v="194"/>
  </r>
  <r>
    <x v="6"/>
    <x v="2"/>
    <x v="18"/>
    <s v="25/05/2023"/>
    <s v="25/05/2023"/>
    <s v="2023"/>
    <x v="7"/>
    <x v="1036"/>
    <x v="169"/>
  </r>
  <r>
    <x v="10"/>
    <x v="5"/>
    <x v="8"/>
    <s v="20/04/2023"/>
    <s v="20/04/2023"/>
    <s v="2023"/>
    <x v="0"/>
    <x v="1037"/>
    <x v="408"/>
  </r>
  <r>
    <x v="2"/>
    <x v="4"/>
    <x v="4"/>
    <d v="2023-02-06T00:00:00"/>
    <s v="06/02/2023"/>
    <s v="2023"/>
    <x v="3"/>
    <x v="1038"/>
    <x v="409"/>
  </r>
  <r>
    <x v="11"/>
    <x v="0"/>
    <x v="3"/>
    <s v="13/05/2023"/>
    <s v="13/05/2023"/>
    <s v="2023"/>
    <x v="7"/>
    <x v="1039"/>
    <x v="2"/>
  </r>
  <r>
    <x v="12"/>
    <x v="3"/>
    <x v="19"/>
    <d v="2023-03-08T00:00:00"/>
    <s v="08/03/2023"/>
    <s v="2023"/>
    <x v="5"/>
    <x v="1040"/>
    <x v="42"/>
  </r>
  <r>
    <x v="12"/>
    <x v="2"/>
    <x v="11"/>
    <s v="25/05/2023"/>
    <s v="25/05/2023"/>
    <s v="2023"/>
    <x v="7"/>
    <x v="1041"/>
    <x v="410"/>
  </r>
  <r>
    <x v="1"/>
    <x v="0"/>
    <x v="17"/>
    <s v="16/03/2023"/>
    <s v="16/03/2023"/>
    <s v="2023"/>
    <x v="5"/>
    <x v="1042"/>
    <x v="49"/>
  </r>
  <r>
    <x v="3"/>
    <x v="2"/>
    <x v="7"/>
    <d v="2023-04-07T00:00:00"/>
    <s v="07/04/2023"/>
    <s v="2023"/>
    <x v="0"/>
    <x v="1043"/>
    <x v="179"/>
  </r>
  <r>
    <x v="0"/>
    <x v="1"/>
    <x v="6"/>
    <d v="2023-05-07T00:00:00"/>
    <s v="07/05/2023"/>
    <s v="2023"/>
    <x v="7"/>
    <x v="1044"/>
    <x v="264"/>
  </r>
  <r>
    <x v="22"/>
    <x v="4"/>
    <x v="5"/>
    <s v="15/03/2023"/>
    <s v="15/03/2023"/>
    <s v="2023"/>
    <x v="5"/>
    <x v="1045"/>
    <x v="411"/>
  </r>
  <r>
    <x v="8"/>
    <x v="0"/>
    <x v="17"/>
    <s v="22/08/2023"/>
    <s v="22/08/2023"/>
    <s v="2023"/>
    <x v="8"/>
    <x v="1046"/>
    <x v="33"/>
  </r>
  <r>
    <x v="24"/>
    <x v="2"/>
    <x v="21"/>
    <d v="2023-12-01T00:00:00"/>
    <s v="01/12/2023"/>
    <s v="2023"/>
    <x v="11"/>
    <x v="1047"/>
    <x v="366"/>
  </r>
  <r>
    <x v="11"/>
    <x v="0"/>
    <x v="19"/>
    <d v="2023-10-06T00:00:00"/>
    <s v="06/10/2023"/>
    <s v="2023"/>
    <x v="6"/>
    <x v="1048"/>
    <x v="412"/>
  </r>
  <r>
    <x v="16"/>
    <x v="2"/>
    <x v="2"/>
    <s v="25/03/2023"/>
    <s v="25/03/2023"/>
    <s v="2023"/>
    <x v="5"/>
    <x v="1049"/>
    <x v="369"/>
  </r>
  <r>
    <x v="7"/>
    <x v="1"/>
    <x v="16"/>
    <s v="27/07/2023"/>
    <s v="27/07/2023"/>
    <s v="2023"/>
    <x v="2"/>
    <x v="1050"/>
    <x v="149"/>
  </r>
  <r>
    <x v="15"/>
    <x v="0"/>
    <x v="20"/>
    <s v="15/04/2023"/>
    <s v="15/04/2023"/>
    <s v="2023"/>
    <x v="0"/>
    <x v="1051"/>
    <x v="413"/>
  </r>
  <r>
    <x v="13"/>
    <x v="1"/>
    <x v="7"/>
    <s v="27/06/2023"/>
    <s v="27/06/2023"/>
    <s v="2023"/>
    <x v="4"/>
    <x v="1052"/>
    <x v="45"/>
  </r>
  <r>
    <x v="0"/>
    <x v="0"/>
    <x v="21"/>
    <s v="14/04/2023"/>
    <s v="14/04/2023"/>
    <s v="2023"/>
    <x v="0"/>
    <x v="1053"/>
    <x v="232"/>
  </r>
  <r>
    <x v="15"/>
    <x v="2"/>
    <x v="15"/>
    <s v="15/03/2023"/>
    <s v="15/03/2023"/>
    <s v="2023"/>
    <x v="5"/>
    <x v="1054"/>
    <x v="187"/>
  </r>
  <r>
    <x v="22"/>
    <x v="4"/>
    <x v="8"/>
    <s v="18/03/2023"/>
    <s v="18/03/2023"/>
    <s v="2023"/>
    <x v="5"/>
    <x v="1055"/>
    <x v="261"/>
  </r>
  <r>
    <x v="6"/>
    <x v="1"/>
    <x v="8"/>
    <s v="29/04/2023"/>
    <s v="29/04/2023"/>
    <s v="2023"/>
    <x v="0"/>
    <x v="1056"/>
    <x v="204"/>
  </r>
  <r>
    <x v="9"/>
    <x v="3"/>
    <x v="14"/>
    <s v="25/02/2023"/>
    <s v="25/02/2023"/>
    <s v="2023"/>
    <x v="3"/>
    <x v="1057"/>
    <x v="63"/>
  </r>
  <r>
    <x v="15"/>
    <x v="4"/>
    <x v="11"/>
    <d v="2023-02-03T00:00:00"/>
    <s v="03/02/2023"/>
    <s v="2023"/>
    <x v="3"/>
    <x v="1058"/>
    <x v="138"/>
  </r>
  <r>
    <x v="1"/>
    <x v="2"/>
    <x v="11"/>
    <s v="20/06/2023"/>
    <s v="20/06/2023"/>
    <s v="2023"/>
    <x v="4"/>
    <x v="1059"/>
    <x v="2"/>
  </r>
  <r>
    <x v="12"/>
    <x v="5"/>
    <x v="14"/>
    <s v="15/07/2023"/>
    <s v="15/07/2023"/>
    <s v="2023"/>
    <x v="2"/>
    <x v="1060"/>
    <x v="177"/>
  </r>
  <r>
    <x v="23"/>
    <x v="2"/>
    <x v="6"/>
    <d v="2023-12-05T00:00:00"/>
    <s v="05/12/2023"/>
    <s v="2023"/>
    <x v="11"/>
    <x v="1061"/>
    <x v="172"/>
  </r>
  <r>
    <x v="9"/>
    <x v="3"/>
    <x v="10"/>
    <d v="2023-01-07T00:00:00"/>
    <s v="07/01/2023"/>
    <s v="2023"/>
    <x v="1"/>
    <x v="1062"/>
    <x v="321"/>
  </r>
  <r>
    <x v="15"/>
    <x v="4"/>
    <x v="1"/>
    <d v="2023-08-08T00:00:00"/>
    <s v="08/08/2023"/>
    <s v="2023"/>
    <x v="8"/>
    <x v="1063"/>
    <x v="193"/>
  </r>
  <r>
    <x v="22"/>
    <x v="2"/>
    <x v="6"/>
    <s v="25/07/2023"/>
    <s v="25/07/2023"/>
    <s v="2023"/>
    <x v="2"/>
    <x v="1064"/>
    <x v="83"/>
  </r>
  <r>
    <x v="18"/>
    <x v="0"/>
    <x v="9"/>
    <s v="18/05/2023"/>
    <s v="18/05/2023"/>
    <s v="2023"/>
    <x v="7"/>
    <x v="1065"/>
    <x v="8"/>
  </r>
  <r>
    <x v="21"/>
    <x v="1"/>
    <x v="2"/>
    <s v="15/07/2023"/>
    <s v="15/07/2023"/>
    <s v="2023"/>
    <x v="2"/>
    <x v="1066"/>
    <x v="227"/>
  </r>
  <r>
    <x v="14"/>
    <x v="1"/>
    <x v="21"/>
    <d v="2023-05-07T00:00:00"/>
    <s v="07/05/2023"/>
    <s v="2023"/>
    <x v="7"/>
    <x v="1067"/>
    <x v="55"/>
  </r>
  <r>
    <x v="9"/>
    <x v="4"/>
    <x v="15"/>
    <d v="2023-04-07T00:00:00"/>
    <s v="07/04/2023"/>
    <s v="2023"/>
    <x v="0"/>
    <x v="1068"/>
    <x v="1"/>
  </r>
  <r>
    <x v="23"/>
    <x v="0"/>
    <x v="21"/>
    <s v="20/06/2023"/>
    <s v="20/06/2023"/>
    <s v="2023"/>
    <x v="4"/>
    <x v="1069"/>
    <x v="257"/>
  </r>
  <r>
    <x v="5"/>
    <x v="2"/>
    <x v="16"/>
    <s v="25/01/2023"/>
    <s v="25/01/2023"/>
    <s v="2023"/>
    <x v="1"/>
    <x v="1070"/>
    <x v="345"/>
  </r>
  <r>
    <x v="16"/>
    <x v="3"/>
    <x v="12"/>
    <d v="2023-01-07T00:00:00"/>
    <s v="07/01/2023"/>
    <s v="2023"/>
    <x v="1"/>
    <x v="1071"/>
    <x v="91"/>
  </r>
  <r>
    <x v="2"/>
    <x v="4"/>
    <x v="6"/>
    <s v="13/04/2023"/>
    <s v="13/04/2023"/>
    <s v="2023"/>
    <x v="0"/>
    <x v="1072"/>
    <x v="204"/>
  </r>
  <r>
    <x v="12"/>
    <x v="0"/>
    <x v="3"/>
    <d v="2023-04-05T00:00:00"/>
    <s v="05/04/2023"/>
    <s v="2023"/>
    <x v="0"/>
    <x v="1073"/>
    <x v="207"/>
  </r>
  <r>
    <x v="12"/>
    <x v="2"/>
    <x v="19"/>
    <d v="2023-04-08T00:00:00"/>
    <s v="08/04/2023"/>
    <s v="2023"/>
    <x v="0"/>
    <x v="1074"/>
    <x v="73"/>
  </r>
  <r>
    <x v="12"/>
    <x v="1"/>
    <x v="21"/>
    <d v="2023-01-06T00:00:00"/>
    <s v="06/01/2023"/>
    <s v="2023"/>
    <x v="1"/>
    <x v="1075"/>
    <x v="141"/>
  </r>
  <r>
    <x v="0"/>
    <x v="0"/>
    <x v="18"/>
    <s v="22/04/2023"/>
    <s v="22/04/2023"/>
    <s v="2023"/>
    <x v="0"/>
    <x v="1076"/>
    <x v="177"/>
  </r>
  <r>
    <x v="16"/>
    <x v="4"/>
    <x v="6"/>
    <d v="2023-03-08T00:00:00"/>
    <s v="08/03/2023"/>
    <s v="2023"/>
    <x v="5"/>
    <x v="1077"/>
    <x v="103"/>
  </r>
  <r>
    <x v="24"/>
    <x v="4"/>
    <x v="7"/>
    <d v="2023-10-06T00:00:00"/>
    <s v="06/10/2023"/>
    <s v="2023"/>
    <x v="6"/>
    <x v="1078"/>
    <x v="7"/>
  </r>
  <r>
    <x v="5"/>
    <x v="0"/>
    <x v="15"/>
    <s v="27/06/2023"/>
    <s v="27/06/2023"/>
    <s v="2023"/>
    <x v="4"/>
    <x v="1079"/>
    <x v="282"/>
  </r>
  <r>
    <x v="11"/>
    <x v="2"/>
    <x v="3"/>
    <d v="2023-03-01T00:00:00"/>
    <s v="01/03/2023"/>
    <s v="2023"/>
    <x v="5"/>
    <x v="1080"/>
    <x v="22"/>
  </r>
  <r>
    <x v="11"/>
    <x v="1"/>
    <x v="5"/>
    <d v="2023-11-07T00:00:00"/>
    <s v="07/11/2023"/>
    <s v="2023"/>
    <x v="10"/>
    <x v="1081"/>
    <x v="152"/>
  </r>
  <r>
    <x v="24"/>
    <x v="3"/>
    <x v="11"/>
    <s v="17/08/2023"/>
    <s v="17/08/2023"/>
    <s v="2023"/>
    <x v="8"/>
    <x v="1082"/>
    <x v="241"/>
  </r>
  <r>
    <x v="7"/>
    <x v="4"/>
    <x v="13"/>
    <s v="18/01/2023"/>
    <s v="18/01/2023"/>
    <s v="2023"/>
    <x v="1"/>
    <x v="1083"/>
    <x v="357"/>
  </r>
  <r>
    <x v="24"/>
    <x v="1"/>
    <x v="10"/>
    <d v="2023-08-03T00:00:00"/>
    <s v="03/08/2023"/>
    <s v="2023"/>
    <x v="8"/>
    <x v="1084"/>
    <x v="9"/>
  </r>
  <r>
    <x v="9"/>
    <x v="2"/>
    <x v="7"/>
    <d v="2023-07-03T00:00:00"/>
    <s v="03/07/2023"/>
    <s v="2023"/>
    <x v="2"/>
    <x v="1085"/>
    <x v="144"/>
  </r>
  <r>
    <x v="15"/>
    <x v="1"/>
    <x v="21"/>
    <d v="2023-09-05T00:00:00"/>
    <s v="05/09/2023"/>
    <s v="2023"/>
    <x v="9"/>
    <x v="1086"/>
    <x v="22"/>
  </r>
  <r>
    <x v="8"/>
    <x v="3"/>
    <x v="1"/>
    <s v="23/05/2023"/>
    <s v="23/05/2023"/>
    <s v="2023"/>
    <x v="7"/>
    <x v="1087"/>
    <x v="178"/>
  </r>
  <r>
    <x v="22"/>
    <x v="0"/>
    <x v="20"/>
    <s v="15/04/2023"/>
    <s v="15/04/2023"/>
    <s v="2023"/>
    <x v="0"/>
    <x v="1088"/>
    <x v="212"/>
  </r>
  <r>
    <x v="2"/>
    <x v="2"/>
    <x v="9"/>
    <s v="27/07/2023"/>
    <s v="27/07/2023"/>
    <s v="2023"/>
    <x v="2"/>
    <x v="1089"/>
    <x v="273"/>
  </r>
  <r>
    <x v="11"/>
    <x v="5"/>
    <x v="18"/>
    <s v="22/08/2023"/>
    <s v="22/08/2023"/>
    <s v="2023"/>
    <x v="8"/>
    <x v="1090"/>
    <x v="414"/>
  </r>
  <r>
    <x v="24"/>
    <x v="4"/>
    <x v="21"/>
    <d v="2023-11-05T00:00:00"/>
    <s v="05/11/2023"/>
    <s v="2023"/>
    <x v="10"/>
    <x v="1091"/>
    <x v="197"/>
  </r>
  <r>
    <x v="22"/>
    <x v="1"/>
    <x v="10"/>
    <s v="26/01/2023"/>
    <s v="26/01/2023"/>
    <s v="2023"/>
    <x v="1"/>
    <x v="1092"/>
    <x v="175"/>
  </r>
  <r>
    <x v="8"/>
    <x v="4"/>
    <x v="6"/>
    <s v="14/04/2023"/>
    <s v="14/04/2023"/>
    <s v="2023"/>
    <x v="0"/>
    <x v="1093"/>
    <x v="120"/>
  </r>
  <r>
    <x v="17"/>
    <x v="3"/>
    <x v="0"/>
    <d v="2023-05-04T00:00:00"/>
    <s v="04/05/2023"/>
    <s v="2023"/>
    <x v="7"/>
    <x v="1094"/>
    <x v="335"/>
  </r>
  <r>
    <x v="11"/>
    <x v="3"/>
    <x v="3"/>
    <s v="14/06/2023"/>
    <s v="14/06/2023"/>
    <s v="2023"/>
    <x v="4"/>
    <x v="1095"/>
    <x v="204"/>
  </r>
  <r>
    <x v="6"/>
    <x v="5"/>
    <x v="16"/>
    <s v="13/04/2023"/>
    <s v="13/04/2023"/>
    <s v="2023"/>
    <x v="0"/>
    <x v="1096"/>
    <x v="358"/>
  </r>
  <r>
    <x v="12"/>
    <x v="2"/>
    <x v="14"/>
    <s v="27/06/2023"/>
    <s v="27/06/2023"/>
    <s v="2023"/>
    <x v="4"/>
    <x v="1097"/>
    <x v="124"/>
  </r>
  <r>
    <x v="23"/>
    <x v="2"/>
    <x v="8"/>
    <s v="26/01/2023"/>
    <s v="26/01/2023"/>
    <s v="2023"/>
    <x v="1"/>
    <x v="1098"/>
    <x v="186"/>
  </r>
  <r>
    <x v="8"/>
    <x v="0"/>
    <x v="14"/>
    <d v="2023-05-07T00:00:00"/>
    <s v="07/05/2023"/>
    <s v="2023"/>
    <x v="7"/>
    <x v="1099"/>
    <x v="376"/>
  </r>
  <r>
    <x v="12"/>
    <x v="5"/>
    <x v="19"/>
    <d v="2023-11-01T00:00:00"/>
    <s v="01/11/2023"/>
    <s v="2023"/>
    <x v="10"/>
    <x v="1100"/>
    <x v="114"/>
  </r>
  <r>
    <x v="20"/>
    <x v="4"/>
    <x v="14"/>
    <d v="2023-07-03T00:00:00"/>
    <s v="03/07/2023"/>
    <s v="2023"/>
    <x v="2"/>
    <x v="1101"/>
    <x v="108"/>
  </r>
  <r>
    <x v="16"/>
    <x v="5"/>
    <x v="6"/>
    <d v="2023-04-03T00:00:00"/>
    <s v="03/04/2023"/>
    <s v="2023"/>
    <x v="0"/>
    <x v="1102"/>
    <x v="164"/>
  </r>
  <r>
    <x v="10"/>
    <x v="5"/>
    <x v="10"/>
    <s v="15/07/2023"/>
    <s v="15/07/2023"/>
    <s v="2023"/>
    <x v="2"/>
    <x v="1103"/>
    <x v="228"/>
  </r>
  <r>
    <x v="16"/>
    <x v="0"/>
    <x v="2"/>
    <d v="2023-11-05T00:00:00"/>
    <s v="05/11/2023"/>
    <s v="2023"/>
    <x v="10"/>
    <x v="1104"/>
    <x v="96"/>
  </r>
  <r>
    <x v="10"/>
    <x v="4"/>
    <x v="11"/>
    <s v="27/01/2023"/>
    <s v="27/01/2023"/>
    <s v="2023"/>
    <x v="1"/>
    <x v="1105"/>
    <x v="113"/>
  </r>
  <r>
    <x v="10"/>
    <x v="1"/>
    <x v="7"/>
    <s v="27/06/2023"/>
    <s v="27/06/2023"/>
    <s v="2023"/>
    <x v="4"/>
    <x v="1106"/>
    <x v="273"/>
  </r>
  <r>
    <x v="24"/>
    <x v="1"/>
    <x v="3"/>
    <d v="2023-03-08T00:00:00"/>
    <s v="08/03/2023"/>
    <s v="2023"/>
    <x v="5"/>
    <x v="1107"/>
    <x v="332"/>
  </r>
  <r>
    <x v="18"/>
    <x v="3"/>
    <x v="0"/>
    <s v="19/08/2023"/>
    <s v="19/08/2023"/>
    <s v="2023"/>
    <x v="8"/>
    <x v="1108"/>
    <x v="415"/>
  </r>
  <r>
    <x v="18"/>
    <x v="2"/>
    <x v="13"/>
    <s v="15/06/2023"/>
    <s v="15/06/2023"/>
    <s v="2023"/>
    <x v="4"/>
    <x v="1109"/>
    <x v="80"/>
  </r>
  <r>
    <x v="17"/>
    <x v="0"/>
    <x v="2"/>
    <d v="2023-07-02T00:00:00"/>
    <s v="02/07/2023"/>
    <s v="2023"/>
    <x v="2"/>
    <x v="1110"/>
    <x v="163"/>
  </r>
  <r>
    <x v="10"/>
    <x v="2"/>
    <x v="16"/>
    <d v="2023-08-07T00:00:00"/>
    <s v="07/08/2023"/>
    <s v="2023"/>
    <x v="8"/>
    <x v="1111"/>
    <x v="93"/>
  </r>
  <r>
    <x v="17"/>
    <x v="1"/>
    <x v="11"/>
    <s v="21/04/2023"/>
    <s v="21/04/2023"/>
    <s v="2023"/>
    <x v="0"/>
    <x v="1112"/>
    <x v="266"/>
  </r>
  <r>
    <x v="24"/>
    <x v="0"/>
    <x v="0"/>
    <d v="2023-08-04T00:00:00"/>
    <s v="04/08/2023"/>
    <s v="2023"/>
    <x v="8"/>
    <x v="1113"/>
    <x v="244"/>
  </r>
  <r>
    <x v="15"/>
    <x v="2"/>
    <x v="6"/>
    <s v="19/08/2023"/>
    <s v="19/08/2023"/>
    <s v="2023"/>
    <x v="8"/>
    <x v="1114"/>
    <x v="194"/>
  </r>
  <r>
    <x v="3"/>
    <x v="1"/>
    <x v="13"/>
    <d v="2023-04-05T00:00:00"/>
    <s v="05/04/2023"/>
    <s v="2023"/>
    <x v="0"/>
    <x v="1115"/>
    <x v="138"/>
  </r>
  <r>
    <x v="9"/>
    <x v="4"/>
    <x v="1"/>
    <d v="2023-11-05T00:00:00"/>
    <s v="05/11/2023"/>
    <s v="2023"/>
    <x v="10"/>
    <x v="1116"/>
    <x v="27"/>
  </r>
  <r>
    <x v="9"/>
    <x v="4"/>
    <x v="8"/>
    <s v="22/03/2023"/>
    <s v="22/03/2023"/>
    <s v="2023"/>
    <x v="5"/>
    <x v="1117"/>
    <x v="198"/>
  </r>
  <r>
    <x v="17"/>
    <x v="5"/>
    <x v="12"/>
    <d v="2023-10-08T00:00:00"/>
    <s v="08/10/2023"/>
    <s v="2023"/>
    <x v="6"/>
    <x v="1118"/>
    <x v="229"/>
  </r>
  <r>
    <x v="17"/>
    <x v="4"/>
    <x v="13"/>
    <d v="2023-04-05T00:00:00"/>
    <s v="05/04/2023"/>
    <s v="2023"/>
    <x v="0"/>
    <x v="1119"/>
    <x v="25"/>
  </r>
  <r>
    <x v="20"/>
    <x v="4"/>
    <x v="4"/>
    <s v="18/08/2023"/>
    <s v="18/08/2023"/>
    <s v="2023"/>
    <x v="8"/>
    <x v="1120"/>
    <x v="167"/>
  </r>
  <r>
    <x v="23"/>
    <x v="5"/>
    <x v="17"/>
    <d v="2023-03-08T00:00:00"/>
    <s v="08/03/2023"/>
    <s v="2023"/>
    <x v="5"/>
    <x v="1121"/>
    <x v="263"/>
  </r>
  <r>
    <x v="11"/>
    <x v="3"/>
    <x v="11"/>
    <s v="14/01/2023"/>
    <s v="14/01/2023"/>
    <s v="2023"/>
    <x v="1"/>
    <x v="1122"/>
    <x v="393"/>
  </r>
  <r>
    <x v="22"/>
    <x v="2"/>
    <x v="18"/>
    <d v="2023-08-04T00:00:00"/>
    <s v="04/08/2023"/>
    <s v="2023"/>
    <x v="8"/>
    <x v="1123"/>
    <x v="162"/>
  </r>
  <r>
    <x v="20"/>
    <x v="0"/>
    <x v="7"/>
    <d v="2023-01-08T00:00:00"/>
    <s v="08/01/2023"/>
    <s v="2023"/>
    <x v="1"/>
    <x v="1124"/>
    <x v="186"/>
  </r>
  <r>
    <x v="17"/>
    <x v="5"/>
    <x v="8"/>
    <s v="15/03/2023"/>
    <s v="15/03/2023"/>
    <s v="2023"/>
    <x v="5"/>
    <x v="1125"/>
    <x v="121"/>
  </r>
  <r>
    <x v="10"/>
    <x v="1"/>
    <x v="0"/>
    <s v="15/07/2023"/>
    <s v="15/07/2023"/>
    <s v="2023"/>
    <x v="2"/>
    <x v="1126"/>
    <x v="397"/>
  </r>
  <r>
    <x v="8"/>
    <x v="3"/>
    <x v="16"/>
    <s v="13/01/2023"/>
    <s v="13/01/2023"/>
    <s v="2023"/>
    <x v="1"/>
    <x v="1127"/>
    <x v="295"/>
  </r>
  <r>
    <x v="9"/>
    <x v="2"/>
    <x v="1"/>
    <s v="26/08/2023"/>
    <s v="26/08/2023"/>
    <s v="2023"/>
    <x v="8"/>
    <x v="1128"/>
    <x v="193"/>
  </r>
  <r>
    <x v="24"/>
    <x v="5"/>
    <x v="8"/>
    <d v="2023-10-01T00:00:00"/>
    <s v="01/10/2023"/>
    <s v="2023"/>
    <x v="6"/>
    <x v="1129"/>
    <x v="19"/>
  </r>
  <r>
    <x v="2"/>
    <x v="2"/>
    <x v="14"/>
    <d v="2023-11-05T00:00:00"/>
    <s v="05/11/2023"/>
    <s v="2023"/>
    <x v="10"/>
    <x v="1130"/>
    <x v="49"/>
  </r>
  <r>
    <x v="12"/>
    <x v="3"/>
    <x v="1"/>
    <s v="30/08/2023"/>
    <s v="30/08/2023"/>
    <s v="2023"/>
    <x v="8"/>
    <x v="1131"/>
    <x v="47"/>
  </r>
  <r>
    <x v="16"/>
    <x v="4"/>
    <x v="20"/>
    <s v="21/07/2023"/>
    <s v="21/07/2023"/>
    <s v="2023"/>
    <x v="2"/>
    <x v="1132"/>
    <x v="328"/>
  </r>
  <r>
    <x v="9"/>
    <x v="2"/>
    <x v="16"/>
    <d v="2023-01-08T00:00:00"/>
    <s v="08/01/2023"/>
    <s v="2023"/>
    <x v="1"/>
    <x v="1133"/>
    <x v="68"/>
  </r>
  <r>
    <x v="6"/>
    <x v="5"/>
    <x v="1"/>
    <s v="17/02/2023"/>
    <s v="17/02/2023"/>
    <s v="2023"/>
    <x v="3"/>
    <x v="1134"/>
    <x v="382"/>
  </r>
  <r>
    <x v="6"/>
    <x v="2"/>
    <x v="9"/>
    <s v="27/07/2023"/>
    <s v="27/07/2023"/>
    <s v="2023"/>
    <x v="2"/>
    <x v="1135"/>
    <x v="191"/>
  </r>
  <r>
    <x v="23"/>
    <x v="4"/>
    <x v="7"/>
    <s v="23/02/2023"/>
    <s v="23/02/2023"/>
    <s v="2023"/>
    <x v="3"/>
    <x v="1136"/>
    <x v="27"/>
  </r>
  <r>
    <x v="7"/>
    <x v="2"/>
    <x v="6"/>
    <s v="22/03/2023"/>
    <s v="22/03/2023"/>
    <s v="2023"/>
    <x v="5"/>
    <x v="1137"/>
    <x v="16"/>
  </r>
  <r>
    <x v="17"/>
    <x v="1"/>
    <x v="4"/>
    <s v="23/06/2023"/>
    <s v="23/06/2023"/>
    <s v="2023"/>
    <x v="4"/>
    <x v="1138"/>
    <x v="387"/>
  </r>
  <r>
    <x v="14"/>
    <x v="0"/>
    <x v="14"/>
    <d v="2023-01-02T00:00:00"/>
    <s v="02/01/2023"/>
    <s v="2023"/>
    <x v="1"/>
    <x v="1139"/>
    <x v="7"/>
  </r>
  <r>
    <x v="20"/>
    <x v="2"/>
    <x v="5"/>
    <d v="2023-02-03T00:00:00"/>
    <s v="03/02/2023"/>
    <s v="2023"/>
    <x v="3"/>
    <x v="1140"/>
    <x v="416"/>
  </r>
  <r>
    <x v="2"/>
    <x v="0"/>
    <x v="13"/>
    <d v="2023-06-04T00:00:00"/>
    <s v="04/06/2023"/>
    <s v="2023"/>
    <x v="4"/>
    <x v="1141"/>
    <x v="114"/>
  </r>
  <r>
    <x v="5"/>
    <x v="2"/>
    <x v="17"/>
    <s v="17/03/2023"/>
    <s v="17/03/2023"/>
    <s v="2023"/>
    <x v="5"/>
    <x v="1142"/>
    <x v="151"/>
  </r>
  <r>
    <x v="14"/>
    <x v="0"/>
    <x v="13"/>
    <s v="24/06/2023"/>
    <s v="24/06/2023"/>
    <s v="2023"/>
    <x v="4"/>
    <x v="1143"/>
    <x v="128"/>
  </r>
  <r>
    <x v="8"/>
    <x v="5"/>
    <x v="6"/>
    <s v="19/07/2023"/>
    <s v="19/07/2023"/>
    <s v="2023"/>
    <x v="2"/>
    <x v="1144"/>
    <x v="29"/>
  </r>
  <r>
    <x v="14"/>
    <x v="4"/>
    <x v="12"/>
    <d v="2023-11-07T00:00:00"/>
    <s v="07/11/2023"/>
    <s v="2023"/>
    <x v="10"/>
    <x v="1145"/>
    <x v="322"/>
  </r>
  <r>
    <x v="6"/>
    <x v="1"/>
    <x v="16"/>
    <s v="13/01/2023"/>
    <s v="13/01/2023"/>
    <s v="2023"/>
    <x v="1"/>
    <x v="1146"/>
    <x v="353"/>
  </r>
  <r>
    <x v="4"/>
    <x v="3"/>
    <x v="3"/>
    <d v="2023-07-07T00:00:00"/>
    <s v="07/07/2023"/>
    <s v="2023"/>
    <x v="2"/>
    <x v="1147"/>
    <x v="360"/>
  </r>
  <r>
    <x v="3"/>
    <x v="1"/>
    <x v="1"/>
    <s v="25/05/2023"/>
    <s v="25/05/2023"/>
    <s v="2023"/>
    <x v="7"/>
    <x v="1148"/>
    <x v="365"/>
  </r>
  <r>
    <x v="11"/>
    <x v="1"/>
    <x v="13"/>
    <s v="13/04/2023"/>
    <s v="13/04/2023"/>
    <s v="2023"/>
    <x v="0"/>
    <x v="1149"/>
    <x v="44"/>
  </r>
  <r>
    <x v="19"/>
    <x v="3"/>
    <x v="6"/>
    <d v="2023-02-03T00:00:00"/>
    <s v="03/02/2023"/>
    <s v="2023"/>
    <x v="3"/>
    <x v="1150"/>
    <x v="267"/>
  </r>
  <r>
    <x v="5"/>
    <x v="5"/>
    <x v="17"/>
    <s v="23/06/2023"/>
    <s v="23/06/2023"/>
    <s v="2023"/>
    <x v="4"/>
    <x v="1151"/>
    <x v="264"/>
  </r>
  <r>
    <x v="20"/>
    <x v="4"/>
    <x v="9"/>
    <s v="26/07/2023"/>
    <s v="26/07/2023"/>
    <s v="2023"/>
    <x v="2"/>
    <x v="1152"/>
    <x v="178"/>
  </r>
  <r>
    <x v="1"/>
    <x v="5"/>
    <x v="14"/>
    <s v="22/03/2023"/>
    <s v="22/03/2023"/>
    <s v="2023"/>
    <x v="5"/>
    <x v="1153"/>
    <x v="186"/>
  </r>
  <r>
    <x v="7"/>
    <x v="4"/>
    <x v="19"/>
    <d v="2023-09-06T00:00:00"/>
    <s v="06/09/2023"/>
    <s v="2023"/>
    <x v="9"/>
    <x v="1154"/>
    <x v="360"/>
  </r>
  <r>
    <x v="1"/>
    <x v="2"/>
    <x v="20"/>
    <s v="17/05/2023"/>
    <s v="17/05/2023"/>
    <s v="2023"/>
    <x v="7"/>
    <x v="1155"/>
    <x v="10"/>
  </r>
  <r>
    <x v="24"/>
    <x v="3"/>
    <x v="2"/>
    <d v="2023-04-03T00:00:00"/>
    <s v="03/04/2023"/>
    <s v="2023"/>
    <x v="0"/>
    <x v="1156"/>
    <x v="270"/>
  </r>
  <r>
    <x v="20"/>
    <x v="5"/>
    <x v="11"/>
    <d v="2023-07-07T00:00:00"/>
    <s v="07/07/2023"/>
    <s v="2023"/>
    <x v="2"/>
    <x v="1157"/>
    <x v="103"/>
  </r>
  <r>
    <x v="17"/>
    <x v="5"/>
    <x v="18"/>
    <s v="13/01/2023"/>
    <s v="13/01/2023"/>
    <s v="2023"/>
    <x v="1"/>
    <x v="1158"/>
    <x v="328"/>
  </r>
  <r>
    <x v="14"/>
    <x v="2"/>
    <x v="16"/>
    <s v="13/07/2023"/>
    <s v="13/07/2023"/>
    <s v="2023"/>
    <x v="2"/>
    <x v="1159"/>
    <x v="148"/>
  </r>
  <r>
    <x v="22"/>
    <x v="2"/>
    <x v="1"/>
    <s v="16/06/2023"/>
    <s v="16/06/2023"/>
    <s v="2023"/>
    <x v="4"/>
    <x v="1160"/>
    <x v="208"/>
  </r>
  <r>
    <x v="2"/>
    <x v="0"/>
    <x v="6"/>
    <s v="18/07/2023"/>
    <s v="18/07/2023"/>
    <s v="2023"/>
    <x v="2"/>
    <x v="1161"/>
    <x v="7"/>
  </r>
  <r>
    <x v="24"/>
    <x v="0"/>
    <x v="15"/>
    <s v="30/05/2023"/>
    <s v="30/05/2023"/>
    <s v="2023"/>
    <x v="7"/>
    <x v="1162"/>
    <x v="59"/>
  </r>
  <r>
    <x v="2"/>
    <x v="0"/>
    <x v="21"/>
    <s v="21/06/2023"/>
    <s v="21/06/2023"/>
    <s v="2023"/>
    <x v="4"/>
    <x v="1163"/>
    <x v="49"/>
  </r>
  <r>
    <x v="0"/>
    <x v="2"/>
    <x v="2"/>
    <s v="24/06/2023"/>
    <s v="24/06/2023"/>
    <s v="2023"/>
    <x v="4"/>
    <x v="1164"/>
    <x v="91"/>
  </r>
  <r>
    <x v="11"/>
    <x v="1"/>
    <x v="8"/>
    <s v="13/01/2023"/>
    <s v="13/01/2023"/>
    <s v="2023"/>
    <x v="1"/>
    <x v="1165"/>
    <x v="1"/>
  </r>
  <r>
    <x v="14"/>
    <x v="5"/>
    <x v="13"/>
    <d v="2023-04-04T00:00:00"/>
    <s v="04/04/2023"/>
    <s v="2023"/>
    <x v="0"/>
    <x v="1166"/>
    <x v="140"/>
  </r>
  <r>
    <x v="16"/>
    <x v="0"/>
    <x v="3"/>
    <d v="2023-08-06T00:00:00"/>
    <s v="06/08/2023"/>
    <s v="2023"/>
    <x v="8"/>
    <x v="1167"/>
    <x v="417"/>
  </r>
  <r>
    <x v="10"/>
    <x v="5"/>
    <x v="12"/>
    <d v="2023-02-08T00:00:00"/>
    <s v="08/02/2023"/>
    <s v="2023"/>
    <x v="3"/>
    <x v="1168"/>
    <x v="194"/>
  </r>
  <r>
    <x v="20"/>
    <x v="4"/>
    <x v="10"/>
    <s v="21/07/2023"/>
    <s v="21/07/2023"/>
    <s v="2023"/>
    <x v="2"/>
    <x v="1169"/>
    <x v="277"/>
  </r>
  <r>
    <x v="14"/>
    <x v="1"/>
    <x v="12"/>
    <s v="20/06/2023"/>
    <s v="20/06/2023"/>
    <s v="2023"/>
    <x v="4"/>
    <x v="1170"/>
    <x v="418"/>
  </r>
  <r>
    <x v="13"/>
    <x v="1"/>
    <x v="5"/>
    <s v="22/06/2023"/>
    <s v="22/06/2023"/>
    <s v="2023"/>
    <x v="4"/>
    <x v="1171"/>
    <x v="118"/>
  </r>
  <r>
    <x v="21"/>
    <x v="2"/>
    <x v="20"/>
    <d v="2023-02-05T00:00:00"/>
    <s v="05/02/2023"/>
    <s v="2023"/>
    <x v="3"/>
    <x v="1172"/>
    <x v="303"/>
  </r>
  <r>
    <x v="14"/>
    <x v="2"/>
    <x v="4"/>
    <d v="2023-07-01T00:00:00"/>
    <s v="01/07/2023"/>
    <s v="2023"/>
    <x v="2"/>
    <x v="1173"/>
    <x v="102"/>
  </r>
  <r>
    <x v="9"/>
    <x v="0"/>
    <x v="6"/>
    <s v="21/02/2023"/>
    <s v="21/02/2023"/>
    <s v="2023"/>
    <x v="3"/>
    <x v="1174"/>
    <x v="187"/>
  </r>
  <r>
    <x v="24"/>
    <x v="5"/>
    <x v="19"/>
    <s v="21/03/2023"/>
    <s v="21/03/2023"/>
    <s v="2023"/>
    <x v="5"/>
    <x v="1175"/>
    <x v="404"/>
  </r>
  <r>
    <x v="1"/>
    <x v="0"/>
    <x v="9"/>
    <d v="2023-04-04T00:00:00"/>
    <s v="04/04/2023"/>
    <s v="2023"/>
    <x v="0"/>
    <x v="1176"/>
    <x v="295"/>
  </r>
  <r>
    <x v="5"/>
    <x v="5"/>
    <x v="13"/>
    <s v="24/03/2023"/>
    <s v="24/03/2023"/>
    <s v="2023"/>
    <x v="5"/>
    <x v="1177"/>
    <x v="174"/>
  </r>
  <r>
    <x v="5"/>
    <x v="3"/>
    <x v="12"/>
    <s v="28/06/2023"/>
    <s v="28/06/2023"/>
    <s v="2023"/>
    <x v="4"/>
    <x v="1178"/>
    <x v="275"/>
  </r>
  <r>
    <x v="5"/>
    <x v="2"/>
    <x v="9"/>
    <s v="14/01/2023"/>
    <s v="14/01/2023"/>
    <s v="2023"/>
    <x v="1"/>
    <x v="1179"/>
    <x v="397"/>
  </r>
  <r>
    <x v="10"/>
    <x v="3"/>
    <x v="13"/>
    <d v="2023-07-02T00:00:00"/>
    <s v="02/07/2023"/>
    <s v="2023"/>
    <x v="2"/>
    <x v="1180"/>
    <x v="234"/>
  </r>
  <r>
    <x v="17"/>
    <x v="3"/>
    <x v="9"/>
    <d v="2023-11-01T00:00:00"/>
    <s v="01/11/2023"/>
    <s v="2023"/>
    <x v="10"/>
    <x v="1181"/>
    <x v="126"/>
  </r>
  <r>
    <x v="0"/>
    <x v="1"/>
    <x v="4"/>
    <s v="25/02/2023"/>
    <s v="25/02/2023"/>
    <s v="2023"/>
    <x v="3"/>
    <x v="1182"/>
    <x v="257"/>
  </r>
  <r>
    <x v="23"/>
    <x v="2"/>
    <x v="0"/>
    <d v="2023-01-08T00:00:00"/>
    <s v="08/01/2023"/>
    <s v="2023"/>
    <x v="1"/>
    <x v="1183"/>
    <x v="103"/>
  </r>
  <r>
    <x v="13"/>
    <x v="2"/>
    <x v="0"/>
    <d v="2023-05-05T00:00:00"/>
    <s v="05/05/2023"/>
    <s v="2023"/>
    <x v="7"/>
    <x v="1184"/>
    <x v="173"/>
  </r>
  <r>
    <x v="22"/>
    <x v="3"/>
    <x v="17"/>
    <s v="18/05/2023"/>
    <s v="18/05/2023"/>
    <s v="2023"/>
    <x v="7"/>
    <x v="1185"/>
    <x v="59"/>
  </r>
  <r>
    <x v="23"/>
    <x v="3"/>
    <x v="18"/>
    <d v="2023-04-01T00:00:00"/>
    <s v="01/04/2023"/>
    <s v="2023"/>
    <x v="0"/>
    <x v="1186"/>
    <x v="313"/>
  </r>
  <r>
    <x v="13"/>
    <x v="3"/>
    <x v="6"/>
    <d v="2023-09-05T00:00:00"/>
    <s v="05/09/2023"/>
    <s v="2023"/>
    <x v="9"/>
    <x v="1187"/>
    <x v="317"/>
  </r>
  <r>
    <x v="7"/>
    <x v="1"/>
    <x v="3"/>
    <d v="2023-06-05T00:00:00"/>
    <s v="05/06/2023"/>
    <s v="2023"/>
    <x v="4"/>
    <x v="1188"/>
    <x v="20"/>
  </r>
  <r>
    <x v="15"/>
    <x v="0"/>
    <x v="14"/>
    <s v="13/01/2023"/>
    <s v="13/01/2023"/>
    <s v="2023"/>
    <x v="1"/>
    <x v="1189"/>
    <x v="42"/>
  </r>
  <r>
    <x v="13"/>
    <x v="2"/>
    <x v="16"/>
    <s v="24/06/2023"/>
    <s v="24/06/2023"/>
    <s v="2023"/>
    <x v="4"/>
    <x v="1190"/>
    <x v="159"/>
  </r>
  <r>
    <x v="1"/>
    <x v="4"/>
    <x v="20"/>
    <s v="14/02/2023"/>
    <s v="14/02/2023"/>
    <s v="2023"/>
    <x v="3"/>
    <x v="1191"/>
    <x v="69"/>
  </r>
  <r>
    <x v="21"/>
    <x v="2"/>
    <x v="4"/>
    <s v="18/01/2023"/>
    <s v="18/01/2023"/>
    <s v="2023"/>
    <x v="1"/>
    <x v="1192"/>
    <x v="82"/>
  </r>
  <r>
    <x v="16"/>
    <x v="1"/>
    <x v="11"/>
    <d v="2023-02-05T00:00:00"/>
    <s v="05/02/2023"/>
    <s v="2023"/>
    <x v="3"/>
    <x v="1193"/>
    <x v="96"/>
  </r>
  <r>
    <x v="24"/>
    <x v="2"/>
    <x v="3"/>
    <s v="16/05/2023"/>
    <s v="16/05/2023"/>
    <s v="2023"/>
    <x v="7"/>
    <x v="1194"/>
    <x v="138"/>
  </r>
  <r>
    <x v="9"/>
    <x v="4"/>
    <x v="16"/>
    <s v="28/01/2023"/>
    <s v="28/01/2023"/>
    <s v="2023"/>
    <x v="1"/>
    <x v="1195"/>
    <x v="139"/>
  </r>
  <r>
    <x v="16"/>
    <x v="5"/>
    <x v="4"/>
    <s v="24/06/2023"/>
    <s v="24/06/2023"/>
    <s v="2023"/>
    <x v="4"/>
    <x v="1196"/>
    <x v="222"/>
  </r>
  <r>
    <x v="4"/>
    <x v="0"/>
    <x v="5"/>
    <s v="18/07/2023"/>
    <s v="18/07/2023"/>
    <s v="2023"/>
    <x v="2"/>
    <x v="1197"/>
    <x v="73"/>
  </r>
  <r>
    <x v="5"/>
    <x v="0"/>
    <x v="8"/>
    <s v="13/04/2023"/>
    <s v="13/04/2023"/>
    <s v="2023"/>
    <x v="0"/>
    <x v="1198"/>
    <x v="225"/>
  </r>
  <r>
    <x v="23"/>
    <x v="4"/>
    <x v="20"/>
    <s v="15/04/2023"/>
    <s v="15/04/2023"/>
    <s v="2023"/>
    <x v="0"/>
    <x v="1199"/>
    <x v="88"/>
  </r>
  <r>
    <x v="3"/>
    <x v="1"/>
    <x v="2"/>
    <d v="2023-04-01T00:00:00"/>
    <s v="01/04/2023"/>
    <s v="2023"/>
    <x v="0"/>
    <x v="1200"/>
    <x v="4"/>
  </r>
  <r>
    <x v="15"/>
    <x v="2"/>
    <x v="8"/>
    <d v="2023-04-07T00:00:00"/>
    <s v="07/04/2023"/>
    <s v="2023"/>
    <x v="0"/>
    <x v="1201"/>
    <x v="283"/>
  </r>
  <r>
    <x v="12"/>
    <x v="4"/>
    <x v="3"/>
    <s v="24/03/2023"/>
    <s v="24/03/2023"/>
    <s v="2023"/>
    <x v="5"/>
    <x v="1202"/>
    <x v="40"/>
  </r>
  <r>
    <x v="21"/>
    <x v="2"/>
    <x v="15"/>
    <s v="17/03/2023"/>
    <s v="17/03/2023"/>
    <s v="2023"/>
    <x v="5"/>
    <x v="1203"/>
    <x v="67"/>
  </r>
  <r>
    <x v="4"/>
    <x v="2"/>
    <x v="16"/>
    <s v="15/02/2023"/>
    <s v="15/02/2023"/>
    <s v="2023"/>
    <x v="3"/>
    <x v="1204"/>
    <x v="190"/>
  </r>
  <r>
    <x v="3"/>
    <x v="4"/>
    <x v="7"/>
    <s v="29/06/2023"/>
    <s v="29/06/2023"/>
    <s v="2023"/>
    <x v="4"/>
    <x v="1205"/>
    <x v="58"/>
  </r>
  <r>
    <x v="2"/>
    <x v="4"/>
    <x v="13"/>
    <s v="24/05/2023"/>
    <s v="24/05/2023"/>
    <s v="2023"/>
    <x v="7"/>
    <x v="1206"/>
    <x v="24"/>
  </r>
  <r>
    <x v="9"/>
    <x v="0"/>
    <x v="11"/>
    <d v="2023-10-01T00:00:00"/>
    <s v="01/10/2023"/>
    <s v="2023"/>
    <x v="6"/>
    <x v="1207"/>
    <x v="144"/>
  </r>
  <r>
    <x v="14"/>
    <x v="4"/>
    <x v="17"/>
    <s v="15/03/2023"/>
    <s v="15/03/2023"/>
    <s v="2023"/>
    <x v="5"/>
    <x v="1208"/>
    <x v="273"/>
  </r>
  <r>
    <x v="11"/>
    <x v="5"/>
    <x v="11"/>
    <d v="2023-08-02T00:00:00"/>
    <s v="02/08/2023"/>
    <s v="2023"/>
    <x v="8"/>
    <x v="1209"/>
    <x v="188"/>
  </r>
  <r>
    <x v="6"/>
    <x v="1"/>
    <x v="20"/>
    <s v="25/02/2023"/>
    <s v="25/02/2023"/>
    <s v="2023"/>
    <x v="3"/>
    <x v="1210"/>
    <x v="116"/>
  </r>
  <r>
    <x v="5"/>
    <x v="4"/>
    <x v="8"/>
    <d v="2023-03-05T00:00:00"/>
    <s v="05/03/2023"/>
    <s v="2023"/>
    <x v="5"/>
    <x v="1211"/>
    <x v="121"/>
  </r>
  <r>
    <x v="13"/>
    <x v="4"/>
    <x v="13"/>
    <s v="14/06/2023"/>
    <s v="14/06/2023"/>
    <s v="2023"/>
    <x v="4"/>
    <x v="1212"/>
    <x v="47"/>
  </r>
  <r>
    <x v="5"/>
    <x v="1"/>
    <x v="6"/>
    <d v="2023-09-08T00:00:00"/>
    <s v="08/09/2023"/>
    <s v="2023"/>
    <x v="9"/>
    <x v="1213"/>
    <x v="159"/>
  </r>
  <r>
    <x v="18"/>
    <x v="3"/>
    <x v="15"/>
    <d v="2023-11-07T00:00:00"/>
    <s v="07/11/2023"/>
    <s v="2023"/>
    <x v="10"/>
    <x v="1214"/>
    <x v="256"/>
  </r>
  <r>
    <x v="16"/>
    <x v="0"/>
    <x v="15"/>
    <s v="14/01/2023"/>
    <s v="14/01/2023"/>
    <s v="2023"/>
    <x v="1"/>
    <x v="1215"/>
    <x v="23"/>
  </r>
  <r>
    <x v="1"/>
    <x v="5"/>
    <x v="15"/>
    <s v="24/02/2023"/>
    <s v="24/02/2023"/>
    <s v="2023"/>
    <x v="3"/>
    <x v="1216"/>
    <x v="55"/>
  </r>
  <r>
    <x v="18"/>
    <x v="3"/>
    <x v="16"/>
    <s v="15/03/2023"/>
    <s v="15/03/2023"/>
    <s v="2023"/>
    <x v="5"/>
    <x v="1217"/>
    <x v="136"/>
  </r>
  <r>
    <x v="4"/>
    <x v="3"/>
    <x v="19"/>
    <s v="25/04/2023"/>
    <s v="25/04/2023"/>
    <s v="2023"/>
    <x v="0"/>
    <x v="1218"/>
    <x v="194"/>
  </r>
  <r>
    <x v="17"/>
    <x v="2"/>
    <x v="10"/>
    <d v="2023-10-05T00:00:00"/>
    <s v="05/10/2023"/>
    <s v="2023"/>
    <x v="6"/>
    <x v="1219"/>
    <x v="240"/>
  </r>
  <r>
    <x v="11"/>
    <x v="2"/>
    <x v="12"/>
    <s v="23/06/2023"/>
    <s v="23/06/2023"/>
    <s v="2023"/>
    <x v="4"/>
    <x v="1220"/>
    <x v="57"/>
  </r>
  <r>
    <x v="12"/>
    <x v="5"/>
    <x v="3"/>
    <s v="28/02/2023"/>
    <s v="28/02/2023"/>
    <s v="2023"/>
    <x v="3"/>
    <x v="1221"/>
    <x v="224"/>
  </r>
  <r>
    <x v="6"/>
    <x v="4"/>
    <x v="10"/>
    <s v="25/05/2023"/>
    <s v="25/05/2023"/>
    <s v="2023"/>
    <x v="7"/>
    <x v="1222"/>
    <x v="181"/>
  </r>
  <r>
    <x v="13"/>
    <x v="3"/>
    <x v="19"/>
    <s v="22/02/2023"/>
    <s v="22/02/2023"/>
    <s v="2023"/>
    <x v="3"/>
    <x v="1223"/>
    <x v="257"/>
  </r>
  <r>
    <x v="1"/>
    <x v="0"/>
    <x v="1"/>
    <d v="2023-11-07T00:00:00"/>
    <s v="07/11/2023"/>
    <s v="2023"/>
    <x v="10"/>
    <x v="1224"/>
    <x v="120"/>
  </r>
  <r>
    <x v="11"/>
    <x v="5"/>
    <x v="12"/>
    <d v="2023-03-01T00:00:00"/>
    <s v="01/03/2023"/>
    <s v="2023"/>
    <x v="5"/>
    <x v="1225"/>
    <x v="319"/>
  </r>
  <r>
    <x v="7"/>
    <x v="3"/>
    <x v="21"/>
    <s v="24/08/2023"/>
    <s v="24/08/2023"/>
    <s v="2023"/>
    <x v="8"/>
    <x v="1226"/>
    <x v="232"/>
  </r>
  <r>
    <x v="12"/>
    <x v="4"/>
    <x v="6"/>
    <s v="28/07/2023"/>
    <s v="28/07/2023"/>
    <s v="2023"/>
    <x v="2"/>
    <x v="1227"/>
    <x v="419"/>
  </r>
  <r>
    <x v="6"/>
    <x v="4"/>
    <x v="0"/>
    <s v="25/05/2023"/>
    <s v="25/05/2023"/>
    <s v="2023"/>
    <x v="7"/>
    <x v="1228"/>
    <x v="28"/>
  </r>
  <r>
    <x v="10"/>
    <x v="3"/>
    <x v="8"/>
    <d v="2023-06-05T00:00:00"/>
    <s v="05/06/2023"/>
    <s v="2023"/>
    <x v="4"/>
    <x v="1229"/>
    <x v="333"/>
  </r>
  <r>
    <x v="8"/>
    <x v="1"/>
    <x v="9"/>
    <s v="28/01/2023"/>
    <s v="28/01/2023"/>
    <s v="2023"/>
    <x v="1"/>
    <x v="1230"/>
    <x v="265"/>
  </r>
  <r>
    <x v="11"/>
    <x v="0"/>
    <x v="7"/>
    <d v="2023-06-06T00:00:00"/>
    <s v="06/06/2023"/>
    <s v="2023"/>
    <x v="4"/>
    <x v="1231"/>
    <x v="235"/>
  </r>
  <r>
    <x v="6"/>
    <x v="3"/>
    <x v="19"/>
    <d v="2023-12-07T00:00:00"/>
    <s v="07/12/2023"/>
    <s v="2023"/>
    <x v="11"/>
    <x v="1232"/>
    <x v="135"/>
  </r>
  <r>
    <x v="24"/>
    <x v="5"/>
    <x v="12"/>
    <d v="2023-05-08T00:00:00"/>
    <s v="08/05/2023"/>
    <s v="2023"/>
    <x v="7"/>
    <x v="1233"/>
    <x v="386"/>
  </r>
  <r>
    <x v="6"/>
    <x v="4"/>
    <x v="7"/>
    <s v="28/01/2023"/>
    <s v="28/01/2023"/>
    <s v="2023"/>
    <x v="1"/>
    <x v="1234"/>
    <x v="21"/>
  </r>
  <r>
    <x v="16"/>
    <x v="1"/>
    <x v="12"/>
    <s v="31/08/2023"/>
    <s v="31/08/2023"/>
    <s v="2023"/>
    <x v="8"/>
    <x v="1235"/>
    <x v="234"/>
  </r>
  <r>
    <x v="9"/>
    <x v="4"/>
    <x v="6"/>
    <s v="19/04/2023"/>
    <s v="19/04/2023"/>
    <s v="2023"/>
    <x v="0"/>
    <x v="1236"/>
    <x v="37"/>
  </r>
  <r>
    <x v="9"/>
    <x v="0"/>
    <x v="0"/>
    <s v="29/06/2023"/>
    <s v="29/06/2023"/>
    <s v="2023"/>
    <x v="4"/>
    <x v="1237"/>
    <x v="236"/>
  </r>
  <r>
    <x v="12"/>
    <x v="1"/>
    <x v="18"/>
    <s v="24/02/2023"/>
    <s v="24/02/2023"/>
    <s v="2023"/>
    <x v="3"/>
    <x v="1238"/>
    <x v="297"/>
  </r>
  <r>
    <x v="22"/>
    <x v="0"/>
    <x v="3"/>
    <d v="2023-04-03T00:00:00"/>
    <s v="03/04/2023"/>
    <s v="2023"/>
    <x v="0"/>
    <x v="1239"/>
    <x v="102"/>
  </r>
  <r>
    <x v="2"/>
    <x v="1"/>
    <x v="8"/>
    <s v="21/06/2023"/>
    <s v="21/06/2023"/>
    <s v="2023"/>
    <x v="4"/>
    <x v="1240"/>
    <x v="7"/>
  </r>
  <r>
    <x v="7"/>
    <x v="2"/>
    <x v="10"/>
    <s v="26/01/2023"/>
    <s v="26/01/2023"/>
    <s v="2023"/>
    <x v="1"/>
    <x v="1241"/>
    <x v="280"/>
  </r>
  <r>
    <x v="4"/>
    <x v="3"/>
    <x v="14"/>
    <d v="2023-10-06T00:00:00"/>
    <s v="06/10/2023"/>
    <s v="2023"/>
    <x v="6"/>
    <x v="1242"/>
    <x v="5"/>
  </r>
  <r>
    <x v="19"/>
    <x v="0"/>
    <x v="9"/>
    <s v="23/05/2023"/>
    <s v="23/05/2023"/>
    <s v="2023"/>
    <x v="7"/>
    <x v="1243"/>
    <x v="33"/>
  </r>
  <r>
    <x v="20"/>
    <x v="1"/>
    <x v="11"/>
    <s v="15/04/2023"/>
    <s v="15/04/2023"/>
    <s v="2023"/>
    <x v="0"/>
    <x v="1244"/>
    <x v="239"/>
  </r>
  <r>
    <x v="10"/>
    <x v="3"/>
    <x v="20"/>
    <s v="31/01/2023"/>
    <s v="31/01/2023"/>
    <s v="2023"/>
    <x v="1"/>
    <x v="1245"/>
    <x v="301"/>
  </r>
  <r>
    <x v="19"/>
    <x v="3"/>
    <x v="10"/>
    <d v="2023-04-03T00:00:00"/>
    <s v="03/04/2023"/>
    <s v="2023"/>
    <x v="0"/>
    <x v="1246"/>
    <x v="240"/>
  </r>
  <r>
    <x v="8"/>
    <x v="3"/>
    <x v="5"/>
    <s v="19/04/2023"/>
    <s v="19/04/2023"/>
    <s v="2023"/>
    <x v="0"/>
    <x v="1247"/>
    <x v="125"/>
  </r>
  <r>
    <x v="12"/>
    <x v="0"/>
    <x v="16"/>
    <s v="16/05/2023"/>
    <s v="16/05/2023"/>
    <s v="2023"/>
    <x v="7"/>
    <x v="1248"/>
    <x v="90"/>
  </r>
  <r>
    <x v="4"/>
    <x v="2"/>
    <x v="17"/>
    <s v="17/02/2023"/>
    <s v="17/02/2023"/>
    <s v="2023"/>
    <x v="3"/>
    <x v="1249"/>
    <x v="179"/>
  </r>
  <r>
    <x v="17"/>
    <x v="4"/>
    <x v="17"/>
    <s v="18/01/2023"/>
    <s v="18/01/2023"/>
    <s v="2023"/>
    <x v="1"/>
    <x v="1250"/>
    <x v="79"/>
  </r>
  <r>
    <x v="13"/>
    <x v="5"/>
    <x v="7"/>
    <d v="2023-09-02T00:00:00"/>
    <s v="02/09/2023"/>
    <s v="2023"/>
    <x v="9"/>
    <x v="1251"/>
    <x v="20"/>
  </r>
  <r>
    <x v="9"/>
    <x v="5"/>
    <x v="7"/>
    <s v="23/03/2023"/>
    <s v="23/03/2023"/>
    <s v="2023"/>
    <x v="5"/>
    <x v="1252"/>
    <x v="50"/>
  </r>
  <r>
    <x v="22"/>
    <x v="3"/>
    <x v="20"/>
    <d v="2023-01-02T00:00:00"/>
    <s v="02/01/2023"/>
    <s v="2023"/>
    <x v="1"/>
    <x v="1253"/>
    <x v="31"/>
  </r>
  <r>
    <x v="9"/>
    <x v="1"/>
    <x v="9"/>
    <d v="2023-07-03T00:00:00"/>
    <s v="03/07/2023"/>
    <s v="2023"/>
    <x v="2"/>
    <x v="1254"/>
    <x v="136"/>
  </r>
  <r>
    <x v="24"/>
    <x v="0"/>
    <x v="14"/>
    <d v="2023-03-01T00:00:00"/>
    <s v="01/03/2023"/>
    <s v="2023"/>
    <x v="5"/>
    <x v="1255"/>
    <x v="351"/>
  </r>
  <r>
    <x v="24"/>
    <x v="4"/>
    <x v="14"/>
    <d v="2023-11-02T00:00:00"/>
    <s v="02/11/2023"/>
    <s v="2023"/>
    <x v="10"/>
    <x v="1256"/>
    <x v="420"/>
  </r>
  <r>
    <x v="17"/>
    <x v="3"/>
    <x v="7"/>
    <s v="16/03/2023"/>
    <s v="16/03/2023"/>
    <s v="2023"/>
    <x v="5"/>
    <x v="1257"/>
    <x v="157"/>
  </r>
  <r>
    <x v="23"/>
    <x v="1"/>
    <x v="14"/>
    <s v="15/08/2023"/>
    <s v="15/08/2023"/>
    <s v="2023"/>
    <x v="8"/>
    <x v="1258"/>
    <x v="388"/>
  </r>
  <r>
    <x v="2"/>
    <x v="1"/>
    <x v="15"/>
    <d v="2023-12-05T00:00:00"/>
    <s v="05/12/2023"/>
    <s v="2023"/>
    <x v="11"/>
    <x v="1259"/>
    <x v="151"/>
  </r>
  <r>
    <x v="1"/>
    <x v="1"/>
    <x v="12"/>
    <d v="2023-11-04T00:00:00"/>
    <s v="04/11/2023"/>
    <s v="2023"/>
    <x v="10"/>
    <x v="1260"/>
    <x v="247"/>
  </r>
  <r>
    <x v="3"/>
    <x v="3"/>
    <x v="0"/>
    <s v="30/06/2023"/>
    <s v="30/06/2023"/>
    <s v="2023"/>
    <x v="4"/>
    <x v="1261"/>
    <x v="421"/>
  </r>
  <r>
    <x v="23"/>
    <x v="3"/>
    <x v="14"/>
    <s v="15/06/2023"/>
    <s v="15/06/2023"/>
    <s v="2023"/>
    <x v="4"/>
    <x v="1262"/>
    <x v="10"/>
  </r>
  <r>
    <x v="7"/>
    <x v="5"/>
    <x v="20"/>
    <d v="2023-01-08T00:00:00"/>
    <s v="08/01/2023"/>
    <s v="2023"/>
    <x v="1"/>
    <x v="1263"/>
    <x v="149"/>
  </r>
  <r>
    <x v="16"/>
    <x v="4"/>
    <x v="11"/>
    <s v="15/06/2023"/>
    <s v="15/06/2023"/>
    <s v="2023"/>
    <x v="4"/>
    <x v="1264"/>
    <x v="204"/>
  </r>
  <r>
    <x v="6"/>
    <x v="1"/>
    <x v="5"/>
    <s v="16/06/2023"/>
    <s v="16/06/2023"/>
    <s v="2023"/>
    <x v="4"/>
    <x v="1265"/>
    <x v="282"/>
  </r>
  <r>
    <x v="4"/>
    <x v="3"/>
    <x v="17"/>
    <s v="13/05/2023"/>
    <s v="13/05/2023"/>
    <s v="2023"/>
    <x v="7"/>
    <x v="1266"/>
    <x v="201"/>
  </r>
  <r>
    <x v="17"/>
    <x v="4"/>
    <x v="9"/>
    <d v="2023-10-05T00:00:00"/>
    <s v="05/10/2023"/>
    <s v="2023"/>
    <x v="6"/>
    <x v="1267"/>
    <x v="182"/>
  </r>
  <r>
    <x v="4"/>
    <x v="1"/>
    <x v="8"/>
    <s v="25/08/2023"/>
    <s v="25/08/2023"/>
    <s v="2023"/>
    <x v="8"/>
    <x v="1268"/>
    <x v="388"/>
  </r>
  <r>
    <x v="24"/>
    <x v="3"/>
    <x v="10"/>
    <s v="15/07/2023"/>
    <s v="15/07/2023"/>
    <s v="2023"/>
    <x v="2"/>
    <x v="1269"/>
    <x v="189"/>
  </r>
  <r>
    <x v="2"/>
    <x v="0"/>
    <x v="19"/>
    <s v="16/05/2023"/>
    <s v="16/05/2023"/>
    <s v="2023"/>
    <x v="7"/>
    <x v="1270"/>
    <x v="410"/>
  </r>
  <r>
    <x v="3"/>
    <x v="2"/>
    <x v="6"/>
    <s v="14/06/2023"/>
    <s v="14/06/2023"/>
    <s v="2023"/>
    <x v="4"/>
    <x v="1271"/>
    <x v="26"/>
  </r>
  <r>
    <x v="12"/>
    <x v="2"/>
    <x v="3"/>
    <s v="25/01/2023"/>
    <s v="25/01/2023"/>
    <s v="2023"/>
    <x v="1"/>
    <x v="1272"/>
    <x v="422"/>
  </r>
  <r>
    <x v="24"/>
    <x v="4"/>
    <x v="10"/>
    <s v="28/07/2023"/>
    <s v="28/07/2023"/>
    <s v="2023"/>
    <x v="2"/>
    <x v="1273"/>
    <x v="235"/>
  </r>
  <r>
    <x v="6"/>
    <x v="5"/>
    <x v="0"/>
    <s v="28/01/2023"/>
    <s v="28/01/2023"/>
    <s v="2023"/>
    <x v="1"/>
    <x v="1274"/>
    <x v="50"/>
  </r>
  <r>
    <x v="16"/>
    <x v="0"/>
    <x v="7"/>
    <s v="29/06/2023"/>
    <s v="29/06/2023"/>
    <s v="2023"/>
    <x v="4"/>
    <x v="1275"/>
    <x v="26"/>
  </r>
  <r>
    <x v="10"/>
    <x v="2"/>
    <x v="21"/>
    <s v="24/06/2023"/>
    <s v="24/06/2023"/>
    <s v="2023"/>
    <x v="4"/>
    <x v="1276"/>
    <x v="70"/>
  </r>
  <r>
    <x v="5"/>
    <x v="5"/>
    <x v="0"/>
    <d v="2023-01-07T00:00:00"/>
    <s v="07/01/2023"/>
    <s v="2023"/>
    <x v="1"/>
    <x v="1277"/>
    <x v="423"/>
  </r>
  <r>
    <x v="13"/>
    <x v="4"/>
    <x v="2"/>
    <s v="25/02/2023"/>
    <s v="25/02/2023"/>
    <s v="2023"/>
    <x v="3"/>
    <x v="1278"/>
    <x v="48"/>
  </r>
  <r>
    <x v="14"/>
    <x v="5"/>
    <x v="3"/>
    <d v="2023-01-08T00:00:00"/>
    <s v="08/01/2023"/>
    <s v="2023"/>
    <x v="1"/>
    <x v="1279"/>
    <x v="129"/>
  </r>
  <r>
    <x v="4"/>
    <x v="2"/>
    <x v="11"/>
    <s v="21/06/2023"/>
    <s v="21/06/2023"/>
    <s v="2023"/>
    <x v="4"/>
    <x v="1280"/>
    <x v="321"/>
  </r>
  <r>
    <x v="21"/>
    <x v="3"/>
    <x v="12"/>
    <s v="25/01/2023"/>
    <s v="25/01/2023"/>
    <s v="2023"/>
    <x v="1"/>
    <x v="1281"/>
    <x v="135"/>
  </r>
  <r>
    <x v="2"/>
    <x v="0"/>
    <x v="11"/>
    <s v="17/05/2023"/>
    <s v="17/05/2023"/>
    <s v="2023"/>
    <x v="7"/>
    <x v="1282"/>
    <x v="391"/>
  </r>
  <r>
    <x v="19"/>
    <x v="2"/>
    <x v="1"/>
    <s v="23/08/2023"/>
    <s v="23/08/2023"/>
    <s v="2023"/>
    <x v="8"/>
    <x v="1283"/>
    <x v="409"/>
  </r>
  <r>
    <x v="21"/>
    <x v="2"/>
    <x v="3"/>
    <d v="2023-03-03T00:00:00"/>
    <s v="03/03/2023"/>
    <s v="2023"/>
    <x v="5"/>
    <x v="1284"/>
    <x v="100"/>
  </r>
  <r>
    <x v="13"/>
    <x v="1"/>
    <x v="20"/>
    <s v="30/05/2023"/>
    <s v="30/05/2023"/>
    <s v="2023"/>
    <x v="7"/>
    <x v="1285"/>
    <x v="424"/>
  </r>
  <r>
    <x v="10"/>
    <x v="4"/>
    <x v="9"/>
    <s v="29/06/2023"/>
    <s v="29/06/2023"/>
    <s v="2023"/>
    <x v="4"/>
    <x v="1286"/>
    <x v="391"/>
  </r>
  <r>
    <x v="19"/>
    <x v="5"/>
    <x v="10"/>
    <d v="2023-04-01T00:00:00"/>
    <s v="01/04/2023"/>
    <s v="2023"/>
    <x v="0"/>
    <x v="1287"/>
    <x v="64"/>
  </r>
  <r>
    <x v="0"/>
    <x v="2"/>
    <x v="9"/>
    <s v="14/01/2023"/>
    <s v="14/01/2023"/>
    <s v="2023"/>
    <x v="1"/>
    <x v="1288"/>
    <x v="238"/>
  </r>
  <r>
    <x v="10"/>
    <x v="4"/>
    <x v="0"/>
    <s v="15/02/2023"/>
    <s v="15/02/2023"/>
    <s v="2023"/>
    <x v="3"/>
    <x v="1289"/>
    <x v="204"/>
  </r>
  <r>
    <x v="14"/>
    <x v="3"/>
    <x v="12"/>
    <d v="2023-10-01T00:00:00"/>
    <s v="01/10/2023"/>
    <s v="2023"/>
    <x v="6"/>
    <x v="1290"/>
    <x v="425"/>
  </r>
  <r>
    <x v="22"/>
    <x v="4"/>
    <x v="14"/>
    <d v="2023-04-05T00:00:00"/>
    <s v="05/04/2023"/>
    <s v="2023"/>
    <x v="0"/>
    <x v="1291"/>
    <x v="244"/>
  </r>
  <r>
    <x v="19"/>
    <x v="4"/>
    <x v="12"/>
    <s v="23/05/2023"/>
    <s v="23/05/2023"/>
    <s v="2023"/>
    <x v="7"/>
    <x v="1292"/>
    <x v="262"/>
  </r>
  <r>
    <x v="8"/>
    <x v="3"/>
    <x v="13"/>
    <s v="26/04/2023"/>
    <s v="26/04/2023"/>
    <s v="2023"/>
    <x v="0"/>
    <x v="1293"/>
    <x v="141"/>
  </r>
  <r>
    <x v="4"/>
    <x v="5"/>
    <x v="10"/>
    <d v="2023-05-07T00:00:00"/>
    <s v="07/05/2023"/>
    <s v="2023"/>
    <x v="7"/>
    <x v="1294"/>
    <x v="271"/>
  </r>
  <r>
    <x v="22"/>
    <x v="0"/>
    <x v="10"/>
    <s v="21/07/2023"/>
    <s v="21/07/2023"/>
    <s v="2023"/>
    <x v="2"/>
    <x v="1295"/>
    <x v="50"/>
  </r>
  <r>
    <x v="23"/>
    <x v="4"/>
    <x v="0"/>
    <s v="21/02/2023"/>
    <s v="21/02/2023"/>
    <s v="2023"/>
    <x v="3"/>
    <x v="1296"/>
    <x v="237"/>
  </r>
  <r>
    <x v="20"/>
    <x v="4"/>
    <x v="7"/>
    <d v="2023-03-02T00:00:00"/>
    <s v="02/03/2023"/>
    <s v="2023"/>
    <x v="5"/>
    <x v="1297"/>
    <x v="32"/>
  </r>
  <r>
    <x v="2"/>
    <x v="2"/>
    <x v="20"/>
    <d v="2023-08-07T00:00:00"/>
    <s v="07/08/2023"/>
    <s v="2023"/>
    <x v="8"/>
    <x v="1298"/>
    <x v="234"/>
  </r>
  <r>
    <x v="9"/>
    <x v="1"/>
    <x v="6"/>
    <s v="31/05/2023"/>
    <s v="31/05/2023"/>
    <s v="2023"/>
    <x v="7"/>
    <x v="1299"/>
    <x v="234"/>
  </r>
  <r>
    <x v="1"/>
    <x v="3"/>
    <x v="0"/>
    <s v="27/06/2023"/>
    <s v="27/06/2023"/>
    <s v="2023"/>
    <x v="4"/>
    <x v="1300"/>
    <x v="61"/>
  </r>
  <r>
    <x v="1"/>
    <x v="1"/>
    <x v="6"/>
    <s v="13/05/2023"/>
    <s v="13/05/2023"/>
    <s v="2023"/>
    <x v="7"/>
    <x v="1301"/>
    <x v="358"/>
  </r>
  <r>
    <x v="1"/>
    <x v="4"/>
    <x v="15"/>
    <s v="31/05/2023"/>
    <s v="31/05/2023"/>
    <s v="2023"/>
    <x v="7"/>
    <x v="1302"/>
    <x v="116"/>
  </r>
  <r>
    <x v="18"/>
    <x v="4"/>
    <x v="7"/>
    <s v="28/02/2023"/>
    <s v="28/02/2023"/>
    <s v="2023"/>
    <x v="3"/>
    <x v="1303"/>
    <x v="5"/>
  </r>
  <r>
    <x v="8"/>
    <x v="3"/>
    <x v="8"/>
    <s v="28/03/2023"/>
    <s v="28/03/2023"/>
    <s v="2023"/>
    <x v="5"/>
    <x v="1304"/>
    <x v="65"/>
  </r>
  <r>
    <x v="2"/>
    <x v="4"/>
    <x v="5"/>
    <s v="14/01/2023"/>
    <s v="14/01/2023"/>
    <s v="2023"/>
    <x v="1"/>
    <x v="1305"/>
    <x v="324"/>
  </r>
  <r>
    <x v="8"/>
    <x v="3"/>
    <x v="0"/>
    <s v="21/02/2023"/>
    <s v="21/02/2023"/>
    <s v="2023"/>
    <x v="3"/>
    <x v="1306"/>
    <x v="234"/>
  </r>
  <r>
    <x v="17"/>
    <x v="5"/>
    <x v="1"/>
    <d v="2023-01-08T00:00:00"/>
    <s v="08/01/2023"/>
    <s v="2023"/>
    <x v="1"/>
    <x v="1307"/>
    <x v="293"/>
  </r>
  <r>
    <x v="12"/>
    <x v="3"/>
    <x v="3"/>
    <s v="19/05/2023"/>
    <s v="19/05/2023"/>
    <s v="2023"/>
    <x v="7"/>
    <x v="1308"/>
    <x v="204"/>
  </r>
  <r>
    <x v="15"/>
    <x v="4"/>
    <x v="14"/>
    <s v="13/07/2023"/>
    <s v="13/07/2023"/>
    <s v="2023"/>
    <x v="2"/>
    <x v="1309"/>
    <x v="8"/>
  </r>
  <r>
    <x v="19"/>
    <x v="2"/>
    <x v="2"/>
    <s v="20/04/2023"/>
    <s v="20/04/2023"/>
    <s v="2023"/>
    <x v="0"/>
    <x v="1310"/>
    <x v="31"/>
  </r>
  <r>
    <x v="17"/>
    <x v="1"/>
    <x v="1"/>
    <s v="30/06/2023"/>
    <s v="30/06/2023"/>
    <s v="2023"/>
    <x v="4"/>
    <x v="1311"/>
    <x v="69"/>
  </r>
  <r>
    <x v="14"/>
    <x v="0"/>
    <x v="6"/>
    <d v="2023-08-03T00:00:00"/>
    <s v="03/08/2023"/>
    <s v="2023"/>
    <x v="8"/>
    <x v="1312"/>
    <x v="42"/>
  </r>
  <r>
    <x v="5"/>
    <x v="4"/>
    <x v="13"/>
    <d v="2023-09-03T00:00:00"/>
    <s v="03/09/2023"/>
    <s v="2023"/>
    <x v="9"/>
    <x v="1313"/>
    <x v="164"/>
  </r>
  <r>
    <x v="4"/>
    <x v="5"/>
    <x v="17"/>
    <s v="16/06/2023"/>
    <s v="16/06/2023"/>
    <s v="2023"/>
    <x v="4"/>
    <x v="1314"/>
    <x v="384"/>
  </r>
  <r>
    <x v="2"/>
    <x v="0"/>
    <x v="9"/>
    <s v="30/06/2023"/>
    <s v="30/06/2023"/>
    <s v="2023"/>
    <x v="4"/>
    <x v="1315"/>
    <x v="146"/>
  </r>
  <r>
    <x v="20"/>
    <x v="1"/>
    <x v="0"/>
    <s v="28/07/2023"/>
    <s v="28/07/2023"/>
    <s v="2023"/>
    <x v="2"/>
    <x v="1316"/>
    <x v="264"/>
  </r>
  <r>
    <x v="10"/>
    <x v="5"/>
    <x v="2"/>
    <d v="2023-12-08T00:00:00"/>
    <s v="08/12/2023"/>
    <s v="2023"/>
    <x v="11"/>
    <x v="1317"/>
    <x v="178"/>
  </r>
  <r>
    <x v="8"/>
    <x v="0"/>
    <x v="0"/>
    <d v="2023-07-07T00:00:00"/>
    <s v="07/07/2023"/>
    <s v="2023"/>
    <x v="2"/>
    <x v="1318"/>
    <x v="426"/>
  </r>
  <r>
    <x v="8"/>
    <x v="4"/>
    <x v="1"/>
    <s v="25/08/2023"/>
    <s v="25/08/2023"/>
    <s v="2023"/>
    <x v="8"/>
    <x v="1319"/>
    <x v="121"/>
  </r>
  <r>
    <x v="15"/>
    <x v="5"/>
    <x v="8"/>
    <s v="17/01/2023"/>
    <s v="17/01/2023"/>
    <s v="2023"/>
    <x v="1"/>
    <x v="1320"/>
    <x v="395"/>
  </r>
  <r>
    <x v="3"/>
    <x v="2"/>
    <x v="21"/>
    <d v="2023-04-03T00:00:00"/>
    <s v="03/04/2023"/>
    <s v="2023"/>
    <x v="0"/>
    <x v="1321"/>
    <x v="101"/>
  </r>
  <r>
    <x v="11"/>
    <x v="3"/>
    <x v="13"/>
    <s v="25/08/2023"/>
    <s v="25/08/2023"/>
    <s v="2023"/>
    <x v="8"/>
    <x v="1322"/>
    <x v="247"/>
  </r>
  <r>
    <x v="24"/>
    <x v="0"/>
    <x v="2"/>
    <s v="15/04/2023"/>
    <s v="15/04/2023"/>
    <s v="2023"/>
    <x v="0"/>
    <x v="1323"/>
    <x v="119"/>
  </r>
  <r>
    <x v="16"/>
    <x v="4"/>
    <x v="10"/>
    <d v="2023-11-03T00:00:00"/>
    <s v="03/11/2023"/>
    <s v="2023"/>
    <x v="10"/>
    <x v="1324"/>
    <x v="51"/>
  </r>
  <r>
    <x v="21"/>
    <x v="4"/>
    <x v="17"/>
    <s v="20/05/2023"/>
    <s v="20/05/2023"/>
    <s v="2023"/>
    <x v="7"/>
    <x v="1325"/>
    <x v="45"/>
  </r>
  <r>
    <x v="6"/>
    <x v="3"/>
    <x v="15"/>
    <s v="14/06/2023"/>
    <s v="14/06/2023"/>
    <s v="2023"/>
    <x v="4"/>
    <x v="1326"/>
    <x v="110"/>
  </r>
  <r>
    <x v="0"/>
    <x v="3"/>
    <x v="5"/>
    <s v="14/04/2023"/>
    <s v="14/04/2023"/>
    <s v="2023"/>
    <x v="0"/>
    <x v="1327"/>
    <x v="271"/>
  </r>
  <r>
    <x v="0"/>
    <x v="4"/>
    <x v="3"/>
    <d v="2023-07-07T00:00:00"/>
    <s v="07/07/2023"/>
    <s v="2023"/>
    <x v="2"/>
    <x v="1328"/>
    <x v="28"/>
  </r>
  <r>
    <x v="22"/>
    <x v="1"/>
    <x v="0"/>
    <s v="24/08/2023"/>
    <s v="24/08/2023"/>
    <s v="2023"/>
    <x v="8"/>
    <x v="1329"/>
    <x v="207"/>
  </r>
  <r>
    <x v="0"/>
    <x v="1"/>
    <x v="8"/>
    <s v="24/02/2023"/>
    <s v="24/02/2023"/>
    <s v="2023"/>
    <x v="3"/>
    <x v="1330"/>
    <x v="154"/>
  </r>
  <r>
    <x v="10"/>
    <x v="5"/>
    <x v="17"/>
    <d v="2023-09-05T00:00:00"/>
    <s v="05/09/2023"/>
    <s v="2023"/>
    <x v="9"/>
    <x v="1331"/>
    <x v="261"/>
  </r>
  <r>
    <x v="16"/>
    <x v="2"/>
    <x v="21"/>
    <d v="2023-08-02T00:00:00"/>
    <s v="02/08/2023"/>
    <s v="2023"/>
    <x v="8"/>
    <x v="1332"/>
    <x v="54"/>
  </r>
  <r>
    <x v="13"/>
    <x v="0"/>
    <x v="21"/>
    <s v="24/03/2023"/>
    <s v="24/03/2023"/>
    <s v="2023"/>
    <x v="5"/>
    <x v="1333"/>
    <x v="339"/>
  </r>
  <r>
    <x v="7"/>
    <x v="4"/>
    <x v="9"/>
    <s v="20/06/2023"/>
    <s v="20/06/2023"/>
    <s v="2023"/>
    <x v="4"/>
    <x v="1334"/>
    <x v="159"/>
  </r>
  <r>
    <x v="9"/>
    <x v="5"/>
    <x v="15"/>
    <d v="2023-07-03T00:00:00"/>
    <s v="03/07/2023"/>
    <s v="2023"/>
    <x v="2"/>
    <x v="1335"/>
    <x v="160"/>
  </r>
  <r>
    <x v="16"/>
    <x v="2"/>
    <x v="13"/>
    <s v="20/06/2023"/>
    <s v="20/06/2023"/>
    <s v="2023"/>
    <x v="4"/>
    <x v="1336"/>
    <x v="49"/>
  </r>
  <r>
    <x v="4"/>
    <x v="3"/>
    <x v="10"/>
    <s v="17/02/2023"/>
    <s v="17/02/2023"/>
    <s v="2023"/>
    <x v="3"/>
    <x v="1337"/>
    <x v="237"/>
  </r>
  <r>
    <x v="22"/>
    <x v="0"/>
    <x v="4"/>
    <s v="26/01/2023"/>
    <s v="26/01/2023"/>
    <s v="2023"/>
    <x v="1"/>
    <x v="1338"/>
    <x v="121"/>
  </r>
  <r>
    <x v="22"/>
    <x v="2"/>
    <x v="0"/>
    <d v="2023-02-05T00:00:00"/>
    <s v="05/02/2023"/>
    <s v="2023"/>
    <x v="3"/>
    <x v="1339"/>
    <x v="265"/>
  </r>
  <r>
    <x v="14"/>
    <x v="5"/>
    <x v="4"/>
    <d v="2023-07-07T00:00:00"/>
    <s v="07/07/2023"/>
    <s v="2023"/>
    <x v="2"/>
    <x v="1340"/>
    <x v="113"/>
  </r>
  <r>
    <x v="7"/>
    <x v="2"/>
    <x v="19"/>
    <s v="22/08/2023"/>
    <s v="22/08/2023"/>
    <s v="2023"/>
    <x v="8"/>
    <x v="1341"/>
    <x v="112"/>
  </r>
  <r>
    <x v="10"/>
    <x v="2"/>
    <x v="5"/>
    <d v="2023-11-08T00:00:00"/>
    <s v="08/11/2023"/>
    <m/>
    <x v="10"/>
    <x v="1342"/>
    <x v="81"/>
  </r>
  <r>
    <x v="11"/>
    <x v="0"/>
    <x v="4"/>
    <s v="13/01/2023"/>
    <s v="13/01/2023"/>
    <m/>
    <x v="1"/>
    <x v="1343"/>
    <x v="192"/>
  </r>
  <r>
    <x v="5"/>
    <x v="2"/>
    <x v="6"/>
    <d v="2023-02-03T00:00:00"/>
    <s v="03/02/2023"/>
    <m/>
    <x v="3"/>
    <x v="1344"/>
    <x v="80"/>
  </r>
  <r>
    <x v="11"/>
    <x v="2"/>
    <x v="18"/>
    <s v="27/07/2023"/>
    <s v="27/07/2023"/>
    <m/>
    <x v="2"/>
    <x v="1345"/>
    <x v="137"/>
  </r>
  <r>
    <x v="20"/>
    <x v="3"/>
    <x v="9"/>
    <d v="2023-10-03T00:00:00"/>
    <s v="03/10/2023"/>
    <m/>
    <x v="6"/>
    <x v="1346"/>
    <x v="116"/>
  </r>
  <r>
    <x v="12"/>
    <x v="4"/>
    <x v="1"/>
    <s v="23/08/2023"/>
    <s v="23/08/2023"/>
    <m/>
    <x v="8"/>
    <x v="1347"/>
    <x v="427"/>
  </r>
  <r>
    <x v="13"/>
    <x v="4"/>
    <x v="8"/>
    <s v="25/04/2023"/>
    <s v="25/04/2023"/>
    <m/>
    <x v="0"/>
    <x v="1348"/>
    <x v="92"/>
  </r>
  <r>
    <x v="17"/>
    <x v="0"/>
    <x v="11"/>
    <d v="2023-07-03T00:00:00"/>
    <s v="03/07/2023"/>
    <m/>
    <x v="2"/>
    <x v="1349"/>
    <x v="428"/>
  </r>
  <r>
    <x v="18"/>
    <x v="0"/>
    <x v="10"/>
    <d v="2023-12-07T00:00:00"/>
    <s v="07/12/2023"/>
    <m/>
    <x v="11"/>
    <x v="1350"/>
    <x v="60"/>
  </r>
  <r>
    <x v="22"/>
    <x v="4"/>
    <x v="7"/>
    <s v="16/05/2023"/>
    <s v="16/05/2023"/>
    <m/>
    <x v="7"/>
    <x v="1351"/>
    <x v="378"/>
  </r>
  <r>
    <x v="5"/>
    <x v="1"/>
    <x v="3"/>
    <d v="2023-02-03T00:00:00"/>
    <s v="03/02/2023"/>
    <m/>
    <x v="3"/>
    <x v="1352"/>
    <x v="33"/>
  </r>
  <r>
    <x v="11"/>
    <x v="3"/>
    <x v="1"/>
    <s v="30/05/2023"/>
    <s v="30/05/2023"/>
    <m/>
    <x v="7"/>
    <x v="1353"/>
    <x v="22"/>
  </r>
  <r>
    <x v="11"/>
    <x v="0"/>
    <x v="15"/>
    <d v="2023-10-06T00:00:00"/>
    <s v="06/10/2023"/>
    <m/>
    <x v="6"/>
    <x v="1354"/>
    <x v="233"/>
  </r>
  <r>
    <x v="6"/>
    <x v="4"/>
    <x v="4"/>
    <s v="25/07/2023"/>
    <s v="25/07/2023"/>
    <m/>
    <x v="2"/>
    <x v="1355"/>
    <x v="285"/>
  </r>
  <r>
    <x v="12"/>
    <x v="3"/>
    <x v="0"/>
    <d v="2023-09-06T00:00:00"/>
    <s v="06/09/2023"/>
    <m/>
    <x v="9"/>
    <x v="1356"/>
    <x v="9"/>
  </r>
  <r>
    <x v="17"/>
    <x v="4"/>
    <x v="11"/>
    <d v="2023-12-05T00:00:00"/>
    <s v="05/12/2023"/>
    <m/>
    <x v="11"/>
    <x v="1357"/>
    <x v="204"/>
  </r>
  <r>
    <x v="5"/>
    <x v="4"/>
    <x v="9"/>
    <d v="2023-09-05T00:00:00"/>
    <s v="05/09/2023"/>
    <m/>
    <x v="9"/>
    <x v="1358"/>
    <x v="262"/>
  </r>
  <r>
    <x v="6"/>
    <x v="5"/>
    <x v="15"/>
    <d v="2023-09-08T00:00:00"/>
    <s v="08/09/2023"/>
    <m/>
    <x v="9"/>
    <x v="1359"/>
    <x v="50"/>
  </r>
  <r>
    <x v="1"/>
    <x v="1"/>
    <x v="18"/>
    <s v="13/04/2023"/>
    <s v="13/04/2023"/>
    <m/>
    <x v="0"/>
    <x v="1360"/>
    <x v="100"/>
  </r>
  <r>
    <x v="19"/>
    <x v="4"/>
    <x v="20"/>
    <d v="2023-02-05T00:00:00"/>
    <s v="05/02/2023"/>
    <m/>
    <x v="3"/>
    <x v="1361"/>
    <x v="55"/>
  </r>
  <r>
    <x v="23"/>
    <x v="4"/>
    <x v="4"/>
    <d v="2023-09-08T00:00:00"/>
    <s v="08/09/2023"/>
    <m/>
    <x v="9"/>
    <x v="1362"/>
    <x v="34"/>
  </r>
  <r>
    <x v="21"/>
    <x v="2"/>
    <x v="17"/>
    <s v="23/08/2023"/>
    <s v="23/08/2023"/>
    <m/>
    <x v="8"/>
    <x v="1363"/>
    <x v="56"/>
  </r>
  <r>
    <x v="5"/>
    <x v="1"/>
    <x v="12"/>
    <s v="13/05/2023"/>
    <s v="13/05/2023"/>
    <m/>
    <x v="7"/>
    <x v="1364"/>
    <x v="50"/>
  </r>
  <r>
    <x v="10"/>
    <x v="4"/>
    <x v="15"/>
    <d v="2023-01-02T00:00:00"/>
    <s v="02/01/2023"/>
    <m/>
    <x v="1"/>
    <x v="1365"/>
    <x v="7"/>
  </r>
  <r>
    <x v="21"/>
    <x v="4"/>
    <x v="6"/>
    <s v="23/06/2023"/>
    <s v="23/06/2023"/>
    <m/>
    <x v="4"/>
    <x v="1366"/>
    <x v="429"/>
  </r>
  <r>
    <x v="22"/>
    <x v="0"/>
    <x v="18"/>
    <s v="24/05/2023"/>
    <s v="24/05/2023"/>
    <m/>
    <x v="7"/>
    <x v="1367"/>
    <x v="157"/>
  </r>
  <r>
    <x v="3"/>
    <x v="5"/>
    <x v="0"/>
    <d v="2023-01-04T00:00:00"/>
    <s v="04/01/2023"/>
    <m/>
    <x v="1"/>
    <x v="1368"/>
    <x v="384"/>
  </r>
  <r>
    <x v="21"/>
    <x v="5"/>
    <x v="21"/>
    <s v="27/07/2023"/>
    <s v="27/07/2023"/>
    <m/>
    <x v="2"/>
    <x v="1369"/>
    <x v="28"/>
  </r>
  <r>
    <x v="24"/>
    <x v="1"/>
    <x v="2"/>
    <s v="27/01/2023"/>
    <s v="27/01/2023"/>
    <m/>
    <x v="1"/>
    <x v="1370"/>
    <x v="140"/>
  </r>
  <r>
    <x v="3"/>
    <x v="1"/>
    <x v="18"/>
    <d v="2023-12-08T00:00:00"/>
    <s v="08/12/2023"/>
    <m/>
    <x v="11"/>
    <x v="1371"/>
    <x v="418"/>
  </r>
  <r>
    <x v="2"/>
    <x v="5"/>
    <x v="16"/>
    <d v="2023-01-02T00:00:00"/>
    <s v="02/01/2023"/>
    <m/>
    <x v="1"/>
    <x v="1372"/>
    <x v="282"/>
  </r>
  <r>
    <x v="7"/>
    <x v="1"/>
    <x v="5"/>
    <d v="2023-02-03T00:00:00"/>
    <s v="03/02/2023"/>
    <m/>
    <x v="3"/>
    <x v="1373"/>
    <x v="214"/>
  </r>
  <r>
    <x v="20"/>
    <x v="2"/>
    <x v="4"/>
    <s v="30/06/2023"/>
    <s v="30/06/2023"/>
    <m/>
    <x v="4"/>
    <x v="1374"/>
    <x v="65"/>
  </r>
  <r>
    <x v="23"/>
    <x v="2"/>
    <x v="12"/>
    <s v="17/01/2023"/>
    <s v="17/01/2023"/>
    <m/>
    <x v="1"/>
    <x v="1375"/>
    <x v="96"/>
  </r>
  <r>
    <x v="6"/>
    <x v="4"/>
    <x v="11"/>
    <d v="2023-07-07T00:00:00"/>
    <s v="07/07/2023"/>
    <m/>
    <x v="2"/>
    <x v="1376"/>
    <x v="328"/>
  </r>
  <r>
    <x v="9"/>
    <x v="3"/>
    <x v="0"/>
    <s v="31/01/2023"/>
    <s v="31/01/2023"/>
    <m/>
    <x v="1"/>
    <x v="1377"/>
    <x v="176"/>
  </r>
  <r>
    <x v="12"/>
    <x v="0"/>
    <x v="4"/>
    <d v="2023-10-08T00:00:00"/>
    <s v="08/10/2023"/>
    <m/>
    <x v="6"/>
    <x v="1378"/>
    <x v="295"/>
  </r>
  <r>
    <x v="12"/>
    <x v="4"/>
    <x v="2"/>
    <s v="18/08/2023"/>
    <s v="18/08/2023"/>
    <m/>
    <x v="8"/>
    <x v="1379"/>
    <x v="208"/>
  </r>
  <r>
    <x v="6"/>
    <x v="3"/>
    <x v="14"/>
    <s v="15/06/2023"/>
    <s v="15/06/2023"/>
    <m/>
    <x v="4"/>
    <x v="1380"/>
    <x v="387"/>
  </r>
  <r>
    <x v="11"/>
    <x v="4"/>
    <x v="19"/>
    <s v="26/01/2023"/>
    <s v="26/01/2023"/>
    <m/>
    <x v="1"/>
    <x v="1381"/>
    <x v="71"/>
  </r>
  <r>
    <x v="20"/>
    <x v="4"/>
    <x v="12"/>
    <s v="29/04/2023"/>
    <s v="29/04/2023"/>
    <m/>
    <x v="0"/>
    <x v="1382"/>
    <x v="162"/>
  </r>
  <r>
    <x v="9"/>
    <x v="5"/>
    <x v="14"/>
    <d v="2023-03-03T00:00:00"/>
    <s v="03/03/2023"/>
    <m/>
    <x v="5"/>
    <x v="1383"/>
    <x v="220"/>
  </r>
  <r>
    <x v="16"/>
    <x v="2"/>
    <x v="16"/>
    <s v="22/02/2023"/>
    <s v="22/02/2023"/>
    <m/>
    <x v="3"/>
    <x v="1384"/>
    <x v="400"/>
  </r>
  <r>
    <x v="4"/>
    <x v="4"/>
    <x v="3"/>
    <d v="2023-04-03T00:00:00"/>
    <s v="03/04/2023"/>
    <m/>
    <x v="0"/>
    <x v="1385"/>
    <x v="225"/>
  </r>
  <r>
    <x v="17"/>
    <x v="1"/>
    <x v="3"/>
    <d v="2023-07-07T00:00:00"/>
    <s v="07/07/2023"/>
    <m/>
    <x v="2"/>
    <x v="1386"/>
    <x v="71"/>
  </r>
  <r>
    <x v="21"/>
    <x v="3"/>
    <x v="20"/>
    <s v="17/06/2023"/>
    <s v="17/06/2023"/>
    <m/>
    <x v="4"/>
    <x v="1387"/>
    <x v="430"/>
  </r>
  <r>
    <x v="3"/>
    <x v="5"/>
    <x v="20"/>
    <d v="2023-02-08T00:00:00"/>
    <s v="08/02/2023"/>
    <m/>
    <x v="3"/>
    <x v="1388"/>
    <x v="328"/>
  </r>
  <r>
    <x v="4"/>
    <x v="4"/>
    <x v="19"/>
    <d v="2023-12-08T00:00:00"/>
    <s v="08/12/2023"/>
    <m/>
    <x v="11"/>
    <x v="1389"/>
    <x v="358"/>
  </r>
  <r>
    <x v="22"/>
    <x v="3"/>
    <x v="2"/>
    <s v="28/01/2023"/>
    <s v="28/01/2023"/>
    <m/>
    <x v="1"/>
    <x v="1390"/>
    <x v="419"/>
  </r>
  <r>
    <x v="20"/>
    <x v="2"/>
    <x v="7"/>
    <s v="29/04/2023"/>
    <s v="29/04/2023"/>
    <m/>
    <x v="0"/>
    <x v="1391"/>
    <x v="431"/>
  </r>
  <r>
    <x v="11"/>
    <x v="2"/>
    <x v="15"/>
    <d v="2023-05-04T00:00:00"/>
    <s v="04/05/2023"/>
    <m/>
    <x v="7"/>
    <x v="1392"/>
    <x v="196"/>
  </r>
  <r>
    <x v="16"/>
    <x v="5"/>
    <x v="15"/>
    <s v="18/01/2023"/>
    <s v="18/01/2023"/>
    <m/>
    <x v="1"/>
    <x v="1393"/>
    <x v="136"/>
  </r>
  <r>
    <x v="0"/>
    <x v="0"/>
    <x v="19"/>
    <s v="16/05/2023"/>
    <s v="16/05/2023"/>
    <m/>
    <x v="7"/>
    <x v="1394"/>
    <x v="130"/>
  </r>
  <r>
    <x v="20"/>
    <x v="2"/>
    <x v="14"/>
    <s v="24/08/2023"/>
    <s v="24/08/2023"/>
    <m/>
    <x v="8"/>
    <x v="1395"/>
    <x v="233"/>
  </r>
  <r>
    <x v="14"/>
    <x v="1"/>
    <x v="1"/>
    <s v="18/01/2023"/>
    <s v="18/01/2023"/>
    <m/>
    <x v="1"/>
    <x v="1396"/>
    <x v="432"/>
  </r>
  <r>
    <x v="16"/>
    <x v="4"/>
    <x v="8"/>
    <s v="22/08/2023"/>
    <s v="22/08/2023"/>
    <m/>
    <x v="8"/>
    <x v="1397"/>
    <x v="71"/>
  </r>
  <r>
    <x v="5"/>
    <x v="0"/>
    <x v="4"/>
    <d v="2023-07-03T00:00:00"/>
    <s v="03/07/2023"/>
    <m/>
    <x v="2"/>
    <x v="1398"/>
    <x v="243"/>
  </r>
  <r>
    <x v="12"/>
    <x v="0"/>
    <x v="18"/>
    <d v="2023-04-03T00:00:00"/>
    <s v="03/04/2023"/>
    <m/>
    <x v="0"/>
    <x v="1399"/>
    <x v="150"/>
  </r>
  <r>
    <x v="23"/>
    <x v="5"/>
    <x v="15"/>
    <s v="22/04/2023"/>
    <s v="22/04/2023"/>
    <m/>
    <x v="0"/>
    <x v="1400"/>
    <x v="23"/>
  </r>
  <r>
    <x v="16"/>
    <x v="2"/>
    <x v="11"/>
    <d v="2023-09-06T00:00:00"/>
    <s v="06/09/2023"/>
    <m/>
    <x v="9"/>
    <x v="1401"/>
    <x v="2"/>
  </r>
  <r>
    <x v="3"/>
    <x v="5"/>
    <x v="13"/>
    <s v="25/07/2023"/>
    <s v="25/07/2023"/>
    <m/>
    <x v="2"/>
    <x v="1402"/>
    <x v="307"/>
  </r>
  <r>
    <x v="3"/>
    <x v="1"/>
    <x v="3"/>
    <d v="2023-03-08T00:00:00"/>
    <s v="08/03/2023"/>
    <m/>
    <x v="5"/>
    <x v="1403"/>
    <x v="187"/>
  </r>
  <r>
    <x v="7"/>
    <x v="2"/>
    <x v="15"/>
    <d v="2023-03-08T00:00:00"/>
    <s v="08/03/2023"/>
    <m/>
    <x v="5"/>
    <x v="1404"/>
    <x v="378"/>
  </r>
  <r>
    <x v="0"/>
    <x v="0"/>
    <x v="11"/>
    <d v="2023-03-05T00:00:00"/>
    <s v="05/03/2023"/>
    <m/>
    <x v="5"/>
    <x v="1405"/>
    <x v="257"/>
  </r>
  <r>
    <x v="15"/>
    <x v="5"/>
    <x v="5"/>
    <s v="19/01/2023"/>
    <s v="19/01/2023"/>
    <m/>
    <x v="1"/>
    <x v="1406"/>
    <x v="29"/>
  </r>
  <r>
    <x v="13"/>
    <x v="4"/>
    <x v="6"/>
    <d v="2023-11-02T00:00:00"/>
    <s v="02/11/2023"/>
    <m/>
    <x v="10"/>
    <x v="1407"/>
    <x v="246"/>
  </r>
  <r>
    <x v="1"/>
    <x v="1"/>
    <x v="16"/>
    <s v="14/06/2023"/>
    <s v="14/06/2023"/>
    <m/>
    <x v="4"/>
    <x v="1408"/>
    <x v="292"/>
  </r>
  <r>
    <x v="20"/>
    <x v="4"/>
    <x v="6"/>
    <s v="23/03/2023"/>
    <s v="23/03/2023"/>
    <m/>
    <x v="5"/>
    <x v="1409"/>
    <x v="54"/>
  </r>
  <r>
    <x v="22"/>
    <x v="5"/>
    <x v="1"/>
    <s v="17/02/2023"/>
    <s v="17/02/2023"/>
    <m/>
    <x v="3"/>
    <x v="1410"/>
    <x v="73"/>
  </r>
  <r>
    <x v="17"/>
    <x v="5"/>
    <x v="3"/>
    <s v="17/03/2023"/>
    <s v="17/03/2023"/>
    <m/>
    <x v="5"/>
    <x v="1411"/>
    <x v="318"/>
  </r>
  <r>
    <x v="9"/>
    <x v="2"/>
    <x v="12"/>
    <s v="29/06/2023"/>
    <s v="29/06/2023"/>
    <m/>
    <x v="4"/>
    <x v="1412"/>
    <x v="297"/>
  </r>
  <r>
    <x v="24"/>
    <x v="5"/>
    <x v="18"/>
    <s v="24/08/2023"/>
    <s v="24/08/2023"/>
    <m/>
    <x v="8"/>
    <x v="1413"/>
    <x v="382"/>
  </r>
  <r>
    <x v="2"/>
    <x v="5"/>
    <x v="12"/>
    <d v="2023-04-07T00:00:00"/>
    <s v="07/04/2023"/>
    <m/>
    <x v="0"/>
    <x v="1414"/>
    <x v="29"/>
  </r>
  <r>
    <x v="13"/>
    <x v="3"/>
    <x v="16"/>
    <s v="28/03/2023"/>
    <s v="28/03/2023"/>
    <m/>
    <x v="5"/>
    <x v="1415"/>
    <x v="36"/>
  </r>
  <r>
    <x v="14"/>
    <x v="1"/>
    <x v="3"/>
    <s v="19/04/2023"/>
    <s v="19/04/2023"/>
    <m/>
    <x v="0"/>
    <x v="1416"/>
    <x v="182"/>
  </r>
  <r>
    <x v="24"/>
    <x v="3"/>
    <x v="0"/>
    <s v="18/01/2023"/>
    <s v="18/01/2023"/>
    <m/>
    <x v="1"/>
    <x v="1417"/>
    <x v="257"/>
  </r>
  <r>
    <x v="1"/>
    <x v="3"/>
    <x v="13"/>
    <s v="17/01/2023"/>
    <s v="17/01/2023"/>
    <m/>
    <x v="1"/>
    <x v="1418"/>
    <x v="243"/>
  </r>
  <r>
    <x v="19"/>
    <x v="3"/>
    <x v="0"/>
    <s v="15/02/2023"/>
    <s v="15/02/2023"/>
    <m/>
    <x v="3"/>
    <x v="1419"/>
    <x v="192"/>
  </r>
  <r>
    <x v="19"/>
    <x v="0"/>
    <x v="11"/>
    <d v="2023-11-02T00:00:00"/>
    <s v="02/11/2023"/>
    <m/>
    <x v="10"/>
    <x v="1420"/>
    <x v="35"/>
  </r>
  <r>
    <x v="21"/>
    <x v="4"/>
    <x v="15"/>
    <s v="21/03/2023"/>
    <s v="21/03/2023"/>
    <m/>
    <x v="5"/>
    <x v="1421"/>
    <x v="4"/>
  </r>
  <r>
    <x v="5"/>
    <x v="3"/>
    <x v="16"/>
    <d v="2023-05-01T00:00:00"/>
    <s v="01/05/2023"/>
    <m/>
    <x v="7"/>
    <x v="1422"/>
    <x v="100"/>
  </r>
  <r>
    <x v="6"/>
    <x v="1"/>
    <x v="17"/>
    <s v="30/05/2023"/>
    <s v="30/05/2023"/>
    <m/>
    <x v="7"/>
    <x v="1423"/>
    <x v="21"/>
  </r>
  <r>
    <x v="0"/>
    <x v="4"/>
    <x v="4"/>
    <d v="2023-04-01T00:00:00"/>
    <s v="01/04/2023"/>
    <m/>
    <x v="0"/>
    <x v="1424"/>
    <x v="353"/>
  </r>
  <r>
    <x v="12"/>
    <x v="2"/>
    <x v="13"/>
    <s v="22/04/2023"/>
    <s v="22/04/2023"/>
    <m/>
    <x v="0"/>
    <x v="1425"/>
    <x v="298"/>
  </r>
  <r>
    <x v="2"/>
    <x v="5"/>
    <x v="11"/>
    <d v="2023-10-02T00:00:00"/>
    <s v="02/10/2023"/>
    <m/>
    <x v="6"/>
    <x v="1426"/>
    <x v="241"/>
  </r>
  <r>
    <x v="23"/>
    <x v="1"/>
    <x v="12"/>
    <d v="2023-12-08T00:00:00"/>
    <s v="08/12/2023"/>
    <m/>
    <x v="11"/>
    <x v="1427"/>
    <x v="384"/>
  </r>
  <r>
    <x v="5"/>
    <x v="4"/>
    <x v="10"/>
    <d v="2023-10-08T00:00:00"/>
    <s v="08/10/2023"/>
    <m/>
    <x v="6"/>
    <x v="1428"/>
    <x v="34"/>
  </r>
  <r>
    <x v="20"/>
    <x v="2"/>
    <x v="17"/>
    <d v="2023-07-06T00:00:00"/>
    <s v="06/07/2023"/>
    <m/>
    <x v="2"/>
    <x v="1429"/>
    <x v="169"/>
  </r>
  <r>
    <x v="0"/>
    <x v="1"/>
    <x v="19"/>
    <d v="2023-06-06T00:00:00"/>
    <s v="06/06/2023"/>
    <m/>
    <x v="4"/>
    <x v="1430"/>
    <x v="7"/>
  </r>
  <r>
    <x v="10"/>
    <x v="3"/>
    <x v="19"/>
    <d v="2023-05-04T00:00:00"/>
    <s v="04/05/2023"/>
    <m/>
    <x v="7"/>
    <x v="1431"/>
    <x v="259"/>
  </r>
  <r>
    <x v="18"/>
    <x v="4"/>
    <x v="6"/>
    <s v="18/04/2023"/>
    <s v="18/04/2023"/>
    <m/>
    <x v="0"/>
    <x v="1432"/>
    <x v="100"/>
  </r>
  <r>
    <x v="19"/>
    <x v="1"/>
    <x v="6"/>
    <s v="31/01/2023"/>
    <s v="31/01/2023"/>
    <m/>
    <x v="1"/>
    <x v="1433"/>
    <x v="303"/>
  </r>
  <r>
    <x v="22"/>
    <x v="4"/>
    <x v="19"/>
    <s v="22/08/2023"/>
    <s v="22/08/2023"/>
    <m/>
    <x v="8"/>
    <x v="1434"/>
    <x v="28"/>
  </r>
  <r>
    <x v="0"/>
    <x v="2"/>
    <x v="4"/>
    <s v="25/02/2023"/>
    <s v="25/02/2023"/>
    <m/>
    <x v="3"/>
    <x v="1435"/>
    <x v="259"/>
  </r>
  <r>
    <x v="3"/>
    <x v="2"/>
    <x v="0"/>
    <s v="22/02/2023"/>
    <s v="22/02/2023"/>
    <m/>
    <x v="3"/>
    <x v="1436"/>
    <x v="85"/>
  </r>
  <r>
    <x v="4"/>
    <x v="3"/>
    <x v="11"/>
    <d v="2023-12-01T00:00:00"/>
    <s v="01/12/2023"/>
    <m/>
    <x v="11"/>
    <x v="1437"/>
    <x v="315"/>
  </r>
  <r>
    <x v="6"/>
    <x v="0"/>
    <x v="16"/>
    <s v="25/05/2023"/>
    <s v="25/05/2023"/>
    <m/>
    <x v="7"/>
    <x v="1438"/>
    <x v="264"/>
  </r>
  <r>
    <x v="20"/>
    <x v="1"/>
    <x v="3"/>
    <d v="2023-01-02T00:00:00"/>
    <s v="02/01/2023"/>
    <m/>
    <x v="1"/>
    <x v="1439"/>
    <x v="305"/>
  </r>
  <r>
    <x v="7"/>
    <x v="0"/>
    <x v="8"/>
    <s v="27/04/2023"/>
    <s v="27/04/2023"/>
    <m/>
    <x v="0"/>
    <x v="1440"/>
    <x v="274"/>
  </r>
  <r>
    <x v="2"/>
    <x v="4"/>
    <x v="3"/>
    <s v="22/07/2023"/>
    <s v="22/07/2023"/>
    <m/>
    <x v="2"/>
    <x v="1441"/>
    <x v="264"/>
  </r>
  <r>
    <x v="14"/>
    <x v="3"/>
    <x v="0"/>
    <s v="26/01/2023"/>
    <s v="26/01/2023"/>
    <m/>
    <x v="1"/>
    <x v="1442"/>
    <x v="227"/>
  </r>
  <r>
    <x v="14"/>
    <x v="4"/>
    <x v="0"/>
    <s v="24/08/2023"/>
    <s v="24/08/2023"/>
    <m/>
    <x v="8"/>
    <x v="1443"/>
    <x v="300"/>
  </r>
  <r>
    <x v="22"/>
    <x v="3"/>
    <x v="13"/>
    <s v="18/01/2023"/>
    <s v="18/01/2023"/>
    <m/>
    <x v="1"/>
    <x v="1444"/>
    <x v="69"/>
  </r>
  <r>
    <x v="10"/>
    <x v="1"/>
    <x v="1"/>
    <s v="30/03/2023"/>
    <s v="30/03/2023"/>
    <m/>
    <x v="5"/>
    <x v="1445"/>
    <x v="72"/>
  </r>
  <r>
    <x v="24"/>
    <x v="2"/>
    <x v="20"/>
    <s v="17/01/2023"/>
    <s v="17/01/2023"/>
    <m/>
    <x v="1"/>
    <x v="1446"/>
    <x v="22"/>
  </r>
  <r>
    <x v="20"/>
    <x v="4"/>
    <x v="13"/>
    <s v="17/02/2023"/>
    <s v="17/02/2023"/>
    <m/>
    <x v="3"/>
    <x v="1447"/>
    <x v="163"/>
  </r>
  <r>
    <x v="20"/>
    <x v="5"/>
    <x v="2"/>
    <d v="2023-08-04T00:00:00"/>
    <s v="04/08/2023"/>
    <m/>
    <x v="8"/>
    <x v="1448"/>
    <x v="99"/>
  </r>
  <r>
    <x v="2"/>
    <x v="5"/>
    <x v="9"/>
    <d v="2023-06-07T00:00:00"/>
    <s v="07/06/2023"/>
    <m/>
    <x v="4"/>
    <x v="1449"/>
    <x v="189"/>
  </r>
  <r>
    <x v="15"/>
    <x v="1"/>
    <x v="13"/>
    <d v="2023-04-04T00:00:00"/>
    <s v="04/04/2023"/>
    <m/>
    <x v="0"/>
    <x v="1450"/>
    <x v="391"/>
  </r>
  <r>
    <x v="3"/>
    <x v="3"/>
    <x v="10"/>
    <d v="2023-02-03T00:00:00"/>
    <s v="03/02/2023"/>
    <m/>
    <x v="3"/>
    <x v="1451"/>
    <x v="244"/>
  </r>
  <r>
    <x v="2"/>
    <x v="3"/>
    <x v="17"/>
    <d v="2023-09-08T00:00:00"/>
    <s v="08/09/2023"/>
    <m/>
    <x v="9"/>
    <x v="1452"/>
    <x v="67"/>
  </r>
  <r>
    <x v="17"/>
    <x v="2"/>
    <x v="11"/>
    <d v="2023-09-06T00:00:00"/>
    <s v="06/09/2023"/>
    <m/>
    <x v="9"/>
    <x v="1453"/>
    <x v="144"/>
  </r>
  <r>
    <x v="24"/>
    <x v="0"/>
    <x v="20"/>
    <d v="2023-02-06T00:00:00"/>
    <s v="06/02/2023"/>
    <m/>
    <x v="3"/>
    <x v="1454"/>
    <x v="340"/>
  </r>
  <r>
    <x v="1"/>
    <x v="4"/>
    <x v="13"/>
    <d v="2023-05-07T00:00:00"/>
    <s v="07/05/2023"/>
    <m/>
    <x v="7"/>
    <x v="1455"/>
    <x v="196"/>
  </r>
  <r>
    <x v="19"/>
    <x v="5"/>
    <x v="8"/>
    <d v="2023-11-08T00:00:00"/>
    <s v="08/11/2023"/>
    <m/>
    <x v="10"/>
    <x v="1456"/>
    <x v="328"/>
  </r>
  <r>
    <x v="22"/>
    <x v="1"/>
    <x v="18"/>
    <d v="2023-11-02T00:00:00"/>
    <s v="02/11/2023"/>
    <m/>
    <x v="10"/>
    <x v="1457"/>
    <x v="97"/>
  </r>
  <r>
    <x v="20"/>
    <x v="3"/>
    <x v="12"/>
    <d v="2023-11-08T00:00:00"/>
    <s v="08/11/2023"/>
    <m/>
    <x v="10"/>
    <x v="1458"/>
    <x v="162"/>
  </r>
  <r>
    <x v="13"/>
    <x v="2"/>
    <x v="9"/>
    <d v="2023-12-05T00:00:00"/>
    <s v="05/12/2023"/>
    <m/>
    <x v="11"/>
    <x v="1459"/>
    <x v="27"/>
  </r>
  <r>
    <x v="18"/>
    <x v="4"/>
    <x v="11"/>
    <s v="15/07/2023"/>
    <s v="15/07/2023"/>
    <m/>
    <x v="2"/>
    <x v="1460"/>
    <x v="90"/>
  </r>
  <r>
    <x v="19"/>
    <x v="1"/>
    <x v="10"/>
    <s v="18/01/2023"/>
    <s v="18/01/2023"/>
    <m/>
    <x v="1"/>
    <x v="1461"/>
    <x v="295"/>
  </r>
  <r>
    <x v="22"/>
    <x v="0"/>
    <x v="13"/>
    <d v="2023-05-01T00:00:00"/>
    <s v="01/05/2023"/>
    <m/>
    <x v="7"/>
    <x v="1462"/>
    <x v="304"/>
  </r>
  <r>
    <x v="14"/>
    <x v="2"/>
    <x v="6"/>
    <s v="29/06/2023"/>
    <s v="29/06/2023"/>
    <m/>
    <x v="4"/>
    <x v="1463"/>
    <x v="433"/>
  </r>
  <r>
    <x v="6"/>
    <x v="5"/>
    <x v="17"/>
    <s v="14/06/2023"/>
    <s v="14/06/2023"/>
    <m/>
    <x v="4"/>
    <x v="1464"/>
    <x v="99"/>
  </r>
  <r>
    <x v="5"/>
    <x v="1"/>
    <x v="0"/>
    <d v="2023-08-08T00:00:00"/>
    <s v="08/08/2023"/>
    <m/>
    <x v="8"/>
    <x v="1465"/>
    <x v="271"/>
  </r>
  <r>
    <x v="17"/>
    <x v="1"/>
    <x v="0"/>
    <s v="23/03/2023"/>
    <s v="23/03/2023"/>
    <m/>
    <x v="5"/>
    <x v="1466"/>
    <x v="418"/>
  </r>
  <r>
    <x v="8"/>
    <x v="1"/>
    <x v="20"/>
    <d v="2023-04-01T00:00:00"/>
    <s v="01/04/2023"/>
    <m/>
    <x v="0"/>
    <x v="1467"/>
    <x v="200"/>
  </r>
  <r>
    <x v="6"/>
    <x v="1"/>
    <x v="11"/>
    <s v="22/02/2023"/>
    <s v="22/02/2023"/>
    <m/>
    <x v="3"/>
    <x v="1468"/>
    <x v="263"/>
  </r>
  <r>
    <x v="12"/>
    <x v="0"/>
    <x v="12"/>
    <s v="17/02/2023"/>
    <s v="17/02/2023"/>
    <m/>
    <x v="3"/>
    <x v="1469"/>
    <x v="382"/>
  </r>
  <r>
    <x v="8"/>
    <x v="4"/>
    <x v="16"/>
    <d v="2023-03-02T00:00:00"/>
    <s v="02/03/2023"/>
    <m/>
    <x v="5"/>
    <x v="1470"/>
    <x v="243"/>
  </r>
  <r>
    <x v="1"/>
    <x v="5"/>
    <x v="17"/>
    <s v="17/03/2023"/>
    <s v="17/03/2023"/>
    <m/>
    <x v="5"/>
    <x v="1471"/>
    <x v="68"/>
  </r>
  <r>
    <x v="18"/>
    <x v="2"/>
    <x v="19"/>
    <s v="25/01/2023"/>
    <s v="25/01/2023"/>
    <m/>
    <x v="1"/>
    <x v="1472"/>
    <x v="13"/>
  </r>
  <r>
    <x v="6"/>
    <x v="2"/>
    <x v="11"/>
    <s v="27/07/2023"/>
    <s v="27/07/2023"/>
    <m/>
    <x v="2"/>
    <x v="1473"/>
    <x v="60"/>
  </r>
  <r>
    <x v="15"/>
    <x v="2"/>
    <x v="13"/>
    <s v="28/01/2023"/>
    <s v="28/01/2023"/>
    <m/>
    <x v="1"/>
    <x v="1474"/>
    <x v="138"/>
  </r>
  <r>
    <x v="22"/>
    <x v="2"/>
    <x v="10"/>
    <d v="2023-05-07T00:00:00"/>
    <s v="07/05/2023"/>
    <m/>
    <x v="7"/>
    <x v="1475"/>
    <x v="282"/>
  </r>
  <r>
    <x v="1"/>
    <x v="1"/>
    <x v="14"/>
    <s v="15/03/2023"/>
    <s v="15/03/2023"/>
    <m/>
    <x v="5"/>
    <x v="1476"/>
    <x v="106"/>
  </r>
  <r>
    <x v="5"/>
    <x v="5"/>
    <x v="5"/>
    <d v="2023-04-08T00:00:00"/>
    <s v="08/04/2023"/>
    <m/>
    <x v="0"/>
    <x v="1477"/>
    <x v="253"/>
  </r>
  <r>
    <x v="3"/>
    <x v="4"/>
    <x v="13"/>
    <s v="27/06/2023"/>
    <s v="27/06/2023"/>
    <m/>
    <x v="4"/>
    <x v="1478"/>
    <x v="374"/>
  </r>
  <r>
    <x v="3"/>
    <x v="5"/>
    <x v="5"/>
    <s v="13/07/2023"/>
    <s v="13/07/2023"/>
    <m/>
    <x v="2"/>
    <x v="1479"/>
    <x v="215"/>
  </r>
  <r>
    <x v="8"/>
    <x v="3"/>
    <x v="15"/>
    <s v="24/02/2023"/>
    <s v="24/02/2023"/>
    <m/>
    <x v="3"/>
    <x v="1480"/>
    <x v="196"/>
  </r>
  <r>
    <x v="10"/>
    <x v="3"/>
    <x v="1"/>
    <s v="28/06/2023"/>
    <s v="28/06/2023"/>
    <m/>
    <x v="4"/>
    <x v="1481"/>
    <x v="203"/>
  </r>
  <r>
    <x v="4"/>
    <x v="2"/>
    <x v="1"/>
    <s v="30/06/2023"/>
    <s v="30/06/2023"/>
    <m/>
    <x v="4"/>
    <x v="1482"/>
    <x v="103"/>
  </r>
  <r>
    <x v="14"/>
    <x v="5"/>
    <x v="18"/>
    <s v="18/08/2023"/>
    <s v="18/08/2023"/>
    <m/>
    <x v="8"/>
    <x v="1483"/>
    <x v="113"/>
  </r>
  <r>
    <x v="16"/>
    <x v="1"/>
    <x v="21"/>
    <s v="24/01/2023"/>
    <s v="24/01/2023"/>
    <m/>
    <x v="1"/>
    <x v="1484"/>
    <x v="89"/>
  </r>
  <r>
    <x v="12"/>
    <x v="4"/>
    <x v="14"/>
    <d v="2023-11-03T00:00:00"/>
    <s v="03/11/2023"/>
    <m/>
    <x v="10"/>
    <x v="1485"/>
    <x v="264"/>
  </r>
  <r>
    <x v="24"/>
    <x v="3"/>
    <x v="5"/>
    <s v="23/06/2023"/>
    <s v="23/06/2023"/>
    <m/>
    <x v="4"/>
    <x v="1486"/>
    <x v="15"/>
  </r>
  <r>
    <x v="15"/>
    <x v="1"/>
    <x v="12"/>
    <s v="22/08/2023"/>
    <s v="22/08/2023"/>
    <m/>
    <x v="8"/>
    <x v="1487"/>
    <x v="65"/>
  </r>
  <r>
    <x v="5"/>
    <x v="5"/>
    <x v="6"/>
    <d v="2023-04-01T00:00:00"/>
    <s v="01/04/2023"/>
    <m/>
    <x v="0"/>
    <x v="1488"/>
    <x v="108"/>
  </r>
  <r>
    <x v="14"/>
    <x v="1"/>
    <x v="11"/>
    <d v="2023-05-04T00:00:00"/>
    <s v="04/05/2023"/>
    <m/>
    <x v="7"/>
    <x v="1489"/>
    <x v="64"/>
  </r>
  <r>
    <x v="12"/>
    <x v="1"/>
    <x v="11"/>
    <s v="15/04/2023"/>
    <s v="15/04/2023"/>
    <m/>
    <x v="0"/>
    <x v="1490"/>
    <x v="40"/>
  </r>
  <r>
    <x v="15"/>
    <x v="2"/>
    <x v="14"/>
    <d v="2023-11-05T00:00:00"/>
    <s v="05/11/2023"/>
    <m/>
    <x v="10"/>
    <x v="1491"/>
    <x v="41"/>
  </r>
  <r>
    <x v="19"/>
    <x v="5"/>
    <x v="15"/>
    <s v="21/07/2023"/>
    <s v="21/07/2023"/>
    <m/>
    <x v="2"/>
    <x v="1492"/>
    <x v="346"/>
  </r>
  <r>
    <x v="3"/>
    <x v="3"/>
    <x v="7"/>
    <d v="2023-11-02T00:00:00"/>
    <s v="02/11/2023"/>
    <m/>
    <x v="10"/>
    <x v="1493"/>
    <x v="293"/>
  </r>
  <r>
    <x v="19"/>
    <x v="5"/>
    <x v="3"/>
    <d v="2023-08-07T00:00:00"/>
    <s v="07/08/2023"/>
    <m/>
    <x v="8"/>
    <x v="1494"/>
    <x v="207"/>
  </r>
  <r>
    <x v="5"/>
    <x v="0"/>
    <x v="17"/>
    <d v="2023-11-08T00:00:00"/>
    <s v="08/11/2023"/>
    <m/>
    <x v="10"/>
    <x v="1495"/>
    <x v="276"/>
  </r>
  <r>
    <x v="15"/>
    <x v="3"/>
    <x v="5"/>
    <d v="2023-04-08T00:00:00"/>
    <s v="08/04/2023"/>
    <m/>
    <x v="0"/>
    <x v="1496"/>
    <x v="305"/>
  </r>
  <r>
    <x v="19"/>
    <x v="3"/>
    <x v="7"/>
    <s v="14/06/2023"/>
    <s v="14/06/2023"/>
    <m/>
    <x v="4"/>
    <x v="1497"/>
    <x v="266"/>
  </r>
  <r>
    <x v="17"/>
    <x v="0"/>
    <x v="19"/>
    <s v="17/01/2023"/>
    <s v="17/01/2023"/>
    <m/>
    <x v="1"/>
    <x v="1498"/>
    <x v="89"/>
  </r>
  <r>
    <x v="0"/>
    <x v="5"/>
    <x v="7"/>
    <s v="23/06/2023"/>
    <s v="23/06/2023"/>
    <m/>
    <x v="4"/>
    <x v="1499"/>
    <x v="434"/>
  </r>
  <r>
    <x v="0"/>
    <x v="0"/>
    <x v="3"/>
    <s v="24/08/2023"/>
    <s v="24/08/2023"/>
    <m/>
    <x v="8"/>
    <x v="1500"/>
    <x v="366"/>
  </r>
  <r>
    <x v="19"/>
    <x v="0"/>
    <x v="20"/>
    <d v="2023-07-06T00:00:00"/>
    <s v="06/07/2023"/>
    <m/>
    <x v="2"/>
    <x v="1501"/>
    <x v="349"/>
  </r>
  <r>
    <x v="3"/>
    <x v="0"/>
    <x v="14"/>
    <s v="22/06/2023"/>
    <s v="22/06/2023"/>
    <m/>
    <x v="4"/>
    <x v="1502"/>
    <x v="106"/>
  </r>
  <r>
    <x v="23"/>
    <x v="4"/>
    <x v="13"/>
    <s v="13/07/2023"/>
    <s v="13/07/2023"/>
    <m/>
    <x v="2"/>
    <x v="1503"/>
    <x v="249"/>
  </r>
  <r>
    <x v="20"/>
    <x v="0"/>
    <x v="18"/>
    <s v="24/05/2023"/>
    <s v="24/05/2023"/>
    <m/>
    <x v="7"/>
    <x v="1504"/>
    <x v="230"/>
  </r>
  <r>
    <x v="5"/>
    <x v="3"/>
    <x v="5"/>
    <d v="2023-09-08T00:00:00"/>
    <s v="08/09/2023"/>
    <m/>
    <x v="9"/>
    <x v="1505"/>
    <x v="17"/>
  </r>
  <r>
    <x v="16"/>
    <x v="5"/>
    <x v="1"/>
    <d v="2023-06-04T00:00:00"/>
    <s v="04/06/2023"/>
    <m/>
    <x v="4"/>
    <x v="1506"/>
    <x v="86"/>
  </r>
  <r>
    <x v="3"/>
    <x v="3"/>
    <x v="15"/>
    <s v="28/07/2023"/>
    <s v="28/07/2023"/>
    <m/>
    <x v="2"/>
    <x v="1507"/>
    <x v="435"/>
  </r>
  <r>
    <x v="5"/>
    <x v="3"/>
    <x v="17"/>
    <s v="24/08/2023"/>
    <s v="24/08/2023"/>
    <m/>
    <x v="8"/>
    <x v="1508"/>
    <x v="112"/>
  </r>
  <r>
    <x v="1"/>
    <x v="2"/>
    <x v="4"/>
    <s v="17/01/2023"/>
    <s v="17/01/2023"/>
    <m/>
    <x v="1"/>
    <x v="1509"/>
    <x v="378"/>
  </r>
  <r>
    <x v="14"/>
    <x v="4"/>
    <x v="9"/>
    <d v="2023-07-02T00:00:00"/>
    <s v="02/07/2023"/>
    <m/>
    <x v="2"/>
    <x v="1510"/>
    <x v="42"/>
  </r>
  <r>
    <x v="6"/>
    <x v="2"/>
    <x v="12"/>
    <d v="2023-09-05T00:00:00"/>
    <s v="05/09/2023"/>
    <m/>
    <x v="9"/>
    <x v="1511"/>
    <x v="298"/>
  </r>
  <r>
    <x v="9"/>
    <x v="3"/>
    <x v="1"/>
    <d v="2023-06-06T00:00:00"/>
    <s v="06/06/2023"/>
    <m/>
    <x v="4"/>
    <x v="1512"/>
    <x v="9"/>
  </r>
  <r>
    <x v="18"/>
    <x v="4"/>
    <x v="18"/>
    <d v="2023-06-06T00:00:00"/>
    <s v="06/06/2023"/>
    <m/>
    <x v="4"/>
    <x v="1513"/>
    <x v="83"/>
  </r>
  <r>
    <x v="12"/>
    <x v="3"/>
    <x v="10"/>
    <s v="24/05/2023"/>
    <s v="24/05/2023"/>
    <m/>
    <x v="7"/>
    <x v="1514"/>
    <x v="230"/>
  </r>
  <r>
    <x v="5"/>
    <x v="0"/>
    <x v="6"/>
    <s v="13/01/2023"/>
    <s v="13/01/2023"/>
    <m/>
    <x v="1"/>
    <x v="1515"/>
    <x v="120"/>
  </r>
  <r>
    <x v="11"/>
    <x v="4"/>
    <x v="17"/>
    <s v="23/05/2023"/>
    <s v="23/05/2023"/>
    <m/>
    <x v="7"/>
    <x v="1516"/>
    <x v="58"/>
  </r>
  <r>
    <x v="0"/>
    <x v="0"/>
    <x v="14"/>
    <s v="29/06/2023"/>
    <s v="29/06/2023"/>
    <m/>
    <x v="4"/>
    <x v="1517"/>
    <x v="12"/>
  </r>
  <r>
    <x v="0"/>
    <x v="3"/>
    <x v="1"/>
    <d v="2023-11-03T00:00:00"/>
    <s v="03/11/2023"/>
    <m/>
    <x v="10"/>
    <x v="1518"/>
    <x v="20"/>
  </r>
  <r>
    <x v="23"/>
    <x v="4"/>
    <x v="1"/>
    <s v="25/04/2023"/>
    <s v="25/04/2023"/>
    <m/>
    <x v="0"/>
    <x v="1519"/>
    <x v="436"/>
  </r>
  <r>
    <x v="7"/>
    <x v="2"/>
    <x v="3"/>
    <s v="30/05/2023"/>
    <s v="30/05/2023"/>
    <m/>
    <x v="7"/>
    <x v="1520"/>
    <x v="395"/>
  </r>
  <r>
    <x v="14"/>
    <x v="1"/>
    <x v="15"/>
    <s v="23/05/2023"/>
    <s v="23/05/2023"/>
    <m/>
    <x v="7"/>
    <x v="1521"/>
    <x v="225"/>
  </r>
  <r>
    <x v="9"/>
    <x v="4"/>
    <x v="2"/>
    <s v="23/05/2023"/>
    <s v="23/05/2023"/>
    <m/>
    <x v="7"/>
    <x v="1522"/>
    <x v="45"/>
  </r>
  <r>
    <x v="1"/>
    <x v="5"/>
    <x v="2"/>
    <s v="24/06/2023"/>
    <s v="24/06/2023"/>
    <m/>
    <x v="4"/>
    <x v="1523"/>
    <x v="308"/>
  </r>
  <r>
    <x v="20"/>
    <x v="3"/>
    <x v="3"/>
    <d v="2023-11-03T00:00:00"/>
    <s v="03/11/2023"/>
    <m/>
    <x v="10"/>
    <x v="1524"/>
    <x v="89"/>
  </r>
  <r>
    <x v="7"/>
    <x v="4"/>
    <x v="3"/>
    <s v="27/07/2023"/>
    <s v="27/07/2023"/>
    <m/>
    <x v="2"/>
    <x v="1525"/>
    <x v="257"/>
  </r>
  <r>
    <x v="7"/>
    <x v="4"/>
    <x v="14"/>
    <s v="16/08/2023"/>
    <s v="16/08/2023"/>
    <m/>
    <x v="8"/>
    <x v="1526"/>
    <x v="32"/>
  </r>
  <r>
    <x v="13"/>
    <x v="5"/>
    <x v="3"/>
    <d v="2023-07-03T00:00:00"/>
    <s v="03/07/2023"/>
    <m/>
    <x v="2"/>
    <x v="1527"/>
    <x v="129"/>
  </r>
  <r>
    <x v="14"/>
    <x v="3"/>
    <x v="5"/>
    <d v="2023-05-04T00:00:00"/>
    <s v="04/05/2023"/>
    <m/>
    <x v="7"/>
    <x v="1528"/>
    <x v="314"/>
  </r>
  <r>
    <x v="21"/>
    <x v="1"/>
    <x v="1"/>
    <d v="2023-04-05T00:00:00"/>
    <s v="05/04/2023"/>
    <m/>
    <x v="0"/>
    <x v="1529"/>
    <x v="53"/>
  </r>
  <r>
    <x v="24"/>
    <x v="4"/>
    <x v="18"/>
    <d v="2023-04-01T00:00:00"/>
    <s v="01/04/2023"/>
    <m/>
    <x v="0"/>
    <x v="1530"/>
    <x v="266"/>
  </r>
  <r>
    <x v="11"/>
    <x v="2"/>
    <x v="19"/>
    <s v="13/01/2023"/>
    <s v="13/01/2023"/>
    <m/>
    <x v="1"/>
    <x v="1531"/>
    <x v="176"/>
  </r>
  <r>
    <x v="18"/>
    <x v="3"/>
    <x v="13"/>
    <d v="2023-11-07T00:00:00"/>
    <s v="07/11/2023"/>
    <m/>
    <x v="10"/>
    <x v="1532"/>
    <x v="1"/>
  </r>
  <r>
    <x v="16"/>
    <x v="2"/>
    <x v="0"/>
    <s v="17/05/2023"/>
    <s v="17/05/2023"/>
    <m/>
    <x v="7"/>
    <x v="1533"/>
    <x v="191"/>
  </r>
  <r>
    <x v="21"/>
    <x v="3"/>
    <x v="2"/>
    <s v="21/07/2023"/>
    <s v="21/07/2023"/>
    <m/>
    <x v="2"/>
    <x v="1534"/>
    <x v="203"/>
  </r>
  <r>
    <x v="14"/>
    <x v="5"/>
    <x v="10"/>
    <s v="22/02/2023"/>
    <s v="22/02/2023"/>
    <m/>
    <x v="3"/>
    <x v="1535"/>
    <x v="69"/>
  </r>
  <r>
    <x v="3"/>
    <x v="1"/>
    <x v="4"/>
    <s v="23/05/2023"/>
    <s v="23/05/2023"/>
    <m/>
    <x v="7"/>
    <x v="1536"/>
    <x v="124"/>
  </r>
  <r>
    <x v="7"/>
    <x v="5"/>
    <x v="9"/>
    <d v="2023-12-07T00:00:00"/>
    <s v="07/12/2023"/>
    <m/>
    <x v="11"/>
    <x v="1537"/>
    <x v="168"/>
  </r>
  <r>
    <x v="3"/>
    <x v="0"/>
    <x v="7"/>
    <s v="15/06/2023"/>
    <s v="15/06/2023"/>
    <m/>
    <x v="4"/>
    <x v="1538"/>
    <x v="386"/>
  </r>
  <r>
    <x v="8"/>
    <x v="3"/>
    <x v="6"/>
    <s v="23/06/2023"/>
    <s v="23/06/2023"/>
    <m/>
    <x v="4"/>
    <x v="1539"/>
    <x v="363"/>
  </r>
  <r>
    <x v="14"/>
    <x v="2"/>
    <x v="8"/>
    <s v="25/03/2023"/>
    <s v="25/03/2023"/>
    <m/>
    <x v="5"/>
    <x v="1540"/>
    <x v="198"/>
  </r>
  <r>
    <x v="3"/>
    <x v="1"/>
    <x v="20"/>
    <d v="2023-04-07T00:00:00"/>
    <s v="07/04/2023"/>
    <m/>
    <x v="0"/>
    <x v="1541"/>
    <x v="364"/>
  </r>
  <r>
    <x v="19"/>
    <x v="0"/>
    <x v="14"/>
    <d v="2023-12-05T00:00:00"/>
    <s v="05/12/2023"/>
    <m/>
    <x v="11"/>
    <x v="1542"/>
    <x v="116"/>
  </r>
  <r>
    <x v="21"/>
    <x v="3"/>
    <x v="17"/>
    <d v="2023-04-04T00:00:00"/>
    <s v="04/04/2023"/>
    <m/>
    <x v="0"/>
    <x v="1543"/>
    <x v="418"/>
  </r>
  <r>
    <x v="22"/>
    <x v="2"/>
    <x v="7"/>
    <s v="15/04/2023"/>
    <s v="15/04/2023"/>
    <m/>
    <x v="0"/>
    <x v="1544"/>
    <x v="437"/>
  </r>
  <r>
    <x v="13"/>
    <x v="5"/>
    <x v="8"/>
    <d v="2023-08-03T00:00:00"/>
    <s v="03/08/2023"/>
    <m/>
    <x v="8"/>
    <x v="1545"/>
    <x v="187"/>
  </r>
  <r>
    <x v="10"/>
    <x v="1"/>
    <x v="14"/>
    <s v="17/01/2023"/>
    <s v="17/01/2023"/>
    <m/>
    <x v="1"/>
    <x v="1546"/>
    <x v="391"/>
  </r>
  <r>
    <x v="18"/>
    <x v="1"/>
    <x v="0"/>
    <s v="22/08/2023"/>
    <s v="22/08/2023"/>
    <m/>
    <x v="8"/>
    <x v="1547"/>
    <x v="193"/>
  </r>
  <r>
    <x v="19"/>
    <x v="0"/>
    <x v="4"/>
    <s v="25/07/2023"/>
    <s v="25/07/2023"/>
    <m/>
    <x v="2"/>
    <x v="1548"/>
    <x v="274"/>
  </r>
  <r>
    <x v="11"/>
    <x v="0"/>
    <x v="6"/>
    <s v="14/06/2023"/>
    <s v="14/06/2023"/>
    <m/>
    <x v="4"/>
    <x v="1549"/>
    <x v="32"/>
  </r>
  <r>
    <x v="24"/>
    <x v="1"/>
    <x v="18"/>
    <d v="2023-05-04T00:00:00"/>
    <s v="04/05/2023"/>
    <m/>
    <x v="7"/>
    <x v="1550"/>
    <x v="243"/>
  </r>
  <r>
    <x v="22"/>
    <x v="0"/>
    <x v="17"/>
    <s v="26/08/2023"/>
    <s v="26/08/2023"/>
    <m/>
    <x v="8"/>
    <x v="1551"/>
    <x v="319"/>
  </r>
  <r>
    <x v="18"/>
    <x v="2"/>
    <x v="6"/>
    <d v="2023-03-08T00:00:00"/>
    <s v="08/03/2023"/>
    <m/>
    <x v="5"/>
    <x v="1552"/>
    <x v="358"/>
  </r>
  <r>
    <x v="2"/>
    <x v="5"/>
    <x v="14"/>
    <d v="2023-11-07T00:00:00"/>
    <s v="07/11/2023"/>
    <m/>
    <x v="10"/>
    <x v="1553"/>
    <x v="247"/>
  </r>
  <r>
    <x v="18"/>
    <x v="3"/>
    <x v="8"/>
    <d v="2023-11-03T00:00:00"/>
    <s v="03/11/2023"/>
    <m/>
    <x v="10"/>
    <x v="1554"/>
    <x v="69"/>
  </r>
  <r>
    <x v="6"/>
    <x v="0"/>
    <x v="2"/>
    <d v="2023-10-01T00:00:00"/>
    <s v="01/10/2023"/>
    <m/>
    <x v="6"/>
    <x v="1555"/>
    <x v="86"/>
  </r>
  <r>
    <x v="13"/>
    <x v="0"/>
    <x v="19"/>
    <d v="2023-04-04T00:00:00"/>
    <s v="04/04/2023"/>
    <m/>
    <x v="0"/>
    <x v="1556"/>
    <x v="438"/>
  </r>
  <r>
    <x v="10"/>
    <x v="2"/>
    <x v="6"/>
    <s v="17/01/2023"/>
    <s v="17/01/2023"/>
    <m/>
    <x v="1"/>
    <x v="1557"/>
    <x v="439"/>
  </r>
  <r>
    <x v="11"/>
    <x v="3"/>
    <x v="10"/>
    <d v="2023-08-07T00:00:00"/>
    <s v="07/08/2023"/>
    <m/>
    <x v="8"/>
    <x v="1558"/>
    <x v="138"/>
  </r>
  <r>
    <x v="3"/>
    <x v="0"/>
    <x v="10"/>
    <d v="2023-12-04T00:00:00"/>
    <s v="04/12/2023"/>
    <m/>
    <x v="11"/>
    <x v="1559"/>
    <x v="40"/>
  </r>
  <r>
    <x v="7"/>
    <x v="5"/>
    <x v="13"/>
    <s v="24/08/2023"/>
    <s v="24/08/2023"/>
    <m/>
    <x v="8"/>
    <x v="1560"/>
    <x v="397"/>
  </r>
  <r>
    <x v="24"/>
    <x v="0"/>
    <x v="18"/>
    <d v="2023-07-06T00:00:00"/>
    <s v="06/07/2023"/>
    <m/>
    <x v="2"/>
    <x v="1561"/>
    <x v="312"/>
  </r>
  <r>
    <x v="5"/>
    <x v="5"/>
    <x v="16"/>
    <s v="28/07/2023"/>
    <s v="28/07/2023"/>
    <m/>
    <x v="2"/>
    <x v="1562"/>
    <x v="117"/>
  </r>
  <r>
    <x v="15"/>
    <x v="4"/>
    <x v="4"/>
    <s v="21/02/2023"/>
    <s v="21/02/2023"/>
    <m/>
    <x v="3"/>
    <x v="1563"/>
    <x v="80"/>
  </r>
  <r>
    <x v="17"/>
    <x v="5"/>
    <x v="0"/>
    <d v="2023-08-04T00:00:00"/>
    <s v="04/08/2023"/>
    <m/>
    <x v="8"/>
    <x v="1564"/>
    <x v="421"/>
  </r>
  <r>
    <x v="6"/>
    <x v="0"/>
    <x v="15"/>
    <s v="28/06/2023"/>
    <s v="28/06/2023"/>
    <m/>
    <x v="4"/>
    <x v="1565"/>
    <x v="61"/>
  </r>
  <r>
    <x v="1"/>
    <x v="0"/>
    <x v="19"/>
    <s v="24/03/2023"/>
    <s v="24/03/2023"/>
    <m/>
    <x v="5"/>
    <x v="1566"/>
    <x v="332"/>
  </r>
  <r>
    <x v="8"/>
    <x v="2"/>
    <x v="20"/>
    <s v="29/07/2023"/>
    <s v="29/07/2023"/>
    <m/>
    <x v="2"/>
    <x v="1567"/>
    <x v="203"/>
  </r>
  <r>
    <x v="17"/>
    <x v="4"/>
    <x v="8"/>
    <s v="25/05/2023"/>
    <s v="25/05/2023"/>
    <m/>
    <x v="7"/>
    <x v="1568"/>
    <x v="114"/>
  </r>
  <r>
    <x v="2"/>
    <x v="2"/>
    <x v="17"/>
    <s v="30/03/2023"/>
    <s v="30/03/2023"/>
    <m/>
    <x v="5"/>
    <x v="1569"/>
    <x v="246"/>
  </r>
  <r>
    <x v="17"/>
    <x v="4"/>
    <x v="10"/>
    <s v="18/07/2023"/>
    <s v="18/07/2023"/>
    <m/>
    <x v="2"/>
    <x v="1570"/>
    <x v="154"/>
  </r>
  <r>
    <x v="12"/>
    <x v="5"/>
    <x v="7"/>
    <d v="2023-10-05T00:00:00"/>
    <s v="05/10/2023"/>
    <m/>
    <x v="6"/>
    <x v="1571"/>
    <x v="130"/>
  </r>
  <r>
    <x v="9"/>
    <x v="2"/>
    <x v="18"/>
    <s v="18/03/2023"/>
    <s v="18/03/2023"/>
    <m/>
    <x v="5"/>
    <x v="1572"/>
    <x v="1"/>
  </r>
  <r>
    <x v="24"/>
    <x v="1"/>
    <x v="20"/>
    <s v="15/06/2023"/>
    <s v="15/06/2023"/>
    <m/>
    <x v="4"/>
    <x v="1573"/>
    <x v="53"/>
  </r>
  <r>
    <x v="1"/>
    <x v="5"/>
    <x v="6"/>
    <d v="2023-12-05T00:00:00"/>
    <s v="05/12/2023"/>
    <m/>
    <x v="11"/>
    <x v="1574"/>
    <x v="107"/>
  </r>
  <r>
    <x v="20"/>
    <x v="3"/>
    <x v="19"/>
    <s v="23/06/2023"/>
    <s v="23/06/2023"/>
    <m/>
    <x v="4"/>
    <x v="1575"/>
    <x v="239"/>
  </r>
  <r>
    <x v="12"/>
    <x v="1"/>
    <x v="12"/>
    <s v="21/04/2023"/>
    <s v="21/04/2023"/>
    <m/>
    <x v="0"/>
    <x v="1576"/>
    <x v="26"/>
  </r>
  <r>
    <x v="2"/>
    <x v="2"/>
    <x v="16"/>
    <s v="17/08/2023"/>
    <s v="17/08/2023"/>
    <m/>
    <x v="8"/>
    <x v="1577"/>
    <x v="197"/>
  </r>
  <r>
    <x v="7"/>
    <x v="3"/>
    <x v="8"/>
    <d v="2023-07-02T00:00:00"/>
    <s v="02/07/2023"/>
    <m/>
    <x v="2"/>
    <x v="1578"/>
    <x v="138"/>
  </r>
  <r>
    <x v="20"/>
    <x v="5"/>
    <x v="3"/>
    <s v="17/03/2023"/>
    <s v="17/03/2023"/>
    <m/>
    <x v="5"/>
    <x v="1579"/>
    <x v="24"/>
  </r>
  <r>
    <x v="3"/>
    <x v="1"/>
    <x v="19"/>
    <d v="2023-01-08T00:00:00"/>
    <s v="08/01/2023"/>
    <m/>
    <x v="1"/>
    <x v="1580"/>
    <x v="243"/>
  </r>
  <r>
    <x v="0"/>
    <x v="2"/>
    <x v="11"/>
    <s v="18/03/2023"/>
    <s v="18/03/2023"/>
    <m/>
    <x v="5"/>
    <x v="1581"/>
    <x v="86"/>
  </r>
  <r>
    <x v="2"/>
    <x v="5"/>
    <x v="13"/>
    <s v="14/06/2023"/>
    <s v="14/06/2023"/>
    <m/>
    <x v="4"/>
    <x v="1582"/>
    <x v="61"/>
  </r>
  <r>
    <x v="12"/>
    <x v="0"/>
    <x v="8"/>
    <s v="22/04/2023"/>
    <s v="22/04/2023"/>
    <m/>
    <x v="0"/>
    <x v="1583"/>
    <x v="225"/>
  </r>
  <r>
    <x v="11"/>
    <x v="3"/>
    <x v="8"/>
    <s v="18/01/2023"/>
    <s v="18/01/2023"/>
    <m/>
    <x v="1"/>
    <x v="1584"/>
    <x v="86"/>
  </r>
  <r>
    <x v="15"/>
    <x v="2"/>
    <x v="4"/>
    <s v="26/08/2023"/>
    <s v="26/08/2023"/>
    <m/>
    <x v="8"/>
    <x v="1585"/>
    <x v="358"/>
  </r>
  <r>
    <x v="5"/>
    <x v="3"/>
    <x v="13"/>
    <d v="2023-10-06T00:00:00"/>
    <s v="06/10/2023"/>
    <m/>
    <x v="6"/>
    <x v="1586"/>
    <x v="368"/>
  </r>
  <r>
    <x v="14"/>
    <x v="5"/>
    <x v="21"/>
    <s v="31/01/2023"/>
    <s v="31/01/2023"/>
    <m/>
    <x v="1"/>
    <x v="1587"/>
    <x v="113"/>
  </r>
  <r>
    <x v="20"/>
    <x v="3"/>
    <x v="15"/>
    <d v="2023-08-04T00:00:00"/>
    <s v="04/08/2023"/>
    <m/>
    <x v="8"/>
    <x v="1588"/>
    <x v="73"/>
  </r>
  <r>
    <x v="23"/>
    <x v="2"/>
    <x v="19"/>
    <d v="2023-07-06T00:00:00"/>
    <s v="06/07/2023"/>
    <m/>
    <x v="2"/>
    <x v="1589"/>
    <x v="271"/>
  </r>
  <r>
    <x v="8"/>
    <x v="2"/>
    <x v="1"/>
    <d v="2023-10-02T00:00:00"/>
    <s v="02/10/2023"/>
    <m/>
    <x v="6"/>
    <x v="1590"/>
    <x v="146"/>
  </r>
  <r>
    <x v="12"/>
    <x v="2"/>
    <x v="6"/>
    <s v="16/05/2023"/>
    <s v="16/05/2023"/>
    <m/>
    <x v="7"/>
    <x v="1591"/>
    <x v="440"/>
  </r>
  <r>
    <x v="5"/>
    <x v="1"/>
    <x v="19"/>
    <s v="18/03/2023"/>
    <s v="18/03/2023"/>
    <m/>
    <x v="5"/>
    <x v="1592"/>
    <x v="441"/>
  </r>
  <r>
    <x v="1"/>
    <x v="2"/>
    <x v="6"/>
    <s v="13/07/2023"/>
    <s v="13/07/2023"/>
    <m/>
    <x v="2"/>
    <x v="1593"/>
    <x v="295"/>
  </r>
  <r>
    <x v="4"/>
    <x v="4"/>
    <x v="15"/>
    <s v="25/07/2023"/>
    <s v="25/07/2023"/>
    <m/>
    <x v="2"/>
    <x v="1594"/>
    <x v="49"/>
  </r>
  <r>
    <x v="1"/>
    <x v="5"/>
    <x v="18"/>
    <s v="19/08/2023"/>
    <s v="19/08/2023"/>
    <m/>
    <x v="8"/>
    <x v="1595"/>
    <x v="188"/>
  </r>
  <r>
    <x v="10"/>
    <x v="5"/>
    <x v="21"/>
    <s v="24/06/2023"/>
    <s v="24/06/2023"/>
    <m/>
    <x v="4"/>
    <x v="1596"/>
    <x v="442"/>
  </r>
  <r>
    <x v="20"/>
    <x v="5"/>
    <x v="13"/>
    <s v="20/06/2023"/>
    <s v="20/06/2023"/>
    <m/>
    <x v="4"/>
    <x v="1597"/>
    <x v="306"/>
  </r>
  <r>
    <x v="21"/>
    <x v="1"/>
    <x v="4"/>
    <d v="2023-02-08T00:00:00"/>
    <s v="08/02/2023"/>
    <m/>
    <x v="3"/>
    <x v="1598"/>
    <x v="174"/>
  </r>
  <r>
    <x v="22"/>
    <x v="3"/>
    <x v="21"/>
    <s v="22/02/2023"/>
    <s v="22/02/2023"/>
    <m/>
    <x v="3"/>
    <x v="1599"/>
    <x v="1"/>
  </r>
  <r>
    <x v="9"/>
    <x v="3"/>
    <x v="7"/>
    <d v="2023-01-02T00:00:00"/>
    <s v="02/01/2023"/>
    <m/>
    <x v="1"/>
    <x v="1600"/>
    <x v="217"/>
  </r>
  <r>
    <x v="3"/>
    <x v="5"/>
    <x v="21"/>
    <s v="14/02/2023"/>
    <s v="14/02/2023"/>
    <m/>
    <x v="3"/>
    <x v="1601"/>
    <x v="308"/>
  </r>
  <r>
    <x v="20"/>
    <x v="2"/>
    <x v="11"/>
    <s v="24/02/2023"/>
    <s v="24/02/2023"/>
    <m/>
    <x v="3"/>
    <x v="1602"/>
    <x v="241"/>
  </r>
  <r>
    <x v="17"/>
    <x v="1"/>
    <x v="7"/>
    <s v="18/03/2023"/>
    <s v="18/03/2023"/>
    <m/>
    <x v="5"/>
    <x v="1603"/>
    <x v="17"/>
  </r>
  <r>
    <x v="15"/>
    <x v="0"/>
    <x v="8"/>
    <s v="30/08/2023"/>
    <s v="30/08/2023"/>
    <m/>
    <x v="8"/>
    <x v="1604"/>
    <x v="443"/>
  </r>
  <r>
    <x v="2"/>
    <x v="4"/>
    <x v="2"/>
    <d v="2023-09-05T00:00:00"/>
    <s v="05/09/2023"/>
    <m/>
    <x v="9"/>
    <x v="1605"/>
    <x v="151"/>
  </r>
  <r>
    <x v="18"/>
    <x v="4"/>
    <x v="3"/>
    <s v="18/01/2023"/>
    <s v="18/01/2023"/>
    <m/>
    <x v="1"/>
    <x v="1606"/>
    <x v="109"/>
  </r>
  <r>
    <x v="14"/>
    <x v="1"/>
    <x v="14"/>
    <d v="2023-04-07T00:00:00"/>
    <s v="07/04/2023"/>
    <m/>
    <x v="0"/>
    <x v="1607"/>
    <x v="444"/>
  </r>
  <r>
    <x v="4"/>
    <x v="3"/>
    <x v="12"/>
    <d v="2023-03-06T00:00:00"/>
    <s v="06/03/2023"/>
    <m/>
    <x v="5"/>
    <x v="1608"/>
    <x v="235"/>
  </r>
  <r>
    <x v="12"/>
    <x v="3"/>
    <x v="2"/>
    <s v="23/02/2023"/>
    <s v="23/02/2023"/>
    <m/>
    <x v="3"/>
    <x v="1609"/>
    <x v="334"/>
  </r>
  <r>
    <x v="23"/>
    <x v="3"/>
    <x v="4"/>
    <d v="2023-09-05T00:00:00"/>
    <s v="05/09/2023"/>
    <m/>
    <x v="9"/>
    <x v="1610"/>
    <x v="261"/>
  </r>
  <r>
    <x v="20"/>
    <x v="1"/>
    <x v="21"/>
    <d v="2023-06-06T00:00:00"/>
    <s v="06/06/2023"/>
    <m/>
    <x v="4"/>
    <x v="1611"/>
    <x v="90"/>
  </r>
  <r>
    <x v="20"/>
    <x v="1"/>
    <x v="9"/>
    <d v="2023-04-07T00:00:00"/>
    <s v="07/04/2023"/>
    <m/>
    <x v="0"/>
    <x v="1612"/>
    <x v="395"/>
  </r>
  <r>
    <x v="6"/>
    <x v="3"/>
    <x v="9"/>
    <d v="2023-06-06T00:00:00"/>
    <s v="06/06/2023"/>
    <m/>
    <x v="4"/>
    <x v="1613"/>
    <x v="85"/>
  </r>
  <r>
    <x v="23"/>
    <x v="2"/>
    <x v="16"/>
    <s v="13/05/2023"/>
    <s v="13/05/2023"/>
    <m/>
    <x v="7"/>
    <x v="1614"/>
    <x v="2"/>
  </r>
  <r>
    <x v="18"/>
    <x v="3"/>
    <x v="10"/>
    <s v="31/01/2023"/>
    <s v="31/01/2023"/>
    <m/>
    <x v="1"/>
    <x v="1615"/>
    <x v="249"/>
  </r>
  <r>
    <x v="24"/>
    <x v="3"/>
    <x v="20"/>
    <s v="30/06/2023"/>
    <s v="30/06/2023"/>
    <m/>
    <x v="4"/>
    <x v="1616"/>
    <x v="146"/>
  </r>
  <r>
    <x v="8"/>
    <x v="5"/>
    <x v="15"/>
    <s v="25/08/2023"/>
    <s v="25/08/2023"/>
    <m/>
    <x v="8"/>
    <x v="1617"/>
    <x v="310"/>
  </r>
  <r>
    <x v="2"/>
    <x v="3"/>
    <x v="3"/>
    <d v="2023-10-01T00:00:00"/>
    <s v="01/10/2023"/>
    <m/>
    <x v="6"/>
    <x v="1618"/>
    <x v="90"/>
  </r>
  <r>
    <x v="6"/>
    <x v="4"/>
    <x v="15"/>
    <s v="22/08/2023"/>
    <s v="22/08/2023"/>
    <m/>
    <x v="8"/>
    <x v="1619"/>
    <x v="305"/>
  </r>
  <r>
    <x v="13"/>
    <x v="3"/>
    <x v="1"/>
    <s v="14/04/2023"/>
    <s v="14/04/2023"/>
    <m/>
    <x v="0"/>
    <x v="1620"/>
    <x v="227"/>
  </r>
  <r>
    <x v="4"/>
    <x v="0"/>
    <x v="3"/>
    <s v="31/05/2023"/>
    <s v="31/05/2023"/>
    <m/>
    <x v="7"/>
    <x v="1621"/>
    <x v="383"/>
  </r>
  <r>
    <x v="4"/>
    <x v="0"/>
    <x v="17"/>
    <d v="2023-08-04T00:00:00"/>
    <s v="04/08/2023"/>
    <m/>
    <x v="8"/>
    <x v="1622"/>
    <x v="250"/>
  </r>
  <r>
    <x v="13"/>
    <x v="4"/>
    <x v="9"/>
    <s v="21/02/2023"/>
    <s v="21/02/2023"/>
    <m/>
    <x v="3"/>
    <x v="1623"/>
    <x v="265"/>
  </r>
  <r>
    <x v="19"/>
    <x v="2"/>
    <x v="15"/>
    <s v="30/03/2023"/>
    <s v="30/03/2023"/>
    <m/>
    <x v="5"/>
    <x v="1624"/>
    <x v="445"/>
  </r>
  <r>
    <x v="9"/>
    <x v="1"/>
    <x v="17"/>
    <d v="2023-02-03T00:00:00"/>
    <s v="03/02/2023"/>
    <m/>
    <x v="3"/>
    <x v="1625"/>
    <x v="236"/>
  </r>
  <r>
    <x v="0"/>
    <x v="4"/>
    <x v="7"/>
    <s v="28/07/2023"/>
    <s v="28/07/2023"/>
    <m/>
    <x v="2"/>
    <x v="1626"/>
    <x v="4"/>
  </r>
  <r>
    <x v="16"/>
    <x v="3"/>
    <x v="21"/>
    <s v="24/03/2023"/>
    <s v="24/03/2023"/>
    <m/>
    <x v="5"/>
    <x v="1627"/>
    <x v="5"/>
  </r>
  <r>
    <x v="14"/>
    <x v="2"/>
    <x v="5"/>
    <d v="2023-11-08T00:00:00"/>
    <s v="08/11/2023"/>
    <m/>
    <x v="10"/>
    <x v="1628"/>
    <x v="176"/>
  </r>
  <r>
    <x v="15"/>
    <x v="0"/>
    <x v="16"/>
    <s v="17/05/2023"/>
    <s v="17/05/2023"/>
    <m/>
    <x v="7"/>
    <x v="1629"/>
    <x v="95"/>
  </r>
  <r>
    <x v="16"/>
    <x v="5"/>
    <x v="18"/>
    <s v="18/05/2023"/>
    <s v="18/05/2023"/>
    <m/>
    <x v="7"/>
    <x v="1630"/>
    <x v="0"/>
  </r>
  <r>
    <x v="13"/>
    <x v="0"/>
    <x v="2"/>
    <s v="17/08/2023"/>
    <s v="17/08/2023"/>
    <m/>
    <x v="8"/>
    <x v="1631"/>
    <x v="14"/>
  </r>
  <r>
    <x v="24"/>
    <x v="3"/>
    <x v="8"/>
    <d v="2023-04-04T00:00:00"/>
    <s v="04/04/2023"/>
    <m/>
    <x v="0"/>
    <x v="1632"/>
    <x v="138"/>
  </r>
  <r>
    <x v="6"/>
    <x v="1"/>
    <x v="1"/>
    <d v="2023-09-08T00:00:00"/>
    <s v="08/09/2023"/>
    <m/>
    <x v="9"/>
    <x v="1633"/>
    <x v="315"/>
  </r>
  <r>
    <x v="6"/>
    <x v="3"/>
    <x v="10"/>
    <s v="17/01/2023"/>
    <s v="17/01/2023"/>
    <m/>
    <x v="1"/>
    <x v="1634"/>
    <x v="446"/>
  </r>
  <r>
    <x v="19"/>
    <x v="5"/>
    <x v="14"/>
    <s v="14/02/2023"/>
    <s v="14/02/2023"/>
    <m/>
    <x v="3"/>
    <x v="1635"/>
    <x v="86"/>
  </r>
  <r>
    <x v="2"/>
    <x v="3"/>
    <x v="7"/>
    <s v="16/05/2023"/>
    <s v="16/05/2023"/>
    <m/>
    <x v="7"/>
    <x v="1636"/>
    <x v="429"/>
  </r>
  <r>
    <x v="24"/>
    <x v="5"/>
    <x v="3"/>
    <s v="16/03/2023"/>
    <s v="16/03/2023"/>
    <m/>
    <x v="5"/>
    <x v="1637"/>
    <x v="264"/>
  </r>
  <r>
    <x v="15"/>
    <x v="5"/>
    <x v="21"/>
    <s v="31/01/2023"/>
    <s v="31/01/2023"/>
    <m/>
    <x v="1"/>
    <x v="1638"/>
    <x v="447"/>
  </r>
  <r>
    <x v="8"/>
    <x v="5"/>
    <x v="10"/>
    <d v="2023-10-03T00:00:00"/>
    <s v="03/10/2023"/>
    <m/>
    <x v="6"/>
    <x v="1639"/>
    <x v="301"/>
  </r>
  <r>
    <x v="4"/>
    <x v="0"/>
    <x v="10"/>
    <s v="30/06/2023"/>
    <s v="30/06/2023"/>
    <m/>
    <x v="4"/>
    <x v="1640"/>
    <x v="178"/>
  </r>
  <r>
    <x v="1"/>
    <x v="3"/>
    <x v="8"/>
    <d v="2023-01-03T00:00:00"/>
    <s v="03/01/2023"/>
    <m/>
    <x v="1"/>
    <x v="1641"/>
    <x v="6"/>
  </r>
  <r>
    <x v="9"/>
    <x v="0"/>
    <x v="9"/>
    <s v="27/05/2023"/>
    <s v="27/05/2023"/>
    <m/>
    <x v="7"/>
    <x v="1642"/>
    <x v="200"/>
  </r>
  <r>
    <x v="4"/>
    <x v="0"/>
    <x v="11"/>
    <d v="2023-11-07T00:00:00"/>
    <s v="07/11/2023"/>
    <m/>
    <x v="10"/>
    <x v="1643"/>
    <x v="317"/>
  </r>
  <r>
    <x v="10"/>
    <x v="3"/>
    <x v="0"/>
    <d v="2023-02-03T00:00:00"/>
    <s v="03/02/2023"/>
    <m/>
    <x v="3"/>
    <x v="1644"/>
    <x v="8"/>
  </r>
  <r>
    <x v="0"/>
    <x v="4"/>
    <x v="17"/>
    <d v="2023-04-03T00:00:00"/>
    <s v="03/04/2023"/>
    <m/>
    <x v="0"/>
    <x v="1645"/>
    <x v="97"/>
  </r>
  <r>
    <x v="20"/>
    <x v="0"/>
    <x v="1"/>
    <s v="23/06/2023"/>
    <s v="23/06/2023"/>
    <m/>
    <x v="4"/>
    <x v="1646"/>
    <x v="309"/>
  </r>
  <r>
    <x v="20"/>
    <x v="4"/>
    <x v="16"/>
    <s v="27/01/2023"/>
    <s v="27/01/2023"/>
    <m/>
    <x v="1"/>
    <x v="1647"/>
    <x v="229"/>
  </r>
  <r>
    <x v="11"/>
    <x v="5"/>
    <x v="7"/>
    <s v="14/01/2023"/>
    <s v="14/01/2023"/>
    <m/>
    <x v="1"/>
    <x v="1648"/>
    <x v="413"/>
  </r>
  <r>
    <x v="17"/>
    <x v="1"/>
    <x v="13"/>
    <s v="29/07/2023"/>
    <s v="29/07/2023"/>
    <m/>
    <x v="2"/>
    <x v="1649"/>
    <x v="47"/>
  </r>
  <r>
    <x v="6"/>
    <x v="5"/>
    <x v="3"/>
    <s v="13/05/2023"/>
    <s v="13/05/2023"/>
    <m/>
    <x v="7"/>
    <x v="1650"/>
    <x v="448"/>
  </r>
  <r>
    <x v="8"/>
    <x v="5"/>
    <x v="19"/>
    <d v="2023-03-02T00:00:00"/>
    <s v="02/03/2023"/>
    <m/>
    <x v="5"/>
    <x v="1651"/>
    <x v="19"/>
  </r>
  <r>
    <x v="6"/>
    <x v="1"/>
    <x v="3"/>
    <s v="27/05/2023"/>
    <s v="27/05/2023"/>
    <m/>
    <x v="7"/>
    <x v="1652"/>
    <x v="206"/>
  </r>
  <r>
    <x v="3"/>
    <x v="2"/>
    <x v="9"/>
    <s v="18/02/2023"/>
    <s v="18/02/2023"/>
    <m/>
    <x v="3"/>
    <x v="1653"/>
    <x v="217"/>
  </r>
  <r>
    <x v="6"/>
    <x v="1"/>
    <x v="12"/>
    <s v="28/01/2023"/>
    <s v="28/01/2023"/>
    <m/>
    <x v="1"/>
    <x v="1654"/>
    <x v="283"/>
  </r>
  <r>
    <x v="1"/>
    <x v="0"/>
    <x v="8"/>
    <s v="29/06/2023"/>
    <s v="29/06/2023"/>
    <m/>
    <x v="4"/>
    <x v="1655"/>
    <x v="24"/>
  </r>
  <r>
    <x v="18"/>
    <x v="1"/>
    <x v="20"/>
    <s v="13/01/2023"/>
    <s v="13/01/2023"/>
    <m/>
    <x v="1"/>
    <x v="1656"/>
    <x v="144"/>
  </r>
  <r>
    <x v="0"/>
    <x v="0"/>
    <x v="5"/>
    <s v="27/06/2023"/>
    <s v="27/06/2023"/>
    <m/>
    <x v="4"/>
    <x v="1657"/>
    <x v="225"/>
  </r>
  <r>
    <x v="8"/>
    <x v="5"/>
    <x v="14"/>
    <s v="29/03/2023"/>
    <s v="29/03/2023"/>
    <m/>
    <x v="5"/>
    <x v="1658"/>
    <x v="347"/>
  </r>
  <r>
    <x v="5"/>
    <x v="1"/>
    <x v="10"/>
    <d v="2023-03-06T00:00:00"/>
    <s v="06/03/2023"/>
    <m/>
    <x v="5"/>
    <x v="1659"/>
    <x v="273"/>
  </r>
  <r>
    <x v="9"/>
    <x v="5"/>
    <x v="3"/>
    <s v="21/03/2023"/>
    <s v="21/03/2023"/>
    <m/>
    <x v="5"/>
    <x v="1660"/>
    <x v="61"/>
  </r>
  <r>
    <x v="9"/>
    <x v="1"/>
    <x v="8"/>
    <d v="2023-12-04T00:00:00"/>
    <s v="04/12/2023"/>
    <m/>
    <x v="11"/>
    <x v="1661"/>
    <x v="282"/>
  </r>
  <r>
    <x v="7"/>
    <x v="2"/>
    <x v="17"/>
    <s v="19/01/2023"/>
    <s v="19/01/2023"/>
    <m/>
    <x v="1"/>
    <x v="1662"/>
    <x v="356"/>
  </r>
  <r>
    <x v="10"/>
    <x v="0"/>
    <x v="6"/>
    <d v="2023-06-04T00:00:00"/>
    <s v="04/06/2023"/>
    <m/>
    <x v="4"/>
    <x v="1663"/>
    <x v="379"/>
  </r>
  <r>
    <x v="16"/>
    <x v="2"/>
    <x v="6"/>
    <d v="2023-02-08T00:00:00"/>
    <s v="08/02/2023"/>
    <m/>
    <x v="3"/>
    <x v="1664"/>
    <x v="125"/>
  </r>
  <r>
    <x v="2"/>
    <x v="2"/>
    <x v="8"/>
    <d v="2023-12-04T00:00:00"/>
    <s v="04/12/2023"/>
    <m/>
    <x v="11"/>
    <x v="1665"/>
    <x v="136"/>
  </r>
  <r>
    <x v="4"/>
    <x v="1"/>
    <x v="9"/>
    <s v="21/07/2023"/>
    <s v="21/07/2023"/>
    <m/>
    <x v="2"/>
    <x v="1666"/>
    <x v="182"/>
  </r>
  <r>
    <x v="1"/>
    <x v="3"/>
    <x v="19"/>
    <s v="22/03/2023"/>
    <s v="22/03/2023"/>
    <m/>
    <x v="5"/>
    <x v="1667"/>
    <x v="51"/>
  </r>
  <r>
    <x v="15"/>
    <x v="1"/>
    <x v="2"/>
    <d v="2023-09-05T00:00:00"/>
    <s v="05/09/2023"/>
    <m/>
    <x v="9"/>
    <x v="1668"/>
    <x v="262"/>
  </r>
  <r>
    <x v="19"/>
    <x v="2"/>
    <x v="19"/>
    <d v="2023-09-08T00:00:00"/>
    <s v="08/09/2023"/>
    <m/>
    <x v="9"/>
    <x v="1669"/>
    <x v="105"/>
  </r>
  <r>
    <x v="22"/>
    <x v="5"/>
    <x v="18"/>
    <s v="20/07/2023"/>
    <s v="20/07/2023"/>
    <m/>
    <x v="2"/>
    <x v="1670"/>
    <x v="98"/>
  </r>
  <r>
    <x v="6"/>
    <x v="1"/>
    <x v="21"/>
    <s v="14/04/2023"/>
    <s v="14/04/2023"/>
    <m/>
    <x v="0"/>
    <x v="1671"/>
    <x v="449"/>
  </r>
  <r>
    <x v="0"/>
    <x v="5"/>
    <x v="14"/>
    <s v="25/01/2023"/>
    <s v="25/01/2023"/>
    <m/>
    <x v="1"/>
    <x v="1672"/>
    <x v="378"/>
  </r>
  <r>
    <x v="19"/>
    <x v="2"/>
    <x v="16"/>
    <s v="25/04/2023"/>
    <s v="25/04/2023"/>
    <m/>
    <x v="0"/>
    <x v="1673"/>
    <x v="56"/>
  </r>
  <r>
    <x v="23"/>
    <x v="5"/>
    <x v="5"/>
    <s v="17/01/2023"/>
    <s v="17/01/2023"/>
    <m/>
    <x v="1"/>
    <x v="1674"/>
    <x v="312"/>
  </r>
  <r>
    <x v="10"/>
    <x v="4"/>
    <x v="8"/>
    <s v="15/08/2023"/>
    <s v="15/08/2023"/>
    <m/>
    <x v="8"/>
    <x v="1675"/>
    <x v="32"/>
  </r>
  <r>
    <x v="10"/>
    <x v="5"/>
    <x v="13"/>
    <d v="2023-02-06T00:00:00"/>
    <s v="06/02/2023"/>
    <m/>
    <x v="3"/>
    <x v="1676"/>
    <x v="390"/>
  </r>
  <r>
    <x v="5"/>
    <x v="4"/>
    <x v="1"/>
    <s v="30/06/2023"/>
    <s v="30/06/2023"/>
    <m/>
    <x v="4"/>
    <x v="1677"/>
    <x v="295"/>
  </r>
  <r>
    <x v="23"/>
    <x v="3"/>
    <x v="17"/>
    <d v="2023-10-02T00:00:00"/>
    <s v="02/10/2023"/>
    <m/>
    <x v="6"/>
    <x v="1678"/>
    <x v="164"/>
  </r>
  <r>
    <x v="11"/>
    <x v="5"/>
    <x v="20"/>
    <s v="23/02/2023"/>
    <s v="23/02/2023"/>
    <m/>
    <x v="3"/>
    <x v="1679"/>
    <x v="450"/>
  </r>
  <r>
    <x v="17"/>
    <x v="1"/>
    <x v="10"/>
    <s v="27/01/2023"/>
    <s v="27/01/2023"/>
    <m/>
    <x v="1"/>
    <x v="1680"/>
    <x v="192"/>
  </r>
  <r>
    <x v="21"/>
    <x v="0"/>
    <x v="0"/>
    <s v="26/05/2023"/>
    <s v="26/05/2023"/>
    <m/>
    <x v="7"/>
    <x v="1681"/>
    <x v="343"/>
  </r>
  <r>
    <x v="6"/>
    <x v="4"/>
    <x v="21"/>
    <s v="14/04/2023"/>
    <s v="14/04/2023"/>
    <m/>
    <x v="0"/>
    <x v="1682"/>
    <x v="108"/>
  </r>
  <r>
    <x v="22"/>
    <x v="2"/>
    <x v="4"/>
    <d v="2023-01-08T00:00:00"/>
    <s v="08/01/2023"/>
    <m/>
    <x v="1"/>
    <x v="1683"/>
    <x v="141"/>
  </r>
  <r>
    <x v="9"/>
    <x v="2"/>
    <x v="8"/>
    <s v="22/08/2023"/>
    <s v="22/08/2023"/>
    <m/>
    <x v="8"/>
    <x v="1684"/>
    <x v="299"/>
  </r>
  <r>
    <x v="11"/>
    <x v="1"/>
    <x v="4"/>
    <s v="22/07/2023"/>
    <s v="22/07/2023"/>
    <m/>
    <x v="2"/>
    <x v="1685"/>
    <x v="141"/>
  </r>
  <r>
    <x v="15"/>
    <x v="4"/>
    <x v="13"/>
    <s v="28/04/2023"/>
    <s v="28/04/2023"/>
    <m/>
    <x v="0"/>
    <x v="1686"/>
    <x v="103"/>
  </r>
  <r>
    <x v="20"/>
    <x v="2"/>
    <x v="16"/>
    <s v="30/05/2023"/>
    <s v="30/05/2023"/>
    <m/>
    <x v="7"/>
    <x v="1687"/>
    <x v="245"/>
  </r>
  <r>
    <x v="24"/>
    <x v="4"/>
    <x v="11"/>
    <s v="21/07/2023"/>
    <s v="21/07/2023"/>
    <m/>
    <x v="2"/>
    <x v="1688"/>
    <x v="277"/>
  </r>
  <r>
    <x v="3"/>
    <x v="0"/>
    <x v="20"/>
    <d v="2023-02-08T00:00:00"/>
    <s v="08/02/2023"/>
    <m/>
    <x v="3"/>
    <x v="1689"/>
    <x v="451"/>
  </r>
  <r>
    <x v="6"/>
    <x v="3"/>
    <x v="21"/>
    <s v="15/06/2023"/>
    <s v="15/06/2023"/>
    <m/>
    <x v="4"/>
    <x v="1690"/>
    <x v="418"/>
  </r>
  <r>
    <x v="4"/>
    <x v="1"/>
    <x v="1"/>
    <d v="2023-05-07T00:00:00"/>
    <s v="07/05/2023"/>
    <m/>
    <x v="7"/>
    <x v="1691"/>
    <x v="42"/>
  </r>
  <r>
    <x v="16"/>
    <x v="3"/>
    <x v="3"/>
    <d v="2023-12-04T00:00:00"/>
    <s v="04/12/2023"/>
    <m/>
    <x v="11"/>
    <x v="1692"/>
    <x v="425"/>
  </r>
  <r>
    <x v="2"/>
    <x v="2"/>
    <x v="21"/>
    <s v="18/08/2023"/>
    <s v="18/08/2023"/>
    <m/>
    <x v="8"/>
    <x v="1693"/>
    <x v="130"/>
  </r>
  <r>
    <x v="3"/>
    <x v="0"/>
    <x v="6"/>
    <d v="2023-12-01T00:00:00"/>
    <s v="01/12/2023"/>
    <m/>
    <x v="11"/>
    <x v="1694"/>
    <x v="452"/>
  </r>
  <r>
    <x v="5"/>
    <x v="5"/>
    <x v="14"/>
    <d v="2023-11-08T00:00:00"/>
    <s v="08/11/2023"/>
    <m/>
    <x v="10"/>
    <x v="1695"/>
    <x v="303"/>
  </r>
  <r>
    <x v="0"/>
    <x v="2"/>
    <x v="12"/>
    <s v="13/01/2023"/>
    <s v="13/01/2023"/>
    <m/>
    <x v="1"/>
    <x v="1696"/>
    <x v="292"/>
  </r>
  <r>
    <x v="15"/>
    <x v="0"/>
    <x v="19"/>
    <s v="29/04/2023"/>
    <s v="29/04/2023"/>
    <m/>
    <x v="0"/>
    <x v="1697"/>
    <x v="418"/>
  </r>
  <r>
    <x v="7"/>
    <x v="3"/>
    <x v="5"/>
    <d v="2023-07-07T00:00:00"/>
    <s v="07/07/2023"/>
    <m/>
    <x v="2"/>
    <x v="1698"/>
    <x v="20"/>
  </r>
  <r>
    <x v="22"/>
    <x v="3"/>
    <x v="0"/>
    <d v="2023-11-03T00:00:00"/>
    <s v="03/11/2023"/>
    <m/>
    <x v="10"/>
    <x v="1699"/>
    <x v="247"/>
  </r>
  <r>
    <x v="22"/>
    <x v="0"/>
    <x v="21"/>
    <s v="16/02/2023"/>
    <s v="16/02/2023"/>
    <m/>
    <x v="3"/>
    <x v="1700"/>
    <x v="41"/>
  </r>
  <r>
    <x v="8"/>
    <x v="2"/>
    <x v="10"/>
    <d v="2023-07-01T00:00:00"/>
    <s v="01/07/2023"/>
    <m/>
    <x v="2"/>
    <x v="1701"/>
    <x v="314"/>
  </r>
  <r>
    <x v="12"/>
    <x v="3"/>
    <x v="9"/>
    <d v="2023-12-01T00:00:00"/>
    <s v="01/12/2023"/>
    <m/>
    <x v="11"/>
    <x v="1702"/>
    <x v="448"/>
  </r>
  <r>
    <x v="12"/>
    <x v="1"/>
    <x v="8"/>
    <d v="2023-09-06T00:00:00"/>
    <s v="06/09/2023"/>
    <m/>
    <x v="9"/>
    <x v="1703"/>
    <x v="157"/>
  </r>
  <r>
    <x v="19"/>
    <x v="1"/>
    <x v="8"/>
    <s v="16/05/2023"/>
    <s v="16/05/2023"/>
    <m/>
    <x v="7"/>
    <x v="1704"/>
    <x v="49"/>
  </r>
  <r>
    <x v="2"/>
    <x v="0"/>
    <x v="1"/>
    <s v="23/06/2023"/>
    <s v="23/06/2023"/>
    <m/>
    <x v="4"/>
    <x v="1705"/>
    <x v="149"/>
  </r>
  <r>
    <x v="13"/>
    <x v="0"/>
    <x v="17"/>
    <s v="28/01/2023"/>
    <s v="28/01/2023"/>
    <m/>
    <x v="1"/>
    <x v="1706"/>
    <x v="304"/>
  </r>
  <r>
    <x v="23"/>
    <x v="0"/>
    <x v="0"/>
    <s v="14/07/2023"/>
    <s v="14/07/2023"/>
    <m/>
    <x v="2"/>
    <x v="1707"/>
    <x v="226"/>
  </r>
  <r>
    <x v="8"/>
    <x v="5"/>
    <x v="9"/>
    <s v="18/04/2023"/>
    <s v="18/04/2023"/>
    <m/>
    <x v="0"/>
    <x v="1708"/>
    <x v="415"/>
  </r>
  <r>
    <x v="4"/>
    <x v="4"/>
    <x v="11"/>
    <s v="14/06/2023"/>
    <s v="14/06/2023"/>
    <m/>
    <x v="4"/>
    <x v="1709"/>
    <x v="72"/>
  </r>
  <r>
    <x v="4"/>
    <x v="0"/>
    <x v="7"/>
    <s v="15/04/2023"/>
    <s v="15/04/2023"/>
    <m/>
    <x v="0"/>
    <x v="1710"/>
    <x v="310"/>
  </r>
  <r>
    <x v="14"/>
    <x v="5"/>
    <x v="2"/>
    <s v="19/05/2023"/>
    <s v="19/05/2023"/>
    <m/>
    <x v="7"/>
    <x v="1711"/>
    <x v="360"/>
  </r>
  <r>
    <x v="2"/>
    <x v="1"/>
    <x v="14"/>
    <s v="13/04/2023"/>
    <s v="13/04/2023"/>
    <m/>
    <x v="0"/>
    <x v="1712"/>
    <x v="0"/>
  </r>
  <r>
    <x v="15"/>
    <x v="5"/>
    <x v="18"/>
    <s v="15/08/2023"/>
    <s v="15/08/2023"/>
    <m/>
    <x v="8"/>
    <x v="1713"/>
    <x v="209"/>
  </r>
  <r>
    <x v="18"/>
    <x v="1"/>
    <x v="18"/>
    <s v="22/08/2023"/>
    <s v="22/08/2023"/>
    <m/>
    <x v="8"/>
    <x v="1714"/>
    <x v="54"/>
  </r>
  <r>
    <x v="18"/>
    <x v="3"/>
    <x v="19"/>
    <s v="22/04/2023"/>
    <s v="22/04/2023"/>
    <m/>
    <x v="0"/>
    <x v="1715"/>
    <x v="360"/>
  </r>
  <r>
    <x v="16"/>
    <x v="0"/>
    <x v="18"/>
    <d v="2023-03-08T00:00:00"/>
    <s v="08/03/2023"/>
    <m/>
    <x v="5"/>
    <x v="1716"/>
    <x v="105"/>
  </r>
  <r>
    <x v="17"/>
    <x v="3"/>
    <x v="10"/>
    <d v="2023-04-01T00:00:00"/>
    <s v="01/04/2023"/>
    <m/>
    <x v="0"/>
    <x v="1717"/>
    <x v="272"/>
  </r>
  <r>
    <x v="20"/>
    <x v="5"/>
    <x v="5"/>
    <s v="13/01/2023"/>
    <s v="13/01/2023"/>
    <m/>
    <x v="1"/>
    <x v="1718"/>
    <x v="202"/>
  </r>
  <r>
    <x v="1"/>
    <x v="2"/>
    <x v="19"/>
    <d v="2023-11-05T00:00:00"/>
    <s v="05/11/2023"/>
    <m/>
    <x v="10"/>
    <x v="1719"/>
    <x v="314"/>
  </r>
  <r>
    <x v="15"/>
    <x v="3"/>
    <x v="2"/>
    <s v="16/02/2023"/>
    <s v="16/02/2023"/>
    <m/>
    <x v="3"/>
    <x v="1720"/>
    <x v="309"/>
  </r>
  <r>
    <x v="16"/>
    <x v="0"/>
    <x v="20"/>
    <s v="20/05/2023"/>
    <s v="20/05/2023"/>
    <m/>
    <x v="7"/>
    <x v="1721"/>
    <x v="274"/>
  </r>
  <r>
    <x v="0"/>
    <x v="0"/>
    <x v="9"/>
    <d v="2023-03-02T00:00:00"/>
    <s v="02/03/2023"/>
    <m/>
    <x v="5"/>
    <x v="1722"/>
    <x v="403"/>
  </r>
  <r>
    <x v="12"/>
    <x v="1"/>
    <x v="15"/>
    <d v="2023-06-05T00:00:00"/>
    <s v="05/06/2023"/>
    <m/>
    <x v="4"/>
    <x v="1723"/>
    <x v="141"/>
  </r>
  <r>
    <x v="5"/>
    <x v="0"/>
    <x v="18"/>
    <s v="30/06/2023"/>
    <s v="30/06/2023"/>
    <m/>
    <x v="4"/>
    <x v="1724"/>
    <x v="97"/>
  </r>
  <r>
    <x v="5"/>
    <x v="0"/>
    <x v="3"/>
    <s v="22/03/2023"/>
    <s v="22/03/2023"/>
    <m/>
    <x v="5"/>
    <x v="1725"/>
    <x v="191"/>
  </r>
  <r>
    <x v="21"/>
    <x v="5"/>
    <x v="7"/>
    <s v="17/02/2023"/>
    <s v="17/02/2023"/>
    <m/>
    <x v="3"/>
    <x v="1726"/>
    <x v="193"/>
  </r>
  <r>
    <x v="0"/>
    <x v="0"/>
    <x v="1"/>
    <d v="2023-07-07T00:00:00"/>
    <s v="07/07/2023"/>
    <m/>
    <x v="2"/>
    <x v="1727"/>
    <x v="357"/>
  </r>
  <r>
    <x v="4"/>
    <x v="0"/>
    <x v="21"/>
    <s v="16/03/2023"/>
    <s v="16/03/2023"/>
    <m/>
    <x v="5"/>
    <x v="1728"/>
    <x v="142"/>
  </r>
  <r>
    <x v="20"/>
    <x v="0"/>
    <x v="4"/>
    <d v="2023-12-08T00:00:00"/>
    <s v="08/12/2023"/>
    <m/>
    <x v="11"/>
    <x v="1729"/>
    <x v="358"/>
  </r>
  <r>
    <x v="2"/>
    <x v="3"/>
    <x v="5"/>
    <s v="21/01/2023"/>
    <s v="21/01/2023"/>
    <m/>
    <x v="1"/>
    <x v="1730"/>
    <x v="126"/>
  </r>
  <r>
    <x v="4"/>
    <x v="2"/>
    <x v="6"/>
    <d v="2023-06-05T00:00:00"/>
    <s v="05/06/2023"/>
    <m/>
    <x v="4"/>
    <x v="1731"/>
    <x v="234"/>
  </r>
  <r>
    <x v="4"/>
    <x v="5"/>
    <x v="6"/>
    <s v="24/06/2023"/>
    <s v="24/06/2023"/>
    <m/>
    <x v="4"/>
    <x v="1732"/>
    <x v="17"/>
  </r>
  <r>
    <x v="8"/>
    <x v="4"/>
    <x v="14"/>
    <d v="2023-05-05T00:00:00"/>
    <s v="05/05/2023"/>
    <m/>
    <x v="7"/>
    <x v="1733"/>
    <x v="95"/>
  </r>
  <r>
    <x v="7"/>
    <x v="3"/>
    <x v="4"/>
    <s v="25/03/2023"/>
    <s v="25/03/2023"/>
    <m/>
    <x v="5"/>
    <x v="1734"/>
    <x v="243"/>
  </r>
  <r>
    <x v="14"/>
    <x v="2"/>
    <x v="20"/>
    <s v="14/02/2023"/>
    <s v="14/02/2023"/>
    <m/>
    <x v="3"/>
    <x v="1735"/>
    <x v="128"/>
  </r>
  <r>
    <x v="14"/>
    <x v="3"/>
    <x v="1"/>
    <d v="2023-12-05T00:00:00"/>
    <s v="05/12/2023"/>
    <m/>
    <x v="11"/>
    <x v="1736"/>
    <x v="0"/>
  </r>
  <r>
    <x v="8"/>
    <x v="3"/>
    <x v="3"/>
    <s v="25/01/2023"/>
    <s v="25/01/2023"/>
    <m/>
    <x v="1"/>
    <x v="1737"/>
    <x v="19"/>
  </r>
  <r>
    <x v="24"/>
    <x v="0"/>
    <x v="1"/>
    <s v="28/06/2023"/>
    <s v="28/06/2023"/>
    <m/>
    <x v="4"/>
    <x v="1738"/>
    <x v="11"/>
  </r>
  <r>
    <x v="17"/>
    <x v="2"/>
    <x v="9"/>
    <s v="13/07/2023"/>
    <s v="13/07/2023"/>
    <m/>
    <x v="2"/>
    <x v="1739"/>
    <x v="43"/>
  </r>
  <r>
    <x v="13"/>
    <x v="4"/>
    <x v="11"/>
    <s v="16/05/2023"/>
    <s v="16/05/2023"/>
    <m/>
    <x v="7"/>
    <x v="1740"/>
    <x v="382"/>
  </r>
  <r>
    <x v="3"/>
    <x v="1"/>
    <x v="5"/>
    <s v="14/03/2023"/>
    <s v="14/03/2023"/>
    <m/>
    <x v="5"/>
    <x v="1741"/>
    <x v="50"/>
  </r>
  <r>
    <x v="5"/>
    <x v="4"/>
    <x v="5"/>
    <s v="15/08/2023"/>
    <s v="15/08/2023"/>
    <m/>
    <x v="8"/>
    <x v="1742"/>
    <x v="171"/>
  </r>
  <r>
    <x v="24"/>
    <x v="1"/>
    <x v="7"/>
    <s v="16/02/2023"/>
    <s v="16/02/2023"/>
    <m/>
    <x v="3"/>
    <x v="1743"/>
    <x v="322"/>
  </r>
  <r>
    <x v="9"/>
    <x v="0"/>
    <x v="15"/>
    <s v="15/06/2023"/>
    <s v="15/06/2023"/>
    <m/>
    <x v="4"/>
    <x v="1744"/>
    <x v="121"/>
  </r>
  <r>
    <x v="8"/>
    <x v="2"/>
    <x v="17"/>
    <s v="27/05/2023"/>
    <s v="27/05/2023"/>
    <m/>
    <x v="7"/>
    <x v="1745"/>
    <x v="239"/>
  </r>
  <r>
    <x v="18"/>
    <x v="4"/>
    <x v="9"/>
    <s v="14/06/2023"/>
    <s v="14/06/2023"/>
    <m/>
    <x v="4"/>
    <x v="1746"/>
    <x v="200"/>
  </r>
  <r>
    <x v="18"/>
    <x v="1"/>
    <x v="8"/>
    <s v="25/02/2023"/>
    <s v="25/02/2023"/>
    <m/>
    <x v="3"/>
    <x v="1747"/>
    <x v="88"/>
  </r>
  <r>
    <x v="18"/>
    <x v="1"/>
    <x v="5"/>
    <d v="2023-04-08T00:00:00"/>
    <s v="08/04/2023"/>
    <m/>
    <x v="0"/>
    <x v="1748"/>
    <x v="171"/>
  </r>
  <r>
    <x v="20"/>
    <x v="1"/>
    <x v="4"/>
    <s v="28/06/2023"/>
    <s v="28/06/2023"/>
    <m/>
    <x v="4"/>
    <x v="1749"/>
    <x v="290"/>
  </r>
  <r>
    <x v="5"/>
    <x v="5"/>
    <x v="12"/>
    <d v="2023-05-04T00:00:00"/>
    <s v="04/05/2023"/>
    <m/>
    <x v="7"/>
    <x v="1750"/>
    <x v="129"/>
  </r>
  <r>
    <x v="22"/>
    <x v="5"/>
    <x v="2"/>
    <d v="2023-05-07T00:00:00"/>
    <s v="07/05/2023"/>
    <m/>
    <x v="7"/>
    <x v="1751"/>
    <x v="30"/>
  </r>
  <r>
    <x v="16"/>
    <x v="3"/>
    <x v="8"/>
    <s v="20/01/2023"/>
    <s v="20/01/2023"/>
    <m/>
    <x v="1"/>
    <x v="1752"/>
    <x v="99"/>
  </r>
  <r>
    <x v="24"/>
    <x v="3"/>
    <x v="9"/>
    <s v="16/02/2023"/>
    <s v="16/02/2023"/>
    <m/>
    <x v="3"/>
    <x v="1753"/>
    <x v="197"/>
  </r>
  <r>
    <x v="14"/>
    <x v="0"/>
    <x v="9"/>
    <d v="2023-12-07T00:00:00"/>
    <s v="07/12/2023"/>
    <m/>
    <x v="11"/>
    <x v="1754"/>
    <x v="251"/>
  </r>
  <r>
    <x v="20"/>
    <x v="1"/>
    <x v="17"/>
    <s v="16/06/2023"/>
    <s v="16/06/2023"/>
    <m/>
    <x v="4"/>
    <x v="1755"/>
    <x v="242"/>
  </r>
  <r>
    <x v="23"/>
    <x v="2"/>
    <x v="18"/>
    <s v="13/04/2023"/>
    <s v="13/04/2023"/>
    <m/>
    <x v="0"/>
    <x v="1756"/>
    <x v="173"/>
  </r>
  <r>
    <x v="16"/>
    <x v="0"/>
    <x v="6"/>
    <s v="21/02/2023"/>
    <s v="21/02/2023"/>
    <m/>
    <x v="3"/>
    <x v="1757"/>
    <x v="36"/>
  </r>
  <r>
    <x v="13"/>
    <x v="5"/>
    <x v="18"/>
    <d v="2023-11-05T00:00:00"/>
    <s v="05/11/2023"/>
    <m/>
    <x v="10"/>
    <x v="1758"/>
    <x v="356"/>
  </r>
  <r>
    <x v="24"/>
    <x v="1"/>
    <x v="6"/>
    <s v="15/04/2023"/>
    <s v="15/04/2023"/>
    <m/>
    <x v="0"/>
    <x v="1759"/>
    <x v="276"/>
  </r>
  <r>
    <x v="4"/>
    <x v="5"/>
    <x v="2"/>
    <d v="2023-07-06T00:00:00"/>
    <s v="06/07/2023"/>
    <m/>
    <x v="2"/>
    <x v="1760"/>
    <x v="50"/>
  </r>
  <r>
    <x v="4"/>
    <x v="0"/>
    <x v="14"/>
    <s v="27/06/2023"/>
    <s v="27/06/2023"/>
    <m/>
    <x v="4"/>
    <x v="1761"/>
    <x v="232"/>
  </r>
  <r>
    <x v="8"/>
    <x v="1"/>
    <x v="5"/>
    <s v="29/07/2023"/>
    <s v="29/07/2023"/>
    <m/>
    <x v="2"/>
    <x v="1762"/>
    <x v="130"/>
  </r>
  <r>
    <x v="18"/>
    <x v="5"/>
    <x v="3"/>
    <d v="2023-02-06T00:00:00"/>
    <s v="06/02/2023"/>
    <m/>
    <x v="3"/>
    <x v="1763"/>
    <x v="364"/>
  </r>
  <r>
    <x v="7"/>
    <x v="1"/>
    <x v="0"/>
    <s v="26/01/2023"/>
    <s v="26/01/2023"/>
    <m/>
    <x v="1"/>
    <x v="1764"/>
    <x v="2"/>
  </r>
  <r>
    <x v="7"/>
    <x v="5"/>
    <x v="4"/>
    <d v="2023-02-03T00:00:00"/>
    <s v="03/02/2023"/>
    <m/>
    <x v="3"/>
    <x v="1765"/>
    <x v="17"/>
  </r>
  <r>
    <x v="1"/>
    <x v="2"/>
    <x v="21"/>
    <d v="2023-10-01T00:00:00"/>
    <s v="01/10/2023"/>
    <m/>
    <x v="6"/>
    <x v="1766"/>
    <x v="80"/>
  </r>
  <r>
    <x v="12"/>
    <x v="4"/>
    <x v="21"/>
    <s v="27/06/2023"/>
    <s v="27/06/2023"/>
    <m/>
    <x v="4"/>
    <x v="1767"/>
    <x v="118"/>
  </r>
  <r>
    <x v="8"/>
    <x v="5"/>
    <x v="7"/>
    <s v="30/06/2023"/>
    <s v="30/06/2023"/>
    <m/>
    <x v="4"/>
    <x v="1768"/>
    <x v="166"/>
  </r>
  <r>
    <x v="13"/>
    <x v="2"/>
    <x v="1"/>
    <d v="2023-08-07T00:00:00"/>
    <s v="07/08/2023"/>
    <m/>
    <x v="8"/>
    <x v="1769"/>
    <x v="376"/>
  </r>
  <r>
    <x v="4"/>
    <x v="1"/>
    <x v="12"/>
    <d v="2023-08-06T00:00:00"/>
    <s v="06/08/2023"/>
    <m/>
    <x v="8"/>
    <x v="1770"/>
    <x v="189"/>
  </r>
  <r>
    <x v="3"/>
    <x v="0"/>
    <x v="15"/>
    <s v="18/08/2023"/>
    <s v="18/08/2023"/>
    <m/>
    <x v="8"/>
    <x v="1771"/>
    <x v="391"/>
  </r>
  <r>
    <x v="16"/>
    <x v="2"/>
    <x v="5"/>
    <d v="2023-08-04T00:00:00"/>
    <s v="04/08/2023"/>
    <m/>
    <x v="8"/>
    <x v="1772"/>
    <x v="308"/>
  </r>
  <r>
    <x v="18"/>
    <x v="5"/>
    <x v="13"/>
    <d v="2023-08-08T00:00:00"/>
    <s v="08/08/2023"/>
    <m/>
    <x v="8"/>
    <x v="1773"/>
    <x v="6"/>
  </r>
  <r>
    <x v="18"/>
    <x v="0"/>
    <x v="11"/>
    <s v="26/08/2023"/>
    <s v="26/08/2023"/>
    <m/>
    <x v="8"/>
    <x v="1774"/>
    <x v="10"/>
  </r>
  <r>
    <x v="4"/>
    <x v="5"/>
    <x v="13"/>
    <s v="14/01/2023"/>
    <s v="14/01/2023"/>
    <m/>
    <x v="1"/>
    <x v="1775"/>
    <x v="412"/>
  </r>
  <r>
    <x v="17"/>
    <x v="4"/>
    <x v="19"/>
    <d v="2023-11-08T00:00:00"/>
    <s v="08/11/2023"/>
    <m/>
    <x v="10"/>
    <x v="1776"/>
    <x v="452"/>
  </r>
  <r>
    <x v="22"/>
    <x v="4"/>
    <x v="16"/>
    <s v="31/05/2023"/>
    <s v="31/05/2023"/>
    <m/>
    <x v="7"/>
    <x v="1777"/>
    <x v="51"/>
  </r>
  <r>
    <x v="1"/>
    <x v="3"/>
    <x v="6"/>
    <d v="2023-11-07T00:00:00"/>
    <s v="07/11/2023"/>
    <m/>
    <x v="10"/>
    <x v="1778"/>
    <x v="11"/>
  </r>
  <r>
    <x v="10"/>
    <x v="5"/>
    <x v="20"/>
    <d v="2023-02-03T00:00:00"/>
    <s v="03/02/2023"/>
    <m/>
    <x v="3"/>
    <x v="1779"/>
    <x v="326"/>
  </r>
  <r>
    <x v="22"/>
    <x v="2"/>
    <x v="17"/>
    <s v="13/07/2023"/>
    <s v="13/07/2023"/>
    <m/>
    <x v="2"/>
    <x v="1780"/>
    <x v="1"/>
  </r>
  <r>
    <x v="7"/>
    <x v="0"/>
    <x v="12"/>
    <d v="2023-03-08T00:00:00"/>
    <s v="08/03/2023"/>
    <m/>
    <x v="5"/>
    <x v="1781"/>
    <x v="418"/>
  </r>
  <r>
    <x v="14"/>
    <x v="0"/>
    <x v="2"/>
    <d v="2023-01-03T00:00:00"/>
    <s v="03/01/2023"/>
    <m/>
    <x v="1"/>
    <x v="1782"/>
    <x v="95"/>
  </r>
  <r>
    <x v="20"/>
    <x v="3"/>
    <x v="14"/>
    <s v="13/04/2023"/>
    <s v="13/04/2023"/>
    <m/>
    <x v="0"/>
    <x v="1783"/>
    <x v="265"/>
  </r>
  <r>
    <x v="12"/>
    <x v="5"/>
    <x v="13"/>
    <s v="14/02/2023"/>
    <s v="14/02/2023"/>
    <m/>
    <x v="3"/>
    <x v="1784"/>
    <x v="19"/>
  </r>
  <r>
    <x v="9"/>
    <x v="1"/>
    <x v="14"/>
    <s v="26/07/2023"/>
    <s v="26/07/2023"/>
    <m/>
    <x v="2"/>
    <x v="1785"/>
    <x v="272"/>
  </r>
  <r>
    <x v="6"/>
    <x v="0"/>
    <x v="9"/>
    <s v="27/01/2023"/>
    <s v="27/01/2023"/>
    <m/>
    <x v="1"/>
    <x v="1786"/>
    <x v="120"/>
  </r>
  <r>
    <x v="0"/>
    <x v="1"/>
    <x v="2"/>
    <s v="14/04/2023"/>
    <s v="14/04/2023"/>
    <m/>
    <x v="0"/>
    <x v="1787"/>
    <x v="453"/>
  </r>
  <r>
    <x v="4"/>
    <x v="4"/>
    <x v="16"/>
    <s v="19/05/2023"/>
    <s v="19/05/2023"/>
    <m/>
    <x v="7"/>
    <x v="1788"/>
    <x v="42"/>
  </r>
  <r>
    <x v="15"/>
    <x v="1"/>
    <x v="8"/>
    <d v="2023-09-02T00:00:00"/>
    <s v="02/09/2023"/>
    <m/>
    <x v="9"/>
    <x v="1789"/>
    <x v="60"/>
  </r>
  <r>
    <x v="6"/>
    <x v="0"/>
    <x v="12"/>
    <s v="25/05/2023"/>
    <s v="25/05/2023"/>
    <m/>
    <x v="7"/>
    <x v="1790"/>
    <x v="203"/>
  </r>
  <r>
    <x v="4"/>
    <x v="2"/>
    <x v="15"/>
    <s v="26/01/2023"/>
    <s v="26/01/2023"/>
    <m/>
    <x v="1"/>
    <x v="1791"/>
    <x v="88"/>
  </r>
  <r>
    <x v="12"/>
    <x v="1"/>
    <x v="14"/>
    <d v="2023-04-07T00:00:00"/>
    <s v="07/04/2023"/>
    <m/>
    <x v="0"/>
    <x v="1792"/>
    <x v="369"/>
  </r>
  <r>
    <x v="24"/>
    <x v="1"/>
    <x v="16"/>
    <s v="13/04/2023"/>
    <s v="13/04/2023"/>
    <m/>
    <x v="0"/>
    <x v="1793"/>
    <x v="88"/>
  </r>
  <r>
    <x v="2"/>
    <x v="2"/>
    <x v="3"/>
    <s v="25/01/2023"/>
    <s v="25/01/2023"/>
    <m/>
    <x v="1"/>
    <x v="1794"/>
    <x v="118"/>
  </r>
  <r>
    <x v="21"/>
    <x v="4"/>
    <x v="1"/>
    <s v="25/04/2023"/>
    <s v="25/04/2023"/>
    <m/>
    <x v="0"/>
    <x v="1795"/>
    <x v="88"/>
  </r>
  <r>
    <x v="21"/>
    <x v="4"/>
    <x v="8"/>
    <d v="2023-10-06T00:00:00"/>
    <s v="06/10/2023"/>
    <m/>
    <x v="6"/>
    <x v="1796"/>
    <x v="74"/>
  </r>
  <r>
    <x v="22"/>
    <x v="3"/>
    <x v="14"/>
    <s v="22/08/2023"/>
    <s v="22/08/2023"/>
    <m/>
    <x v="8"/>
    <x v="1797"/>
    <x v="60"/>
  </r>
  <r>
    <x v="1"/>
    <x v="1"/>
    <x v="5"/>
    <s v="27/06/2023"/>
    <s v="27/06/2023"/>
    <m/>
    <x v="4"/>
    <x v="1798"/>
    <x v="219"/>
  </r>
  <r>
    <x v="15"/>
    <x v="1"/>
    <x v="7"/>
    <s v="30/06/2023"/>
    <s v="30/06/2023"/>
    <m/>
    <x v="4"/>
    <x v="1799"/>
    <x v="91"/>
  </r>
  <r>
    <x v="0"/>
    <x v="1"/>
    <x v="16"/>
    <s v="30/08/2023"/>
    <s v="30/08/2023"/>
    <m/>
    <x v="8"/>
    <x v="1800"/>
    <x v="164"/>
  </r>
  <r>
    <x v="10"/>
    <x v="2"/>
    <x v="17"/>
    <s v="23/08/2023"/>
    <s v="23/08/2023"/>
    <m/>
    <x v="8"/>
    <x v="1801"/>
    <x v="203"/>
  </r>
  <r>
    <x v="21"/>
    <x v="3"/>
    <x v="4"/>
    <s v="26/08/2023"/>
    <s v="26/08/2023"/>
    <m/>
    <x v="8"/>
    <x v="1802"/>
    <x v="121"/>
  </r>
  <r>
    <x v="2"/>
    <x v="2"/>
    <x v="7"/>
    <d v="2023-09-03T00:00:00"/>
    <s v="03/09/2023"/>
    <m/>
    <x v="9"/>
    <x v="1803"/>
    <x v="191"/>
  </r>
  <r>
    <x v="20"/>
    <x v="0"/>
    <x v="9"/>
    <s v="20/04/2023"/>
    <s v="20/04/2023"/>
    <m/>
    <x v="0"/>
    <x v="1804"/>
    <x v="51"/>
  </r>
  <r>
    <x v="9"/>
    <x v="5"/>
    <x v="20"/>
    <d v="2023-10-06T00:00:00"/>
    <s v="06/10/2023"/>
    <m/>
    <x v="6"/>
    <x v="1805"/>
    <x v="104"/>
  </r>
  <r>
    <x v="15"/>
    <x v="2"/>
    <x v="10"/>
    <d v="2023-08-02T00:00:00"/>
    <s v="02/08/2023"/>
    <m/>
    <x v="8"/>
    <x v="1806"/>
    <x v="277"/>
  </r>
  <r>
    <x v="6"/>
    <x v="2"/>
    <x v="14"/>
    <s v="25/08/2023"/>
    <s v="25/08/2023"/>
    <m/>
    <x v="8"/>
    <x v="1807"/>
    <x v="47"/>
  </r>
  <r>
    <x v="23"/>
    <x v="1"/>
    <x v="2"/>
    <s v="16/02/2023"/>
    <s v="16/02/2023"/>
    <m/>
    <x v="3"/>
    <x v="1808"/>
    <x v="151"/>
  </r>
  <r>
    <x v="17"/>
    <x v="0"/>
    <x v="4"/>
    <s v="30/05/2023"/>
    <s v="30/05/2023"/>
    <m/>
    <x v="7"/>
    <x v="1809"/>
    <x v="135"/>
  </r>
  <r>
    <x v="2"/>
    <x v="3"/>
    <x v="6"/>
    <s v="29/06/2023"/>
    <s v="29/06/2023"/>
    <m/>
    <x v="4"/>
    <x v="1810"/>
    <x v="81"/>
  </r>
  <r>
    <x v="2"/>
    <x v="4"/>
    <x v="11"/>
    <s v="16/06/2023"/>
    <s v="16/06/2023"/>
    <m/>
    <x v="4"/>
    <x v="1811"/>
    <x v="97"/>
  </r>
  <r>
    <x v="6"/>
    <x v="0"/>
    <x v="20"/>
    <d v="2023-04-03T00:00:00"/>
    <s v="03/04/2023"/>
    <m/>
    <x v="0"/>
    <x v="1812"/>
    <x v="181"/>
  </r>
  <r>
    <x v="14"/>
    <x v="3"/>
    <x v="2"/>
    <s v="15/03/2023"/>
    <s v="15/03/2023"/>
    <m/>
    <x v="5"/>
    <x v="1813"/>
    <x v="454"/>
  </r>
  <r>
    <x v="14"/>
    <x v="3"/>
    <x v="6"/>
    <s v="27/01/2023"/>
    <s v="27/01/2023"/>
    <m/>
    <x v="1"/>
    <x v="1814"/>
    <x v="20"/>
  </r>
  <r>
    <x v="12"/>
    <x v="5"/>
    <x v="9"/>
    <d v="2023-05-07T00:00:00"/>
    <s v="07/05/2023"/>
    <m/>
    <x v="7"/>
    <x v="1815"/>
    <x v="24"/>
  </r>
  <r>
    <x v="8"/>
    <x v="4"/>
    <x v="20"/>
    <s v="29/03/2023"/>
    <s v="29/03/2023"/>
    <m/>
    <x v="5"/>
    <x v="1816"/>
    <x v="268"/>
  </r>
  <r>
    <x v="9"/>
    <x v="5"/>
    <x v="16"/>
    <d v="2023-12-05T00:00:00"/>
    <s v="05/12/2023"/>
    <m/>
    <x v="11"/>
    <x v="1817"/>
    <x v="175"/>
  </r>
  <r>
    <x v="4"/>
    <x v="4"/>
    <x v="9"/>
    <d v="2023-11-03T00:00:00"/>
    <s v="03/11/2023"/>
    <m/>
    <x v="10"/>
    <x v="1818"/>
    <x v="99"/>
  </r>
  <r>
    <x v="6"/>
    <x v="3"/>
    <x v="8"/>
    <d v="2023-11-07T00:00:00"/>
    <s v="07/11/2023"/>
    <m/>
    <x v="10"/>
    <x v="1819"/>
    <x v="369"/>
  </r>
  <r>
    <x v="5"/>
    <x v="3"/>
    <x v="18"/>
    <d v="2023-01-08T00:00:00"/>
    <s v="08/01/2023"/>
    <m/>
    <x v="1"/>
    <x v="1820"/>
    <x v="203"/>
  </r>
  <r>
    <x v="5"/>
    <x v="0"/>
    <x v="12"/>
    <s v="16/02/2023"/>
    <s v="16/02/2023"/>
    <m/>
    <x v="3"/>
    <x v="1821"/>
    <x v="294"/>
  </r>
  <r>
    <x v="14"/>
    <x v="4"/>
    <x v="5"/>
    <s v="13/04/2023"/>
    <s v="13/04/2023"/>
    <m/>
    <x v="0"/>
    <x v="1822"/>
    <x v="172"/>
  </r>
  <r>
    <x v="4"/>
    <x v="1"/>
    <x v="18"/>
    <s v="14/02/2023"/>
    <s v="14/02/2023"/>
    <m/>
    <x v="3"/>
    <x v="1823"/>
    <x v="432"/>
  </r>
  <r>
    <x v="24"/>
    <x v="2"/>
    <x v="2"/>
    <s v="14/03/2023"/>
    <s v="14/03/2023"/>
    <m/>
    <x v="5"/>
    <x v="1824"/>
    <x v="7"/>
  </r>
  <r>
    <x v="4"/>
    <x v="2"/>
    <x v="12"/>
    <s v="26/04/2023"/>
    <s v="26/04/2023"/>
    <m/>
    <x v="0"/>
    <x v="1825"/>
    <x v="217"/>
  </r>
  <r>
    <x v="0"/>
    <x v="5"/>
    <x v="15"/>
    <d v="2023-05-04T00:00:00"/>
    <s v="04/05/2023"/>
    <m/>
    <x v="7"/>
    <x v="1826"/>
    <x v="192"/>
  </r>
  <r>
    <x v="21"/>
    <x v="5"/>
    <x v="9"/>
    <d v="2023-03-03T00:00:00"/>
    <s v="03/03/2023"/>
    <m/>
    <x v="5"/>
    <x v="1827"/>
    <x v="416"/>
  </r>
  <r>
    <x v="16"/>
    <x v="4"/>
    <x v="12"/>
    <s v="13/06/2023"/>
    <s v="13/06/2023"/>
    <m/>
    <x v="4"/>
    <x v="1828"/>
    <x v="333"/>
  </r>
  <r>
    <x v="11"/>
    <x v="3"/>
    <x v="21"/>
    <s v="14/02/2023"/>
    <s v="14/02/2023"/>
    <m/>
    <x v="3"/>
    <x v="1829"/>
    <x v="427"/>
  </r>
  <r>
    <x v="13"/>
    <x v="3"/>
    <x v="4"/>
    <s v="18/04/2023"/>
    <s v="18/04/2023"/>
    <m/>
    <x v="0"/>
    <x v="1830"/>
    <x v="43"/>
  </r>
  <r>
    <x v="4"/>
    <x v="3"/>
    <x v="1"/>
    <d v="2023-01-02T00:00:00"/>
    <s v="02/01/2023"/>
    <m/>
    <x v="1"/>
    <x v="1831"/>
    <x v="455"/>
  </r>
  <r>
    <x v="23"/>
    <x v="3"/>
    <x v="7"/>
    <d v="2023-04-08T00:00:00"/>
    <s v="08/04/2023"/>
    <m/>
    <x v="0"/>
    <x v="1832"/>
    <x v="277"/>
  </r>
  <r>
    <x v="19"/>
    <x v="3"/>
    <x v="16"/>
    <d v="2023-05-04T00:00:00"/>
    <s v="04/05/2023"/>
    <m/>
    <x v="7"/>
    <x v="1833"/>
    <x v="364"/>
  </r>
  <r>
    <x v="10"/>
    <x v="2"/>
    <x v="4"/>
    <s v="26/01/2023"/>
    <s v="26/01/2023"/>
    <m/>
    <x v="1"/>
    <x v="1834"/>
    <x v="185"/>
  </r>
  <r>
    <x v="16"/>
    <x v="0"/>
    <x v="5"/>
    <s v="21/01/2023"/>
    <s v="21/01/2023"/>
    <m/>
    <x v="1"/>
    <x v="1835"/>
    <x v="333"/>
  </r>
  <r>
    <x v="16"/>
    <x v="5"/>
    <x v="5"/>
    <s v="22/08/2023"/>
    <s v="22/08/2023"/>
    <m/>
    <x v="8"/>
    <x v="1836"/>
    <x v="124"/>
  </r>
  <r>
    <x v="16"/>
    <x v="0"/>
    <x v="9"/>
    <s v="27/01/2023"/>
    <s v="27/01/2023"/>
    <m/>
    <x v="1"/>
    <x v="1837"/>
    <x v="143"/>
  </r>
  <r>
    <x v="7"/>
    <x v="0"/>
    <x v="6"/>
    <s v="16/02/2023"/>
    <s v="16/02/2023"/>
    <m/>
    <x v="3"/>
    <x v="1838"/>
    <x v="7"/>
  </r>
  <r>
    <x v="23"/>
    <x v="4"/>
    <x v="17"/>
    <d v="2023-03-01T00:00:00"/>
    <s v="01/03/2023"/>
    <m/>
    <x v="5"/>
    <x v="1839"/>
    <x v="99"/>
  </r>
  <r>
    <x v="10"/>
    <x v="4"/>
    <x v="14"/>
    <s v="24/08/2023"/>
    <s v="24/08/2023"/>
    <m/>
    <x v="8"/>
    <x v="1840"/>
    <x v="236"/>
  </r>
  <r>
    <x v="4"/>
    <x v="4"/>
    <x v="12"/>
    <d v="2023-07-02T00:00:00"/>
    <s v="02/07/2023"/>
    <m/>
    <x v="2"/>
    <x v="1841"/>
    <x v="327"/>
  </r>
  <r>
    <x v="9"/>
    <x v="2"/>
    <x v="3"/>
    <d v="2023-11-02T00:00:00"/>
    <s v="02/11/2023"/>
    <m/>
    <x v="10"/>
    <x v="1842"/>
    <x v="118"/>
  </r>
  <r>
    <x v="16"/>
    <x v="5"/>
    <x v="10"/>
    <s v="29/03/2023"/>
    <s v="29/03/2023"/>
    <m/>
    <x v="5"/>
    <x v="1843"/>
    <x v="148"/>
  </r>
  <r>
    <x v="11"/>
    <x v="4"/>
    <x v="2"/>
    <s v="15/06/2023"/>
    <s v="15/06/2023"/>
    <m/>
    <x v="4"/>
    <x v="1844"/>
    <x v="371"/>
  </r>
  <r>
    <x v="17"/>
    <x v="0"/>
    <x v="3"/>
    <s v="26/04/2023"/>
    <s v="26/04/2023"/>
    <m/>
    <x v="0"/>
    <x v="1845"/>
    <x v="28"/>
  </r>
  <r>
    <x v="6"/>
    <x v="2"/>
    <x v="10"/>
    <s v="15/07/2023"/>
    <s v="15/07/2023"/>
    <m/>
    <x v="2"/>
    <x v="1846"/>
    <x v="237"/>
  </r>
  <r>
    <x v="12"/>
    <x v="1"/>
    <x v="10"/>
    <s v="23/06/2023"/>
    <s v="23/06/2023"/>
    <m/>
    <x v="4"/>
    <x v="1847"/>
    <x v="108"/>
  </r>
  <r>
    <x v="17"/>
    <x v="2"/>
    <x v="19"/>
    <d v="2023-11-01T00:00:00"/>
    <s v="01/11/2023"/>
    <m/>
    <x v="10"/>
    <x v="1848"/>
    <x v="456"/>
  </r>
  <r>
    <x v="12"/>
    <x v="0"/>
    <x v="6"/>
    <d v="2023-09-02T00:00:00"/>
    <s v="02/09/2023"/>
    <m/>
    <x v="9"/>
    <x v="1849"/>
    <x v="421"/>
  </r>
  <r>
    <x v="1"/>
    <x v="0"/>
    <x v="16"/>
    <d v="2023-06-06T00:00:00"/>
    <s v="06/06/2023"/>
    <m/>
    <x v="4"/>
    <x v="1850"/>
    <x v="384"/>
  </r>
  <r>
    <x v="23"/>
    <x v="0"/>
    <x v="20"/>
    <d v="2023-10-08T00:00:00"/>
    <s v="08/10/2023"/>
    <m/>
    <x v="6"/>
    <x v="1851"/>
    <x v="457"/>
  </r>
  <r>
    <x v="18"/>
    <x v="2"/>
    <x v="3"/>
    <d v="2023-04-01T00:00:00"/>
    <s v="01/04/2023"/>
    <m/>
    <x v="0"/>
    <x v="1852"/>
    <x v="121"/>
  </r>
  <r>
    <x v="19"/>
    <x v="5"/>
    <x v="21"/>
    <d v="2023-08-04T00:00:00"/>
    <s v="04/08/2023"/>
    <m/>
    <x v="8"/>
    <x v="1853"/>
    <x v="39"/>
  </r>
  <r>
    <x v="8"/>
    <x v="0"/>
    <x v="11"/>
    <d v="2023-02-03T00:00:00"/>
    <s v="03/02/2023"/>
    <m/>
    <x v="3"/>
    <x v="1854"/>
    <x v="222"/>
  </r>
  <r>
    <x v="1"/>
    <x v="5"/>
    <x v="9"/>
    <s v="15/06/2023"/>
    <s v="15/06/2023"/>
    <m/>
    <x v="4"/>
    <x v="1855"/>
    <x v="458"/>
  </r>
  <r>
    <x v="0"/>
    <x v="2"/>
    <x v="5"/>
    <s v="14/02/2023"/>
    <s v="14/02/2023"/>
    <m/>
    <x v="3"/>
    <x v="1856"/>
    <x v="194"/>
  </r>
  <r>
    <x v="15"/>
    <x v="0"/>
    <x v="5"/>
    <d v="2023-05-07T00:00:00"/>
    <s v="07/05/2023"/>
    <m/>
    <x v="7"/>
    <x v="1857"/>
    <x v="408"/>
  </r>
  <r>
    <x v="8"/>
    <x v="1"/>
    <x v="0"/>
    <d v="2023-12-01T00:00:00"/>
    <s v="01/12/2023"/>
    <m/>
    <x v="11"/>
    <x v="1858"/>
    <x v="459"/>
  </r>
  <r>
    <x v="14"/>
    <x v="1"/>
    <x v="0"/>
    <d v="2023-03-03T00:00:00"/>
    <s v="03/03/2023"/>
    <m/>
    <x v="5"/>
    <x v="1859"/>
    <x v="109"/>
  </r>
  <r>
    <x v="0"/>
    <x v="3"/>
    <x v="11"/>
    <s v="18/05/2023"/>
    <s v="18/05/2023"/>
    <m/>
    <x v="7"/>
    <x v="1860"/>
    <x v="304"/>
  </r>
  <r>
    <x v="5"/>
    <x v="1"/>
    <x v="20"/>
    <s v="28/07/2023"/>
    <s v="28/07/2023"/>
    <m/>
    <x v="2"/>
    <x v="1861"/>
    <x v="304"/>
  </r>
  <r>
    <x v="14"/>
    <x v="0"/>
    <x v="15"/>
    <d v="2023-07-02T00:00:00"/>
    <s v="02/07/2023"/>
    <m/>
    <x v="2"/>
    <x v="1862"/>
    <x v="73"/>
  </r>
  <r>
    <x v="19"/>
    <x v="1"/>
    <x v="7"/>
    <s v="30/05/2023"/>
    <s v="30/05/2023"/>
    <m/>
    <x v="7"/>
    <x v="1863"/>
    <x v="184"/>
  </r>
  <r>
    <x v="9"/>
    <x v="2"/>
    <x v="17"/>
    <s v="25/04/2023"/>
    <s v="25/04/2023"/>
    <m/>
    <x v="0"/>
    <x v="1864"/>
    <x v="135"/>
  </r>
  <r>
    <x v="12"/>
    <x v="5"/>
    <x v="1"/>
    <s v="16/02/2023"/>
    <s v="16/02/2023"/>
    <m/>
    <x v="3"/>
    <x v="1865"/>
    <x v="110"/>
  </r>
  <r>
    <x v="20"/>
    <x v="2"/>
    <x v="9"/>
    <d v="2023-04-05T00:00:00"/>
    <s v="05/04/2023"/>
    <m/>
    <x v="0"/>
    <x v="1866"/>
    <x v="203"/>
  </r>
  <r>
    <x v="1"/>
    <x v="5"/>
    <x v="21"/>
    <d v="2023-02-06T00:00:00"/>
    <s v="06/02/2023"/>
    <m/>
    <x v="3"/>
    <x v="1867"/>
    <x v="220"/>
  </r>
  <r>
    <x v="17"/>
    <x v="4"/>
    <x v="20"/>
    <d v="2023-11-07T00:00:00"/>
    <s v="07/11/2023"/>
    <m/>
    <x v="10"/>
    <x v="1868"/>
    <x v="460"/>
  </r>
  <r>
    <x v="12"/>
    <x v="3"/>
    <x v="12"/>
    <d v="2023-07-06T00:00:00"/>
    <s v="06/07/2023"/>
    <m/>
    <x v="2"/>
    <x v="1869"/>
    <x v="81"/>
  </r>
  <r>
    <x v="3"/>
    <x v="0"/>
    <x v="16"/>
    <d v="2023-06-07T00:00:00"/>
    <s v="07/06/2023"/>
    <m/>
    <x v="4"/>
    <x v="1870"/>
    <x v="31"/>
  </r>
  <r>
    <x v="15"/>
    <x v="1"/>
    <x v="17"/>
    <s v="15/06/2023"/>
    <s v="15/06/2023"/>
    <m/>
    <x v="4"/>
    <x v="1871"/>
    <x v="212"/>
  </r>
  <r>
    <x v="23"/>
    <x v="1"/>
    <x v="0"/>
    <s v="14/04/2023"/>
    <s v="14/04/2023"/>
    <m/>
    <x v="0"/>
    <x v="1872"/>
    <x v="54"/>
  </r>
  <r>
    <x v="21"/>
    <x v="1"/>
    <x v="9"/>
    <d v="2023-08-08T00:00:00"/>
    <s v="08/08/2023"/>
    <m/>
    <x v="8"/>
    <x v="1873"/>
    <x v="223"/>
  </r>
  <r>
    <x v="11"/>
    <x v="0"/>
    <x v="9"/>
    <s v="29/03/2023"/>
    <s v="29/03/2023"/>
    <m/>
    <x v="5"/>
    <x v="1874"/>
    <x v="206"/>
  </r>
  <r>
    <x v="13"/>
    <x v="2"/>
    <x v="10"/>
    <d v="2023-04-07T00:00:00"/>
    <s v="07/04/2023"/>
    <m/>
    <x v="0"/>
    <x v="1875"/>
    <x v="125"/>
  </r>
  <r>
    <x v="24"/>
    <x v="1"/>
    <x v="4"/>
    <s v="16/02/2023"/>
    <s v="16/02/2023"/>
    <m/>
    <x v="3"/>
    <x v="1876"/>
    <x v="239"/>
  </r>
  <r>
    <x v="7"/>
    <x v="5"/>
    <x v="12"/>
    <d v="2023-02-05T00:00:00"/>
    <s v="05/02/2023"/>
    <m/>
    <x v="3"/>
    <x v="1877"/>
    <x v="22"/>
  </r>
  <r>
    <x v="1"/>
    <x v="1"/>
    <x v="8"/>
    <s v="21/07/2023"/>
    <s v="21/07/2023"/>
    <m/>
    <x v="2"/>
    <x v="1878"/>
    <x v="239"/>
  </r>
  <r>
    <x v="5"/>
    <x v="2"/>
    <x v="4"/>
    <s v="18/08/2023"/>
    <s v="18/08/2023"/>
    <m/>
    <x v="8"/>
    <x v="1879"/>
    <x v="351"/>
  </r>
  <r>
    <x v="16"/>
    <x v="4"/>
    <x v="1"/>
    <s v="22/06/2023"/>
    <s v="22/06/2023"/>
    <m/>
    <x v="4"/>
    <x v="1880"/>
    <x v="322"/>
  </r>
  <r>
    <x v="21"/>
    <x v="0"/>
    <x v="2"/>
    <s v="19/07/2023"/>
    <s v="19/07/2023"/>
    <m/>
    <x v="2"/>
    <x v="1881"/>
    <x v="100"/>
  </r>
  <r>
    <x v="22"/>
    <x v="0"/>
    <x v="2"/>
    <d v="2023-12-08T00:00:00"/>
    <s v="08/12/2023"/>
    <m/>
    <x v="11"/>
    <x v="1882"/>
    <x v="147"/>
  </r>
  <r>
    <x v="22"/>
    <x v="4"/>
    <x v="18"/>
    <d v="2023-07-06T00:00:00"/>
    <s v="06/07/2023"/>
    <m/>
    <x v="2"/>
    <x v="1883"/>
    <x v="418"/>
  </r>
  <r>
    <x v="11"/>
    <x v="5"/>
    <x v="2"/>
    <d v="2023-08-03T00:00:00"/>
    <s v="03/08/2023"/>
    <m/>
    <x v="8"/>
    <x v="1884"/>
    <x v="82"/>
  </r>
  <r>
    <x v="24"/>
    <x v="2"/>
    <x v="18"/>
    <d v="2023-08-04T00:00:00"/>
    <s v="04/08/2023"/>
    <m/>
    <x v="8"/>
    <x v="1885"/>
    <x v="251"/>
  </r>
  <r>
    <x v="14"/>
    <x v="5"/>
    <x v="8"/>
    <d v="2023-06-05T00:00:00"/>
    <s v="05/06/2023"/>
    <m/>
    <x v="4"/>
    <x v="1886"/>
    <x v="342"/>
  </r>
  <r>
    <x v="13"/>
    <x v="1"/>
    <x v="9"/>
    <s v="31/05/2023"/>
    <s v="31/05/2023"/>
    <m/>
    <x v="7"/>
    <x v="1887"/>
    <x v="11"/>
  </r>
  <r>
    <x v="1"/>
    <x v="2"/>
    <x v="0"/>
    <s v="13/01/2023"/>
    <s v="13/01/2023"/>
    <m/>
    <x v="1"/>
    <x v="1888"/>
    <x v="429"/>
  </r>
  <r>
    <x v="17"/>
    <x v="4"/>
    <x v="21"/>
    <s v="15/03/2023"/>
    <s v="15/03/2023"/>
    <m/>
    <x v="5"/>
    <x v="1889"/>
    <x v="376"/>
  </r>
  <r>
    <x v="19"/>
    <x v="5"/>
    <x v="2"/>
    <s v="16/02/2023"/>
    <s v="16/02/2023"/>
    <m/>
    <x v="3"/>
    <x v="1890"/>
    <x v="70"/>
  </r>
  <r>
    <x v="2"/>
    <x v="4"/>
    <x v="21"/>
    <s v="14/01/2023"/>
    <s v="14/01/2023"/>
    <m/>
    <x v="1"/>
    <x v="1891"/>
    <x v="302"/>
  </r>
  <r>
    <x v="7"/>
    <x v="2"/>
    <x v="14"/>
    <s v="21/03/2023"/>
    <s v="21/03/2023"/>
    <m/>
    <x v="5"/>
    <x v="1892"/>
    <x v="80"/>
  </r>
  <r>
    <x v="13"/>
    <x v="5"/>
    <x v="9"/>
    <s v="17/05/2023"/>
    <s v="17/05/2023"/>
    <m/>
    <x v="7"/>
    <x v="1893"/>
    <x v="3"/>
  </r>
  <r>
    <x v="21"/>
    <x v="3"/>
    <x v="1"/>
    <d v="2023-08-08T00:00:00"/>
    <s v="08/08/2023"/>
    <m/>
    <x v="8"/>
    <x v="1894"/>
    <x v="107"/>
  </r>
  <r>
    <x v="22"/>
    <x v="5"/>
    <x v="11"/>
    <s v="26/04/2023"/>
    <s v="26/04/2023"/>
    <m/>
    <x v="0"/>
    <x v="1895"/>
    <x v="189"/>
  </r>
  <r>
    <x v="22"/>
    <x v="2"/>
    <x v="21"/>
    <s v="15/04/2023"/>
    <s v="15/04/2023"/>
    <m/>
    <x v="0"/>
    <x v="1896"/>
    <x v="395"/>
  </r>
  <r>
    <x v="4"/>
    <x v="5"/>
    <x v="8"/>
    <s v="19/05/2023"/>
    <s v="19/05/2023"/>
    <m/>
    <x v="7"/>
    <x v="1897"/>
    <x v="461"/>
  </r>
  <r>
    <x v="17"/>
    <x v="5"/>
    <x v="9"/>
    <d v="2023-10-01T00:00:00"/>
    <s v="01/10/2023"/>
    <m/>
    <x v="6"/>
    <x v="1898"/>
    <x v="217"/>
  </r>
  <r>
    <x v="9"/>
    <x v="3"/>
    <x v="5"/>
    <d v="2023-04-05T00:00:00"/>
    <s v="05/04/2023"/>
    <m/>
    <x v="0"/>
    <x v="1899"/>
    <x v="41"/>
  </r>
  <r>
    <x v="13"/>
    <x v="5"/>
    <x v="14"/>
    <d v="2023-05-04T00:00:00"/>
    <s v="04/05/2023"/>
    <m/>
    <x v="7"/>
    <x v="1900"/>
    <x v="78"/>
  </r>
  <r>
    <x v="19"/>
    <x v="1"/>
    <x v="5"/>
    <s v="17/01/2023"/>
    <s v="17/01/2023"/>
    <m/>
    <x v="1"/>
    <x v="1901"/>
    <x v="271"/>
  </r>
  <r>
    <x v="13"/>
    <x v="1"/>
    <x v="12"/>
    <s v="22/03/2023"/>
    <s v="22/03/2023"/>
    <m/>
    <x v="5"/>
    <x v="1902"/>
    <x v="178"/>
  </r>
  <r>
    <x v="23"/>
    <x v="2"/>
    <x v="14"/>
    <d v="2023-05-07T00:00:00"/>
    <s v="07/05/2023"/>
    <m/>
    <x v="7"/>
    <x v="1903"/>
    <x v="1"/>
  </r>
  <r>
    <x v="4"/>
    <x v="5"/>
    <x v="7"/>
    <s v="27/04/2023"/>
    <s v="27/04/2023"/>
    <m/>
    <x v="0"/>
    <x v="1904"/>
    <x v="385"/>
  </r>
  <r>
    <x v="16"/>
    <x v="5"/>
    <x v="16"/>
    <d v="2023-12-08T00:00:00"/>
    <s v="08/12/2023"/>
    <m/>
    <x v="11"/>
    <x v="1905"/>
    <x v="207"/>
  </r>
  <r>
    <x v="3"/>
    <x v="0"/>
    <x v="19"/>
    <d v="2023-11-03T00:00:00"/>
    <s v="03/11/2023"/>
    <m/>
    <x v="10"/>
    <x v="1906"/>
    <x v="199"/>
  </r>
  <r>
    <x v="0"/>
    <x v="0"/>
    <x v="13"/>
    <s v="13/05/2023"/>
    <s v="13/05/2023"/>
    <m/>
    <x v="7"/>
    <x v="1907"/>
    <x v="433"/>
  </r>
  <r>
    <x v="17"/>
    <x v="4"/>
    <x v="3"/>
    <d v="2023-12-05T00:00:00"/>
    <s v="05/12/2023"/>
    <m/>
    <x v="11"/>
    <x v="1908"/>
    <x v="114"/>
  </r>
  <r>
    <x v="6"/>
    <x v="4"/>
    <x v="17"/>
    <d v="2023-12-01T00:00:00"/>
    <s v="01/12/2023"/>
    <m/>
    <x v="11"/>
    <x v="1909"/>
    <x v="132"/>
  </r>
  <r>
    <x v="22"/>
    <x v="3"/>
    <x v="11"/>
    <s v="29/03/2023"/>
    <s v="29/03/2023"/>
    <m/>
    <x v="5"/>
    <x v="1910"/>
    <x v="462"/>
  </r>
  <r>
    <x v="13"/>
    <x v="1"/>
    <x v="6"/>
    <s v="14/03/2023"/>
    <s v="14/03/2023"/>
    <m/>
    <x v="5"/>
    <x v="1911"/>
    <x v="129"/>
  </r>
  <r>
    <x v="8"/>
    <x v="3"/>
    <x v="4"/>
    <s v="24/05/2023"/>
    <s v="24/05/2023"/>
    <m/>
    <x v="7"/>
    <x v="1912"/>
    <x v="315"/>
  </r>
  <r>
    <x v="17"/>
    <x v="5"/>
    <x v="10"/>
    <s v="28/01/2023"/>
    <s v="28/01/2023"/>
    <m/>
    <x v="1"/>
    <x v="1913"/>
    <x v="159"/>
  </r>
  <r>
    <x v="12"/>
    <x v="1"/>
    <x v="16"/>
    <s v="24/05/2023"/>
    <s v="24/05/2023"/>
    <m/>
    <x v="7"/>
    <x v="1914"/>
    <x v="130"/>
  </r>
  <r>
    <x v="6"/>
    <x v="2"/>
    <x v="2"/>
    <s v="19/08/2023"/>
    <s v="19/08/2023"/>
    <m/>
    <x v="8"/>
    <x v="1915"/>
    <x v="259"/>
  </r>
  <r>
    <x v="10"/>
    <x v="2"/>
    <x v="12"/>
    <s v="17/05/2023"/>
    <s v="17/05/2023"/>
    <m/>
    <x v="7"/>
    <x v="1916"/>
    <x v="444"/>
  </r>
  <r>
    <x v="0"/>
    <x v="4"/>
    <x v="14"/>
    <d v="2023-07-06T00:00:00"/>
    <s v="06/07/2023"/>
    <m/>
    <x v="2"/>
    <x v="1917"/>
    <x v="118"/>
  </r>
  <r>
    <x v="24"/>
    <x v="5"/>
    <x v="10"/>
    <s v="26/07/2023"/>
    <s v="26/07/2023"/>
    <m/>
    <x v="2"/>
    <x v="1918"/>
    <x v="299"/>
  </r>
  <r>
    <x v="23"/>
    <x v="1"/>
    <x v="8"/>
    <s v="28/07/2023"/>
    <s v="28/07/2023"/>
    <m/>
    <x v="2"/>
    <x v="1919"/>
    <x v="183"/>
  </r>
  <r>
    <x v="10"/>
    <x v="1"/>
    <x v="21"/>
    <s v="23/05/2023"/>
    <s v="23/05/2023"/>
    <m/>
    <x v="7"/>
    <x v="1920"/>
    <x v="221"/>
  </r>
  <r>
    <x v="0"/>
    <x v="0"/>
    <x v="0"/>
    <d v="2024-04-01T00:00:00"/>
    <s v="01/04/2024"/>
    <m/>
    <x v="0"/>
    <x v="1921"/>
    <x v="142"/>
  </r>
  <r>
    <x v="1"/>
    <x v="1"/>
    <x v="1"/>
    <d v="2024-01-08T00:00:00"/>
    <s v="08/01/2024"/>
    <m/>
    <x v="1"/>
    <x v="1922"/>
    <x v="114"/>
  </r>
  <r>
    <x v="2"/>
    <x v="1"/>
    <x v="2"/>
    <d v="2024-07-07T00:00:00"/>
    <s v="07/07/2024"/>
    <m/>
    <x v="2"/>
    <x v="1923"/>
    <x v="102"/>
  </r>
  <r>
    <x v="3"/>
    <x v="2"/>
    <x v="2"/>
    <s v="27/04/2024"/>
    <s v="27/04/2024"/>
    <m/>
    <x v="0"/>
    <x v="1924"/>
    <x v="420"/>
  </r>
  <r>
    <x v="0"/>
    <x v="0"/>
    <x v="2"/>
    <s v="24/02/2024"/>
    <s v="24/02/2024"/>
    <m/>
    <x v="3"/>
    <x v="1925"/>
    <x v="251"/>
  </r>
  <r>
    <x v="1"/>
    <x v="1"/>
    <x v="3"/>
    <d v="2024-06-06T00:00:00"/>
    <s v="06/06/2024"/>
    <m/>
    <x v="4"/>
    <x v="1926"/>
    <x v="91"/>
  </r>
  <r>
    <x v="4"/>
    <x v="0"/>
    <x v="4"/>
    <s v="25/01/2024"/>
    <s v="25/01/2024"/>
    <m/>
    <x v="1"/>
    <x v="1927"/>
    <x v="43"/>
  </r>
  <r>
    <x v="5"/>
    <x v="2"/>
    <x v="5"/>
    <s v="24/03/2024"/>
    <s v="24/03/2024"/>
    <m/>
    <x v="5"/>
    <x v="1928"/>
    <x v="376"/>
  </r>
  <r>
    <x v="0"/>
    <x v="3"/>
    <x v="6"/>
    <s v="20/04/2024"/>
    <s v="20/04/2024"/>
    <m/>
    <x v="0"/>
    <x v="1929"/>
    <x v="357"/>
  </r>
  <r>
    <x v="6"/>
    <x v="2"/>
    <x v="4"/>
    <d v="2024-04-07T00:00:00"/>
    <s v="07/04/2024"/>
    <m/>
    <x v="0"/>
    <x v="1930"/>
    <x v="80"/>
  </r>
  <r>
    <x v="7"/>
    <x v="0"/>
    <x v="3"/>
    <s v="13/01/2024"/>
    <s v="13/01/2024"/>
    <m/>
    <x v="1"/>
    <x v="1931"/>
    <x v="274"/>
  </r>
  <r>
    <x v="8"/>
    <x v="4"/>
    <x v="7"/>
    <d v="2024-10-03T00:00:00"/>
    <s v="03/10/2024"/>
    <m/>
    <x v="6"/>
    <x v="1932"/>
    <x v="11"/>
  </r>
  <r>
    <x v="9"/>
    <x v="5"/>
    <x v="8"/>
    <s v="13/01/2024"/>
    <s v="13/01/2024"/>
    <m/>
    <x v="1"/>
    <x v="1933"/>
    <x v="173"/>
  </r>
  <r>
    <x v="10"/>
    <x v="3"/>
    <x v="9"/>
    <s v="28/07/2024"/>
    <s v="28/07/2024"/>
    <m/>
    <x v="2"/>
    <x v="1934"/>
    <x v="92"/>
  </r>
  <r>
    <x v="11"/>
    <x v="3"/>
    <x v="2"/>
    <d v="2024-03-08T00:00:00"/>
    <s v="08/03/2024"/>
    <m/>
    <x v="5"/>
    <x v="1935"/>
    <x v="302"/>
  </r>
  <r>
    <x v="12"/>
    <x v="2"/>
    <x v="10"/>
    <s v="26/01/2024"/>
    <s v="26/01/2024"/>
    <m/>
    <x v="1"/>
    <x v="1936"/>
    <x v="463"/>
  </r>
  <r>
    <x v="1"/>
    <x v="5"/>
    <x v="10"/>
    <s v="14/02/2024"/>
    <s v="14/02/2024"/>
    <m/>
    <x v="3"/>
    <x v="1937"/>
    <x v="16"/>
  </r>
  <r>
    <x v="13"/>
    <x v="4"/>
    <x v="3"/>
    <d v="2024-05-04T00:00:00"/>
    <s v="04/05/2024"/>
    <m/>
    <x v="7"/>
    <x v="1938"/>
    <x v="58"/>
  </r>
  <r>
    <x v="12"/>
    <x v="5"/>
    <x v="11"/>
    <s v="16/02/2024"/>
    <s v="16/02/2024"/>
    <m/>
    <x v="3"/>
    <x v="1939"/>
    <x v="18"/>
  </r>
  <r>
    <x v="14"/>
    <x v="0"/>
    <x v="1"/>
    <d v="2024-08-06T00:00:00"/>
    <s v="06/08/2024"/>
    <m/>
    <x v="8"/>
    <x v="1940"/>
    <x v="56"/>
  </r>
  <r>
    <x v="6"/>
    <x v="2"/>
    <x v="8"/>
    <s v="27/06/2024"/>
    <s v="27/06/2024"/>
    <m/>
    <x v="4"/>
    <x v="1941"/>
    <x v="96"/>
  </r>
  <r>
    <x v="5"/>
    <x v="4"/>
    <x v="12"/>
    <s v="17/02/2024"/>
    <s v="17/02/2024"/>
    <m/>
    <x v="3"/>
    <x v="1942"/>
    <x v="212"/>
  </r>
  <r>
    <x v="11"/>
    <x v="4"/>
    <x v="5"/>
    <s v="30/05/2024"/>
    <s v="30/05/2024"/>
    <m/>
    <x v="7"/>
    <x v="1943"/>
    <x v="141"/>
  </r>
  <r>
    <x v="15"/>
    <x v="0"/>
    <x v="9"/>
    <s v="14/03/2024"/>
    <s v="14/03/2024"/>
    <m/>
    <x v="5"/>
    <x v="1944"/>
    <x v="80"/>
  </r>
  <r>
    <x v="16"/>
    <x v="2"/>
    <x v="8"/>
    <s v="28/02/2024"/>
    <s v="28/02/2024"/>
    <m/>
    <x v="3"/>
    <x v="1945"/>
    <x v="160"/>
  </r>
  <r>
    <x v="10"/>
    <x v="1"/>
    <x v="13"/>
    <s v="26/01/2024"/>
    <s v="26/01/2024"/>
    <m/>
    <x v="1"/>
    <x v="1946"/>
    <x v="246"/>
  </r>
  <r>
    <x v="13"/>
    <x v="5"/>
    <x v="12"/>
    <d v="2024-09-02T00:00:00"/>
    <s v="02/09/2024"/>
    <m/>
    <x v="9"/>
    <x v="1947"/>
    <x v="253"/>
  </r>
  <r>
    <x v="15"/>
    <x v="4"/>
    <x v="8"/>
    <d v="2024-07-07T00:00:00"/>
    <s v="07/07/2024"/>
    <m/>
    <x v="2"/>
    <x v="1948"/>
    <x v="23"/>
  </r>
  <r>
    <x v="17"/>
    <x v="3"/>
    <x v="14"/>
    <d v="2024-05-07T00:00:00"/>
    <s v="07/05/2024"/>
    <m/>
    <x v="7"/>
    <x v="1949"/>
    <x v="277"/>
  </r>
  <r>
    <x v="17"/>
    <x v="3"/>
    <x v="15"/>
    <s v="15/06/2024"/>
    <s v="15/06/2024"/>
    <m/>
    <x v="4"/>
    <x v="1950"/>
    <x v="46"/>
  </r>
  <r>
    <x v="1"/>
    <x v="3"/>
    <x v="1"/>
    <s v="24/05/2024"/>
    <s v="24/05/2024"/>
    <m/>
    <x v="7"/>
    <x v="1951"/>
    <x v="328"/>
  </r>
  <r>
    <x v="7"/>
    <x v="0"/>
    <x v="4"/>
    <s v="29/06/2024"/>
    <s v="29/06/2024"/>
    <m/>
    <x v="4"/>
    <x v="1952"/>
    <x v="21"/>
  </r>
  <r>
    <x v="18"/>
    <x v="2"/>
    <x v="15"/>
    <d v="2024-11-05T00:00:00"/>
    <s v="05/11/2024"/>
    <m/>
    <x v="10"/>
    <x v="1953"/>
    <x v="114"/>
  </r>
  <r>
    <x v="10"/>
    <x v="0"/>
    <x v="16"/>
    <s v="30/06/2024"/>
    <s v="30/06/2024"/>
    <m/>
    <x v="4"/>
    <x v="1954"/>
    <x v="93"/>
  </r>
  <r>
    <x v="19"/>
    <x v="5"/>
    <x v="5"/>
    <d v="2024-11-05T00:00:00"/>
    <s v="05/11/2024"/>
    <m/>
    <x v="10"/>
    <x v="1955"/>
    <x v="271"/>
  </r>
  <r>
    <x v="13"/>
    <x v="4"/>
    <x v="15"/>
    <s v="22/07/2024"/>
    <s v="22/07/2024"/>
    <m/>
    <x v="2"/>
    <x v="1956"/>
    <x v="208"/>
  </r>
  <r>
    <x v="19"/>
    <x v="0"/>
    <x v="6"/>
    <s v="24/08/2024"/>
    <s v="24/08/2024"/>
    <m/>
    <x v="8"/>
    <x v="1957"/>
    <x v="319"/>
  </r>
  <r>
    <x v="20"/>
    <x v="3"/>
    <x v="5"/>
    <d v="2024-07-07T00:00:00"/>
    <s v="07/07/2024"/>
    <m/>
    <x v="2"/>
    <x v="1958"/>
    <x v="207"/>
  </r>
  <r>
    <x v="21"/>
    <x v="2"/>
    <x v="1"/>
    <s v="19/05/2024"/>
    <s v="19/05/2024"/>
    <m/>
    <x v="7"/>
    <x v="1959"/>
    <x v="37"/>
  </r>
  <r>
    <x v="10"/>
    <x v="1"/>
    <x v="15"/>
    <d v="2024-04-07T00:00:00"/>
    <s v="07/04/2024"/>
    <m/>
    <x v="0"/>
    <x v="1960"/>
    <x v="464"/>
  </r>
  <r>
    <x v="20"/>
    <x v="4"/>
    <x v="5"/>
    <d v="2024-02-06T00:00:00"/>
    <s v="06/02/2024"/>
    <m/>
    <x v="3"/>
    <x v="1961"/>
    <x v="39"/>
  </r>
  <r>
    <x v="10"/>
    <x v="4"/>
    <x v="17"/>
    <s v="15/04/2024"/>
    <s v="15/04/2024"/>
    <m/>
    <x v="0"/>
    <x v="1962"/>
    <x v="287"/>
  </r>
  <r>
    <x v="9"/>
    <x v="5"/>
    <x v="18"/>
    <d v="2024-11-07T00:00:00"/>
    <s v="07/11/2024"/>
    <m/>
    <x v="10"/>
    <x v="1963"/>
    <x v="356"/>
  </r>
  <r>
    <x v="19"/>
    <x v="1"/>
    <x v="12"/>
    <s v="23/02/2024"/>
    <s v="23/02/2024"/>
    <m/>
    <x v="3"/>
    <x v="1964"/>
    <x v="182"/>
  </r>
  <r>
    <x v="22"/>
    <x v="5"/>
    <x v="16"/>
    <s v="22/08/2024"/>
    <s v="22/08/2024"/>
    <m/>
    <x v="8"/>
    <x v="1965"/>
    <x v="149"/>
  </r>
  <r>
    <x v="16"/>
    <x v="4"/>
    <x v="2"/>
    <s v="16/02/2024"/>
    <s v="16/02/2024"/>
    <m/>
    <x v="3"/>
    <x v="1966"/>
    <x v="401"/>
  </r>
  <r>
    <x v="1"/>
    <x v="4"/>
    <x v="6"/>
    <s v="13/01/2024"/>
    <s v="13/01/2024"/>
    <m/>
    <x v="1"/>
    <x v="1967"/>
    <x v="13"/>
  </r>
  <r>
    <x v="14"/>
    <x v="2"/>
    <x v="11"/>
    <s v="14/02/2024"/>
    <s v="14/02/2024"/>
    <m/>
    <x v="3"/>
    <x v="1968"/>
    <x v="45"/>
  </r>
  <r>
    <x v="13"/>
    <x v="1"/>
    <x v="8"/>
    <d v="2024-10-06T00:00:00"/>
    <s v="06/10/2024"/>
    <m/>
    <x v="6"/>
    <x v="1969"/>
    <x v="70"/>
  </r>
  <r>
    <x v="14"/>
    <x v="1"/>
    <x v="13"/>
    <d v="2024-07-07T00:00:00"/>
    <s v="07/07/2024"/>
    <m/>
    <x v="2"/>
    <x v="1970"/>
    <x v="233"/>
  </r>
  <r>
    <x v="14"/>
    <x v="5"/>
    <x v="16"/>
    <s v="24/03/2024"/>
    <s v="24/03/2024"/>
    <m/>
    <x v="5"/>
    <x v="1971"/>
    <x v="207"/>
  </r>
  <r>
    <x v="6"/>
    <x v="2"/>
    <x v="13"/>
    <d v="2024-06-06T00:00:00"/>
    <s v="06/06/2024"/>
    <m/>
    <x v="4"/>
    <x v="1972"/>
    <x v="108"/>
  </r>
  <r>
    <x v="23"/>
    <x v="2"/>
    <x v="9"/>
    <s v="19/07/2024"/>
    <s v="19/07/2024"/>
    <m/>
    <x v="2"/>
    <x v="1973"/>
    <x v="17"/>
  </r>
  <r>
    <x v="12"/>
    <x v="4"/>
    <x v="17"/>
    <s v="19/04/2024"/>
    <s v="19/04/2024"/>
    <m/>
    <x v="0"/>
    <x v="1974"/>
    <x v="88"/>
  </r>
  <r>
    <x v="11"/>
    <x v="1"/>
    <x v="1"/>
    <s v="19/07/2024"/>
    <s v="19/07/2024"/>
    <m/>
    <x v="2"/>
    <x v="1975"/>
    <x v="215"/>
  </r>
  <r>
    <x v="0"/>
    <x v="5"/>
    <x v="9"/>
    <s v="15/07/2024"/>
    <s v="15/07/2024"/>
    <m/>
    <x v="2"/>
    <x v="1976"/>
    <x v="217"/>
  </r>
  <r>
    <x v="24"/>
    <x v="3"/>
    <x v="12"/>
    <s v="14/02/2024"/>
    <s v="14/02/2024"/>
    <m/>
    <x v="3"/>
    <x v="1977"/>
    <x v="166"/>
  </r>
  <r>
    <x v="6"/>
    <x v="5"/>
    <x v="4"/>
    <s v="18/05/2024"/>
    <s v="18/05/2024"/>
    <m/>
    <x v="7"/>
    <x v="1978"/>
    <x v="161"/>
  </r>
  <r>
    <x v="8"/>
    <x v="2"/>
    <x v="13"/>
    <s v="30/06/2024"/>
    <s v="30/06/2024"/>
    <m/>
    <x v="4"/>
    <x v="1979"/>
    <x v="107"/>
  </r>
  <r>
    <x v="19"/>
    <x v="2"/>
    <x v="6"/>
    <d v="2024-02-06T00:00:00"/>
    <s v="06/02/2024"/>
    <m/>
    <x v="3"/>
    <x v="1980"/>
    <x v="174"/>
  </r>
  <r>
    <x v="19"/>
    <x v="2"/>
    <x v="9"/>
    <s v="28/06/2024"/>
    <s v="28/06/2024"/>
    <m/>
    <x v="4"/>
    <x v="1981"/>
    <x v="282"/>
  </r>
  <r>
    <x v="11"/>
    <x v="2"/>
    <x v="10"/>
    <s v="16/05/2024"/>
    <s v="16/05/2024"/>
    <m/>
    <x v="7"/>
    <x v="1982"/>
    <x v="251"/>
  </r>
  <r>
    <x v="20"/>
    <x v="5"/>
    <x v="19"/>
    <s v="26/05/2024"/>
    <s v="26/05/2024"/>
    <m/>
    <x v="7"/>
    <x v="1983"/>
    <x v="201"/>
  </r>
  <r>
    <x v="10"/>
    <x v="1"/>
    <x v="16"/>
    <d v="2024-06-07T00:00:00"/>
    <s v="07/06/2024"/>
    <m/>
    <x v="4"/>
    <x v="1984"/>
    <x v="234"/>
  </r>
  <r>
    <x v="4"/>
    <x v="1"/>
    <x v="4"/>
    <s v="27/05/2024"/>
    <s v="27/05/2024"/>
    <m/>
    <x v="7"/>
    <x v="1985"/>
    <x v="11"/>
  </r>
  <r>
    <x v="18"/>
    <x v="2"/>
    <x v="20"/>
    <s v="14/04/2024"/>
    <s v="14/04/2024"/>
    <m/>
    <x v="0"/>
    <x v="1986"/>
    <x v="11"/>
  </r>
  <r>
    <x v="1"/>
    <x v="2"/>
    <x v="10"/>
    <d v="2024-10-08T00:00:00"/>
    <s v="08/10/2024"/>
    <m/>
    <x v="6"/>
    <x v="1987"/>
    <x v="37"/>
  </r>
  <r>
    <x v="21"/>
    <x v="1"/>
    <x v="6"/>
    <d v="2024-04-07T00:00:00"/>
    <s v="07/04/2024"/>
    <m/>
    <x v="0"/>
    <x v="1988"/>
    <x v="161"/>
  </r>
  <r>
    <x v="4"/>
    <x v="1"/>
    <x v="10"/>
    <d v="2024-08-07T00:00:00"/>
    <s v="07/08/2024"/>
    <m/>
    <x v="8"/>
    <x v="1989"/>
    <x v="8"/>
  </r>
  <r>
    <x v="3"/>
    <x v="4"/>
    <x v="2"/>
    <s v="22/07/2024"/>
    <s v="22/07/2024"/>
    <m/>
    <x v="2"/>
    <x v="1990"/>
    <x v="176"/>
  </r>
  <r>
    <x v="2"/>
    <x v="4"/>
    <x v="18"/>
    <d v="2024-02-03T00:00:00"/>
    <s v="03/02/2024"/>
    <m/>
    <x v="3"/>
    <x v="1991"/>
    <x v="239"/>
  </r>
  <r>
    <x v="2"/>
    <x v="0"/>
    <x v="16"/>
    <d v="2024-10-01T00:00:00"/>
    <s v="01/10/2024"/>
    <m/>
    <x v="6"/>
    <x v="1992"/>
    <x v="62"/>
  </r>
  <r>
    <x v="0"/>
    <x v="3"/>
    <x v="14"/>
    <d v="2024-11-03T00:00:00"/>
    <s v="03/11/2024"/>
    <m/>
    <x v="10"/>
    <x v="1993"/>
    <x v="167"/>
  </r>
  <r>
    <x v="19"/>
    <x v="3"/>
    <x v="2"/>
    <s v="20/06/2024"/>
    <s v="20/06/2024"/>
    <m/>
    <x v="4"/>
    <x v="1994"/>
    <x v="98"/>
  </r>
  <r>
    <x v="1"/>
    <x v="0"/>
    <x v="10"/>
    <s v="26/08/2024"/>
    <s v="26/08/2024"/>
    <m/>
    <x v="8"/>
    <x v="1995"/>
    <x v="353"/>
  </r>
  <r>
    <x v="13"/>
    <x v="5"/>
    <x v="11"/>
    <s v="13/07/2024"/>
    <s v="13/07/2024"/>
    <m/>
    <x v="2"/>
    <x v="1996"/>
    <x v="314"/>
  </r>
  <r>
    <x v="21"/>
    <x v="4"/>
    <x v="12"/>
    <d v="2024-11-02T00:00:00"/>
    <s v="02/11/2024"/>
    <m/>
    <x v="10"/>
    <x v="1997"/>
    <x v="237"/>
  </r>
  <r>
    <x v="11"/>
    <x v="4"/>
    <x v="7"/>
    <s v="27/01/2024"/>
    <s v="27/01/2024"/>
    <m/>
    <x v="1"/>
    <x v="1998"/>
    <x v="386"/>
  </r>
  <r>
    <x v="1"/>
    <x v="0"/>
    <x v="4"/>
    <s v="31/01/2024"/>
    <s v="31/01/2024"/>
    <m/>
    <x v="1"/>
    <x v="1999"/>
    <x v="128"/>
  </r>
  <r>
    <x v="21"/>
    <x v="4"/>
    <x v="14"/>
    <s v="18/08/2024"/>
    <s v="18/08/2024"/>
    <m/>
    <x v="8"/>
    <x v="2000"/>
    <x v="47"/>
  </r>
  <r>
    <x v="19"/>
    <x v="4"/>
    <x v="17"/>
    <s v="30/06/2024"/>
    <s v="30/06/2024"/>
    <m/>
    <x v="4"/>
    <x v="2001"/>
    <x v="108"/>
  </r>
  <r>
    <x v="23"/>
    <x v="2"/>
    <x v="13"/>
    <s v="23/08/2024"/>
    <s v="23/08/2024"/>
    <m/>
    <x v="8"/>
    <x v="2002"/>
    <x v="388"/>
  </r>
  <r>
    <x v="6"/>
    <x v="3"/>
    <x v="0"/>
    <d v="2024-01-08T00:00:00"/>
    <s v="08/01/2024"/>
    <m/>
    <x v="1"/>
    <x v="2003"/>
    <x v="43"/>
  </r>
  <r>
    <x v="13"/>
    <x v="3"/>
    <x v="5"/>
    <s v="25/05/2024"/>
    <s v="25/05/2024"/>
    <m/>
    <x v="7"/>
    <x v="2004"/>
    <x v="11"/>
  </r>
  <r>
    <x v="13"/>
    <x v="5"/>
    <x v="10"/>
    <d v="2024-10-01T00:00:00"/>
    <s v="01/10/2024"/>
    <m/>
    <x v="6"/>
    <x v="2005"/>
    <x v="189"/>
  </r>
  <r>
    <x v="17"/>
    <x v="2"/>
    <x v="21"/>
    <d v="2024-07-02T00:00:00"/>
    <s v="02/07/2024"/>
    <m/>
    <x v="2"/>
    <x v="2006"/>
    <x v="280"/>
  </r>
  <r>
    <x v="10"/>
    <x v="4"/>
    <x v="7"/>
    <d v="2024-12-05T00:00:00"/>
    <s v="05/12/2024"/>
    <m/>
    <x v="11"/>
    <x v="2007"/>
    <x v="165"/>
  </r>
  <r>
    <x v="22"/>
    <x v="2"/>
    <x v="12"/>
    <d v="2024-07-03T00:00:00"/>
    <s v="03/07/2024"/>
    <m/>
    <x v="2"/>
    <x v="2008"/>
    <x v="465"/>
  </r>
  <r>
    <x v="17"/>
    <x v="2"/>
    <x v="1"/>
    <d v="2024-05-04T00:00:00"/>
    <s v="04/05/2024"/>
    <m/>
    <x v="7"/>
    <x v="2009"/>
    <x v="440"/>
  </r>
  <r>
    <x v="19"/>
    <x v="5"/>
    <x v="20"/>
    <d v="2024-03-01T00:00:00"/>
    <s v="01/03/2024"/>
    <m/>
    <x v="5"/>
    <x v="2010"/>
    <x v="231"/>
  </r>
  <r>
    <x v="17"/>
    <x v="0"/>
    <x v="8"/>
    <s v="24/03/2024"/>
    <s v="24/03/2024"/>
    <m/>
    <x v="5"/>
    <x v="2011"/>
    <x v="248"/>
  </r>
  <r>
    <x v="22"/>
    <x v="1"/>
    <x v="17"/>
    <d v="2024-07-07T00:00:00"/>
    <s v="07/07/2024"/>
    <m/>
    <x v="2"/>
    <x v="2012"/>
    <x v="71"/>
  </r>
  <r>
    <x v="1"/>
    <x v="4"/>
    <x v="5"/>
    <s v="26/07/2024"/>
    <s v="26/07/2024"/>
    <m/>
    <x v="2"/>
    <x v="2013"/>
    <x v="466"/>
  </r>
  <r>
    <x v="18"/>
    <x v="2"/>
    <x v="10"/>
    <d v="2024-07-07T00:00:00"/>
    <s v="07/07/2024"/>
    <m/>
    <x v="2"/>
    <x v="2014"/>
    <x v="116"/>
  </r>
  <r>
    <x v="10"/>
    <x v="5"/>
    <x v="6"/>
    <s v="15/07/2024"/>
    <s v="15/07/2024"/>
    <m/>
    <x v="2"/>
    <x v="2015"/>
    <x v="360"/>
  </r>
  <r>
    <x v="13"/>
    <x v="3"/>
    <x v="7"/>
    <d v="2024-01-04T00:00:00"/>
    <s v="04/01/2024"/>
    <m/>
    <x v="1"/>
    <x v="2016"/>
    <x v="187"/>
  </r>
  <r>
    <x v="12"/>
    <x v="2"/>
    <x v="8"/>
    <s v="20/06/2024"/>
    <s v="20/06/2024"/>
    <m/>
    <x v="4"/>
    <x v="2017"/>
    <x v="83"/>
  </r>
  <r>
    <x v="20"/>
    <x v="0"/>
    <x v="13"/>
    <s v="29/06/2024"/>
    <s v="29/06/2024"/>
    <m/>
    <x v="4"/>
    <x v="2018"/>
    <x v="94"/>
  </r>
  <r>
    <x v="11"/>
    <x v="4"/>
    <x v="6"/>
    <s v="15/06/2024"/>
    <s v="15/06/2024"/>
    <m/>
    <x v="4"/>
    <x v="2019"/>
    <x v="280"/>
  </r>
  <r>
    <x v="15"/>
    <x v="4"/>
    <x v="5"/>
    <d v="2024-08-04T00:00:00"/>
    <s v="04/08/2024"/>
    <m/>
    <x v="8"/>
    <x v="2020"/>
    <x v="50"/>
  </r>
  <r>
    <x v="17"/>
    <x v="2"/>
    <x v="17"/>
    <s v="14/03/2024"/>
    <s v="14/03/2024"/>
    <m/>
    <x v="5"/>
    <x v="2021"/>
    <x v="86"/>
  </r>
  <r>
    <x v="19"/>
    <x v="4"/>
    <x v="13"/>
    <s v="15/07/2024"/>
    <s v="15/07/2024"/>
    <m/>
    <x v="2"/>
    <x v="2022"/>
    <x v="405"/>
  </r>
  <r>
    <x v="20"/>
    <x v="1"/>
    <x v="8"/>
    <s v="19/04/2024"/>
    <s v="19/04/2024"/>
    <m/>
    <x v="0"/>
    <x v="2023"/>
    <x v="88"/>
  </r>
  <r>
    <x v="11"/>
    <x v="4"/>
    <x v="4"/>
    <s v="28/03/2024"/>
    <s v="28/03/2024"/>
    <m/>
    <x v="5"/>
    <x v="2024"/>
    <x v="12"/>
  </r>
  <r>
    <x v="6"/>
    <x v="5"/>
    <x v="12"/>
    <d v="2024-04-03T00:00:00"/>
    <s v="03/04/2024"/>
    <m/>
    <x v="0"/>
    <x v="2025"/>
    <x v="82"/>
  </r>
  <r>
    <x v="10"/>
    <x v="3"/>
    <x v="21"/>
    <d v="2024-02-08T00:00:00"/>
    <s v="08/02/2024"/>
    <m/>
    <x v="3"/>
    <x v="2026"/>
    <x v="91"/>
  </r>
  <r>
    <x v="15"/>
    <x v="0"/>
    <x v="12"/>
    <s v="25/08/2024"/>
    <s v="25/08/2024"/>
    <m/>
    <x v="8"/>
    <x v="2027"/>
    <x v="137"/>
  </r>
  <r>
    <x v="11"/>
    <x v="4"/>
    <x v="16"/>
    <s v="25/02/2024"/>
    <s v="25/02/2024"/>
    <m/>
    <x v="3"/>
    <x v="2028"/>
    <x v="92"/>
  </r>
  <r>
    <x v="20"/>
    <x v="1"/>
    <x v="7"/>
    <d v="2024-07-06T00:00:00"/>
    <s v="06/07/2024"/>
    <m/>
    <x v="2"/>
    <x v="2029"/>
    <x v="154"/>
  </r>
  <r>
    <x v="3"/>
    <x v="1"/>
    <x v="12"/>
    <d v="2024-12-04T00:00:00"/>
    <s v="04/12/2024"/>
    <m/>
    <x v="11"/>
    <x v="2030"/>
    <x v="422"/>
  </r>
  <r>
    <x v="24"/>
    <x v="1"/>
    <x v="12"/>
    <d v="2024-06-07T00:00:00"/>
    <s v="07/06/2024"/>
    <m/>
    <x v="4"/>
    <x v="2031"/>
    <x v="90"/>
  </r>
  <r>
    <x v="20"/>
    <x v="0"/>
    <x v="3"/>
    <s v="19/01/2024"/>
    <s v="19/01/2024"/>
    <m/>
    <x v="1"/>
    <x v="2032"/>
    <x v="251"/>
  </r>
  <r>
    <x v="22"/>
    <x v="2"/>
    <x v="13"/>
    <d v="2024-05-01T00:00:00"/>
    <s v="01/05/2024"/>
    <m/>
    <x v="7"/>
    <x v="2033"/>
    <x v="114"/>
  </r>
  <r>
    <x v="22"/>
    <x v="5"/>
    <x v="21"/>
    <s v="24/01/2024"/>
    <s v="24/01/2024"/>
    <m/>
    <x v="1"/>
    <x v="2034"/>
    <x v="181"/>
  </r>
  <r>
    <x v="18"/>
    <x v="2"/>
    <x v="9"/>
    <d v="2024-06-04T00:00:00"/>
    <s v="04/06/2024"/>
    <m/>
    <x v="4"/>
    <x v="2035"/>
    <x v="248"/>
  </r>
  <r>
    <x v="5"/>
    <x v="2"/>
    <x v="13"/>
    <s v="15/06/2024"/>
    <s v="15/06/2024"/>
    <m/>
    <x v="4"/>
    <x v="2036"/>
    <x v="69"/>
  </r>
  <r>
    <x v="2"/>
    <x v="5"/>
    <x v="19"/>
    <s v="28/01/2024"/>
    <s v="28/01/2024"/>
    <m/>
    <x v="1"/>
    <x v="2037"/>
    <x v="99"/>
  </r>
  <r>
    <x v="20"/>
    <x v="1"/>
    <x v="20"/>
    <s v="16/03/2024"/>
    <s v="16/03/2024"/>
    <m/>
    <x v="5"/>
    <x v="2038"/>
    <x v="295"/>
  </r>
  <r>
    <x v="7"/>
    <x v="2"/>
    <x v="9"/>
    <s v="21/02/2024"/>
    <s v="21/02/2024"/>
    <m/>
    <x v="3"/>
    <x v="2039"/>
    <x v="134"/>
  </r>
  <r>
    <x v="20"/>
    <x v="4"/>
    <x v="15"/>
    <s v="16/02/2024"/>
    <s v="16/02/2024"/>
    <m/>
    <x v="3"/>
    <x v="2040"/>
    <x v="1"/>
  </r>
  <r>
    <x v="0"/>
    <x v="5"/>
    <x v="12"/>
    <s v="13/01/2024"/>
    <s v="13/01/2024"/>
    <m/>
    <x v="1"/>
    <x v="2041"/>
    <x v="334"/>
  </r>
  <r>
    <x v="20"/>
    <x v="2"/>
    <x v="8"/>
    <s v="23/03/2024"/>
    <s v="23/03/2024"/>
    <m/>
    <x v="5"/>
    <x v="2042"/>
    <x v="467"/>
  </r>
  <r>
    <x v="14"/>
    <x v="5"/>
    <x v="12"/>
    <s v="16/06/2024"/>
    <s v="16/06/2024"/>
    <m/>
    <x v="4"/>
    <x v="2043"/>
    <x v="179"/>
  </r>
  <r>
    <x v="4"/>
    <x v="1"/>
    <x v="17"/>
    <s v="14/04/2024"/>
    <s v="14/04/2024"/>
    <m/>
    <x v="0"/>
    <x v="2044"/>
    <x v="106"/>
  </r>
  <r>
    <x v="20"/>
    <x v="0"/>
    <x v="8"/>
    <s v="25/01/2024"/>
    <s v="25/01/2024"/>
    <m/>
    <x v="1"/>
    <x v="2045"/>
    <x v="203"/>
  </r>
  <r>
    <x v="3"/>
    <x v="1"/>
    <x v="16"/>
    <d v="2024-11-03T00:00:00"/>
    <s v="03/11/2024"/>
    <m/>
    <x v="10"/>
    <x v="2046"/>
    <x v="47"/>
  </r>
  <r>
    <x v="23"/>
    <x v="0"/>
    <x v="16"/>
    <s v="28/07/2024"/>
    <s v="28/07/2024"/>
    <m/>
    <x v="2"/>
    <x v="2047"/>
    <x v="61"/>
  </r>
  <r>
    <x v="11"/>
    <x v="3"/>
    <x v="5"/>
    <d v="2024-09-03T00:00:00"/>
    <s v="03/09/2024"/>
    <m/>
    <x v="9"/>
    <x v="2048"/>
    <x v="146"/>
  </r>
  <r>
    <x v="15"/>
    <x v="2"/>
    <x v="7"/>
    <s v="28/06/2024"/>
    <s v="28/06/2024"/>
    <m/>
    <x v="4"/>
    <x v="2049"/>
    <x v="251"/>
  </r>
  <r>
    <x v="11"/>
    <x v="2"/>
    <x v="11"/>
    <s v="28/07/2024"/>
    <s v="28/07/2024"/>
    <m/>
    <x v="2"/>
    <x v="2050"/>
    <x v="468"/>
  </r>
  <r>
    <x v="20"/>
    <x v="5"/>
    <x v="4"/>
    <s v="15/08/2024"/>
    <s v="15/08/2024"/>
    <m/>
    <x v="8"/>
    <x v="2051"/>
    <x v="194"/>
  </r>
  <r>
    <x v="16"/>
    <x v="2"/>
    <x v="15"/>
    <d v="2024-12-01T00:00:00"/>
    <s v="01/12/2024"/>
    <m/>
    <x v="11"/>
    <x v="2052"/>
    <x v="232"/>
  </r>
  <r>
    <x v="12"/>
    <x v="3"/>
    <x v="14"/>
    <s v="24/03/2024"/>
    <s v="24/03/2024"/>
    <m/>
    <x v="5"/>
    <x v="2053"/>
    <x v="113"/>
  </r>
  <r>
    <x v="1"/>
    <x v="0"/>
    <x v="11"/>
    <s v="25/07/2024"/>
    <s v="25/07/2024"/>
    <m/>
    <x v="2"/>
    <x v="2054"/>
    <x v="96"/>
  </r>
  <r>
    <x v="4"/>
    <x v="5"/>
    <x v="4"/>
    <d v="2024-01-08T00:00:00"/>
    <s v="08/01/2024"/>
    <m/>
    <x v="1"/>
    <x v="2055"/>
    <x v="153"/>
  </r>
  <r>
    <x v="1"/>
    <x v="1"/>
    <x v="10"/>
    <s v="16/05/2024"/>
    <s v="16/05/2024"/>
    <m/>
    <x v="7"/>
    <x v="2056"/>
    <x v="291"/>
  </r>
  <r>
    <x v="13"/>
    <x v="1"/>
    <x v="3"/>
    <d v="2024-10-08T00:00:00"/>
    <s v="08/10/2024"/>
    <m/>
    <x v="6"/>
    <x v="2057"/>
    <x v="97"/>
  </r>
  <r>
    <x v="3"/>
    <x v="1"/>
    <x v="8"/>
    <d v="2024-05-01T00:00:00"/>
    <s v="01/05/2024"/>
    <m/>
    <x v="7"/>
    <x v="2058"/>
    <x v="103"/>
  </r>
  <r>
    <x v="24"/>
    <x v="0"/>
    <x v="3"/>
    <d v="2024-11-07T00:00:00"/>
    <s v="07/11/2024"/>
    <m/>
    <x v="10"/>
    <x v="2059"/>
    <x v="131"/>
  </r>
  <r>
    <x v="18"/>
    <x v="4"/>
    <x v="5"/>
    <s v="25/04/2024"/>
    <s v="25/04/2024"/>
    <m/>
    <x v="0"/>
    <x v="2060"/>
    <x v="86"/>
  </r>
  <r>
    <x v="2"/>
    <x v="3"/>
    <x v="13"/>
    <d v="2024-04-04T00:00:00"/>
    <s v="04/04/2024"/>
    <m/>
    <x v="0"/>
    <x v="2061"/>
    <x v="264"/>
  </r>
  <r>
    <x v="8"/>
    <x v="4"/>
    <x v="17"/>
    <d v="2024-12-04T00:00:00"/>
    <s v="04/12/2024"/>
    <m/>
    <x v="11"/>
    <x v="2062"/>
    <x v="85"/>
  </r>
  <r>
    <x v="18"/>
    <x v="3"/>
    <x v="1"/>
    <d v="2024-02-08T00:00:00"/>
    <s v="08/02/2024"/>
    <m/>
    <x v="3"/>
    <x v="2063"/>
    <x v="30"/>
  </r>
  <r>
    <x v="2"/>
    <x v="3"/>
    <x v="15"/>
    <s v="28/06/2024"/>
    <s v="28/06/2024"/>
    <m/>
    <x v="4"/>
    <x v="2064"/>
    <x v="119"/>
  </r>
  <r>
    <x v="24"/>
    <x v="2"/>
    <x v="8"/>
    <d v="2024-05-07T00:00:00"/>
    <s v="07/05/2024"/>
    <m/>
    <x v="7"/>
    <x v="2065"/>
    <x v="120"/>
  </r>
  <r>
    <x v="7"/>
    <x v="3"/>
    <x v="18"/>
    <d v="2024-07-06T00:00:00"/>
    <s v="06/07/2024"/>
    <m/>
    <x v="2"/>
    <x v="2066"/>
    <x v="282"/>
  </r>
  <r>
    <x v="6"/>
    <x v="3"/>
    <x v="3"/>
    <s v="18/01/2024"/>
    <s v="18/01/2024"/>
    <m/>
    <x v="1"/>
    <x v="2067"/>
    <x v="103"/>
  </r>
  <r>
    <x v="6"/>
    <x v="2"/>
    <x v="19"/>
    <d v="2024-04-01T00:00:00"/>
    <s v="01/04/2024"/>
    <m/>
    <x v="0"/>
    <x v="2068"/>
    <x v="401"/>
  </r>
  <r>
    <x v="17"/>
    <x v="2"/>
    <x v="4"/>
    <s v="31/01/2024"/>
    <s v="31/01/2024"/>
    <m/>
    <x v="1"/>
    <x v="2069"/>
    <x v="166"/>
  </r>
  <r>
    <x v="20"/>
    <x v="1"/>
    <x v="16"/>
    <s v="14/03/2024"/>
    <s v="14/03/2024"/>
    <m/>
    <x v="5"/>
    <x v="2070"/>
    <x v="212"/>
  </r>
  <r>
    <x v="21"/>
    <x v="2"/>
    <x v="21"/>
    <s v="29/04/2024"/>
    <s v="29/04/2024"/>
    <m/>
    <x v="0"/>
    <x v="2071"/>
    <x v="469"/>
  </r>
  <r>
    <x v="4"/>
    <x v="1"/>
    <x v="3"/>
    <d v="2024-07-02T00:00:00"/>
    <s v="02/07/2024"/>
    <m/>
    <x v="2"/>
    <x v="2072"/>
    <x v="131"/>
  </r>
  <r>
    <x v="16"/>
    <x v="0"/>
    <x v="10"/>
    <s v="31/03/2024"/>
    <s v="31/03/2024"/>
    <m/>
    <x v="5"/>
    <x v="2073"/>
    <x v="19"/>
  </r>
  <r>
    <x v="11"/>
    <x v="1"/>
    <x v="20"/>
    <s v="16/03/2024"/>
    <s v="16/03/2024"/>
    <m/>
    <x v="5"/>
    <x v="2074"/>
    <x v="125"/>
  </r>
  <r>
    <x v="10"/>
    <x v="0"/>
    <x v="8"/>
    <s v="25/01/2024"/>
    <s v="25/01/2024"/>
    <m/>
    <x v="1"/>
    <x v="2075"/>
    <x v="214"/>
  </r>
  <r>
    <x v="1"/>
    <x v="1"/>
    <x v="19"/>
    <s v="20/06/2024"/>
    <s v="20/06/2024"/>
    <m/>
    <x v="4"/>
    <x v="2076"/>
    <x v="470"/>
  </r>
  <r>
    <x v="2"/>
    <x v="0"/>
    <x v="5"/>
    <s v="29/03/2024"/>
    <s v="29/03/2024"/>
    <m/>
    <x v="5"/>
    <x v="2077"/>
    <x v="14"/>
  </r>
  <r>
    <x v="14"/>
    <x v="2"/>
    <x v="7"/>
    <d v="2024-12-07T00:00:00"/>
    <s v="07/12/2024"/>
    <m/>
    <x v="11"/>
    <x v="2078"/>
    <x v="17"/>
  </r>
  <r>
    <x v="0"/>
    <x v="5"/>
    <x v="3"/>
    <d v="2024-11-07T00:00:00"/>
    <s v="07/11/2024"/>
    <m/>
    <x v="10"/>
    <x v="2079"/>
    <x v="378"/>
  </r>
  <r>
    <x v="10"/>
    <x v="5"/>
    <x v="3"/>
    <s v="19/01/2024"/>
    <s v="19/01/2024"/>
    <m/>
    <x v="1"/>
    <x v="2080"/>
    <x v="0"/>
  </r>
  <r>
    <x v="19"/>
    <x v="4"/>
    <x v="1"/>
    <d v="2024-05-04T00:00:00"/>
    <s v="04/05/2024"/>
    <m/>
    <x v="7"/>
    <x v="2081"/>
    <x v="72"/>
  </r>
  <r>
    <x v="0"/>
    <x v="5"/>
    <x v="11"/>
    <s v="21/02/2024"/>
    <s v="21/02/2024"/>
    <m/>
    <x v="3"/>
    <x v="2082"/>
    <x v="129"/>
  </r>
  <r>
    <x v="7"/>
    <x v="3"/>
    <x v="20"/>
    <s v="20/05/2024"/>
    <s v="20/05/2024"/>
    <m/>
    <x v="7"/>
    <x v="2083"/>
    <x v="303"/>
  </r>
  <r>
    <x v="9"/>
    <x v="2"/>
    <x v="11"/>
    <s v="29/07/2024"/>
    <s v="29/07/2024"/>
    <m/>
    <x v="2"/>
    <x v="2084"/>
    <x v="200"/>
  </r>
  <r>
    <x v="8"/>
    <x v="4"/>
    <x v="13"/>
    <s v="28/01/2024"/>
    <s v="28/01/2024"/>
    <m/>
    <x v="1"/>
    <x v="2085"/>
    <x v="110"/>
  </r>
  <r>
    <x v="11"/>
    <x v="0"/>
    <x v="20"/>
    <s v="19/07/2024"/>
    <s v="19/07/2024"/>
    <m/>
    <x v="2"/>
    <x v="2086"/>
    <x v="200"/>
  </r>
  <r>
    <x v="9"/>
    <x v="3"/>
    <x v="15"/>
    <s v="13/04/2024"/>
    <s v="13/04/2024"/>
    <m/>
    <x v="0"/>
    <x v="2087"/>
    <x v="11"/>
  </r>
  <r>
    <x v="13"/>
    <x v="1"/>
    <x v="2"/>
    <d v="2024-11-02T00:00:00"/>
    <s v="02/11/2024"/>
    <m/>
    <x v="10"/>
    <x v="2088"/>
    <x v="332"/>
  </r>
  <r>
    <x v="13"/>
    <x v="3"/>
    <x v="11"/>
    <d v="2024-02-03T00:00:00"/>
    <s v="03/02/2024"/>
    <m/>
    <x v="3"/>
    <x v="2089"/>
    <x v="80"/>
  </r>
  <r>
    <x v="24"/>
    <x v="2"/>
    <x v="14"/>
    <d v="2024-02-03T00:00:00"/>
    <s v="03/02/2024"/>
    <m/>
    <x v="3"/>
    <x v="2090"/>
    <x v="210"/>
  </r>
  <r>
    <x v="1"/>
    <x v="4"/>
    <x v="4"/>
    <s v="28/07/2024"/>
    <s v="28/07/2024"/>
    <m/>
    <x v="2"/>
    <x v="2091"/>
    <x v="83"/>
  </r>
  <r>
    <x v="20"/>
    <x v="1"/>
    <x v="5"/>
    <d v="2024-07-01T00:00:00"/>
    <s v="01/07/2024"/>
    <m/>
    <x v="2"/>
    <x v="2092"/>
    <x v="471"/>
  </r>
  <r>
    <x v="6"/>
    <x v="0"/>
    <x v="14"/>
    <d v="2024-12-04T00:00:00"/>
    <s v="04/12/2024"/>
    <m/>
    <x v="11"/>
    <x v="2093"/>
    <x v="225"/>
  </r>
  <r>
    <x v="1"/>
    <x v="5"/>
    <x v="16"/>
    <s v="27/06/2024"/>
    <s v="27/06/2024"/>
    <m/>
    <x v="4"/>
    <x v="2094"/>
    <x v="271"/>
  </r>
  <r>
    <x v="0"/>
    <x v="2"/>
    <x v="6"/>
    <s v="14/01/2024"/>
    <s v="14/01/2024"/>
    <m/>
    <x v="1"/>
    <x v="2095"/>
    <x v="413"/>
  </r>
  <r>
    <x v="10"/>
    <x v="0"/>
    <x v="19"/>
    <d v="2024-07-02T00:00:00"/>
    <s v="02/07/2024"/>
    <m/>
    <x v="2"/>
    <x v="2096"/>
    <x v="134"/>
  </r>
  <r>
    <x v="0"/>
    <x v="2"/>
    <x v="7"/>
    <s v="23/03/2024"/>
    <s v="23/03/2024"/>
    <m/>
    <x v="5"/>
    <x v="2097"/>
    <x v="206"/>
  </r>
  <r>
    <x v="11"/>
    <x v="1"/>
    <x v="2"/>
    <d v="2024-10-01T00:00:00"/>
    <s v="01/10/2024"/>
    <m/>
    <x v="6"/>
    <x v="2098"/>
    <x v="21"/>
  </r>
  <r>
    <x v="4"/>
    <x v="0"/>
    <x v="18"/>
    <s v="17/03/2024"/>
    <s v="17/03/2024"/>
    <m/>
    <x v="5"/>
    <x v="2099"/>
    <x v="110"/>
  </r>
  <r>
    <x v="2"/>
    <x v="4"/>
    <x v="12"/>
    <s v="21/01/2024"/>
    <s v="21/01/2024"/>
    <m/>
    <x v="1"/>
    <x v="2100"/>
    <x v="138"/>
  </r>
  <r>
    <x v="8"/>
    <x v="2"/>
    <x v="14"/>
    <d v="2024-04-07T00:00:00"/>
    <s v="07/04/2024"/>
    <m/>
    <x v="0"/>
    <x v="2101"/>
    <x v="74"/>
  </r>
  <r>
    <x v="16"/>
    <x v="5"/>
    <x v="2"/>
    <d v="2024-04-07T00:00:00"/>
    <s v="07/04/2024"/>
    <m/>
    <x v="0"/>
    <x v="2102"/>
    <x v="177"/>
  </r>
  <r>
    <x v="23"/>
    <x v="4"/>
    <x v="15"/>
    <d v="2024-10-08T00:00:00"/>
    <s v="08/10/2024"/>
    <m/>
    <x v="6"/>
    <x v="2103"/>
    <x v="315"/>
  </r>
  <r>
    <x v="17"/>
    <x v="2"/>
    <x v="6"/>
    <d v="2024-01-04T00:00:00"/>
    <s v="04/01/2024"/>
    <m/>
    <x v="1"/>
    <x v="2104"/>
    <x v="129"/>
  </r>
  <r>
    <x v="2"/>
    <x v="1"/>
    <x v="17"/>
    <s v="22/02/2024"/>
    <s v="22/02/2024"/>
    <m/>
    <x v="3"/>
    <x v="2105"/>
    <x v="191"/>
  </r>
  <r>
    <x v="21"/>
    <x v="0"/>
    <x v="14"/>
    <d v="2024-03-01T00:00:00"/>
    <s v="01/03/2024"/>
    <m/>
    <x v="5"/>
    <x v="2106"/>
    <x v="397"/>
  </r>
  <r>
    <x v="10"/>
    <x v="1"/>
    <x v="9"/>
    <s v="31/05/2024"/>
    <s v="31/05/2024"/>
    <m/>
    <x v="7"/>
    <x v="2107"/>
    <x v="41"/>
  </r>
  <r>
    <x v="23"/>
    <x v="0"/>
    <x v="4"/>
    <d v="2024-03-01T00:00:00"/>
    <s v="01/03/2024"/>
    <m/>
    <x v="5"/>
    <x v="2108"/>
    <x v="29"/>
  </r>
  <r>
    <x v="15"/>
    <x v="3"/>
    <x v="20"/>
    <s v="27/01/2024"/>
    <s v="27/01/2024"/>
    <m/>
    <x v="1"/>
    <x v="2109"/>
    <x v="472"/>
  </r>
  <r>
    <x v="8"/>
    <x v="0"/>
    <x v="6"/>
    <s v="28/01/2024"/>
    <s v="28/01/2024"/>
    <m/>
    <x v="1"/>
    <x v="2110"/>
    <x v="271"/>
  </r>
  <r>
    <x v="14"/>
    <x v="2"/>
    <x v="10"/>
    <s v="28/06/2024"/>
    <s v="28/06/2024"/>
    <m/>
    <x v="4"/>
    <x v="2111"/>
    <x v="250"/>
  </r>
  <r>
    <x v="15"/>
    <x v="0"/>
    <x v="18"/>
    <d v="2024-02-03T00:00:00"/>
    <s v="03/02/2024"/>
    <m/>
    <x v="3"/>
    <x v="2112"/>
    <x v="137"/>
  </r>
  <r>
    <x v="18"/>
    <x v="2"/>
    <x v="5"/>
    <s v="27/05/2024"/>
    <s v="27/05/2024"/>
    <m/>
    <x v="7"/>
    <x v="2113"/>
    <x v="103"/>
  </r>
  <r>
    <x v="17"/>
    <x v="4"/>
    <x v="16"/>
    <s v="30/06/2024"/>
    <s v="30/06/2024"/>
    <m/>
    <x v="4"/>
    <x v="2114"/>
    <x v="243"/>
  </r>
  <r>
    <x v="8"/>
    <x v="5"/>
    <x v="2"/>
    <d v="2024-07-06T00:00:00"/>
    <s v="06/07/2024"/>
    <m/>
    <x v="2"/>
    <x v="2115"/>
    <x v="159"/>
  </r>
  <r>
    <x v="16"/>
    <x v="4"/>
    <x v="21"/>
    <d v="2024-12-05T00:00:00"/>
    <s v="05/12/2024"/>
    <m/>
    <x v="11"/>
    <x v="2116"/>
    <x v="61"/>
  </r>
  <r>
    <x v="8"/>
    <x v="3"/>
    <x v="17"/>
    <s v="29/07/2024"/>
    <s v="29/07/2024"/>
    <m/>
    <x v="2"/>
    <x v="2117"/>
    <x v="162"/>
  </r>
  <r>
    <x v="17"/>
    <x v="0"/>
    <x v="14"/>
    <d v="2024-03-08T00:00:00"/>
    <s v="08/03/2024"/>
    <m/>
    <x v="5"/>
    <x v="2118"/>
    <x v="78"/>
  </r>
  <r>
    <x v="8"/>
    <x v="1"/>
    <x v="19"/>
    <s v="18/08/2024"/>
    <s v="18/08/2024"/>
    <m/>
    <x v="8"/>
    <x v="2119"/>
    <x v="273"/>
  </r>
  <r>
    <x v="1"/>
    <x v="3"/>
    <x v="3"/>
    <s v="14/06/2024"/>
    <s v="14/06/2024"/>
    <m/>
    <x v="4"/>
    <x v="2120"/>
    <x v="106"/>
  </r>
  <r>
    <x v="12"/>
    <x v="0"/>
    <x v="14"/>
    <s v="30/06/2024"/>
    <s v="30/06/2024"/>
    <m/>
    <x v="4"/>
    <x v="2121"/>
    <x v="88"/>
  </r>
  <r>
    <x v="21"/>
    <x v="3"/>
    <x v="0"/>
    <s v="13/06/2024"/>
    <s v="13/06/2024"/>
    <m/>
    <x v="4"/>
    <x v="2122"/>
    <x v="315"/>
  </r>
  <r>
    <x v="24"/>
    <x v="0"/>
    <x v="7"/>
    <s v="27/04/2024"/>
    <s v="27/04/2024"/>
    <m/>
    <x v="0"/>
    <x v="2123"/>
    <x v="107"/>
  </r>
  <r>
    <x v="3"/>
    <x v="2"/>
    <x v="14"/>
    <s v="27/07/2024"/>
    <s v="27/07/2024"/>
    <m/>
    <x v="2"/>
    <x v="2124"/>
    <x v="314"/>
  </r>
  <r>
    <x v="9"/>
    <x v="5"/>
    <x v="1"/>
    <s v="20/04/2024"/>
    <s v="20/04/2024"/>
    <m/>
    <x v="0"/>
    <x v="2125"/>
    <x v="375"/>
  </r>
  <r>
    <x v="7"/>
    <x v="1"/>
    <x v="12"/>
    <d v="2024-04-01T00:00:00"/>
    <s v="01/04/2024"/>
    <m/>
    <x v="0"/>
    <x v="2126"/>
    <x v="154"/>
  </r>
  <r>
    <x v="24"/>
    <x v="2"/>
    <x v="0"/>
    <s v="21/02/2024"/>
    <s v="21/02/2024"/>
    <m/>
    <x v="3"/>
    <x v="2127"/>
    <x v="109"/>
  </r>
  <r>
    <x v="10"/>
    <x v="2"/>
    <x v="14"/>
    <d v="2024-05-01T00:00:00"/>
    <s v="01/05/2024"/>
    <m/>
    <x v="7"/>
    <x v="2128"/>
    <x v="112"/>
  </r>
  <r>
    <x v="12"/>
    <x v="1"/>
    <x v="9"/>
    <s v="15/07/2024"/>
    <s v="15/07/2024"/>
    <m/>
    <x v="2"/>
    <x v="2129"/>
    <x v="121"/>
  </r>
  <r>
    <x v="6"/>
    <x v="2"/>
    <x v="18"/>
    <s v="25/05/2024"/>
    <s v="25/05/2024"/>
    <m/>
    <x v="7"/>
    <x v="2130"/>
    <x v="357"/>
  </r>
  <r>
    <x v="10"/>
    <x v="5"/>
    <x v="8"/>
    <s v="20/04/2024"/>
    <s v="20/04/2024"/>
    <m/>
    <x v="0"/>
    <x v="2131"/>
    <x v="224"/>
  </r>
  <r>
    <x v="2"/>
    <x v="4"/>
    <x v="4"/>
    <d v="2024-02-06T00:00:00"/>
    <s v="06/02/2024"/>
    <m/>
    <x v="3"/>
    <x v="2132"/>
    <x v="170"/>
  </r>
  <r>
    <x v="11"/>
    <x v="0"/>
    <x v="3"/>
    <s v="13/05/2024"/>
    <s v="13/05/2024"/>
    <m/>
    <x v="7"/>
    <x v="2133"/>
    <x v="147"/>
  </r>
  <r>
    <x v="12"/>
    <x v="3"/>
    <x v="19"/>
    <d v="2024-03-08T00:00:00"/>
    <s v="08/03/2024"/>
    <m/>
    <x v="5"/>
    <x v="2134"/>
    <x v="234"/>
  </r>
  <r>
    <x v="12"/>
    <x v="2"/>
    <x v="11"/>
    <s v="25/05/2024"/>
    <s v="25/05/2024"/>
    <m/>
    <x v="7"/>
    <x v="2135"/>
    <x v="134"/>
  </r>
  <r>
    <x v="1"/>
    <x v="0"/>
    <x v="17"/>
    <s v="16/03/2024"/>
    <s v="16/03/2024"/>
    <m/>
    <x v="5"/>
    <x v="2136"/>
    <x v="88"/>
  </r>
  <r>
    <x v="3"/>
    <x v="2"/>
    <x v="7"/>
    <d v="2024-04-07T00:00:00"/>
    <s v="07/04/2024"/>
    <m/>
    <x v="0"/>
    <x v="2137"/>
    <x v="118"/>
  </r>
  <r>
    <x v="0"/>
    <x v="1"/>
    <x v="6"/>
    <d v="2024-05-07T00:00:00"/>
    <s v="07/05/2024"/>
    <m/>
    <x v="7"/>
    <x v="2138"/>
    <x v="68"/>
  </r>
  <r>
    <x v="22"/>
    <x v="4"/>
    <x v="5"/>
    <s v="15/03/2024"/>
    <s v="15/03/2024"/>
    <m/>
    <x v="5"/>
    <x v="2139"/>
    <x v="473"/>
  </r>
  <r>
    <x v="8"/>
    <x v="0"/>
    <x v="17"/>
    <s v="22/08/2024"/>
    <s v="22/08/2024"/>
    <m/>
    <x v="8"/>
    <x v="2140"/>
    <x v="271"/>
  </r>
  <r>
    <x v="24"/>
    <x v="2"/>
    <x v="21"/>
    <d v="2024-12-01T00:00:00"/>
    <s v="01/12/2024"/>
    <m/>
    <x v="11"/>
    <x v="2141"/>
    <x v="160"/>
  </r>
  <r>
    <x v="11"/>
    <x v="0"/>
    <x v="19"/>
    <d v="2024-10-06T00:00:00"/>
    <s v="06/10/2024"/>
    <m/>
    <x v="6"/>
    <x v="2142"/>
    <x v="163"/>
  </r>
  <r>
    <x v="16"/>
    <x v="2"/>
    <x v="2"/>
    <s v="25/03/2024"/>
    <s v="25/03/2024"/>
    <m/>
    <x v="5"/>
    <x v="2143"/>
    <x v="447"/>
  </r>
  <r>
    <x v="7"/>
    <x v="1"/>
    <x v="16"/>
    <s v="27/07/2024"/>
    <s v="27/07/2024"/>
    <m/>
    <x v="2"/>
    <x v="2144"/>
    <x v="85"/>
  </r>
  <r>
    <x v="15"/>
    <x v="0"/>
    <x v="20"/>
    <s v="15/04/2024"/>
    <s v="15/04/2024"/>
    <m/>
    <x v="0"/>
    <x v="2145"/>
    <x v="474"/>
  </r>
  <r>
    <x v="13"/>
    <x v="1"/>
    <x v="7"/>
    <s v="27/06/2024"/>
    <s v="27/06/2024"/>
    <m/>
    <x v="4"/>
    <x v="2146"/>
    <x v="166"/>
  </r>
  <r>
    <x v="0"/>
    <x v="0"/>
    <x v="21"/>
    <s v="14/04/2024"/>
    <s v="14/04/2024"/>
    <m/>
    <x v="0"/>
    <x v="2147"/>
    <x v="78"/>
  </r>
  <r>
    <x v="15"/>
    <x v="2"/>
    <x v="15"/>
    <s v="15/03/2024"/>
    <s v="15/03/2024"/>
    <m/>
    <x v="5"/>
    <x v="2148"/>
    <x v="149"/>
  </r>
  <r>
    <x v="22"/>
    <x v="4"/>
    <x v="8"/>
    <s v="18/03/2024"/>
    <s v="18/03/2024"/>
    <m/>
    <x v="5"/>
    <x v="2149"/>
    <x v="386"/>
  </r>
  <r>
    <x v="6"/>
    <x v="1"/>
    <x v="8"/>
    <s v="29/04/2024"/>
    <s v="29/04/2024"/>
    <m/>
    <x v="0"/>
    <x v="2150"/>
    <x v="274"/>
  </r>
  <r>
    <x v="9"/>
    <x v="3"/>
    <x v="14"/>
    <s v="25/02/2024"/>
    <s v="25/02/2024"/>
    <m/>
    <x v="3"/>
    <x v="2151"/>
    <x v="196"/>
  </r>
  <r>
    <x v="15"/>
    <x v="4"/>
    <x v="11"/>
    <d v="2024-02-03T00:00:00"/>
    <s v="03/02/2024"/>
    <m/>
    <x v="3"/>
    <x v="2152"/>
    <x v="53"/>
  </r>
  <r>
    <x v="1"/>
    <x v="2"/>
    <x v="11"/>
    <s v="20/06/2024"/>
    <s v="20/06/2024"/>
    <m/>
    <x v="4"/>
    <x v="2153"/>
    <x v="187"/>
  </r>
  <r>
    <x v="12"/>
    <x v="5"/>
    <x v="14"/>
    <s v="15/07/2024"/>
    <s v="15/07/2024"/>
    <m/>
    <x v="2"/>
    <x v="2154"/>
    <x v="50"/>
  </r>
  <r>
    <x v="23"/>
    <x v="2"/>
    <x v="6"/>
    <d v="2024-12-05T00:00:00"/>
    <s v="05/12/2024"/>
    <m/>
    <x v="11"/>
    <x v="2155"/>
    <x v="356"/>
  </r>
  <r>
    <x v="9"/>
    <x v="3"/>
    <x v="10"/>
    <d v="2024-01-07T00:00:00"/>
    <s v="07/01/2024"/>
    <m/>
    <x v="1"/>
    <x v="2156"/>
    <x v="249"/>
  </r>
  <r>
    <x v="15"/>
    <x v="4"/>
    <x v="1"/>
    <d v="2024-08-08T00:00:00"/>
    <s v="08/08/2024"/>
    <m/>
    <x v="8"/>
    <x v="2157"/>
    <x v="8"/>
  </r>
  <r>
    <x v="22"/>
    <x v="2"/>
    <x v="6"/>
    <s v="25/07/2024"/>
    <s v="25/07/2024"/>
    <m/>
    <x v="2"/>
    <x v="2158"/>
    <x v="83"/>
  </r>
  <r>
    <x v="18"/>
    <x v="0"/>
    <x v="9"/>
    <s v="18/05/2024"/>
    <s v="18/05/2024"/>
    <m/>
    <x v="7"/>
    <x v="2159"/>
    <x v="138"/>
  </r>
  <r>
    <x v="21"/>
    <x v="1"/>
    <x v="2"/>
    <s v="15/07/2024"/>
    <s v="15/07/2024"/>
    <m/>
    <x v="2"/>
    <x v="2160"/>
    <x v="392"/>
  </r>
  <r>
    <x v="14"/>
    <x v="1"/>
    <x v="21"/>
    <d v="2024-05-07T00:00:00"/>
    <s v="07/05/2024"/>
    <m/>
    <x v="7"/>
    <x v="2161"/>
    <x v="146"/>
  </r>
  <r>
    <x v="9"/>
    <x v="4"/>
    <x v="15"/>
    <d v="2024-04-07T00:00:00"/>
    <s v="07/04/2024"/>
    <m/>
    <x v="0"/>
    <x v="2162"/>
    <x v="149"/>
  </r>
  <r>
    <x v="23"/>
    <x v="0"/>
    <x v="21"/>
    <s v="20/06/2024"/>
    <s v="20/06/2024"/>
    <m/>
    <x v="4"/>
    <x v="2163"/>
    <x v="457"/>
  </r>
  <r>
    <x v="5"/>
    <x v="2"/>
    <x v="16"/>
    <s v="25/01/2024"/>
    <s v="25/01/2024"/>
    <m/>
    <x v="1"/>
    <x v="2164"/>
    <x v="377"/>
  </r>
  <r>
    <x v="16"/>
    <x v="3"/>
    <x v="12"/>
    <d v="2024-01-07T00:00:00"/>
    <s v="07/01/2024"/>
    <m/>
    <x v="1"/>
    <x v="2165"/>
    <x v="5"/>
  </r>
  <r>
    <x v="2"/>
    <x v="4"/>
    <x v="6"/>
    <s v="13/04/2024"/>
    <s v="13/04/2024"/>
    <m/>
    <x v="0"/>
    <x v="2166"/>
    <x v="203"/>
  </r>
  <r>
    <x v="12"/>
    <x v="0"/>
    <x v="3"/>
    <d v="2024-04-05T00:00:00"/>
    <s v="05/04/2024"/>
    <m/>
    <x v="0"/>
    <x v="2167"/>
    <x v="376"/>
  </r>
  <r>
    <x v="12"/>
    <x v="2"/>
    <x v="19"/>
    <d v="2024-04-08T00:00:00"/>
    <s v="08/04/2024"/>
    <m/>
    <x v="0"/>
    <x v="2168"/>
    <x v="366"/>
  </r>
  <r>
    <x v="12"/>
    <x v="1"/>
    <x v="21"/>
    <d v="2024-01-06T00:00:00"/>
    <s v="06/01/2024"/>
    <m/>
    <x v="1"/>
    <x v="2169"/>
    <x v="136"/>
  </r>
  <r>
    <x v="0"/>
    <x v="0"/>
    <x v="18"/>
    <s v="22/04/2024"/>
    <s v="22/04/2024"/>
    <m/>
    <x v="0"/>
    <x v="2170"/>
    <x v="142"/>
  </r>
  <r>
    <x v="16"/>
    <x v="4"/>
    <x v="6"/>
    <d v="2024-03-08T00:00:00"/>
    <s v="08/03/2024"/>
    <m/>
    <x v="5"/>
    <x v="2171"/>
    <x v="135"/>
  </r>
  <r>
    <x v="24"/>
    <x v="4"/>
    <x v="7"/>
    <d v="2024-10-06T00:00:00"/>
    <s v="06/10/2024"/>
    <m/>
    <x v="6"/>
    <x v="2172"/>
    <x v="271"/>
  </r>
  <r>
    <x v="5"/>
    <x v="0"/>
    <x v="15"/>
    <s v="27/06/2024"/>
    <s v="27/06/2024"/>
    <m/>
    <x v="4"/>
    <x v="2173"/>
    <x v="112"/>
  </r>
  <r>
    <x v="11"/>
    <x v="2"/>
    <x v="3"/>
    <d v="2024-03-01T00:00:00"/>
    <s v="01/03/2024"/>
    <m/>
    <x v="5"/>
    <x v="2174"/>
    <x v="50"/>
  </r>
  <r>
    <x v="11"/>
    <x v="1"/>
    <x v="5"/>
    <d v="2024-11-07T00:00:00"/>
    <s v="07/11/2024"/>
    <m/>
    <x v="10"/>
    <x v="2175"/>
    <x v="43"/>
  </r>
  <r>
    <x v="24"/>
    <x v="3"/>
    <x v="11"/>
    <s v="17/08/2024"/>
    <s v="17/08/2024"/>
    <m/>
    <x v="8"/>
    <x v="2176"/>
    <x v="120"/>
  </r>
  <r>
    <x v="7"/>
    <x v="4"/>
    <x v="13"/>
    <s v="18/01/2024"/>
    <s v="18/01/2024"/>
    <m/>
    <x v="1"/>
    <x v="2177"/>
    <x v="150"/>
  </r>
  <r>
    <x v="24"/>
    <x v="1"/>
    <x v="10"/>
    <d v="2024-08-03T00:00:00"/>
    <s v="03/08/2024"/>
    <m/>
    <x v="8"/>
    <x v="2178"/>
    <x v="200"/>
  </r>
  <r>
    <x v="9"/>
    <x v="2"/>
    <x v="7"/>
    <d v="2024-07-03T00:00:00"/>
    <s v="03/07/2024"/>
    <m/>
    <x v="2"/>
    <x v="2179"/>
    <x v="227"/>
  </r>
  <r>
    <x v="15"/>
    <x v="1"/>
    <x v="21"/>
    <d v="2024-09-05T00:00:00"/>
    <s v="05/09/2024"/>
    <m/>
    <x v="9"/>
    <x v="2180"/>
    <x v="223"/>
  </r>
  <r>
    <x v="8"/>
    <x v="3"/>
    <x v="1"/>
    <s v="23/05/2024"/>
    <s v="23/05/2024"/>
    <m/>
    <x v="7"/>
    <x v="2181"/>
    <x v="412"/>
  </r>
  <r>
    <x v="22"/>
    <x v="0"/>
    <x v="20"/>
    <s v="15/04/2024"/>
    <s v="15/04/2024"/>
    <m/>
    <x v="0"/>
    <x v="2182"/>
    <x v="13"/>
  </r>
  <r>
    <x v="2"/>
    <x v="2"/>
    <x v="9"/>
    <s v="27/07/2024"/>
    <s v="27/07/2024"/>
    <m/>
    <x v="2"/>
    <x v="2183"/>
    <x v="97"/>
  </r>
  <r>
    <x v="11"/>
    <x v="5"/>
    <x v="18"/>
    <s v="22/08/2024"/>
    <s v="22/08/2024"/>
    <m/>
    <x v="8"/>
    <x v="2184"/>
    <x v="134"/>
  </r>
  <r>
    <x v="24"/>
    <x v="4"/>
    <x v="21"/>
    <d v="2024-11-05T00:00:00"/>
    <s v="05/11/2024"/>
    <m/>
    <x v="10"/>
    <x v="2185"/>
    <x v="328"/>
  </r>
  <r>
    <x v="22"/>
    <x v="1"/>
    <x v="10"/>
    <s v="26/01/2024"/>
    <s v="26/01/2024"/>
    <m/>
    <x v="1"/>
    <x v="2186"/>
    <x v="137"/>
  </r>
  <r>
    <x v="8"/>
    <x v="4"/>
    <x v="6"/>
    <s v="14/04/2024"/>
    <s v="14/04/2024"/>
    <m/>
    <x v="0"/>
    <x v="2187"/>
    <x v="328"/>
  </r>
  <r>
    <x v="17"/>
    <x v="3"/>
    <x v="0"/>
    <d v="2024-05-04T00:00:00"/>
    <s v="04/05/2024"/>
    <m/>
    <x v="7"/>
    <x v="2188"/>
    <x v="165"/>
  </r>
  <r>
    <x v="11"/>
    <x v="3"/>
    <x v="3"/>
    <s v="14/06/2024"/>
    <s v="14/06/2024"/>
    <m/>
    <x v="4"/>
    <x v="2189"/>
    <x v="60"/>
  </r>
  <r>
    <x v="6"/>
    <x v="5"/>
    <x v="16"/>
    <s v="13/04/2024"/>
    <s v="13/04/2024"/>
    <m/>
    <x v="0"/>
    <x v="2190"/>
    <x v="100"/>
  </r>
  <r>
    <x v="12"/>
    <x v="2"/>
    <x v="14"/>
    <s v="27/06/2024"/>
    <s v="27/06/2024"/>
    <m/>
    <x v="4"/>
    <x v="2191"/>
    <x v="124"/>
  </r>
  <r>
    <x v="23"/>
    <x v="2"/>
    <x v="8"/>
    <s v="26/01/2024"/>
    <s v="26/01/2024"/>
    <m/>
    <x v="1"/>
    <x v="2192"/>
    <x v="186"/>
  </r>
  <r>
    <x v="8"/>
    <x v="0"/>
    <x v="14"/>
    <d v="2024-05-07T00:00:00"/>
    <s v="07/05/2024"/>
    <m/>
    <x v="7"/>
    <x v="2193"/>
    <x v="33"/>
  </r>
  <r>
    <x v="12"/>
    <x v="5"/>
    <x v="19"/>
    <d v="2024-11-01T00:00:00"/>
    <s v="01/11/2024"/>
    <m/>
    <x v="10"/>
    <x v="2194"/>
    <x v="2"/>
  </r>
  <r>
    <x v="20"/>
    <x v="4"/>
    <x v="14"/>
    <d v="2024-07-03T00:00:00"/>
    <s v="03/07/2024"/>
    <m/>
    <x v="2"/>
    <x v="2195"/>
    <x v="69"/>
  </r>
  <r>
    <x v="16"/>
    <x v="5"/>
    <x v="6"/>
    <d v="2024-04-03T00:00:00"/>
    <s v="03/04/2024"/>
    <m/>
    <x v="0"/>
    <x v="2196"/>
    <x v="176"/>
  </r>
  <r>
    <x v="10"/>
    <x v="5"/>
    <x v="10"/>
    <s v="15/07/2024"/>
    <s v="15/07/2024"/>
    <m/>
    <x v="2"/>
    <x v="2197"/>
    <x v="57"/>
  </r>
  <r>
    <x v="16"/>
    <x v="0"/>
    <x v="2"/>
    <d v="2024-11-05T00:00:00"/>
    <s v="05/11/2024"/>
    <m/>
    <x v="10"/>
    <x v="2198"/>
    <x v="243"/>
  </r>
  <r>
    <x v="10"/>
    <x v="4"/>
    <x v="11"/>
    <s v="27/01/2024"/>
    <s v="27/01/2024"/>
    <m/>
    <x v="1"/>
    <x v="2199"/>
    <x v="305"/>
  </r>
  <r>
    <x v="10"/>
    <x v="1"/>
    <x v="7"/>
    <s v="27/06/2024"/>
    <s v="27/06/2024"/>
    <m/>
    <x v="4"/>
    <x v="2200"/>
    <x v="412"/>
  </r>
  <r>
    <x v="24"/>
    <x v="1"/>
    <x v="3"/>
    <d v="2024-03-08T00:00:00"/>
    <s v="08/03/2024"/>
    <m/>
    <x v="5"/>
    <x v="2201"/>
    <x v="166"/>
  </r>
  <r>
    <x v="18"/>
    <x v="3"/>
    <x v="0"/>
    <s v="19/08/2024"/>
    <s v="19/08/2024"/>
    <m/>
    <x v="8"/>
    <x v="2202"/>
    <x v="310"/>
  </r>
  <r>
    <x v="18"/>
    <x v="2"/>
    <x v="13"/>
    <s v="15/06/2024"/>
    <s v="15/06/2024"/>
    <m/>
    <x v="4"/>
    <x v="2203"/>
    <x v="90"/>
  </r>
  <r>
    <x v="17"/>
    <x v="0"/>
    <x v="2"/>
    <d v="2024-07-02T00:00:00"/>
    <s v="02/07/2024"/>
    <m/>
    <x v="2"/>
    <x v="2204"/>
    <x v="191"/>
  </r>
  <r>
    <x v="10"/>
    <x v="2"/>
    <x v="16"/>
    <d v="2024-08-07T00:00:00"/>
    <s v="07/08/2024"/>
    <m/>
    <x v="8"/>
    <x v="2205"/>
    <x v="17"/>
  </r>
  <r>
    <x v="17"/>
    <x v="1"/>
    <x v="11"/>
    <s v="21/04/2024"/>
    <s v="21/04/2024"/>
    <m/>
    <x v="0"/>
    <x v="2206"/>
    <x v="109"/>
  </r>
  <r>
    <x v="24"/>
    <x v="0"/>
    <x v="0"/>
    <d v="2024-08-04T00:00:00"/>
    <s v="04/08/2024"/>
    <m/>
    <x v="8"/>
    <x v="2207"/>
    <x v="64"/>
  </r>
  <r>
    <x v="15"/>
    <x v="2"/>
    <x v="6"/>
    <s v="19/08/2024"/>
    <s v="19/08/2024"/>
    <m/>
    <x v="8"/>
    <x v="2208"/>
    <x v="60"/>
  </r>
  <r>
    <x v="3"/>
    <x v="1"/>
    <x v="13"/>
    <d v="2024-04-05T00:00:00"/>
    <s v="05/04/2024"/>
    <m/>
    <x v="0"/>
    <x v="2209"/>
    <x v="203"/>
  </r>
  <r>
    <x v="9"/>
    <x v="4"/>
    <x v="1"/>
    <d v="2024-11-05T00:00:00"/>
    <s v="05/11/2024"/>
    <m/>
    <x v="10"/>
    <x v="2210"/>
    <x v="24"/>
  </r>
  <r>
    <x v="9"/>
    <x v="4"/>
    <x v="8"/>
    <s v="22/03/2024"/>
    <s v="22/03/2024"/>
    <m/>
    <x v="5"/>
    <x v="2211"/>
    <x v="282"/>
  </r>
  <r>
    <x v="17"/>
    <x v="5"/>
    <x v="12"/>
    <d v="2024-10-08T00:00:00"/>
    <s v="08/10/2024"/>
    <m/>
    <x v="6"/>
    <x v="2212"/>
    <x v="174"/>
  </r>
  <r>
    <x v="17"/>
    <x v="4"/>
    <x v="13"/>
    <d v="2024-04-05T00:00:00"/>
    <s v="05/04/2024"/>
    <m/>
    <x v="0"/>
    <x v="2213"/>
    <x v="35"/>
  </r>
  <r>
    <x v="20"/>
    <x v="4"/>
    <x v="4"/>
    <s v="18/08/2024"/>
    <s v="18/08/2024"/>
    <m/>
    <x v="8"/>
    <x v="2214"/>
    <x v="237"/>
  </r>
  <r>
    <x v="23"/>
    <x v="5"/>
    <x v="17"/>
    <d v="2024-03-08T00:00:00"/>
    <s v="08/03/2024"/>
    <m/>
    <x v="5"/>
    <x v="2215"/>
    <x v="167"/>
  </r>
  <r>
    <x v="11"/>
    <x v="3"/>
    <x v="11"/>
    <s v="14/01/2024"/>
    <s v="14/01/2024"/>
    <m/>
    <x v="1"/>
    <x v="2216"/>
    <x v="195"/>
  </r>
  <r>
    <x v="22"/>
    <x v="2"/>
    <x v="18"/>
    <d v="2024-08-04T00:00:00"/>
    <s v="04/08/2024"/>
    <m/>
    <x v="8"/>
    <x v="2217"/>
    <x v="148"/>
  </r>
  <r>
    <x v="20"/>
    <x v="0"/>
    <x v="7"/>
    <d v="2024-01-08T00:00:00"/>
    <s v="08/01/2024"/>
    <m/>
    <x v="1"/>
    <x v="2218"/>
    <x v="186"/>
  </r>
  <r>
    <x v="17"/>
    <x v="5"/>
    <x v="8"/>
    <s v="15/03/2024"/>
    <s v="15/03/2024"/>
    <m/>
    <x v="5"/>
    <x v="2219"/>
    <x v="121"/>
  </r>
  <r>
    <x v="10"/>
    <x v="1"/>
    <x v="0"/>
    <s v="15/07/2024"/>
    <s v="15/07/2024"/>
    <m/>
    <x v="2"/>
    <x v="2220"/>
    <x v="397"/>
  </r>
  <r>
    <x v="8"/>
    <x v="3"/>
    <x v="16"/>
    <s v="13/01/2024"/>
    <s v="13/01/2024"/>
    <m/>
    <x v="1"/>
    <x v="2221"/>
    <x v="378"/>
  </r>
  <r>
    <x v="9"/>
    <x v="2"/>
    <x v="1"/>
    <s v="26/08/2024"/>
    <s v="26/08/2024"/>
    <m/>
    <x v="8"/>
    <x v="2222"/>
    <x v="138"/>
  </r>
  <r>
    <x v="24"/>
    <x v="5"/>
    <x v="8"/>
    <d v="2024-10-01T00:00:00"/>
    <s v="01/10/2024"/>
    <m/>
    <x v="6"/>
    <x v="2223"/>
    <x v="178"/>
  </r>
  <r>
    <x v="2"/>
    <x v="2"/>
    <x v="14"/>
    <d v="2024-11-05T00:00:00"/>
    <s v="05/11/2024"/>
    <m/>
    <x v="10"/>
    <x v="2224"/>
    <x v="49"/>
  </r>
  <r>
    <x v="12"/>
    <x v="3"/>
    <x v="1"/>
    <s v="30/08/2024"/>
    <s v="30/08/2024"/>
    <m/>
    <x v="8"/>
    <x v="2225"/>
    <x v="69"/>
  </r>
  <r>
    <x v="16"/>
    <x v="4"/>
    <x v="20"/>
    <s v="21/07/2024"/>
    <s v="21/07/2024"/>
    <m/>
    <x v="2"/>
    <x v="2226"/>
    <x v="118"/>
  </r>
  <r>
    <x v="9"/>
    <x v="2"/>
    <x v="16"/>
    <d v="2024-01-08T00:00:00"/>
    <s v="08/01/2024"/>
    <m/>
    <x v="1"/>
    <x v="2227"/>
    <x v="284"/>
  </r>
  <r>
    <x v="6"/>
    <x v="5"/>
    <x v="1"/>
    <s v="17/02/2024"/>
    <s v="17/02/2024"/>
    <m/>
    <x v="3"/>
    <x v="2228"/>
    <x v="79"/>
  </r>
  <r>
    <x v="6"/>
    <x v="2"/>
    <x v="9"/>
    <s v="27/07/2024"/>
    <s v="27/07/2024"/>
    <m/>
    <x v="2"/>
    <x v="2229"/>
    <x v="141"/>
  </r>
  <r>
    <x v="23"/>
    <x v="4"/>
    <x v="7"/>
    <s v="23/02/2024"/>
    <s v="23/02/2024"/>
    <m/>
    <x v="3"/>
    <x v="2230"/>
    <x v="27"/>
  </r>
  <r>
    <x v="7"/>
    <x v="2"/>
    <x v="6"/>
    <s v="22/03/2024"/>
    <s v="22/03/2024"/>
    <m/>
    <x v="5"/>
    <x v="2231"/>
    <x v="137"/>
  </r>
  <r>
    <x v="17"/>
    <x v="1"/>
    <x v="4"/>
    <s v="23/06/2024"/>
    <s v="23/06/2024"/>
    <m/>
    <x v="4"/>
    <x v="2232"/>
    <x v="475"/>
  </r>
  <r>
    <x v="14"/>
    <x v="0"/>
    <x v="14"/>
    <d v="2024-01-02T00:00:00"/>
    <s v="02/01/2024"/>
    <m/>
    <x v="1"/>
    <x v="2233"/>
    <x v="33"/>
  </r>
  <r>
    <x v="20"/>
    <x v="2"/>
    <x v="5"/>
    <d v="2024-02-03T00:00:00"/>
    <s v="03/02/2024"/>
    <m/>
    <x v="3"/>
    <x v="2234"/>
    <x v="452"/>
  </r>
  <r>
    <x v="2"/>
    <x v="0"/>
    <x v="13"/>
    <d v="2024-06-04T00:00:00"/>
    <s v="04/06/2024"/>
    <m/>
    <x v="4"/>
    <x v="2235"/>
    <x v="96"/>
  </r>
  <r>
    <x v="5"/>
    <x v="2"/>
    <x v="17"/>
    <s v="17/03/2024"/>
    <s v="17/03/2024"/>
    <m/>
    <x v="5"/>
    <x v="2236"/>
    <x v="376"/>
  </r>
  <r>
    <x v="14"/>
    <x v="0"/>
    <x v="13"/>
    <s v="24/06/2024"/>
    <s v="24/06/2024"/>
    <m/>
    <x v="4"/>
    <x v="2237"/>
    <x v="48"/>
  </r>
  <r>
    <x v="8"/>
    <x v="5"/>
    <x v="6"/>
    <s v="19/07/2024"/>
    <s v="19/07/2024"/>
    <m/>
    <x v="2"/>
    <x v="2238"/>
    <x v="57"/>
  </r>
  <r>
    <x v="14"/>
    <x v="4"/>
    <x v="12"/>
    <d v="2024-11-07T00:00:00"/>
    <s v="07/11/2024"/>
    <m/>
    <x v="10"/>
    <x v="2239"/>
    <x v="297"/>
  </r>
  <r>
    <x v="6"/>
    <x v="1"/>
    <x v="16"/>
    <s v="13/01/2024"/>
    <s v="13/01/2024"/>
    <m/>
    <x v="1"/>
    <x v="2240"/>
    <x v="476"/>
  </r>
  <r>
    <x v="4"/>
    <x v="3"/>
    <x v="3"/>
    <d v="2024-07-07T00:00:00"/>
    <s v="07/07/2024"/>
    <m/>
    <x v="2"/>
    <x v="2241"/>
    <x v="81"/>
  </r>
  <r>
    <x v="3"/>
    <x v="1"/>
    <x v="1"/>
    <s v="25/05/2024"/>
    <s v="25/05/2024"/>
    <m/>
    <x v="7"/>
    <x v="2242"/>
    <x v="218"/>
  </r>
  <r>
    <x v="11"/>
    <x v="1"/>
    <x v="13"/>
    <s v="13/04/2024"/>
    <s v="13/04/2024"/>
    <m/>
    <x v="0"/>
    <x v="2243"/>
    <x v="412"/>
  </r>
  <r>
    <x v="19"/>
    <x v="3"/>
    <x v="6"/>
    <d v="2024-02-03T00:00:00"/>
    <s v="03/02/2024"/>
    <m/>
    <x v="3"/>
    <x v="2244"/>
    <x v="353"/>
  </r>
  <r>
    <x v="5"/>
    <x v="5"/>
    <x v="17"/>
    <s v="23/06/2024"/>
    <s v="23/06/2024"/>
    <m/>
    <x v="4"/>
    <x v="2245"/>
    <x v="197"/>
  </r>
  <r>
    <x v="20"/>
    <x v="4"/>
    <x v="9"/>
    <s v="26/07/2024"/>
    <s v="26/07/2024"/>
    <m/>
    <x v="2"/>
    <x v="2246"/>
    <x v="13"/>
  </r>
  <r>
    <x v="1"/>
    <x v="5"/>
    <x v="14"/>
    <s v="22/03/2024"/>
    <s v="22/03/2024"/>
    <m/>
    <x v="5"/>
    <x v="2247"/>
    <x v="186"/>
  </r>
  <r>
    <x v="7"/>
    <x v="4"/>
    <x v="19"/>
    <d v="2024-09-06T00:00:00"/>
    <s v="06/09/2024"/>
    <m/>
    <x v="9"/>
    <x v="2248"/>
    <x v="53"/>
  </r>
  <r>
    <x v="1"/>
    <x v="2"/>
    <x v="20"/>
    <s v="17/05/2024"/>
    <s v="17/05/2024"/>
    <m/>
    <x v="7"/>
    <x v="2249"/>
    <x v="204"/>
  </r>
  <r>
    <x v="24"/>
    <x v="3"/>
    <x v="2"/>
    <d v="2024-04-03T00:00:00"/>
    <s v="03/04/2024"/>
    <m/>
    <x v="0"/>
    <x v="2250"/>
    <x v="392"/>
  </r>
  <r>
    <x v="20"/>
    <x v="5"/>
    <x v="11"/>
    <d v="2024-07-07T00:00:00"/>
    <s v="07/07/2024"/>
    <m/>
    <x v="2"/>
    <x v="2251"/>
    <x v="206"/>
  </r>
  <r>
    <x v="17"/>
    <x v="5"/>
    <x v="18"/>
    <s v="13/01/2024"/>
    <s v="13/01/2024"/>
    <m/>
    <x v="1"/>
    <x v="2252"/>
    <x v="120"/>
  </r>
  <r>
    <x v="14"/>
    <x v="2"/>
    <x v="16"/>
    <s v="13/07/2024"/>
    <s v="13/07/2024"/>
    <m/>
    <x v="2"/>
    <x v="2253"/>
    <x v="220"/>
  </r>
  <r>
    <x v="22"/>
    <x v="2"/>
    <x v="1"/>
    <s v="16/06/2024"/>
    <s v="16/06/2024"/>
    <m/>
    <x v="4"/>
    <x v="2254"/>
    <x v="387"/>
  </r>
  <r>
    <x v="2"/>
    <x v="0"/>
    <x v="6"/>
    <s v="18/07/2024"/>
    <s v="18/07/2024"/>
    <m/>
    <x v="2"/>
    <x v="2255"/>
    <x v="150"/>
  </r>
  <r>
    <x v="24"/>
    <x v="0"/>
    <x v="15"/>
    <s v="30/05/2024"/>
    <s v="30/05/2024"/>
    <m/>
    <x v="7"/>
    <x v="2256"/>
    <x v="183"/>
  </r>
  <r>
    <x v="2"/>
    <x v="0"/>
    <x v="21"/>
    <s v="21/06/2024"/>
    <s v="21/06/2024"/>
    <m/>
    <x v="4"/>
    <x v="2257"/>
    <x v="147"/>
  </r>
  <r>
    <x v="0"/>
    <x v="2"/>
    <x v="2"/>
    <s v="24/06/2024"/>
    <s v="24/06/2024"/>
    <m/>
    <x v="4"/>
    <x v="2258"/>
    <x v="240"/>
  </r>
  <r>
    <x v="11"/>
    <x v="1"/>
    <x v="8"/>
    <s v="13/01/2024"/>
    <s v="13/01/2024"/>
    <m/>
    <x v="1"/>
    <x v="2259"/>
    <x v="1"/>
  </r>
  <r>
    <x v="14"/>
    <x v="5"/>
    <x v="13"/>
    <d v="2024-04-04T00:00:00"/>
    <s v="04/04/2024"/>
    <m/>
    <x v="0"/>
    <x v="2260"/>
    <x v="219"/>
  </r>
  <r>
    <x v="16"/>
    <x v="0"/>
    <x v="3"/>
    <d v="2024-08-06T00:00:00"/>
    <s v="06/08/2024"/>
    <m/>
    <x v="8"/>
    <x v="2261"/>
    <x v="477"/>
  </r>
  <r>
    <x v="10"/>
    <x v="5"/>
    <x v="12"/>
    <d v="2024-02-08T00:00:00"/>
    <s v="08/02/2024"/>
    <m/>
    <x v="3"/>
    <x v="2262"/>
    <x v="106"/>
  </r>
  <r>
    <x v="20"/>
    <x v="4"/>
    <x v="10"/>
    <s v="21/07/2024"/>
    <s v="21/07/2024"/>
    <m/>
    <x v="2"/>
    <x v="2263"/>
    <x v="31"/>
  </r>
  <r>
    <x v="14"/>
    <x v="1"/>
    <x v="12"/>
    <s v="20/06/2024"/>
    <s v="20/06/2024"/>
    <m/>
    <x v="4"/>
    <x v="2264"/>
    <x v="17"/>
  </r>
  <r>
    <x v="13"/>
    <x v="1"/>
    <x v="5"/>
    <s v="22/06/2024"/>
    <s v="22/06/2024"/>
    <m/>
    <x v="4"/>
    <x v="2265"/>
    <x v="24"/>
  </r>
  <r>
    <x v="21"/>
    <x v="2"/>
    <x v="20"/>
    <d v="2024-02-05T00:00:00"/>
    <s v="05/02/2024"/>
    <m/>
    <x v="3"/>
    <x v="2266"/>
    <x v="39"/>
  </r>
  <r>
    <x v="14"/>
    <x v="2"/>
    <x v="4"/>
    <d v="2024-07-01T00:00:00"/>
    <s v="01/07/2024"/>
    <m/>
    <x v="2"/>
    <x v="2267"/>
    <x v="102"/>
  </r>
  <r>
    <x v="9"/>
    <x v="0"/>
    <x v="6"/>
    <s v="21/02/2024"/>
    <s v="21/02/2024"/>
    <m/>
    <x v="3"/>
    <x v="2268"/>
    <x v="9"/>
  </r>
  <r>
    <x v="24"/>
    <x v="5"/>
    <x v="19"/>
    <s v="21/03/2024"/>
    <s v="21/03/2024"/>
    <m/>
    <x v="5"/>
    <x v="2269"/>
    <x v="292"/>
  </r>
  <r>
    <x v="1"/>
    <x v="0"/>
    <x v="9"/>
    <d v="2024-04-04T00:00:00"/>
    <s v="04/04/2024"/>
    <m/>
    <x v="0"/>
    <x v="2270"/>
    <x v="128"/>
  </r>
  <r>
    <x v="5"/>
    <x v="5"/>
    <x v="13"/>
    <s v="24/03/2024"/>
    <s v="24/03/2024"/>
    <m/>
    <x v="5"/>
    <x v="2271"/>
    <x v="126"/>
  </r>
  <r>
    <x v="5"/>
    <x v="3"/>
    <x v="12"/>
    <s v="28/06/2024"/>
    <s v="28/06/2024"/>
    <m/>
    <x v="4"/>
    <x v="2272"/>
    <x v="397"/>
  </r>
  <r>
    <x v="5"/>
    <x v="2"/>
    <x v="9"/>
    <s v="14/01/2024"/>
    <s v="14/01/2024"/>
    <m/>
    <x v="1"/>
    <x v="2273"/>
    <x v="43"/>
  </r>
  <r>
    <x v="10"/>
    <x v="3"/>
    <x v="13"/>
    <d v="2024-07-02T00:00:00"/>
    <s v="02/07/2024"/>
    <m/>
    <x v="2"/>
    <x v="2274"/>
    <x v="93"/>
  </r>
  <r>
    <x v="17"/>
    <x v="3"/>
    <x v="9"/>
    <d v="2024-11-01T00:00:00"/>
    <s v="01/11/2024"/>
    <m/>
    <x v="10"/>
    <x v="2275"/>
    <x v="132"/>
  </r>
  <r>
    <x v="0"/>
    <x v="1"/>
    <x v="4"/>
    <s v="25/02/2024"/>
    <s v="25/02/2024"/>
    <m/>
    <x v="3"/>
    <x v="2276"/>
    <x v="356"/>
  </r>
  <r>
    <x v="23"/>
    <x v="2"/>
    <x v="0"/>
    <d v="2024-01-08T00:00:00"/>
    <s v="08/01/2024"/>
    <m/>
    <x v="1"/>
    <x v="2277"/>
    <x v="135"/>
  </r>
  <r>
    <x v="13"/>
    <x v="2"/>
    <x v="0"/>
    <d v="2024-05-05T00:00:00"/>
    <s v="05/05/2024"/>
    <m/>
    <x v="7"/>
    <x v="2278"/>
    <x v="361"/>
  </r>
  <r>
    <x v="22"/>
    <x v="3"/>
    <x v="17"/>
    <s v="18/05/2024"/>
    <s v="18/05/2024"/>
    <m/>
    <x v="7"/>
    <x v="2279"/>
    <x v="453"/>
  </r>
  <r>
    <x v="23"/>
    <x v="3"/>
    <x v="18"/>
    <d v="2024-04-01T00:00:00"/>
    <s v="01/04/2024"/>
    <m/>
    <x v="0"/>
    <x v="2280"/>
    <x v="478"/>
  </r>
  <r>
    <x v="13"/>
    <x v="3"/>
    <x v="6"/>
    <d v="2024-09-05T00:00:00"/>
    <s v="05/09/2024"/>
    <m/>
    <x v="9"/>
    <x v="2281"/>
    <x v="122"/>
  </r>
  <r>
    <x v="7"/>
    <x v="1"/>
    <x v="3"/>
    <d v="2024-06-05T00:00:00"/>
    <s v="05/06/2024"/>
    <m/>
    <x v="4"/>
    <x v="2282"/>
    <x v="88"/>
  </r>
  <r>
    <x v="15"/>
    <x v="0"/>
    <x v="14"/>
    <s v="13/01/2024"/>
    <s v="13/01/2024"/>
    <m/>
    <x v="1"/>
    <x v="2283"/>
    <x v="191"/>
  </r>
  <r>
    <x v="13"/>
    <x v="2"/>
    <x v="16"/>
    <s v="24/06/2024"/>
    <s v="24/06/2024"/>
    <m/>
    <x v="4"/>
    <x v="2284"/>
    <x v="271"/>
  </r>
  <r>
    <x v="1"/>
    <x v="4"/>
    <x v="20"/>
    <s v="14/02/2024"/>
    <s v="14/02/2024"/>
    <m/>
    <x v="3"/>
    <x v="2285"/>
    <x v="108"/>
  </r>
  <r>
    <x v="21"/>
    <x v="2"/>
    <x v="4"/>
    <s v="18/01/2024"/>
    <s v="18/01/2024"/>
    <m/>
    <x v="1"/>
    <x v="2286"/>
    <x v="176"/>
  </r>
  <r>
    <x v="16"/>
    <x v="1"/>
    <x v="11"/>
    <d v="2024-02-05T00:00:00"/>
    <s v="05/02/2024"/>
    <m/>
    <x v="3"/>
    <x v="2287"/>
    <x v="266"/>
  </r>
  <r>
    <x v="24"/>
    <x v="2"/>
    <x v="3"/>
    <s v="16/05/2024"/>
    <s v="16/05/2024"/>
    <m/>
    <x v="7"/>
    <x v="2288"/>
    <x v="193"/>
  </r>
  <r>
    <x v="9"/>
    <x v="4"/>
    <x v="16"/>
    <s v="28/01/2024"/>
    <s v="28/01/2024"/>
    <m/>
    <x v="1"/>
    <x v="2289"/>
    <x v="479"/>
  </r>
  <r>
    <x v="16"/>
    <x v="5"/>
    <x v="4"/>
    <s v="24/06/2024"/>
    <s v="24/06/2024"/>
    <m/>
    <x v="4"/>
    <x v="2290"/>
    <x v="403"/>
  </r>
  <r>
    <x v="4"/>
    <x v="0"/>
    <x v="5"/>
    <s v="18/07/2024"/>
    <s v="18/07/2024"/>
    <m/>
    <x v="2"/>
    <x v="2291"/>
    <x v="176"/>
  </r>
  <r>
    <x v="5"/>
    <x v="0"/>
    <x v="8"/>
    <s v="13/04/2024"/>
    <s v="13/04/2024"/>
    <m/>
    <x v="0"/>
    <x v="2292"/>
    <x v="95"/>
  </r>
  <r>
    <x v="23"/>
    <x v="4"/>
    <x v="20"/>
    <s v="15/04/2024"/>
    <s v="15/04/2024"/>
    <m/>
    <x v="0"/>
    <x v="2293"/>
    <x v="49"/>
  </r>
  <r>
    <x v="3"/>
    <x v="1"/>
    <x v="2"/>
    <d v="2024-04-01T00:00:00"/>
    <s v="01/04/2024"/>
    <m/>
    <x v="0"/>
    <x v="2294"/>
    <x v="251"/>
  </r>
  <r>
    <x v="15"/>
    <x v="2"/>
    <x v="8"/>
    <d v="2024-04-07T00:00:00"/>
    <s v="07/04/2024"/>
    <m/>
    <x v="0"/>
    <x v="2295"/>
    <x v="86"/>
  </r>
  <r>
    <x v="12"/>
    <x v="4"/>
    <x v="3"/>
    <s v="24/03/2024"/>
    <s v="24/03/2024"/>
    <m/>
    <x v="5"/>
    <x v="2296"/>
    <x v="3"/>
  </r>
  <r>
    <x v="21"/>
    <x v="2"/>
    <x v="15"/>
    <s v="17/03/2024"/>
    <s v="17/03/2024"/>
    <m/>
    <x v="5"/>
    <x v="2297"/>
    <x v="178"/>
  </r>
  <r>
    <x v="4"/>
    <x v="2"/>
    <x v="16"/>
    <s v="15/02/2024"/>
    <s v="15/02/2024"/>
    <m/>
    <x v="3"/>
    <x v="2298"/>
    <x v="41"/>
  </r>
  <r>
    <x v="3"/>
    <x v="4"/>
    <x v="7"/>
    <s v="29/06/2024"/>
    <s v="29/06/2024"/>
    <m/>
    <x v="4"/>
    <x v="2299"/>
    <x v="191"/>
  </r>
  <r>
    <x v="2"/>
    <x v="4"/>
    <x v="13"/>
    <s v="24/05/2024"/>
    <s v="24/05/2024"/>
    <m/>
    <x v="7"/>
    <x v="2300"/>
    <x v="30"/>
  </r>
  <r>
    <x v="9"/>
    <x v="0"/>
    <x v="11"/>
    <d v="2024-10-01T00:00:00"/>
    <s v="01/10/2024"/>
    <m/>
    <x v="6"/>
    <x v="2301"/>
    <x v="297"/>
  </r>
  <r>
    <x v="14"/>
    <x v="4"/>
    <x v="17"/>
    <s v="15/03/2024"/>
    <s v="15/03/2024"/>
    <m/>
    <x v="5"/>
    <x v="2302"/>
    <x v="157"/>
  </r>
  <r>
    <x v="11"/>
    <x v="5"/>
    <x v="11"/>
    <d v="2024-08-02T00:00:00"/>
    <s v="02/08/2024"/>
    <m/>
    <x v="8"/>
    <x v="2303"/>
    <x v="254"/>
  </r>
  <r>
    <x v="6"/>
    <x v="1"/>
    <x v="20"/>
    <s v="25/02/2024"/>
    <s v="25/02/2024"/>
    <m/>
    <x v="3"/>
    <x v="2304"/>
    <x v="85"/>
  </r>
  <r>
    <x v="5"/>
    <x v="4"/>
    <x v="8"/>
    <d v="2024-03-05T00:00:00"/>
    <s v="05/03/2024"/>
    <m/>
    <x v="5"/>
    <x v="2305"/>
    <x v="16"/>
  </r>
  <r>
    <x v="13"/>
    <x v="4"/>
    <x v="13"/>
    <s v="14/06/2024"/>
    <s v="14/06/2024"/>
    <m/>
    <x v="4"/>
    <x v="2306"/>
    <x v="135"/>
  </r>
  <r>
    <x v="5"/>
    <x v="1"/>
    <x v="6"/>
    <d v="2024-09-08T00:00:00"/>
    <s v="08/09/2024"/>
    <m/>
    <x v="9"/>
    <x v="2307"/>
    <x v="72"/>
  </r>
  <r>
    <x v="18"/>
    <x v="3"/>
    <x v="15"/>
    <d v="2024-11-07T00:00:00"/>
    <s v="07/11/2024"/>
    <m/>
    <x v="10"/>
    <x v="2308"/>
    <x v="443"/>
  </r>
  <r>
    <x v="16"/>
    <x v="0"/>
    <x v="15"/>
    <s v="14/01/2024"/>
    <s v="14/01/2024"/>
    <m/>
    <x v="1"/>
    <x v="2309"/>
    <x v="24"/>
  </r>
  <r>
    <x v="1"/>
    <x v="5"/>
    <x v="15"/>
    <s v="24/02/2024"/>
    <s v="24/02/2024"/>
    <m/>
    <x v="3"/>
    <x v="2310"/>
    <x v="282"/>
  </r>
  <r>
    <x v="18"/>
    <x v="3"/>
    <x v="16"/>
    <s v="15/03/2024"/>
    <s v="15/03/2024"/>
    <m/>
    <x v="5"/>
    <x v="2311"/>
    <x v="163"/>
  </r>
  <r>
    <x v="4"/>
    <x v="3"/>
    <x v="19"/>
    <s v="25/04/2024"/>
    <s v="25/04/2024"/>
    <m/>
    <x v="0"/>
    <x v="2312"/>
    <x v="121"/>
  </r>
  <r>
    <x v="17"/>
    <x v="2"/>
    <x v="10"/>
    <d v="2024-10-05T00:00:00"/>
    <s v="05/10/2024"/>
    <m/>
    <x v="6"/>
    <x v="2313"/>
    <x v="91"/>
  </r>
  <r>
    <x v="11"/>
    <x v="2"/>
    <x v="12"/>
    <s v="23/06/2024"/>
    <s v="23/06/2024"/>
    <m/>
    <x v="4"/>
    <x v="2314"/>
    <x v="300"/>
  </r>
  <r>
    <x v="12"/>
    <x v="5"/>
    <x v="3"/>
    <s v="28/02/2024"/>
    <s v="28/02/2024"/>
    <m/>
    <x v="3"/>
    <x v="2315"/>
    <x v="462"/>
  </r>
  <r>
    <x v="6"/>
    <x v="4"/>
    <x v="10"/>
    <s v="25/05/2024"/>
    <s v="25/05/2024"/>
    <m/>
    <x v="7"/>
    <x v="2316"/>
    <x v="265"/>
  </r>
  <r>
    <x v="13"/>
    <x v="3"/>
    <x v="19"/>
    <s v="22/02/2024"/>
    <s v="22/02/2024"/>
    <m/>
    <x v="3"/>
    <x v="2317"/>
    <x v="290"/>
  </r>
  <r>
    <x v="1"/>
    <x v="0"/>
    <x v="1"/>
    <d v="2024-11-07T00:00:00"/>
    <s v="07/11/2024"/>
    <m/>
    <x v="10"/>
    <x v="2318"/>
    <x v="17"/>
  </r>
  <r>
    <x v="11"/>
    <x v="5"/>
    <x v="12"/>
    <d v="2024-03-01T00:00:00"/>
    <s v="01/03/2024"/>
    <m/>
    <x v="5"/>
    <x v="2319"/>
    <x v="480"/>
  </r>
  <r>
    <x v="7"/>
    <x v="3"/>
    <x v="21"/>
    <s v="24/08/2024"/>
    <s v="24/08/2024"/>
    <m/>
    <x v="8"/>
    <x v="2320"/>
    <x v="232"/>
  </r>
  <r>
    <x v="12"/>
    <x v="4"/>
    <x v="6"/>
    <s v="28/07/2024"/>
    <s v="28/07/2024"/>
    <m/>
    <x v="2"/>
    <x v="2321"/>
    <x v="427"/>
  </r>
  <r>
    <x v="6"/>
    <x v="4"/>
    <x v="0"/>
    <s v="25/05/2024"/>
    <s v="25/05/2024"/>
    <m/>
    <x v="7"/>
    <x v="2322"/>
    <x v="306"/>
  </r>
  <r>
    <x v="10"/>
    <x v="3"/>
    <x v="8"/>
    <d v="2024-06-05T00:00:00"/>
    <s v="05/06/2024"/>
    <m/>
    <x v="4"/>
    <x v="2323"/>
    <x v="253"/>
  </r>
  <r>
    <x v="8"/>
    <x v="1"/>
    <x v="9"/>
    <s v="28/01/2024"/>
    <s v="28/01/2024"/>
    <m/>
    <x v="1"/>
    <x v="2324"/>
    <x v="157"/>
  </r>
  <r>
    <x v="11"/>
    <x v="0"/>
    <x v="7"/>
    <d v="2024-06-06T00:00:00"/>
    <s v="06/06/2024"/>
    <m/>
    <x v="4"/>
    <x v="2325"/>
    <x v="11"/>
  </r>
  <r>
    <x v="6"/>
    <x v="3"/>
    <x v="19"/>
    <d v="2024-12-07T00:00:00"/>
    <s v="07/12/2024"/>
    <m/>
    <x v="11"/>
    <x v="2326"/>
    <x v="135"/>
  </r>
  <r>
    <x v="24"/>
    <x v="5"/>
    <x v="12"/>
    <d v="2024-05-08T00:00:00"/>
    <s v="08/05/2024"/>
    <m/>
    <x v="7"/>
    <x v="2327"/>
    <x v="315"/>
  </r>
  <r>
    <x v="6"/>
    <x v="4"/>
    <x v="7"/>
    <s v="28/01/2024"/>
    <s v="28/01/2024"/>
    <m/>
    <x v="1"/>
    <x v="2328"/>
    <x v="212"/>
  </r>
  <r>
    <x v="16"/>
    <x v="1"/>
    <x v="12"/>
    <s v="31/08/2024"/>
    <s v="31/08/2024"/>
    <m/>
    <x v="8"/>
    <x v="2329"/>
    <x v="93"/>
  </r>
  <r>
    <x v="9"/>
    <x v="4"/>
    <x v="6"/>
    <s v="19/04/2024"/>
    <s v="19/04/2024"/>
    <m/>
    <x v="0"/>
    <x v="2330"/>
    <x v="37"/>
  </r>
  <r>
    <x v="9"/>
    <x v="0"/>
    <x v="0"/>
    <s v="29/06/2024"/>
    <s v="29/06/2024"/>
    <m/>
    <x v="4"/>
    <x v="2331"/>
    <x v="236"/>
  </r>
  <r>
    <x v="12"/>
    <x v="1"/>
    <x v="18"/>
    <s v="24/02/2024"/>
    <s v="24/02/2024"/>
    <m/>
    <x v="3"/>
    <x v="2332"/>
    <x v="256"/>
  </r>
  <r>
    <x v="22"/>
    <x v="0"/>
    <x v="3"/>
    <d v="2024-04-03T00:00:00"/>
    <s v="03/04/2024"/>
    <m/>
    <x v="0"/>
    <x v="2333"/>
    <x v="20"/>
  </r>
  <r>
    <x v="2"/>
    <x v="1"/>
    <x v="8"/>
    <s v="21/06/2024"/>
    <s v="21/06/2024"/>
    <m/>
    <x v="4"/>
    <x v="2334"/>
    <x v="220"/>
  </r>
  <r>
    <x v="7"/>
    <x v="2"/>
    <x v="10"/>
    <s v="26/01/2024"/>
    <s v="26/01/2024"/>
    <m/>
    <x v="1"/>
    <x v="2335"/>
    <x v="85"/>
  </r>
  <r>
    <x v="4"/>
    <x v="3"/>
    <x v="14"/>
    <d v="2024-10-06T00:00:00"/>
    <s v="06/10/2024"/>
    <m/>
    <x v="6"/>
    <x v="2336"/>
    <x v="16"/>
  </r>
  <r>
    <x v="19"/>
    <x v="0"/>
    <x v="9"/>
    <s v="23/05/2024"/>
    <s v="23/05/2024"/>
    <m/>
    <x v="7"/>
    <x v="2337"/>
    <x v="150"/>
  </r>
  <r>
    <x v="20"/>
    <x v="1"/>
    <x v="11"/>
    <s v="15/04/2024"/>
    <s v="15/04/2024"/>
    <m/>
    <x v="0"/>
    <x v="2338"/>
    <x v="80"/>
  </r>
  <r>
    <x v="10"/>
    <x v="3"/>
    <x v="20"/>
    <s v="31/01/2024"/>
    <s v="31/01/2024"/>
    <m/>
    <x v="1"/>
    <x v="2339"/>
    <x v="257"/>
  </r>
  <r>
    <x v="19"/>
    <x v="3"/>
    <x v="10"/>
    <d v="2024-04-03T00:00:00"/>
    <s v="03/04/2024"/>
    <m/>
    <x v="0"/>
    <x v="2340"/>
    <x v="146"/>
  </r>
  <r>
    <x v="8"/>
    <x v="3"/>
    <x v="5"/>
    <s v="19/04/2024"/>
    <s v="19/04/2024"/>
    <m/>
    <x v="0"/>
    <x v="2341"/>
    <x v="2"/>
  </r>
  <r>
    <x v="12"/>
    <x v="0"/>
    <x v="16"/>
    <s v="16/05/2024"/>
    <s v="16/05/2024"/>
    <m/>
    <x v="7"/>
    <x v="2342"/>
    <x v="130"/>
  </r>
  <r>
    <x v="4"/>
    <x v="2"/>
    <x v="17"/>
    <s v="17/02/2024"/>
    <s v="17/02/2024"/>
    <m/>
    <x v="3"/>
    <x v="2343"/>
    <x v="280"/>
  </r>
  <r>
    <x v="17"/>
    <x v="4"/>
    <x v="17"/>
    <s v="18/01/2024"/>
    <s v="18/01/2024"/>
    <m/>
    <x v="1"/>
    <x v="2344"/>
    <x v="205"/>
  </r>
  <r>
    <x v="13"/>
    <x v="5"/>
    <x v="7"/>
    <d v="2024-09-02T00:00:00"/>
    <s v="02/09/2024"/>
    <m/>
    <x v="9"/>
    <x v="2345"/>
    <x v="147"/>
  </r>
  <r>
    <x v="9"/>
    <x v="5"/>
    <x v="7"/>
    <s v="23/03/2024"/>
    <s v="23/03/2024"/>
    <m/>
    <x v="5"/>
    <x v="2346"/>
    <x v="95"/>
  </r>
  <r>
    <x v="22"/>
    <x v="3"/>
    <x v="20"/>
    <d v="2024-01-02T00:00:00"/>
    <s v="02/01/2024"/>
    <m/>
    <x v="1"/>
    <x v="2347"/>
    <x v="31"/>
  </r>
  <r>
    <x v="9"/>
    <x v="1"/>
    <x v="9"/>
    <d v="2024-07-03T00:00:00"/>
    <s v="03/07/2024"/>
    <m/>
    <x v="2"/>
    <x v="2348"/>
    <x v="418"/>
  </r>
  <r>
    <x v="24"/>
    <x v="0"/>
    <x v="14"/>
    <d v="2024-03-01T00:00:00"/>
    <s v="01/03/2024"/>
    <m/>
    <x v="5"/>
    <x v="2349"/>
    <x v="317"/>
  </r>
  <r>
    <x v="24"/>
    <x v="4"/>
    <x v="14"/>
    <d v="2024-11-02T00:00:00"/>
    <s v="02/11/2024"/>
    <m/>
    <x v="10"/>
    <x v="2350"/>
    <x v="387"/>
  </r>
  <r>
    <x v="17"/>
    <x v="3"/>
    <x v="7"/>
    <s v="16/03/2024"/>
    <s v="16/03/2024"/>
    <m/>
    <x v="5"/>
    <x v="2351"/>
    <x v="157"/>
  </r>
  <r>
    <x v="23"/>
    <x v="1"/>
    <x v="14"/>
    <s v="15/08/2024"/>
    <s v="15/08/2024"/>
    <m/>
    <x v="8"/>
    <x v="2352"/>
    <x v="254"/>
  </r>
  <r>
    <x v="2"/>
    <x v="1"/>
    <x v="15"/>
    <d v="2024-12-05T00:00:00"/>
    <s v="05/12/2024"/>
    <m/>
    <x v="11"/>
    <x v="2353"/>
    <x v="159"/>
  </r>
  <r>
    <x v="1"/>
    <x v="1"/>
    <x v="12"/>
    <d v="2024-11-04T00:00:00"/>
    <s v="04/11/2024"/>
    <m/>
    <x v="10"/>
    <x v="2354"/>
    <x v="247"/>
  </r>
  <r>
    <x v="3"/>
    <x v="3"/>
    <x v="0"/>
    <s v="30/06/2024"/>
    <s v="30/06/2024"/>
    <m/>
    <x v="4"/>
    <x v="2355"/>
    <x v="70"/>
  </r>
  <r>
    <x v="23"/>
    <x v="3"/>
    <x v="14"/>
    <s v="15/06/2024"/>
    <s v="15/06/2024"/>
    <m/>
    <x v="4"/>
    <x v="2356"/>
    <x v="357"/>
  </r>
  <r>
    <x v="7"/>
    <x v="5"/>
    <x v="20"/>
    <d v="2024-01-08T00:00:00"/>
    <s v="08/01/2024"/>
    <m/>
    <x v="1"/>
    <x v="2357"/>
    <x v="176"/>
  </r>
  <r>
    <x v="16"/>
    <x v="4"/>
    <x v="11"/>
    <s v="15/06/2024"/>
    <s v="15/06/2024"/>
    <m/>
    <x v="4"/>
    <x v="2358"/>
    <x v="10"/>
  </r>
  <r>
    <x v="6"/>
    <x v="1"/>
    <x v="5"/>
    <s v="16/06/2024"/>
    <s v="16/06/2024"/>
    <m/>
    <x v="4"/>
    <x v="2359"/>
    <x v="121"/>
  </r>
  <r>
    <x v="4"/>
    <x v="3"/>
    <x v="17"/>
    <s v="13/05/2024"/>
    <s v="13/05/2024"/>
    <m/>
    <x v="7"/>
    <x v="2360"/>
    <x v="78"/>
  </r>
  <r>
    <x v="17"/>
    <x v="4"/>
    <x v="9"/>
    <d v="2024-10-05T00:00:00"/>
    <s v="05/10/2024"/>
    <m/>
    <x v="6"/>
    <x v="2361"/>
    <x v="58"/>
  </r>
  <r>
    <x v="4"/>
    <x v="1"/>
    <x v="8"/>
    <s v="25/08/2024"/>
    <s v="25/08/2024"/>
    <m/>
    <x v="8"/>
    <x v="2362"/>
    <x v="319"/>
  </r>
  <r>
    <x v="24"/>
    <x v="3"/>
    <x v="10"/>
    <s v="15/07/2024"/>
    <s v="15/07/2024"/>
    <m/>
    <x v="2"/>
    <x v="2363"/>
    <x v="49"/>
  </r>
  <r>
    <x v="2"/>
    <x v="0"/>
    <x v="19"/>
    <s v="16/05/2024"/>
    <s v="16/05/2024"/>
    <m/>
    <x v="7"/>
    <x v="2364"/>
    <x v="456"/>
  </r>
  <r>
    <x v="3"/>
    <x v="2"/>
    <x v="6"/>
    <s v="14/06/2024"/>
    <s v="14/06/2024"/>
    <m/>
    <x v="4"/>
    <x v="2365"/>
    <x v="14"/>
  </r>
  <r>
    <x v="12"/>
    <x v="2"/>
    <x v="3"/>
    <s v="25/01/2024"/>
    <s v="25/01/2024"/>
    <m/>
    <x v="1"/>
    <x v="2366"/>
    <x v="481"/>
  </r>
  <r>
    <x v="24"/>
    <x v="4"/>
    <x v="10"/>
    <s v="28/07/2024"/>
    <s v="28/07/2024"/>
    <m/>
    <x v="2"/>
    <x v="2367"/>
    <x v="37"/>
  </r>
  <r>
    <x v="6"/>
    <x v="5"/>
    <x v="0"/>
    <s v="28/01/2024"/>
    <s v="28/01/2024"/>
    <m/>
    <x v="1"/>
    <x v="2368"/>
    <x v="275"/>
  </r>
  <r>
    <x v="16"/>
    <x v="0"/>
    <x v="7"/>
    <s v="29/06/2024"/>
    <s v="29/06/2024"/>
    <m/>
    <x v="4"/>
    <x v="2369"/>
    <x v="126"/>
  </r>
  <r>
    <x v="10"/>
    <x v="2"/>
    <x v="21"/>
    <s v="24/06/2024"/>
    <s v="24/06/2024"/>
    <m/>
    <x v="4"/>
    <x v="2370"/>
    <x v="426"/>
  </r>
  <r>
    <x v="5"/>
    <x v="5"/>
    <x v="0"/>
    <d v="2024-01-07T00:00:00"/>
    <s v="07/01/2024"/>
    <m/>
    <x v="1"/>
    <x v="2371"/>
    <x v="474"/>
  </r>
  <r>
    <x v="13"/>
    <x v="4"/>
    <x v="2"/>
    <s v="25/02/2024"/>
    <s v="25/02/2024"/>
    <m/>
    <x v="3"/>
    <x v="2372"/>
    <x v="157"/>
  </r>
  <r>
    <x v="14"/>
    <x v="5"/>
    <x v="3"/>
    <d v="2024-01-08T00:00:00"/>
    <s v="08/01/2024"/>
    <m/>
    <x v="1"/>
    <x v="2373"/>
    <x v="129"/>
  </r>
  <r>
    <x v="4"/>
    <x v="2"/>
    <x v="11"/>
    <s v="21/06/2024"/>
    <s v="21/06/2024"/>
    <m/>
    <x v="4"/>
    <x v="2374"/>
    <x v="482"/>
  </r>
  <r>
    <x v="21"/>
    <x v="3"/>
    <x v="12"/>
    <s v="25/01/2024"/>
    <s v="25/01/2024"/>
    <m/>
    <x v="1"/>
    <x v="2375"/>
    <x v="135"/>
  </r>
  <r>
    <x v="2"/>
    <x v="0"/>
    <x v="11"/>
    <s v="17/05/2024"/>
    <s v="17/05/2024"/>
    <m/>
    <x v="7"/>
    <x v="2376"/>
    <x v="263"/>
  </r>
  <r>
    <x v="19"/>
    <x v="2"/>
    <x v="1"/>
    <s v="23/08/2024"/>
    <s v="23/08/2024"/>
    <m/>
    <x v="8"/>
    <x v="2377"/>
    <x v="256"/>
  </r>
  <r>
    <x v="21"/>
    <x v="2"/>
    <x v="3"/>
    <d v="2024-03-03T00:00:00"/>
    <s v="03/03/2024"/>
    <m/>
    <x v="5"/>
    <x v="2378"/>
    <x v="264"/>
  </r>
  <r>
    <x v="13"/>
    <x v="1"/>
    <x v="20"/>
    <s v="30/05/2024"/>
    <s v="30/05/2024"/>
    <m/>
    <x v="7"/>
    <x v="2379"/>
    <x v="483"/>
  </r>
  <r>
    <x v="10"/>
    <x v="4"/>
    <x v="9"/>
    <s v="29/06/2024"/>
    <s v="29/06/2024"/>
    <m/>
    <x v="4"/>
    <x v="2380"/>
    <x v="324"/>
  </r>
  <r>
    <x v="19"/>
    <x v="5"/>
    <x v="10"/>
    <d v="2024-04-01T00:00:00"/>
    <s v="01/04/2024"/>
    <m/>
    <x v="0"/>
    <x v="2381"/>
    <x v="384"/>
  </r>
  <r>
    <x v="0"/>
    <x v="2"/>
    <x v="9"/>
    <s v="14/01/2024"/>
    <s v="14/01/2024"/>
    <m/>
    <x v="1"/>
    <x v="2382"/>
    <x v="81"/>
  </r>
  <r>
    <x v="10"/>
    <x v="4"/>
    <x v="0"/>
    <s v="15/02/2024"/>
    <s v="15/02/2024"/>
    <m/>
    <x v="3"/>
    <x v="2383"/>
    <x v="204"/>
  </r>
  <r>
    <x v="14"/>
    <x v="3"/>
    <x v="12"/>
    <d v="2024-10-01T00:00:00"/>
    <s v="01/10/2024"/>
    <m/>
    <x v="6"/>
    <x v="2384"/>
    <x v="484"/>
  </r>
  <r>
    <x v="22"/>
    <x v="4"/>
    <x v="14"/>
    <d v="2024-04-05T00:00:00"/>
    <s v="05/04/2024"/>
    <m/>
    <x v="0"/>
    <x v="2385"/>
    <x v="202"/>
  </r>
  <r>
    <x v="19"/>
    <x v="4"/>
    <x v="12"/>
    <s v="23/05/2024"/>
    <s v="23/05/2024"/>
    <m/>
    <x v="7"/>
    <x v="2386"/>
    <x v="262"/>
  </r>
  <r>
    <x v="8"/>
    <x v="3"/>
    <x v="13"/>
    <s v="26/04/2024"/>
    <s v="26/04/2024"/>
    <m/>
    <x v="0"/>
    <x v="2387"/>
    <x v="273"/>
  </r>
  <r>
    <x v="4"/>
    <x v="5"/>
    <x v="10"/>
    <d v="2024-05-07T00:00:00"/>
    <s v="07/05/2024"/>
    <m/>
    <x v="7"/>
    <x v="2388"/>
    <x v="33"/>
  </r>
  <r>
    <x v="22"/>
    <x v="0"/>
    <x v="10"/>
    <s v="21/07/2024"/>
    <s v="21/07/2024"/>
    <m/>
    <x v="2"/>
    <x v="2389"/>
    <x v="56"/>
  </r>
  <r>
    <x v="23"/>
    <x v="4"/>
    <x v="0"/>
    <s v="21/02/2024"/>
    <s v="21/02/2024"/>
    <m/>
    <x v="3"/>
    <x v="2390"/>
    <x v="119"/>
  </r>
  <r>
    <x v="20"/>
    <x v="4"/>
    <x v="7"/>
    <d v="2024-03-02T00:00:00"/>
    <s v="02/03/2024"/>
    <m/>
    <x v="5"/>
    <x v="2391"/>
    <x v="418"/>
  </r>
  <r>
    <x v="2"/>
    <x v="2"/>
    <x v="20"/>
    <d v="2024-08-07T00:00:00"/>
    <s v="07/08/2024"/>
    <m/>
    <x v="8"/>
    <x v="2392"/>
    <x v="163"/>
  </r>
  <r>
    <x v="9"/>
    <x v="1"/>
    <x v="6"/>
    <s v="31/05/2024"/>
    <s v="31/05/2024"/>
    <m/>
    <x v="7"/>
    <x v="2393"/>
    <x v="17"/>
  </r>
  <r>
    <x v="1"/>
    <x v="3"/>
    <x v="0"/>
    <s v="27/06/2024"/>
    <s v="27/06/2024"/>
    <m/>
    <x v="4"/>
    <x v="2394"/>
    <x v="130"/>
  </r>
  <r>
    <x v="1"/>
    <x v="1"/>
    <x v="6"/>
    <s v="13/05/2024"/>
    <s v="13/05/2024"/>
    <m/>
    <x v="7"/>
    <x v="2395"/>
    <x v="378"/>
  </r>
  <r>
    <x v="1"/>
    <x v="4"/>
    <x v="15"/>
    <s v="31/05/2024"/>
    <s v="31/05/2024"/>
    <m/>
    <x v="7"/>
    <x v="2396"/>
    <x v="9"/>
  </r>
  <r>
    <x v="18"/>
    <x v="4"/>
    <x v="7"/>
    <s v="28/02/2024"/>
    <s v="28/02/2024"/>
    <m/>
    <x v="3"/>
    <x v="2397"/>
    <x v="5"/>
  </r>
  <r>
    <x v="8"/>
    <x v="3"/>
    <x v="8"/>
    <s v="28/03/2024"/>
    <s v="28/03/2024"/>
    <m/>
    <x v="5"/>
    <x v="2398"/>
    <x v="86"/>
  </r>
  <r>
    <x v="2"/>
    <x v="4"/>
    <x v="5"/>
    <s v="14/01/2024"/>
    <s v="14/01/2024"/>
    <m/>
    <x v="1"/>
    <x v="2399"/>
    <x v="309"/>
  </r>
  <r>
    <x v="8"/>
    <x v="3"/>
    <x v="0"/>
    <s v="21/02/2024"/>
    <s v="21/02/2024"/>
    <m/>
    <x v="3"/>
    <x v="2400"/>
    <x v="141"/>
  </r>
  <r>
    <x v="17"/>
    <x v="5"/>
    <x v="1"/>
    <d v="2024-01-08T00:00:00"/>
    <s v="08/01/2024"/>
    <m/>
    <x v="1"/>
    <x v="2401"/>
    <x v="102"/>
  </r>
  <r>
    <x v="12"/>
    <x v="3"/>
    <x v="3"/>
    <s v="19/05/2024"/>
    <s v="19/05/2024"/>
    <m/>
    <x v="7"/>
    <x v="2402"/>
    <x v="357"/>
  </r>
  <r>
    <x v="15"/>
    <x v="4"/>
    <x v="14"/>
    <s v="13/07/2024"/>
    <s v="13/07/2024"/>
    <m/>
    <x v="2"/>
    <x v="2403"/>
    <x v="169"/>
  </r>
  <r>
    <x v="19"/>
    <x v="2"/>
    <x v="2"/>
    <s v="20/04/2024"/>
    <s v="20/04/2024"/>
    <m/>
    <x v="0"/>
    <x v="2404"/>
    <x v="157"/>
  </r>
  <r>
    <x v="17"/>
    <x v="1"/>
    <x v="1"/>
    <s v="30/06/2024"/>
    <s v="30/06/2024"/>
    <m/>
    <x v="4"/>
    <x v="2405"/>
    <x v="47"/>
  </r>
  <r>
    <x v="14"/>
    <x v="0"/>
    <x v="6"/>
    <d v="2024-08-03T00:00:00"/>
    <s v="03/08/2024"/>
    <m/>
    <x v="8"/>
    <x v="2406"/>
    <x v="13"/>
  </r>
  <r>
    <x v="5"/>
    <x v="4"/>
    <x v="13"/>
    <d v="2024-09-03T00:00:00"/>
    <s v="03/09/2024"/>
    <m/>
    <x v="9"/>
    <x v="2407"/>
    <x v="1"/>
  </r>
  <r>
    <x v="4"/>
    <x v="5"/>
    <x v="17"/>
    <s v="16/06/2024"/>
    <s v="16/06/2024"/>
    <m/>
    <x v="4"/>
    <x v="2408"/>
    <x v="433"/>
  </r>
  <r>
    <x v="2"/>
    <x v="0"/>
    <x v="9"/>
    <s v="30/06/2024"/>
    <s v="30/06/2024"/>
    <m/>
    <x v="4"/>
    <x v="2409"/>
    <x v="106"/>
  </r>
  <r>
    <x v="20"/>
    <x v="1"/>
    <x v="0"/>
    <s v="28/07/2024"/>
    <s v="28/07/2024"/>
    <m/>
    <x v="2"/>
    <x v="2410"/>
    <x v="131"/>
  </r>
  <r>
    <x v="10"/>
    <x v="5"/>
    <x v="2"/>
    <d v="2024-12-08T00:00:00"/>
    <s v="08/12/2024"/>
    <m/>
    <x v="11"/>
    <x v="2411"/>
    <x v="163"/>
  </r>
  <r>
    <x v="8"/>
    <x v="0"/>
    <x v="0"/>
    <d v="2024-07-07T00:00:00"/>
    <s v="07/07/2024"/>
    <m/>
    <x v="2"/>
    <x v="2412"/>
    <x v="429"/>
  </r>
  <r>
    <x v="8"/>
    <x v="4"/>
    <x v="1"/>
    <s v="25/08/2024"/>
    <s v="25/08/2024"/>
    <m/>
    <x v="8"/>
    <x v="2413"/>
    <x v="282"/>
  </r>
  <r>
    <x v="15"/>
    <x v="5"/>
    <x v="8"/>
    <s v="17/01/2024"/>
    <s v="17/01/2024"/>
    <m/>
    <x v="1"/>
    <x v="2414"/>
    <x v="41"/>
  </r>
  <r>
    <x v="3"/>
    <x v="2"/>
    <x v="21"/>
    <d v="2024-04-03T00:00:00"/>
    <s v="03/04/2024"/>
    <m/>
    <x v="0"/>
    <x v="2415"/>
    <x v="485"/>
  </r>
  <r>
    <x v="11"/>
    <x v="3"/>
    <x v="13"/>
    <s v="25/08/2024"/>
    <s v="25/08/2024"/>
    <m/>
    <x v="8"/>
    <x v="2416"/>
    <x v="247"/>
  </r>
  <r>
    <x v="24"/>
    <x v="0"/>
    <x v="2"/>
    <s v="15/04/2024"/>
    <s v="15/04/2024"/>
    <m/>
    <x v="0"/>
    <x v="2417"/>
    <x v="435"/>
  </r>
  <r>
    <x v="16"/>
    <x v="4"/>
    <x v="10"/>
    <d v="2024-11-03T00:00:00"/>
    <s v="03/11/2024"/>
    <m/>
    <x v="10"/>
    <x v="1802"/>
    <x v="51"/>
  </r>
  <r>
    <x v="21"/>
    <x v="4"/>
    <x v="17"/>
    <s v="20/05/2024"/>
    <s v="20/05/2024"/>
    <m/>
    <x v="7"/>
    <x v="2418"/>
    <x v="390"/>
  </r>
  <r>
    <x v="6"/>
    <x v="3"/>
    <x v="15"/>
    <s v="14/06/2024"/>
    <s v="14/06/2024"/>
    <m/>
    <x v="4"/>
    <x v="2419"/>
    <x v="110"/>
  </r>
  <r>
    <x v="0"/>
    <x v="3"/>
    <x v="5"/>
    <s v="14/04/2024"/>
    <s v="14/04/2024"/>
    <m/>
    <x v="0"/>
    <x v="2420"/>
    <x v="33"/>
  </r>
  <r>
    <x v="0"/>
    <x v="4"/>
    <x v="3"/>
    <d v="2024-07-07T00:00:00"/>
    <s v="07/07/2024"/>
    <m/>
    <x v="2"/>
    <x v="2421"/>
    <x v="291"/>
  </r>
  <r>
    <x v="22"/>
    <x v="1"/>
    <x v="0"/>
    <s v="24/08/2024"/>
    <s v="24/08/2024"/>
    <m/>
    <x v="8"/>
    <x v="2422"/>
    <x v="271"/>
  </r>
  <r>
    <x v="0"/>
    <x v="1"/>
    <x v="8"/>
    <s v="24/02/2024"/>
    <s v="24/02/2024"/>
    <m/>
    <x v="3"/>
    <x v="2423"/>
    <x v="17"/>
  </r>
  <r>
    <x v="10"/>
    <x v="5"/>
    <x v="17"/>
    <d v="2024-09-05T00:00:00"/>
    <s v="05/09/2024"/>
    <m/>
    <x v="9"/>
    <x v="2424"/>
    <x v="384"/>
  </r>
  <r>
    <x v="16"/>
    <x v="2"/>
    <x v="21"/>
    <d v="2024-08-02T00:00:00"/>
    <s v="02/08/2024"/>
    <m/>
    <x v="8"/>
    <x v="2425"/>
    <x v="409"/>
  </r>
  <r>
    <x v="13"/>
    <x v="0"/>
    <x v="21"/>
    <s v="24/03/2024"/>
    <s v="24/03/2024"/>
    <m/>
    <x v="5"/>
    <x v="2426"/>
    <x v="300"/>
  </r>
  <r>
    <x v="7"/>
    <x v="4"/>
    <x v="9"/>
    <s v="20/06/2024"/>
    <s v="20/06/2024"/>
    <m/>
    <x v="4"/>
    <x v="2427"/>
    <x v="148"/>
  </r>
  <r>
    <x v="9"/>
    <x v="5"/>
    <x v="15"/>
    <d v="2024-07-03T00:00:00"/>
    <s v="03/07/2024"/>
    <m/>
    <x v="2"/>
    <x v="2428"/>
    <x v="118"/>
  </r>
  <r>
    <x v="16"/>
    <x v="2"/>
    <x v="13"/>
    <s v="20/06/2024"/>
    <s v="20/06/2024"/>
    <m/>
    <x v="4"/>
    <x v="2429"/>
    <x v="72"/>
  </r>
  <r>
    <x v="4"/>
    <x v="3"/>
    <x v="10"/>
    <s v="17/02/2024"/>
    <s v="17/02/2024"/>
    <m/>
    <x v="3"/>
    <x v="2430"/>
    <x v="486"/>
  </r>
  <r>
    <x v="22"/>
    <x v="0"/>
    <x v="4"/>
    <s v="26/01/2024"/>
    <s v="26/01/2024"/>
    <m/>
    <x v="1"/>
    <x v="2431"/>
    <x v="282"/>
  </r>
  <r>
    <x v="22"/>
    <x v="2"/>
    <x v="0"/>
    <d v="2024-02-05T00:00:00"/>
    <s v="05/02/2024"/>
    <m/>
    <x v="3"/>
    <x v="2432"/>
    <x v="185"/>
  </r>
  <r>
    <x v="14"/>
    <x v="5"/>
    <x v="4"/>
    <d v="2024-07-07T00:00:00"/>
    <s v="07/07/2024"/>
    <m/>
    <x v="2"/>
    <x v="2433"/>
    <x v="113"/>
  </r>
  <r>
    <x v="7"/>
    <x v="2"/>
    <x v="19"/>
    <s v="22/08/2024"/>
    <s v="22/08/2024"/>
    <m/>
    <x v="8"/>
    <x v="2434"/>
    <x v="282"/>
  </r>
  <r>
    <x v="10"/>
    <x v="2"/>
    <x v="5"/>
    <d v="2024-11-08T00:00:00"/>
    <s v="08/11/2024"/>
    <m/>
    <x v="10"/>
    <x v="2435"/>
    <x v="274"/>
  </r>
  <r>
    <x v="11"/>
    <x v="0"/>
    <x v="4"/>
    <s v="13/01/2024"/>
    <s v="13/01/2024"/>
    <m/>
    <x v="1"/>
    <x v="2436"/>
    <x v="267"/>
  </r>
  <r>
    <x v="5"/>
    <x v="2"/>
    <x v="6"/>
    <d v="2024-02-03T00:00:00"/>
    <s v="03/02/2024"/>
    <m/>
    <x v="3"/>
    <x v="2437"/>
    <x v="366"/>
  </r>
  <r>
    <x v="11"/>
    <x v="2"/>
    <x v="18"/>
    <s v="27/07/2024"/>
    <s v="27/07/2024"/>
    <m/>
    <x v="2"/>
    <x v="2438"/>
    <x v="137"/>
  </r>
  <r>
    <x v="20"/>
    <x v="3"/>
    <x v="9"/>
    <d v="2024-10-03T00:00:00"/>
    <s v="03/10/2024"/>
    <m/>
    <x v="6"/>
    <x v="2439"/>
    <x v="131"/>
  </r>
  <r>
    <x v="12"/>
    <x v="4"/>
    <x v="1"/>
    <s v="23/08/2024"/>
    <s v="23/08/2024"/>
    <m/>
    <x v="8"/>
    <x v="2440"/>
    <x v="319"/>
  </r>
  <r>
    <x v="13"/>
    <x v="4"/>
    <x v="8"/>
    <s v="25/04/2024"/>
    <s v="25/04/2024"/>
    <m/>
    <x v="0"/>
    <x v="2441"/>
    <x v="225"/>
  </r>
  <r>
    <x v="17"/>
    <x v="0"/>
    <x v="11"/>
    <d v="2024-07-03T00:00:00"/>
    <s v="03/07/2024"/>
    <m/>
    <x v="2"/>
    <x v="2442"/>
    <x v="365"/>
  </r>
  <r>
    <x v="18"/>
    <x v="0"/>
    <x v="10"/>
    <d v="2024-12-07T00:00:00"/>
    <s v="07/12/2024"/>
    <m/>
    <x v="11"/>
    <x v="2443"/>
    <x v="193"/>
  </r>
  <r>
    <x v="22"/>
    <x v="4"/>
    <x v="7"/>
    <s v="16/05/2024"/>
    <s v="16/05/2024"/>
    <m/>
    <x v="7"/>
    <x v="2444"/>
    <x v="157"/>
  </r>
  <r>
    <x v="5"/>
    <x v="1"/>
    <x v="3"/>
    <d v="2024-02-03T00:00:00"/>
    <s v="03/02/2024"/>
    <m/>
    <x v="3"/>
    <x v="2445"/>
    <x v="162"/>
  </r>
  <r>
    <x v="11"/>
    <x v="3"/>
    <x v="1"/>
    <s v="30/05/2024"/>
    <s v="30/05/2024"/>
    <m/>
    <x v="7"/>
    <x v="2446"/>
    <x v="223"/>
  </r>
  <r>
    <x v="11"/>
    <x v="0"/>
    <x v="15"/>
    <d v="2024-10-06T00:00:00"/>
    <s v="06/10/2024"/>
    <m/>
    <x v="6"/>
    <x v="2447"/>
    <x v="177"/>
  </r>
  <r>
    <x v="6"/>
    <x v="4"/>
    <x v="4"/>
    <s v="25/07/2024"/>
    <s v="25/07/2024"/>
    <m/>
    <x v="2"/>
    <x v="2448"/>
    <x v="155"/>
  </r>
  <r>
    <x v="12"/>
    <x v="3"/>
    <x v="0"/>
    <d v="2024-09-06T00:00:00"/>
    <s v="06/09/2024"/>
    <m/>
    <x v="9"/>
    <x v="2449"/>
    <x v="325"/>
  </r>
  <r>
    <x v="17"/>
    <x v="4"/>
    <x v="11"/>
    <d v="2024-12-05T00:00:00"/>
    <s v="05/12/2024"/>
    <m/>
    <x v="11"/>
    <x v="2450"/>
    <x v="10"/>
  </r>
  <r>
    <x v="5"/>
    <x v="4"/>
    <x v="9"/>
    <d v="2024-09-05T00:00:00"/>
    <s v="05/09/2024"/>
    <m/>
    <x v="9"/>
    <x v="2451"/>
    <x v="262"/>
  </r>
  <r>
    <x v="6"/>
    <x v="5"/>
    <x v="15"/>
    <d v="2024-09-08T00:00:00"/>
    <s v="08/09/2024"/>
    <m/>
    <x v="9"/>
    <x v="2452"/>
    <x v="124"/>
  </r>
  <r>
    <x v="1"/>
    <x v="1"/>
    <x v="18"/>
    <s v="13/04/2024"/>
    <s v="13/04/2024"/>
    <m/>
    <x v="0"/>
    <x v="2453"/>
    <x v="24"/>
  </r>
  <r>
    <x v="19"/>
    <x v="4"/>
    <x v="20"/>
    <d v="2024-02-05T00:00:00"/>
    <s v="05/02/2024"/>
    <m/>
    <x v="3"/>
    <x v="2454"/>
    <x v="99"/>
  </r>
  <r>
    <x v="23"/>
    <x v="4"/>
    <x v="4"/>
    <d v="2024-09-08T00:00:00"/>
    <s v="08/09/2024"/>
    <m/>
    <x v="9"/>
    <x v="2455"/>
    <x v="343"/>
  </r>
  <r>
    <x v="21"/>
    <x v="2"/>
    <x v="17"/>
    <s v="23/08/2024"/>
    <s v="23/08/2024"/>
    <m/>
    <x v="8"/>
    <x v="2456"/>
    <x v="43"/>
  </r>
  <r>
    <x v="5"/>
    <x v="1"/>
    <x v="12"/>
    <s v="13/05/2024"/>
    <s v="13/05/2024"/>
    <m/>
    <x v="7"/>
    <x v="2457"/>
    <x v="56"/>
  </r>
  <r>
    <x v="10"/>
    <x v="4"/>
    <x v="15"/>
    <d v="2024-01-02T00:00:00"/>
    <s v="02/01/2024"/>
    <m/>
    <x v="1"/>
    <x v="2458"/>
    <x v="238"/>
  </r>
  <r>
    <x v="21"/>
    <x v="4"/>
    <x v="6"/>
    <s v="23/06/2024"/>
    <s v="23/06/2024"/>
    <m/>
    <x v="4"/>
    <x v="2459"/>
    <x v="46"/>
  </r>
  <r>
    <x v="22"/>
    <x v="0"/>
    <x v="18"/>
    <s v="24/05/2024"/>
    <s v="24/05/2024"/>
    <m/>
    <x v="7"/>
    <x v="2460"/>
    <x v="234"/>
  </r>
  <r>
    <x v="3"/>
    <x v="5"/>
    <x v="0"/>
    <d v="2024-01-04T00:00:00"/>
    <s v="04/01/2024"/>
    <m/>
    <x v="1"/>
    <x v="2461"/>
    <x v="272"/>
  </r>
  <r>
    <x v="21"/>
    <x v="5"/>
    <x v="21"/>
    <s v="27/07/2024"/>
    <s v="27/07/2024"/>
    <m/>
    <x v="2"/>
    <x v="2462"/>
    <x v="185"/>
  </r>
  <r>
    <x v="24"/>
    <x v="1"/>
    <x v="2"/>
    <s v="27/01/2024"/>
    <s v="27/01/2024"/>
    <m/>
    <x v="1"/>
    <x v="2463"/>
    <x v="272"/>
  </r>
  <r>
    <x v="3"/>
    <x v="1"/>
    <x v="18"/>
    <d v="2024-12-08T00:00:00"/>
    <s v="08/12/2024"/>
    <m/>
    <x v="11"/>
    <x v="2464"/>
    <x v="128"/>
  </r>
  <r>
    <x v="2"/>
    <x v="5"/>
    <x v="16"/>
    <d v="2024-01-02T00:00:00"/>
    <s v="02/01/2024"/>
    <m/>
    <x v="1"/>
    <x v="2465"/>
    <x v="99"/>
  </r>
  <r>
    <x v="7"/>
    <x v="1"/>
    <x v="5"/>
    <d v="2024-02-03T00:00:00"/>
    <s v="03/02/2024"/>
    <m/>
    <x v="3"/>
    <x v="2466"/>
    <x v="315"/>
  </r>
  <r>
    <x v="20"/>
    <x v="2"/>
    <x v="4"/>
    <s v="30/06/2024"/>
    <s v="30/06/2024"/>
    <m/>
    <x v="4"/>
    <x v="2467"/>
    <x v="487"/>
  </r>
  <r>
    <x v="23"/>
    <x v="2"/>
    <x v="12"/>
    <s v="17/01/2024"/>
    <s v="17/01/2024"/>
    <m/>
    <x v="1"/>
    <x v="2468"/>
    <x v="82"/>
  </r>
  <r>
    <x v="6"/>
    <x v="4"/>
    <x v="11"/>
    <d v="2024-07-07T00:00:00"/>
    <s v="07/07/2024"/>
    <m/>
    <x v="2"/>
    <x v="2469"/>
    <x v="32"/>
  </r>
  <r>
    <x v="9"/>
    <x v="3"/>
    <x v="0"/>
    <s v="31/01/2024"/>
    <s v="31/01/2024"/>
    <m/>
    <x v="1"/>
    <x v="2470"/>
    <x v="130"/>
  </r>
  <r>
    <x v="12"/>
    <x v="0"/>
    <x v="4"/>
    <d v="2024-10-08T00:00:00"/>
    <s v="08/10/2024"/>
    <m/>
    <x v="6"/>
    <x v="2471"/>
    <x v="160"/>
  </r>
  <r>
    <x v="12"/>
    <x v="4"/>
    <x v="2"/>
    <s v="18/08/2024"/>
    <s v="18/08/2024"/>
    <m/>
    <x v="8"/>
    <x v="2472"/>
    <x v="329"/>
  </r>
  <r>
    <x v="6"/>
    <x v="3"/>
    <x v="14"/>
    <s v="15/06/2024"/>
    <s v="15/06/2024"/>
    <m/>
    <x v="4"/>
    <x v="2473"/>
    <x v="419"/>
  </r>
  <r>
    <x v="11"/>
    <x v="4"/>
    <x v="19"/>
    <s v="26/01/2024"/>
    <s v="26/01/2024"/>
    <m/>
    <x v="1"/>
    <x v="2474"/>
    <x v="62"/>
  </r>
  <r>
    <x v="20"/>
    <x v="4"/>
    <x v="12"/>
    <s v="29/04/2024"/>
    <s v="29/04/2024"/>
    <m/>
    <x v="0"/>
    <x v="2475"/>
    <x v="7"/>
  </r>
  <r>
    <x v="9"/>
    <x v="5"/>
    <x v="14"/>
    <d v="2024-03-03T00:00:00"/>
    <s v="03/03/2024"/>
    <m/>
    <x v="5"/>
    <x v="2476"/>
    <x v="271"/>
  </r>
  <r>
    <x v="16"/>
    <x v="2"/>
    <x v="16"/>
    <s v="22/02/2024"/>
    <s v="22/02/2024"/>
    <m/>
    <x v="3"/>
    <x v="2477"/>
    <x v="403"/>
  </r>
  <r>
    <x v="4"/>
    <x v="4"/>
    <x v="3"/>
    <d v="2024-04-03T00:00:00"/>
    <s v="03/04/2024"/>
    <m/>
    <x v="0"/>
    <x v="2478"/>
    <x v="225"/>
  </r>
  <r>
    <x v="17"/>
    <x v="1"/>
    <x v="3"/>
    <d v="2024-07-07T00:00:00"/>
    <s v="07/07/2024"/>
    <m/>
    <x v="2"/>
    <x v="2479"/>
    <x v="62"/>
  </r>
  <r>
    <x v="21"/>
    <x v="3"/>
    <x v="20"/>
    <s v="17/06/2024"/>
    <s v="17/06/2024"/>
    <m/>
    <x v="4"/>
    <x v="2480"/>
    <x v="374"/>
  </r>
  <r>
    <x v="3"/>
    <x v="5"/>
    <x v="20"/>
    <d v="2024-02-08T00:00:00"/>
    <s v="08/02/2024"/>
    <m/>
    <x v="3"/>
    <x v="2481"/>
    <x v="105"/>
  </r>
  <r>
    <x v="4"/>
    <x v="4"/>
    <x v="19"/>
    <d v="2024-12-08T00:00:00"/>
    <s v="08/12/2024"/>
    <m/>
    <x v="11"/>
    <x v="2482"/>
    <x v="241"/>
  </r>
  <r>
    <x v="22"/>
    <x v="3"/>
    <x v="2"/>
    <s v="28/01/2024"/>
    <s v="28/01/2024"/>
    <m/>
    <x v="1"/>
    <x v="2483"/>
    <x v="329"/>
  </r>
  <r>
    <x v="20"/>
    <x v="2"/>
    <x v="7"/>
    <s v="29/04/2024"/>
    <s v="29/04/2024"/>
    <m/>
    <x v="0"/>
    <x v="2484"/>
    <x v="465"/>
  </r>
  <r>
    <x v="11"/>
    <x v="2"/>
    <x v="15"/>
    <d v="2024-05-04T00:00:00"/>
    <s v="04/05/2024"/>
    <m/>
    <x v="7"/>
    <x v="2485"/>
    <x v="143"/>
  </r>
  <r>
    <x v="16"/>
    <x v="5"/>
    <x v="15"/>
    <s v="18/01/2024"/>
    <s v="18/01/2024"/>
    <m/>
    <x v="1"/>
    <x v="2486"/>
    <x v="32"/>
  </r>
  <r>
    <x v="0"/>
    <x v="0"/>
    <x v="19"/>
    <s v="16/05/2024"/>
    <s v="16/05/2024"/>
    <m/>
    <x v="7"/>
    <x v="2487"/>
    <x v="325"/>
  </r>
  <r>
    <x v="20"/>
    <x v="2"/>
    <x v="14"/>
    <s v="24/08/2024"/>
    <s v="24/08/2024"/>
    <m/>
    <x v="8"/>
    <x v="2488"/>
    <x v="291"/>
  </r>
  <r>
    <x v="14"/>
    <x v="1"/>
    <x v="1"/>
    <s v="18/01/2024"/>
    <s v="18/01/2024"/>
    <m/>
    <x v="1"/>
    <x v="2489"/>
    <x v="292"/>
  </r>
  <r>
    <x v="16"/>
    <x v="4"/>
    <x v="8"/>
    <s v="22/08/2024"/>
    <s v="22/08/2024"/>
    <m/>
    <x v="8"/>
    <x v="2490"/>
    <x v="71"/>
  </r>
  <r>
    <x v="5"/>
    <x v="0"/>
    <x v="4"/>
    <d v="2024-07-03T00:00:00"/>
    <s v="03/07/2024"/>
    <m/>
    <x v="2"/>
    <x v="2491"/>
    <x v="147"/>
  </r>
  <r>
    <x v="12"/>
    <x v="0"/>
    <x v="18"/>
    <d v="2024-04-03T00:00:00"/>
    <s v="03/04/2024"/>
    <m/>
    <x v="0"/>
    <x v="2492"/>
    <x v="7"/>
  </r>
  <r>
    <x v="23"/>
    <x v="5"/>
    <x v="15"/>
    <s v="22/04/2024"/>
    <s v="22/04/2024"/>
    <m/>
    <x v="0"/>
    <x v="2493"/>
    <x v="23"/>
  </r>
  <r>
    <x v="16"/>
    <x v="2"/>
    <x v="11"/>
    <d v="2024-09-06T00:00:00"/>
    <s v="06/09/2024"/>
    <m/>
    <x v="9"/>
    <x v="2494"/>
    <x v="2"/>
  </r>
  <r>
    <x v="3"/>
    <x v="5"/>
    <x v="13"/>
    <s v="25/07/2024"/>
    <s v="25/07/2024"/>
    <m/>
    <x v="2"/>
    <x v="2495"/>
    <x v="384"/>
  </r>
  <r>
    <x v="3"/>
    <x v="1"/>
    <x v="3"/>
    <d v="2024-03-08T00:00:00"/>
    <s v="08/03/2024"/>
    <m/>
    <x v="5"/>
    <x v="2496"/>
    <x v="266"/>
  </r>
  <r>
    <x v="7"/>
    <x v="2"/>
    <x v="15"/>
    <d v="2024-03-08T00:00:00"/>
    <s v="08/03/2024"/>
    <m/>
    <x v="5"/>
    <x v="2497"/>
    <x v="157"/>
  </r>
  <r>
    <x v="0"/>
    <x v="0"/>
    <x v="11"/>
    <d v="2024-03-05T00:00:00"/>
    <s v="05/03/2024"/>
    <m/>
    <x v="5"/>
    <x v="2498"/>
    <x v="301"/>
  </r>
  <r>
    <x v="15"/>
    <x v="5"/>
    <x v="5"/>
    <s v="19/01/2024"/>
    <s v="19/01/2024"/>
    <m/>
    <x v="1"/>
    <x v="2499"/>
    <x v="201"/>
  </r>
  <r>
    <x v="13"/>
    <x v="4"/>
    <x v="6"/>
    <d v="2024-11-02T00:00:00"/>
    <s v="02/11/2024"/>
    <m/>
    <x v="10"/>
    <x v="2500"/>
    <x v="362"/>
  </r>
  <r>
    <x v="1"/>
    <x v="1"/>
    <x v="16"/>
    <s v="14/06/2024"/>
    <s v="14/06/2024"/>
    <m/>
    <x v="4"/>
    <x v="2501"/>
    <x v="479"/>
  </r>
  <r>
    <x v="20"/>
    <x v="4"/>
    <x v="6"/>
    <s v="23/03/2024"/>
    <s v="23/03/2024"/>
    <m/>
    <x v="5"/>
    <x v="2502"/>
    <x v="229"/>
  </r>
  <r>
    <x v="22"/>
    <x v="5"/>
    <x v="1"/>
    <s v="17/02/2024"/>
    <s v="17/02/2024"/>
    <m/>
    <x v="3"/>
    <x v="2503"/>
    <x v="239"/>
  </r>
  <r>
    <x v="17"/>
    <x v="5"/>
    <x v="3"/>
    <s v="17/03/2024"/>
    <s v="17/03/2024"/>
    <m/>
    <x v="5"/>
    <x v="2504"/>
    <x v="488"/>
  </r>
  <r>
    <x v="9"/>
    <x v="2"/>
    <x v="12"/>
    <s v="29/06/2024"/>
    <s v="29/06/2024"/>
    <m/>
    <x v="4"/>
    <x v="2505"/>
    <x v="363"/>
  </r>
  <r>
    <x v="24"/>
    <x v="5"/>
    <x v="18"/>
    <s v="24/08/2024"/>
    <s v="24/08/2024"/>
    <m/>
    <x v="8"/>
    <x v="2506"/>
    <x v="331"/>
  </r>
  <r>
    <x v="2"/>
    <x v="5"/>
    <x v="12"/>
    <d v="2024-04-07T00:00:00"/>
    <s v="07/04/2024"/>
    <m/>
    <x v="0"/>
    <x v="2507"/>
    <x v="249"/>
  </r>
  <r>
    <x v="13"/>
    <x v="3"/>
    <x v="16"/>
    <s v="28/03/2024"/>
    <s v="28/03/2024"/>
    <m/>
    <x v="5"/>
    <x v="2508"/>
    <x v="33"/>
  </r>
  <r>
    <x v="14"/>
    <x v="1"/>
    <x v="3"/>
    <s v="19/04/2024"/>
    <s v="19/04/2024"/>
    <m/>
    <x v="0"/>
    <x v="2509"/>
    <x v="418"/>
  </r>
  <r>
    <x v="24"/>
    <x v="3"/>
    <x v="0"/>
    <s v="18/01/2024"/>
    <s v="18/01/2024"/>
    <m/>
    <x v="1"/>
    <x v="2510"/>
    <x v="263"/>
  </r>
  <r>
    <x v="1"/>
    <x v="3"/>
    <x v="13"/>
    <s v="17/01/2024"/>
    <s v="17/01/2024"/>
    <m/>
    <x v="1"/>
    <x v="2511"/>
    <x v="96"/>
  </r>
  <r>
    <x v="19"/>
    <x v="3"/>
    <x v="0"/>
    <s v="15/02/2024"/>
    <s v="15/02/2024"/>
    <m/>
    <x v="3"/>
    <x v="2512"/>
    <x v="315"/>
  </r>
  <r>
    <x v="19"/>
    <x v="0"/>
    <x v="11"/>
    <d v="2024-11-02T00:00:00"/>
    <s v="02/11/2024"/>
    <m/>
    <x v="10"/>
    <x v="2513"/>
    <x v="343"/>
  </r>
  <r>
    <x v="21"/>
    <x v="4"/>
    <x v="15"/>
    <s v="21/03/2024"/>
    <s v="21/03/2024"/>
    <m/>
    <x v="5"/>
    <x v="2514"/>
    <x v="0"/>
  </r>
  <r>
    <x v="5"/>
    <x v="3"/>
    <x v="16"/>
    <d v="2024-05-01T00:00:00"/>
    <s v="01/05/2024"/>
    <m/>
    <x v="7"/>
    <x v="2515"/>
    <x v="128"/>
  </r>
  <r>
    <x v="6"/>
    <x v="1"/>
    <x v="17"/>
    <s v="30/05/2024"/>
    <s v="30/05/2024"/>
    <m/>
    <x v="7"/>
    <x v="2516"/>
    <x v="306"/>
  </r>
  <r>
    <x v="0"/>
    <x v="4"/>
    <x v="4"/>
    <d v="2024-04-01T00:00:00"/>
    <s v="01/04/2024"/>
    <m/>
    <x v="0"/>
    <x v="2517"/>
    <x v="54"/>
  </r>
  <r>
    <x v="12"/>
    <x v="2"/>
    <x v="13"/>
    <s v="22/04/2024"/>
    <s v="22/04/2024"/>
    <m/>
    <x v="0"/>
    <x v="2518"/>
    <x v="270"/>
  </r>
  <r>
    <x v="2"/>
    <x v="5"/>
    <x v="11"/>
    <d v="2024-10-02T00:00:00"/>
    <s v="02/10/2024"/>
    <m/>
    <x v="6"/>
    <x v="2519"/>
    <x v="280"/>
  </r>
  <r>
    <x v="23"/>
    <x v="1"/>
    <x v="12"/>
    <d v="2024-12-08T00:00:00"/>
    <s v="08/12/2024"/>
    <m/>
    <x v="11"/>
    <x v="2520"/>
    <x v="192"/>
  </r>
  <r>
    <x v="5"/>
    <x v="4"/>
    <x v="10"/>
    <d v="2024-10-08T00:00:00"/>
    <s v="08/10/2024"/>
    <m/>
    <x v="6"/>
    <x v="2521"/>
    <x v="348"/>
  </r>
  <r>
    <x v="20"/>
    <x v="2"/>
    <x v="17"/>
    <d v="2024-07-06T00:00:00"/>
    <s v="06/07/2024"/>
    <m/>
    <x v="2"/>
    <x v="2522"/>
    <x v="204"/>
  </r>
  <r>
    <x v="0"/>
    <x v="1"/>
    <x v="19"/>
    <d v="2024-06-06T00:00:00"/>
    <s v="06/06/2024"/>
    <m/>
    <x v="4"/>
    <x v="2523"/>
    <x v="125"/>
  </r>
  <r>
    <x v="10"/>
    <x v="3"/>
    <x v="19"/>
    <d v="2024-05-04T00:00:00"/>
    <s v="04/05/2024"/>
    <m/>
    <x v="7"/>
    <x v="2524"/>
    <x v="315"/>
  </r>
  <r>
    <x v="18"/>
    <x v="4"/>
    <x v="6"/>
    <s v="18/04/2024"/>
    <s v="18/04/2024"/>
    <m/>
    <x v="0"/>
    <x v="2525"/>
    <x v="179"/>
  </r>
  <r>
    <x v="19"/>
    <x v="1"/>
    <x v="6"/>
    <s v="31/01/2024"/>
    <s v="31/01/2024"/>
    <m/>
    <x v="1"/>
    <x v="2526"/>
    <x v="39"/>
  </r>
  <r>
    <x v="22"/>
    <x v="4"/>
    <x v="19"/>
    <s v="22/08/2024"/>
    <s v="22/08/2024"/>
    <m/>
    <x v="8"/>
    <x v="2527"/>
    <x v="97"/>
  </r>
  <r>
    <x v="0"/>
    <x v="2"/>
    <x v="4"/>
    <s v="25/02/2024"/>
    <s v="25/02/2024"/>
    <m/>
    <x v="3"/>
    <x v="2528"/>
    <x v="384"/>
  </r>
  <r>
    <x v="3"/>
    <x v="2"/>
    <x v="0"/>
    <s v="22/02/2024"/>
    <s v="22/02/2024"/>
    <m/>
    <x v="3"/>
    <x v="2529"/>
    <x v="164"/>
  </r>
  <r>
    <x v="4"/>
    <x v="3"/>
    <x v="11"/>
    <d v="2024-12-01T00:00:00"/>
    <s v="01/12/2024"/>
    <m/>
    <x v="11"/>
    <x v="2530"/>
    <x v="315"/>
  </r>
  <r>
    <x v="6"/>
    <x v="0"/>
    <x v="16"/>
    <s v="25/05/2024"/>
    <s v="25/05/2024"/>
    <m/>
    <x v="7"/>
    <x v="2531"/>
    <x v="241"/>
  </r>
  <r>
    <x v="20"/>
    <x v="1"/>
    <x v="3"/>
    <d v="2024-01-02T00:00:00"/>
    <s v="02/01/2024"/>
    <m/>
    <x v="1"/>
    <x v="2532"/>
    <x v="62"/>
  </r>
  <r>
    <x v="7"/>
    <x v="0"/>
    <x v="8"/>
    <s v="27/04/2024"/>
    <s v="27/04/2024"/>
    <m/>
    <x v="0"/>
    <x v="2533"/>
    <x v="207"/>
  </r>
  <r>
    <x v="2"/>
    <x v="4"/>
    <x v="3"/>
    <s v="22/07/2024"/>
    <s v="22/07/2024"/>
    <m/>
    <x v="2"/>
    <x v="2534"/>
    <x v="32"/>
  </r>
  <r>
    <x v="14"/>
    <x v="3"/>
    <x v="0"/>
    <s v="26/01/2024"/>
    <s v="26/01/2024"/>
    <m/>
    <x v="1"/>
    <x v="2535"/>
    <x v="270"/>
  </r>
  <r>
    <x v="14"/>
    <x v="4"/>
    <x v="0"/>
    <s v="24/08/2024"/>
    <s v="24/08/2024"/>
    <m/>
    <x v="8"/>
    <x v="2536"/>
    <x v="248"/>
  </r>
  <r>
    <x v="22"/>
    <x v="3"/>
    <x v="13"/>
    <s v="18/01/2024"/>
    <s v="18/01/2024"/>
    <m/>
    <x v="1"/>
    <x v="2537"/>
    <x v="332"/>
  </r>
  <r>
    <x v="10"/>
    <x v="1"/>
    <x v="1"/>
    <s v="30/03/2024"/>
    <s v="30/03/2024"/>
    <m/>
    <x v="5"/>
    <x v="2538"/>
    <x v="102"/>
  </r>
  <r>
    <x v="24"/>
    <x v="2"/>
    <x v="20"/>
    <s v="17/01/2024"/>
    <s v="17/01/2024"/>
    <m/>
    <x v="1"/>
    <x v="2539"/>
    <x v="44"/>
  </r>
  <r>
    <x v="20"/>
    <x v="4"/>
    <x v="13"/>
    <s v="17/02/2024"/>
    <s v="17/02/2024"/>
    <m/>
    <x v="3"/>
    <x v="2540"/>
    <x v="277"/>
  </r>
  <r>
    <x v="20"/>
    <x v="5"/>
    <x v="2"/>
    <d v="2024-08-04T00:00:00"/>
    <s v="04/08/2024"/>
    <m/>
    <x v="8"/>
    <x v="2541"/>
    <x v="146"/>
  </r>
  <r>
    <x v="2"/>
    <x v="5"/>
    <x v="9"/>
    <d v="2024-06-07T00:00:00"/>
    <s v="07/06/2024"/>
    <m/>
    <x v="4"/>
    <x v="2542"/>
    <x v="293"/>
  </r>
  <r>
    <x v="15"/>
    <x v="1"/>
    <x v="13"/>
    <d v="2024-04-04T00:00:00"/>
    <s v="04/04/2024"/>
    <m/>
    <x v="0"/>
    <x v="2543"/>
    <x v="353"/>
  </r>
  <r>
    <x v="3"/>
    <x v="3"/>
    <x v="10"/>
    <d v="2024-02-03T00:00:00"/>
    <s v="03/02/2024"/>
    <m/>
    <x v="3"/>
    <x v="2544"/>
    <x v="384"/>
  </r>
  <r>
    <x v="2"/>
    <x v="3"/>
    <x v="17"/>
    <d v="2024-09-08T00:00:00"/>
    <s v="08/09/2024"/>
    <m/>
    <x v="9"/>
    <x v="2545"/>
    <x v="26"/>
  </r>
  <r>
    <x v="17"/>
    <x v="2"/>
    <x v="11"/>
    <d v="2024-09-06T00:00:00"/>
    <s v="06/09/2024"/>
    <m/>
    <x v="9"/>
    <x v="2546"/>
    <x v="89"/>
  </r>
  <r>
    <x v="24"/>
    <x v="0"/>
    <x v="20"/>
    <d v="2024-02-06T00:00:00"/>
    <s v="06/02/2024"/>
    <m/>
    <x v="3"/>
    <x v="2547"/>
    <x v="29"/>
  </r>
  <r>
    <x v="1"/>
    <x v="4"/>
    <x v="13"/>
    <d v="2024-05-07T00:00:00"/>
    <s v="07/05/2024"/>
    <m/>
    <x v="7"/>
    <x v="2548"/>
    <x v="143"/>
  </r>
  <r>
    <x v="19"/>
    <x v="5"/>
    <x v="8"/>
    <d v="2024-11-08T00:00:00"/>
    <s v="08/11/2024"/>
    <m/>
    <x v="10"/>
    <x v="2549"/>
    <x v="241"/>
  </r>
  <r>
    <x v="22"/>
    <x v="1"/>
    <x v="18"/>
    <d v="2024-11-02T00:00:00"/>
    <s v="02/11/2024"/>
    <m/>
    <x v="10"/>
    <x v="2550"/>
    <x v="191"/>
  </r>
  <r>
    <x v="20"/>
    <x v="3"/>
    <x v="12"/>
    <d v="2024-11-08T00:00:00"/>
    <s v="08/11/2024"/>
    <m/>
    <x v="10"/>
    <x v="2551"/>
    <x v="238"/>
  </r>
  <r>
    <x v="13"/>
    <x v="2"/>
    <x v="9"/>
    <d v="2024-12-05T00:00:00"/>
    <s v="05/12/2024"/>
    <m/>
    <x v="11"/>
    <x v="2552"/>
    <x v="80"/>
  </r>
  <r>
    <x v="18"/>
    <x v="4"/>
    <x v="11"/>
    <s v="15/07/2024"/>
    <s v="15/07/2024"/>
    <m/>
    <x v="2"/>
    <x v="2553"/>
    <x v="109"/>
  </r>
  <r>
    <x v="19"/>
    <x v="1"/>
    <x v="10"/>
    <s v="18/01/2024"/>
    <s v="18/01/2024"/>
    <m/>
    <x v="1"/>
    <x v="2554"/>
    <x v="378"/>
  </r>
  <r>
    <x v="22"/>
    <x v="0"/>
    <x v="13"/>
    <d v="2024-05-01T00:00:00"/>
    <s v="01/05/2024"/>
    <m/>
    <x v="7"/>
    <x v="2555"/>
    <x v="294"/>
  </r>
  <r>
    <x v="14"/>
    <x v="2"/>
    <x v="6"/>
    <s v="29/06/2024"/>
    <s v="29/06/2024"/>
    <m/>
    <x v="4"/>
    <x v="2556"/>
    <x v="312"/>
  </r>
  <r>
    <x v="6"/>
    <x v="5"/>
    <x v="17"/>
    <s v="14/06/2024"/>
    <s v="14/06/2024"/>
    <m/>
    <x v="4"/>
    <x v="2557"/>
    <x v="106"/>
  </r>
  <r>
    <x v="5"/>
    <x v="1"/>
    <x v="0"/>
    <d v="2024-08-08T00:00:00"/>
    <s v="08/08/2024"/>
    <m/>
    <x v="8"/>
    <x v="2558"/>
    <x v="220"/>
  </r>
  <r>
    <x v="17"/>
    <x v="1"/>
    <x v="0"/>
    <s v="23/03/2024"/>
    <s v="23/03/2024"/>
    <m/>
    <x v="5"/>
    <x v="2559"/>
    <x v="42"/>
  </r>
  <r>
    <x v="8"/>
    <x v="1"/>
    <x v="20"/>
    <d v="2024-04-01T00:00:00"/>
    <s v="01/04/2024"/>
    <m/>
    <x v="0"/>
    <x v="2560"/>
    <x v="85"/>
  </r>
  <r>
    <x v="6"/>
    <x v="1"/>
    <x v="11"/>
    <s v="22/02/2024"/>
    <s v="22/02/2024"/>
    <m/>
    <x v="3"/>
    <x v="2561"/>
    <x v="298"/>
  </r>
  <r>
    <x v="12"/>
    <x v="0"/>
    <x v="12"/>
    <s v="17/02/2024"/>
    <s v="17/02/2024"/>
    <m/>
    <x v="3"/>
    <x v="2562"/>
    <x v="199"/>
  </r>
  <r>
    <x v="8"/>
    <x v="4"/>
    <x v="16"/>
    <d v="2024-03-02T00:00:00"/>
    <s v="02/03/2024"/>
    <m/>
    <x v="5"/>
    <x v="2563"/>
    <x v="49"/>
  </r>
  <r>
    <x v="1"/>
    <x v="5"/>
    <x v="17"/>
    <s v="17/03/2024"/>
    <s v="17/03/2024"/>
    <m/>
    <x v="5"/>
    <x v="2564"/>
    <x v="378"/>
  </r>
  <r>
    <x v="18"/>
    <x v="2"/>
    <x v="19"/>
    <s v="25/01/2024"/>
    <s v="25/01/2024"/>
    <m/>
    <x v="1"/>
    <x v="2565"/>
    <x v="277"/>
  </r>
  <r>
    <x v="6"/>
    <x v="2"/>
    <x v="11"/>
    <s v="27/07/2024"/>
    <s v="27/07/2024"/>
    <m/>
    <x v="2"/>
    <x v="2566"/>
    <x v="138"/>
  </r>
  <r>
    <x v="15"/>
    <x v="2"/>
    <x v="13"/>
    <s v="28/01/2024"/>
    <s v="28/01/2024"/>
    <m/>
    <x v="1"/>
    <x v="2567"/>
    <x v="53"/>
  </r>
  <r>
    <x v="22"/>
    <x v="2"/>
    <x v="10"/>
    <d v="2024-05-07T00:00:00"/>
    <s v="07/05/2024"/>
    <m/>
    <x v="7"/>
    <x v="2568"/>
    <x v="193"/>
  </r>
  <r>
    <x v="1"/>
    <x v="1"/>
    <x v="14"/>
    <s v="15/03/2024"/>
    <s v="15/03/2024"/>
    <m/>
    <x v="5"/>
    <x v="2569"/>
    <x v="106"/>
  </r>
  <r>
    <x v="5"/>
    <x v="5"/>
    <x v="5"/>
    <d v="2024-04-08T00:00:00"/>
    <s v="08/04/2024"/>
    <m/>
    <x v="0"/>
    <x v="2570"/>
    <x v="317"/>
  </r>
  <r>
    <x v="3"/>
    <x v="4"/>
    <x v="13"/>
    <s v="27/06/2024"/>
    <s v="27/06/2024"/>
    <m/>
    <x v="4"/>
    <x v="2571"/>
    <x v="489"/>
  </r>
  <r>
    <x v="3"/>
    <x v="5"/>
    <x v="5"/>
    <s v="13/07/2024"/>
    <s v="13/07/2024"/>
    <m/>
    <x v="2"/>
    <x v="2572"/>
    <x v="0"/>
  </r>
  <r>
    <x v="8"/>
    <x v="3"/>
    <x v="15"/>
    <s v="24/02/2024"/>
    <s v="24/02/2024"/>
    <m/>
    <x v="3"/>
    <x v="2573"/>
    <x v="156"/>
  </r>
  <r>
    <x v="10"/>
    <x v="3"/>
    <x v="1"/>
    <s v="28/06/2024"/>
    <s v="28/06/2024"/>
    <m/>
    <x v="4"/>
    <x v="2574"/>
    <x v="8"/>
  </r>
  <r>
    <x v="4"/>
    <x v="2"/>
    <x v="1"/>
    <s v="30/06/2024"/>
    <s v="30/06/2024"/>
    <m/>
    <x v="4"/>
    <x v="2575"/>
    <x v="206"/>
  </r>
  <r>
    <x v="14"/>
    <x v="5"/>
    <x v="18"/>
    <s v="18/08/2024"/>
    <s v="18/08/2024"/>
    <m/>
    <x v="8"/>
    <x v="2576"/>
    <x v="113"/>
  </r>
  <r>
    <x v="16"/>
    <x v="1"/>
    <x v="21"/>
    <s v="24/01/2024"/>
    <s v="24/01/2024"/>
    <m/>
    <x v="1"/>
    <x v="2577"/>
    <x v="429"/>
  </r>
  <r>
    <x v="12"/>
    <x v="4"/>
    <x v="14"/>
    <d v="2024-11-03T00:00:00"/>
    <s v="03/11/2024"/>
    <m/>
    <x v="10"/>
    <x v="2578"/>
    <x v="128"/>
  </r>
  <r>
    <x v="24"/>
    <x v="3"/>
    <x v="5"/>
    <s v="23/06/2024"/>
    <s v="23/06/2024"/>
    <m/>
    <x v="4"/>
    <x v="2579"/>
    <x v="341"/>
  </r>
  <r>
    <x v="15"/>
    <x v="1"/>
    <x v="12"/>
    <s v="22/08/2024"/>
    <s v="22/08/2024"/>
    <m/>
    <x v="8"/>
    <x v="2580"/>
    <x v="86"/>
  </r>
  <r>
    <x v="5"/>
    <x v="5"/>
    <x v="6"/>
    <d v="2024-04-01T00:00:00"/>
    <s v="01/04/2024"/>
    <m/>
    <x v="0"/>
    <x v="2581"/>
    <x v="51"/>
  </r>
  <r>
    <x v="14"/>
    <x v="1"/>
    <x v="11"/>
    <d v="2024-05-04T00:00:00"/>
    <s v="04/05/2024"/>
    <m/>
    <x v="7"/>
    <x v="2582"/>
    <x v="140"/>
  </r>
  <r>
    <x v="12"/>
    <x v="1"/>
    <x v="11"/>
    <s v="15/04/2024"/>
    <s v="15/04/2024"/>
    <m/>
    <x v="0"/>
    <x v="2583"/>
    <x v="35"/>
  </r>
  <r>
    <x v="15"/>
    <x v="2"/>
    <x v="14"/>
    <d v="2024-11-05T00:00:00"/>
    <s v="05/11/2024"/>
    <m/>
    <x v="10"/>
    <x v="2584"/>
    <x v="261"/>
  </r>
  <r>
    <x v="19"/>
    <x v="5"/>
    <x v="15"/>
    <s v="21/07/2024"/>
    <s v="21/07/2024"/>
    <m/>
    <x v="2"/>
    <x v="2585"/>
    <x v="490"/>
  </r>
  <r>
    <x v="3"/>
    <x v="3"/>
    <x v="7"/>
    <d v="2024-11-02T00:00:00"/>
    <s v="02/11/2024"/>
    <m/>
    <x v="10"/>
    <x v="2586"/>
    <x v="189"/>
  </r>
  <r>
    <x v="19"/>
    <x v="5"/>
    <x v="3"/>
    <d v="2024-08-07T00:00:00"/>
    <s v="07/08/2024"/>
    <m/>
    <x v="8"/>
    <x v="2587"/>
    <x v="125"/>
  </r>
  <r>
    <x v="5"/>
    <x v="0"/>
    <x v="17"/>
    <d v="2024-11-08T00:00:00"/>
    <s v="08/11/2024"/>
    <m/>
    <x v="10"/>
    <x v="2588"/>
    <x v="319"/>
  </r>
  <r>
    <x v="15"/>
    <x v="3"/>
    <x v="5"/>
    <d v="2024-04-08T00:00:00"/>
    <s v="08/04/2024"/>
    <m/>
    <x v="0"/>
    <x v="2589"/>
    <x v="113"/>
  </r>
  <r>
    <x v="19"/>
    <x v="3"/>
    <x v="7"/>
    <s v="14/06/2024"/>
    <s v="14/06/2024"/>
    <m/>
    <x v="4"/>
    <x v="2590"/>
    <x v="1"/>
  </r>
  <r>
    <x v="17"/>
    <x v="0"/>
    <x v="19"/>
    <s v="17/01/2024"/>
    <s v="17/01/2024"/>
    <m/>
    <x v="1"/>
    <x v="2591"/>
    <x v="300"/>
  </r>
  <r>
    <x v="0"/>
    <x v="5"/>
    <x v="7"/>
    <s v="23/06/2024"/>
    <s v="23/06/2024"/>
    <m/>
    <x v="4"/>
    <x v="2592"/>
    <x v="491"/>
  </r>
  <r>
    <x v="0"/>
    <x v="0"/>
    <x v="3"/>
    <s v="24/08/2024"/>
    <s v="24/08/2024"/>
    <m/>
    <x v="8"/>
    <x v="2593"/>
    <x v="80"/>
  </r>
  <r>
    <x v="19"/>
    <x v="0"/>
    <x v="20"/>
    <d v="2024-07-06T00:00:00"/>
    <s v="06/07/2024"/>
    <m/>
    <x v="2"/>
    <x v="2594"/>
    <x v="322"/>
  </r>
  <r>
    <x v="3"/>
    <x v="0"/>
    <x v="14"/>
    <s v="22/06/2024"/>
    <s v="22/06/2024"/>
    <m/>
    <x v="4"/>
    <x v="2595"/>
    <x v="106"/>
  </r>
  <r>
    <x v="23"/>
    <x v="4"/>
    <x v="13"/>
    <s v="13/07/2024"/>
    <s v="13/07/2024"/>
    <m/>
    <x v="2"/>
    <x v="2596"/>
    <x v="382"/>
  </r>
  <r>
    <x v="20"/>
    <x v="0"/>
    <x v="18"/>
    <s v="24/05/2024"/>
    <s v="24/05/2024"/>
    <m/>
    <x v="7"/>
    <x v="2597"/>
    <x v="140"/>
  </r>
  <r>
    <x v="5"/>
    <x v="3"/>
    <x v="5"/>
    <d v="2024-09-08T00:00:00"/>
    <s v="08/09/2024"/>
    <m/>
    <x v="9"/>
    <x v="2598"/>
    <x v="163"/>
  </r>
  <r>
    <x v="16"/>
    <x v="5"/>
    <x v="1"/>
    <d v="2024-06-04T00:00:00"/>
    <s v="04/06/2024"/>
    <m/>
    <x v="4"/>
    <x v="2599"/>
    <x v="314"/>
  </r>
  <r>
    <x v="3"/>
    <x v="3"/>
    <x v="15"/>
    <s v="28/07/2024"/>
    <s v="28/07/2024"/>
    <m/>
    <x v="2"/>
    <x v="2600"/>
    <x v="199"/>
  </r>
  <r>
    <x v="5"/>
    <x v="3"/>
    <x v="17"/>
    <s v="24/08/2024"/>
    <s v="24/08/2024"/>
    <m/>
    <x v="8"/>
    <x v="2601"/>
    <x v="107"/>
  </r>
  <r>
    <x v="1"/>
    <x v="2"/>
    <x v="4"/>
    <s v="17/01/2024"/>
    <s v="17/01/2024"/>
    <m/>
    <x v="1"/>
    <x v="2602"/>
    <x v="93"/>
  </r>
  <r>
    <x v="14"/>
    <x v="4"/>
    <x v="9"/>
    <d v="2024-07-02T00:00:00"/>
    <s v="02/07/2024"/>
    <m/>
    <x v="2"/>
    <x v="2603"/>
    <x v="58"/>
  </r>
  <r>
    <x v="6"/>
    <x v="2"/>
    <x v="12"/>
    <d v="2024-09-05T00:00:00"/>
    <s v="05/09/2024"/>
    <m/>
    <x v="9"/>
    <x v="2604"/>
    <x v="205"/>
  </r>
  <r>
    <x v="9"/>
    <x v="3"/>
    <x v="1"/>
    <d v="2024-06-06T00:00:00"/>
    <s v="06/06/2024"/>
    <m/>
    <x v="4"/>
    <x v="2605"/>
    <x v="23"/>
  </r>
  <r>
    <x v="18"/>
    <x v="4"/>
    <x v="18"/>
    <d v="2024-06-06T00:00:00"/>
    <s v="06/06/2024"/>
    <m/>
    <x v="4"/>
    <x v="2606"/>
    <x v="83"/>
  </r>
  <r>
    <x v="12"/>
    <x v="3"/>
    <x v="10"/>
    <s v="24/05/2024"/>
    <s v="24/05/2024"/>
    <m/>
    <x v="7"/>
    <x v="2607"/>
    <x v="391"/>
  </r>
  <r>
    <x v="5"/>
    <x v="0"/>
    <x v="6"/>
    <s v="13/01/2024"/>
    <s v="13/01/2024"/>
    <m/>
    <x v="1"/>
    <x v="2608"/>
    <x v="264"/>
  </r>
  <r>
    <x v="11"/>
    <x v="4"/>
    <x v="17"/>
    <s v="23/05/2024"/>
    <s v="23/05/2024"/>
    <m/>
    <x v="7"/>
    <x v="2609"/>
    <x v="212"/>
  </r>
  <r>
    <x v="0"/>
    <x v="0"/>
    <x v="14"/>
    <s v="29/06/2024"/>
    <s v="29/06/2024"/>
    <m/>
    <x v="4"/>
    <x v="2610"/>
    <x v="363"/>
  </r>
  <r>
    <x v="0"/>
    <x v="3"/>
    <x v="1"/>
    <d v="2024-11-03T00:00:00"/>
    <s v="03/11/2024"/>
    <m/>
    <x v="10"/>
    <x v="2611"/>
    <x v="187"/>
  </r>
  <r>
    <x v="23"/>
    <x v="4"/>
    <x v="1"/>
    <s v="25/04/2024"/>
    <s v="25/04/2024"/>
    <m/>
    <x v="0"/>
    <x v="2612"/>
    <x v="492"/>
  </r>
  <r>
    <x v="7"/>
    <x v="2"/>
    <x v="3"/>
    <s v="30/05/2024"/>
    <s v="30/05/2024"/>
    <m/>
    <x v="7"/>
    <x v="2613"/>
    <x v="290"/>
  </r>
  <r>
    <x v="14"/>
    <x v="1"/>
    <x v="15"/>
    <s v="23/05/2024"/>
    <s v="23/05/2024"/>
    <m/>
    <x v="7"/>
    <x v="2614"/>
    <x v="177"/>
  </r>
  <r>
    <x v="9"/>
    <x v="4"/>
    <x v="2"/>
    <s v="23/05/2024"/>
    <s v="23/05/2024"/>
    <m/>
    <x v="7"/>
    <x v="2615"/>
    <x v="166"/>
  </r>
  <r>
    <x v="1"/>
    <x v="5"/>
    <x v="2"/>
    <s v="24/06/2024"/>
    <s v="24/06/2024"/>
    <m/>
    <x v="4"/>
    <x v="2616"/>
    <x v="362"/>
  </r>
  <r>
    <x v="20"/>
    <x v="3"/>
    <x v="3"/>
    <d v="2024-11-03T00:00:00"/>
    <s v="03/11/2024"/>
    <m/>
    <x v="10"/>
    <x v="2617"/>
    <x v="382"/>
  </r>
  <r>
    <x v="7"/>
    <x v="4"/>
    <x v="3"/>
    <s v="27/07/2024"/>
    <s v="27/07/2024"/>
    <m/>
    <x v="2"/>
    <x v="2618"/>
    <x v="457"/>
  </r>
  <r>
    <x v="7"/>
    <x v="4"/>
    <x v="14"/>
    <s v="16/08/2024"/>
    <s v="16/08/2024"/>
    <m/>
    <x v="8"/>
    <x v="2619"/>
    <x v="241"/>
  </r>
  <r>
    <x v="13"/>
    <x v="5"/>
    <x v="3"/>
    <d v="2024-07-03T00:00:00"/>
    <s v="03/07/2024"/>
    <m/>
    <x v="2"/>
    <x v="2620"/>
    <x v="11"/>
  </r>
  <r>
    <x v="14"/>
    <x v="3"/>
    <x v="5"/>
    <d v="2024-05-04T00:00:00"/>
    <s v="04/05/2024"/>
    <m/>
    <x v="7"/>
    <x v="2621"/>
    <x v="334"/>
  </r>
  <r>
    <x v="21"/>
    <x v="1"/>
    <x v="1"/>
    <d v="2024-04-05T00:00:00"/>
    <s v="05/04/2024"/>
    <m/>
    <x v="0"/>
    <x v="2622"/>
    <x v="138"/>
  </r>
  <r>
    <x v="24"/>
    <x v="4"/>
    <x v="18"/>
    <d v="2024-04-01T00:00:00"/>
    <s v="01/04/2024"/>
    <m/>
    <x v="0"/>
    <x v="2623"/>
    <x v="293"/>
  </r>
  <r>
    <x v="11"/>
    <x v="2"/>
    <x v="19"/>
    <s v="13/01/2024"/>
    <s v="13/01/2024"/>
    <m/>
    <x v="1"/>
    <x v="2624"/>
    <x v="149"/>
  </r>
  <r>
    <x v="18"/>
    <x v="3"/>
    <x v="13"/>
    <d v="2024-11-07T00:00:00"/>
    <s v="07/11/2024"/>
    <m/>
    <x v="10"/>
    <x v="2625"/>
    <x v="187"/>
  </r>
  <r>
    <x v="16"/>
    <x v="2"/>
    <x v="0"/>
    <s v="17/05/2024"/>
    <s v="17/05/2024"/>
    <m/>
    <x v="7"/>
    <x v="2626"/>
    <x v="306"/>
  </r>
  <r>
    <x v="21"/>
    <x v="3"/>
    <x v="2"/>
    <s v="21/07/2024"/>
    <s v="21/07/2024"/>
    <m/>
    <x v="2"/>
    <x v="2627"/>
    <x v="10"/>
  </r>
  <r>
    <x v="14"/>
    <x v="5"/>
    <x v="10"/>
    <s v="22/02/2024"/>
    <s v="22/02/2024"/>
    <m/>
    <x v="3"/>
    <x v="2628"/>
    <x v="51"/>
  </r>
  <r>
    <x v="3"/>
    <x v="1"/>
    <x v="4"/>
    <s v="23/05/2024"/>
    <s v="23/05/2024"/>
    <m/>
    <x v="7"/>
    <x v="2629"/>
    <x v="251"/>
  </r>
  <r>
    <x v="7"/>
    <x v="5"/>
    <x v="9"/>
    <d v="2024-12-07T00:00:00"/>
    <s v="07/12/2024"/>
    <m/>
    <x v="11"/>
    <x v="2630"/>
    <x v="397"/>
  </r>
  <r>
    <x v="3"/>
    <x v="0"/>
    <x v="7"/>
    <s v="15/06/2024"/>
    <s v="15/06/2024"/>
    <m/>
    <x v="4"/>
    <x v="2631"/>
    <x v="214"/>
  </r>
  <r>
    <x v="8"/>
    <x v="3"/>
    <x v="6"/>
    <s v="23/06/2024"/>
    <s v="23/06/2024"/>
    <m/>
    <x v="4"/>
    <x v="2632"/>
    <x v="25"/>
  </r>
  <r>
    <x v="14"/>
    <x v="2"/>
    <x v="8"/>
    <s v="25/03/2024"/>
    <s v="25/03/2024"/>
    <m/>
    <x v="5"/>
    <x v="2633"/>
    <x v="204"/>
  </r>
  <r>
    <x v="3"/>
    <x v="1"/>
    <x v="20"/>
    <d v="2024-04-07T00:00:00"/>
    <s v="07/04/2024"/>
    <m/>
    <x v="0"/>
    <x v="2634"/>
    <x v="412"/>
  </r>
  <r>
    <x v="19"/>
    <x v="0"/>
    <x v="14"/>
    <d v="2024-12-05T00:00:00"/>
    <s v="05/12/2024"/>
    <m/>
    <x v="11"/>
    <x v="2635"/>
    <x v="176"/>
  </r>
  <r>
    <x v="21"/>
    <x v="3"/>
    <x v="17"/>
    <d v="2024-04-04T00:00:00"/>
    <s v="04/04/2024"/>
    <m/>
    <x v="0"/>
    <x v="2636"/>
    <x v="265"/>
  </r>
  <r>
    <x v="22"/>
    <x v="2"/>
    <x v="7"/>
    <s v="15/04/2024"/>
    <s v="15/04/2024"/>
    <m/>
    <x v="0"/>
    <x v="2637"/>
    <x v="493"/>
  </r>
  <r>
    <x v="13"/>
    <x v="5"/>
    <x v="8"/>
    <d v="2024-08-03T00:00:00"/>
    <s v="03/08/2024"/>
    <m/>
    <x v="8"/>
    <x v="2638"/>
    <x v="187"/>
  </r>
  <r>
    <x v="10"/>
    <x v="1"/>
    <x v="14"/>
    <s v="17/01/2024"/>
    <s v="17/01/2024"/>
    <m/>
    <x v="1"/>
    <x v="2639"/>
    <x v="310"/>
  </r>
  <r>
    <x v="18"/>
    <x v="1"/>
    <x v="0"/>
    <s v="22/08/2024"/>
    <s v="22/08/2024"/>
    <m/>
    <x v="8"/>
    <x v="2640"/>
    <x v="198"/>
  </r>
  <r>
    <x v="19"/>
    <x v="0"/>
    <x v="4"/>
    <s v="25/07/2024"/>
    <s v="25/07/2024"/>
    <m/>
    <x v="2"/>
    <x v="2641"/>
    <x v="36"/>
  </r>
  <r>
    <x v="11"/>
    <x v="0"/>
    <x v="6"/>
    <s v="14/06/2024"/>
    <s v="14/06/2024"/>
    <m/>
    <x v="4"/>
    <x v="2642"/>
    <x v="179"/>
  </r>
  <r>
    <x v="24"/>
    <x v="1"/>
    <x v="18"/>
    <d v="2024-05-04T00:00:00"/>
    <s v="04/05/2024"/>
    <m/>
    <x v="7"/>
    <x v="653"/>
    <x v="49"/>
  </r>
  <r>
    <x v="22"/>
    <x v="0"/>
    <x v="17"/>
    <s v="26/08/2024"/>
    <s v="26/08/2024"/>
    <m/>
    <x v="8"/>
    <x v="2643"/>
    <x v="287"/>
  </r>
  <r>
    <x v="18"/>
    <x v="2"/>
    <x v="6"/>
    <d v="2024-03-08T00:00:00"/>
    <s v="08/03/2024"/>
    <m/>
    <x v="5"/>
    <x v="2644"/>
    <x v="27"/>
  </r>
  <r>
    <x v="2"/>
    <x v="5"/>
    <x v="14"/>
    <d v="2024-11-07T00:00:00"/>
    <s v="07/11/2024"/>
    <m/>
    <x v="10"/>
    <x v="2645"/>
    <x v="247"/>
  </r>
  <r>
    <x v="18"/>
    <x v="3"/>
    <x v="8"/>
    <d v="2024-11-03T00:00:00"/>
    <s v="03/11/2024"/>
    <m/>
    <x v="10"/>
    <x v="2646"/>
    <x v="69"/>
  </r>
  <r>
    <x v="6"/>
    <x v="0"/>
    <x v="2"/>
    <d v="2024-10-01T00:00:00"/>
    <s v="01/10/2024"/>
    <m/>
    <x v="6"/>
    <x v="2647"/>
    <x v="65"/>
  </r>
  <r>
    <x v="13"/>
    <x v="0"/>
    <x v="19"/>
    <d v="2024-04-04T00:00:00"/>
    <s v="04/04/2024"/>
    <m/>
    <x v="0"/>
    <x v="2648"/>
    <x v="420"/>
  </r>
  <r>
    <x v="10"/>
    <x v="2"/>
    <x v="6"/>
    <s v="17/01/2024"/>
    <s v="17/01/2024"/>
    <m/>
    <x v="1"/>
    <x v="2649"/>
    <x v="494"/>
  </r>
  <r>
    <x v="11"/>
    <x v="3"/>
    <x v="10"/>
    <d v="2024-08-07T00:00:00"/>
    <s v="07/08/2024"/>
    <m/>
    <x v="8"/>
    <x v="2650"/>
    <x v="282"/>
  </r>
  <r>
    <x v="3"/>
    <x v="0"/>
    <x v="10"/>
    <d v="2024-12-04T00:00:00"/>
    <s v="04/12/2024"/>
    <m/>
    <x v="11"/>
    <x v="2651"/>
    <x v="269"/>
  </r>
  <r>
    <x v="7"/>
    <x v="5"/>
    <x v="13"/>
    <s v="24/08/2024"/>
    <s v="24/08/2024"/>
    <m/>
    <x v="8"/>
    <x v="2652"/>
    <x v="253"/>
  </r>
  <r>
    <x v="24"/>
    <x v="0"/>
    <x v="18"/>
    <d v="2024-07-06T00:00:00"/>
    <s v="06/07/2024"/>
    <m/>
    <x v="2"/>
    <x v="2653"/>
    <x v="199"/>
  </r>
  <r>
    <x v="5"/>
    <x v="5"/>
    <x v="16"/>
    <s v="28/07/2024"/>
    <s v="28/07/2024"/>
    <m/>
    <x v="2"/>
    <x v="2654"/>
    <x v="334"/>
  </r>
  <r>
    <x v="15"/>
    <x v="4"/>
    <x v="4"/>
    <s v="21/02/2024"/>
    <s v="21/02/2024"/>
    <m/>
    <x v="3"/>
    <x v="2655"/>
    <x v="23"/>
  </r>
  <r>
    <x v="17"/>
    <x v="5"/>
    <x v="0"/>
    <d v="2024-08-04T00:00:00"/>
    <s v="04/08/2024"/>
    <m/>
    <x v="8"/>
    <x v="2656"/>
    <x v="363"/>
  </r>
  <r>
    <x v="6"/>
    <x v="0"/>
    <x v="15"/>
    <s v="28/06/2024"/>
    <s v="28/06/2024"/>
    <m/>
    <x v="4"/>
    <x v="2657"/>
    <x v="90"/>
  </r>
  <r>
    <x v="1"/>
    <x v="0"/>
    <x v="19"/>
    <s v="24/03/2024"/>
    <s v="24/03/2024"/>
    <m/>
    <x v="5"/>
    <x v="2658"/>
    <x v="69"/>
  </r>
  <r>
    <x v="8"/>
    <x v="2"/>
    <x v="20"/>
    <s v="29/07/2024"/>
    <s v="29/07/2024"/>
    <m/>
    <x v="2"/>
    <x v="2659"/>
    <x v="138"/>
  </r>
  <r>
    <x v="17"/>
    <x v="4"/>
    <x v="8"/>
    <s v="25/05/2024"/>
    <s v="25/05/2024"/>
    <m/>
    <x v="7"/>
    <x v="2660"/>
    <x v="325"/>
  </r>
  <r>
    <x v="2"/>
    <x v="2"/>
    <x v="17"/>
    <s v="30/03/2024"/>
    <s v="30/03/2024"/>
    <m/>
    <x v="5"/>
    <x v="2661"/>
    <x v="340"/>
  </r>
  <r>
    <x v="17"/>
    <x v="4"/>
    <x v="10"/>
    <s v="18/07/2024"/>
    <s v="18/07/2024"/>
    <m/>
    <x v="2"/>
    <x v="2662"/>
    <x v="378"/>
  </r>
  <r>
    <x v="12"/>
    <x v="5"/>
    <x v="7"/>
    <d v="2024-10-05T00:00:00"/>
    <s v="05/10/2024"/>
    <m/>
    <x v="6"/>
    <x v="2663"/>
    <x v="80"/>
  </r>
  <r>
    <x v="9"/>
    <x v="2"/>
    <x v="18"/>
    <s v="18/03/2024"/>
    <s v="18/03/2024"/>
    <m/>
    <x v="5"/>
    <x v="2664"/>
    <x v="20"/>
  </r>
  <r>
    <x v="24"/>
    <x v="1"/>
    <x v="20"/>
    <s v="15/06/2024"/>
    <s v="15/06/2024"/>
    <m/>
    <x v="4"/>
    <x v="2665"/>
    <x v="138"/>
  </r>
  <r>
    <x v="1"/>
    <x v="5"/>
    <x v="6"/>
    <d v="2024-12-05T00:00:00"/>
    <s v="05/12/2024"/>
    <m/>
    <x v="11"/>
    <x v="2666"/>
    <x v="204"/>
  </r>
  <r>
    <x v="20"/>
    <x v="3"/>
    <x v="19"/>
    <s v="23/06/2024"/>
    <s v="23/06/2024"/>
    <m/>
    <x v="4"/>
    <x v="2667"/>
    <x v="24"/>
  </r>
  <r>
    <x v="12"/>
    <x v="1"/>
    <x v="12"/>
    <s v="21/04/2024"/>
    <s v="21/04/2024"/>
    <m/>
    <x v="0"/>
    <x v="2668"/>
    <x v="251"/>
  </r>
  <r>
    <x v="2"/>
    <x v="2"/>
    <x v="16"/>
    <s v="17/08/2024"/>
    <s v="17/08/2024"/>
    <m/>
    <x v="8"/>
    <x v="2669"/>
    <x v="241"/>
  </r>
  <r>
    <x v="7"/>
    <x v="3"/>
    <x v="8"/>
    <d v="2024-07-02T00:00:00"/>
    <s v="02/07/2024"/>
    <m/>
    <x v="2"/>
    <x v="2670"/>
    <x v="194"/>
  </r>
  <r>
    <x v="20"/>
    <x v="5"/>
    <x v="3"/>
    <s v="17/03/2024"/>
    <s v="17/03/2024"/>
    <m/>
    <x v="5"/>
    <x v="2671"/>
    <x v="30"/>
  </r>
  <r>
    <x v="3"/>
    <x v="1"/>
    <x v="19"/>
    <d v="2024-01-08T00:00:00"/>
    <s v="08/01/2024"/>
    <m/>
    <x v="1"/>
    <x v="2672"/>
    <x v="243"/>
  </r>
  <r>
    <x v="0"/>
    <x v="2"/>
    <x v="11"/>
    <s v="18/03/2024"/>
    <s v="18/03/2024"/>
    <m/>
    <x v="5"/>
    <x v="2673"/>
    <x v="117"/>
  </r>
  <r>
    <x v="2"/>
    <x v="5"/>
    <x v="13"/>
    <s v="14/06/2024"/>
    <s v="14/06/2024"/>
    <m/>
    <x v="4"/>
    <x v="2674"/>
    <x v="130"/>
  </r>
  <r>
    <x v="12"/>
    <x v="0"/>
    <x v="8"/>
    <s v="22/04/2024"/>
    <s v="22/04/2024"/>
    <m/>
    <x v="0"/>
    <x v="2675"/>
    <x v="13"/>
  </r>
  <r>
    <x v="11"/>
    <x v="3"/>
    <x v="8"/>
    <s v="18/01/2024"/>
    <s v="18/01/2024"/>
    <m/>
    <x v="1"/>
    <x v="2676"/>
    <x v="86"/>
  </r>
  <r>
    <x v="15"/>
    <x v="2"/>
    <x v="4"/>
    <s v="26/08/2024"/>
    <s v="26/08/2024"/>
    <m/>
    <x v="8"/>
    <x v="2677"/>
    <x v="295"/>
  </r>
  <r>
    <x v="5"/>
    <x v="3"/>
    <x v="13"/>
    <d v="2024-10-06T00:00:00"/>
    <s v="06/10/2024"/>
    <m/>
    <x v="6"/>
    <x v="2678"/>
    <x v="153"/>
  </r>
  <r>
    <x v="14"/>
    <x v="5"/>
    <x v="21"/>
    <s v="31/01/2024"/>
    <s v="31/01/2024"/>
    <m/>
    <x v="1"/>
    <x v="2679"/>
    <x v="113"/>
  </r>
  <r>
    <x v="20"/>
    <x v="3"/>
    <x v="15"/>
    <d v="2024-08-04T00:00:00"/>
    <s v="04/08/2024"/>
    <m/>
    <x v="8"/>
    <x v="2680"/>
    <x v="200"/>
  </r>
  <r>
    <x v="23"/>
    <x v="2"/>
    <x v="19"/>
    <d v="2024-07-06T00:00:00"/>
    <s v="06/07/2024"/>
    <m/>
    <x v="2"/>
    <x v="2681"/>
    <x v="81"/>
  </r>
  <r>
    <x v="8"/>
    <x v="2"/>
    <x v="1"/>
    <d v="2024-10-02T00:00:00"/>
    <s v="02/10/2024"/>
    <m/>
    <x v="6"/>
    <x v="2682"/>
    <x v="16"/>
  </r>
  <r>
    <x v="12"/>
    <x v="2"/>
    <x v="6"/>
    <s v="16/05/2024"/>
    <s v="16/05/2024"/>
    <m/>
    <x v="7"/>
    <x v="2683"/>
    <x v="495"/>
  </r>
  <r>
    <x v="5"/>
    <x v="1"/>
    <x v="19"/>
    <s v="18/03/2024"/>
    <s v="18/03/2024"/>
    <m/>
    <x v="5"/>
    <x v="2684"/>
    <x v="496"/>
  </r>
  <r>
    <x v="1"/>
    <x v="2"/>
    <x v="6"/>
    <s v="13/07/2024"/>
    <s v="13/07/2024"/>
    <m/>
    <x v="2"/>
    <x v="2685"/>
    <x v="154"/>
  </r>
  <r>
    <x v="4"/>
    <x v="4"/>
    <x v="15"/>
    <s v="25/07/2024"/>
    <s v="25/07/2024"/>
    <m/>
    <x v="2"/>
    <x v="2686"/>
    <x v="243"/>
  </r>
  <r>
    <x v="1"/>
    <x v="5"/>
    <x v="18"/>
    <s v="19/08/2024"/>
    <s v="19/08/2024"/>
    <m/>
    <x v="8"/>
    <x v="2687"/>
    <x v="300"/>
  </r>
  <r>
    <x v="10"/>
    <x v="5"/>
    <x v="21"/>
    <s v="24/06/2024"/>
    <s v="24/06/2024"/>
    <m/>
    <x v="4"/>
    <x v="2688"/>
    <x v="450"/>
  </r>
  <r>
    <x v="20"/>
    <x v="5"/>
    <x v="13"/>
    <s v="20/06/2024"/>
    <s v="20/06/2024"/>
    <m/>
    <x v="4"/>
    <x v="2689"/>
    <x v="212"/>
  </r>
  <r>
    <x v="21"/>
    <x v="1"/>
    <x v="4"/>
    <d v="2024-02-08T00:00:00"/>
    <s v="08/02/2024"/>
    <m/>
    <x v="3"/>
    <x v="2690"/>
    <x v="476"/>
  </r>
  <r>
    <x v="22"/>
    <x v="3"/>
    <x v="21"/>
    <s v="22/02/2024"/>
    <s v="22/02/2024"/>
    <m/>
    <x v="3"/>
    <x v="2691"/>
    <x v="9"/>
  </r>
  <r>
    <x v="9"/>
    <x v="3"/>
    <x v="7"/>
    <d v="2024-01-02T00:00:00"/>
    <s v="02/01/2024"/>
    <m/>
    <x v="1"/>
    <x v="2692"/>
    <x v="47"/>
  </r>
  <r>
    <x v="3"/>
    <x v="5"/>
    <x v="21"/>
    <s v="14/02/2024"/>
    <s v="14/02/2024"/>
    <m/>
    <x v="3"/>
    <x v="2693"/>
    <x v="188"/>
  </r>
  <r>
    <x v="20"/>
    <x v="2"/>
    <x v="11"/>
    <s v="24/02/2024"/>
    <s v="24/02/2024"/>
    <m/>
    <x v="3"/>
    <x v="2694"/>
    <x v="68"/>
  </r>
  <r>
    <x v="17"/>
    <x v="1"/>
    <x v="7"/>
    <s v="18/03/2024"/>
    <s v="18/03/2024"/>
    <m/>
    <x v="5"/>
    <x v="2695"/>
    <x v="358"/>
  </r>
  <r>
    <x v="15"/>
    <x v="0"/>
    <x v="8"/>
    <s v="30/08/2024"/>
    <s v="30/08/2024"/>
    <m/>
    <x v="8"/>
    <x v="2696"/>
    <x v="18"/>
  </r>
  <r>
    <x v="2"/>
    <x v="4"/>
    <x v="2"/>
    <d v="2024-09-05T00:00:00"/>
    <s v="05/09/2024"/>
    <m/>
    <x v="9"/>
    <x v="2697"/>
    <x v="36"/>
  </r>
  <r>
    <x v="18"/>
    <x v="4"/>
    <x v="3"/>
    <s v="18/01/2024"/>
    <s v="18/01/2024"/>
    <m/>
    <x v="1"/>
    <x v="2698"/>
    <x v="189"/>
  </r>
  <r>
    <x v="14"/>
    <x v="1"/>
    <x v="14"/>
    <d v="2024-04-07T00:00:00"/>
    <s v="07/04/2024"/>
    <m/>
    <x v="0"/>
    <x v="2699"/>
    <x v="287"/>
  </r>
  <r>
    <x v="4"/>
    <x v="3"/>
    <x v="12"/>
    <d v="2024-03-06T00:00:00"/>
    <s v="06/03/2024"/>
    <m/>
    <x v="5"/>
    <x v="2700"/>
    <x v="235"/>
  </r>
  <r>
    <x v="12"/>
    <x v="3"/>
    <x v="2"/>
    <s v="23/02/2024"/>
    <s v="23/02/2024"/>
    <m/>
    <x v="3"/>
    <x v="2701"/>
    <x v="117"/>
  </r>
  <r>
    <x v="23"/>
    <x v="3"/>
    <x v="4"/>
    <d v="2024-09-05T00:00:00"/>
    <s v="05/09/2024"/>
    <m/>
    <x v="9"/>
    <x v="2702"/>
    <x v="226"/>
  </r>
  <r>
    <x v="20"/>
    <x v="1"/>
    <x v="21"/>
    <d v="2024-06-06T00:00:00"/>
    <s v="06/06/2024"/>
    <m/>
    <x v="4"/>
    <x v="2703"/>
    <x v="73"/>
  </r>
  <r>
    <x v="20"/>
    <x v="1"/>
    <x v="9"/>
    <d v="2024-04-07T00:00:00"/>
    <s v="07/04/2024"/>
    <m/>
    <x v="0"/>
    <x v="2704"/>
    <x v="196"/>
  </r>
  <r>
    <x v="6"/>
    <x v="3"/>
    <x v="9"/>
    <d v="2024-06-06T00:00:00"/>
    <s v="06/06/2024"/>
    <m/>
    <x v="4"/>
    <x v="2705"/>
    <x v="325"/>
  </r>
  <r>
    <x v="23"/>
    <x v="2"/>
    <x v="16"/>
    <s v="13/05/2024"/>
    <s v="13/05/2024"/>
    <m/>
    <x v="7"/>
    <x v="2706"/>
    <x v="187"/>
  </r>
  <r>
    <x v="18"/>
    <x v="3"/>
    <x v="10"/>
    <s v="31/01/2024"/>
    <s v="31/01/2024"/>
    <m/>
    <x v="1"/>
    <x v="2707"/>
    <x v="407"/>
  </r>
  <r>
    <x v="24"/>
    <x v="3"/>
    <x v="20"/>
    <s v="30/06/2024"/>
    <s v="30/06/2024"/>
    <m/>
    <x v="4"/>
    <x v="2708"/>
    <x v="137"/>
  </r>
  <r>
    <x v="8"/>
    <x v="5"/>
    <x v="15"/>
    <s v="25/08/2024"/>
    <s v="25/08/2024"/>
    <m/>
    <x v="8"/>
    <x v="2709"/>
    <x v="407"/>
  </r>
  <r>
    <x v="2"/>
    <x v="3"/>
    <x v="3"/>
    <d v="2024-10-01T00:00:00"/>
    <s v="01/10/2024"/>
    <m/>
    <x v="6"/>
    <x v="2710"/>
    <x v="187"/>
  </r>
  <r>
    <x v="6"/>
    <x v="4"/>
    <x v="15"/>
    <s v="22/08/2024"/>
    <s v="22/08/2024"/>
    <m/>
    <x v="8"/>
    <x v="2711"/>
    <x v="305"/>
  </r>
  <r>
    <x v="13"/>
    <x v="3"/>
    <x v="1"/>
    <s v="14/04/2024"/>
    <s v="14/04/2024"/>
    <m/>
    <x v="0"/>
    <x v="2712"/>
    <x v="486"/>
  </r>
  <r>
    <x v="4"/>
    <x v="0"/>
    <x v="3"/>
    <s v="31/05/2024"/>
    <s v="31/05/2024"/>
    <m/>
    <x v="7"/>
    <x v="2713"/>
    <x v="419"/>
  </r>
  <r>
    <x v="4"/>
    <x v="0"/>
    <x v="17"/>
    <d v="2024-08-04T00:00:00"/>
    <s v="04/08/2024"/>
    <m/>
    <x v="8"/>
    <x v="2714"/>
    <x v="245"/>
  </r>
  <r>
    <x v="13"/>
    <x v="4"/>
    <x v="9"/>
    <s v="21/02/2024"/>
    <s v="21/02/2024"/>
    <m/>
    <x v="3"/>
    <x v="2715"/>
    <x v="44"/>
  </r>
  <r>
    <x v="19"/>
    <x v="2"/>
    <x v="15"/>
    <s v="30/03/2024"/>
    <s v="30/03/2024"/>
    <m/>
    <x v="5"/>
    <x v="2716"/>
    <x v="350"/>
  </r>
  <r>
    <x v="9"/>
    <x v="1"/>
    <x v="17"/>
    <d v="2024-02-03T00:00:00"/>
    <s v="03/02/2024"/>
    <m/>
    <x v="3"/>
    <x v="2717"/>
    <x v="236"/>
  </r>
  <r>
    <x v="0"/>
    <x v="4"/>
    <x v="7"/>
    <s v="28/07/2024"/>
    <s v="28/07/2024"/>
    <m/>
    <x v="2"/>
    <x v="2718"/>
    <x v="56"/>
  </r>
  <r>
    <x v="16"/>
    <x v="3"/>
    <x v="21"/>
    <s v="24/03/2024"/>
    <s v="24/03/2024"/>
    <m/>
    <x v="5"/>
    <x v="2719"/>
    <x v="91"/>
  </r>
  <r>
    <x v="14"/>
    <x v="2"/>
    <x v="5"/>
    <d v="2024-11-08T00:00:00"/>
    <s v="08/11/2024"/>
    <m/>
    <x v="10"/>
    <x v="2720"/>
    <x v="90"/>
  </r>
  <r>
    <x v="15"/>
    <x v="0"/>
    <x v="16"/>
    <s v="17/05/2024"/>
    <s v="17/05/2024"/>
    <m/>
    <x v="7"/>
    <x v="2721"/>
    <x v="92"/>
  </r>
  <r>
    <x v="16"/>
    <x v="5"/>
    <x v="18"/>
    <s v="18/05/2024"/>
    <s v="18/05/2024"/>
    <m/>
    <x v="7"/>
    <x v="2722"/>
    <x v="185"/>
  </r>
  <r>
    <x v="13"/>
    <x v="0"/>
    <x v="2"/>
    <s v="17/08/2024"/>
    <s v="17/08/2024"/>
    <m/>
    <x v="8"/>
    <x v="2723"/>
    <x v="14"/>
  </r>
  <r>
    <x v="24"/>
    <x v="3"/>
    <x v="8"/>
    <d v="2024-04-04T00:00:00"/>
    <s v="04/04/2024"/>
    <m/>
    <x v="0"/>
    <x v="2724"/>
    <x v="112"/>
  </r>
  <r>
    <x v="6"/>
    <x v="1"/>
    <x v="1"/>
    <d v="2024-09-08T00:00:00"/>
    <s v="08/09/2024"/>
    <m/>
    <x v="9"/>
    <x v="2725"/>
    <x v="140"/>
  </r>
  <r>
    <x v="6"/>
    <x v="3"/>
    <x v="10"/>
    <s v="17/01/2024"/>
    <s v="17/01/2024"/>
    <m/>
    <x v="1"/>
    <x v="2726"/>
    <x v="475"/>
  </r>
  <r>
    <x v="19"/>
    <x v="5"/>
    <x v="14"/>
    <s v="14/02/2024"/>
    <s v="14/02/2024"/>
    <m/>
    <x v="3"/>
    <x v="2727"/>
    <x v="334"/>
  </r>
  <r>
    <x v="2"/>
    <x v="3"/>
    <x v="7"/>
    <s v="16/05/2024"/>
    <s v="16/05/2024"/>
    <m/>
    <x v="7"/>
    <x v="2728"/>
    <x v="362"/>
  </r>
  <r>
    <x v="24"/>
    <x v="5"/>
    <x v="3"/>
    <s v="16/03/2024"/>
    <s v="16/03/2024"/>
    <m/>
    <x v="5"/>
    <x v="2729"/>
    <x v="100"/>
  </r>
  <r>
    <x v="15"/>
    <x v="5"/>
    <x v="21"/>
    <s v="31/01/2024"/>
    <s v="31/01/2024"/>
    <m/>
    <x v="1"/>
    <x v="2730"/>
    <x v="227"/>
  </r>
  <r>
    <x v="8"/>
    <x v="5"/>
    <x v="10"/>
    <d v="2024-10-03T00:00:00"/>
    <s v="03/10/2024"/>
    <m/>
    <x v="6"/>
    <x v="2731"/>
    <x v="168"/>
  </r>
  <r>
    <x v="4"/>
    <x v="0"/>
    <x v="10"/>
    <s v="30/06/2024"/>
    <s v="30/06/2024"/>
    <m/>
    <x v="4"/>
    <x v="2732"/>
    <x v="306"/>
  </r>
  <r>
    <x v="1"/>
    <x v="3"/>
    <x v="8"/>
    <d v="2024-01-03T00:00:00"/>
    <s v="03/01/2024"/>
    <m/>
    <x v="1"/>
    <x v="2733"/>
    <x v="124"/>
  </r>
  <r>
    <x v="9"/>
    <x v="0"/>
    <x v="9"/>
    <s v="27/05/2024"/>
    <s v="27/05/2024"/>
    <m/>
    <x v="7"/>
    <x v="2734"/>
    <x v="82"/>
  </r>
  <r>
    <x v="4"/>
    <x v="0"/>
    <x v="11"/>
    <d v="2024-11-07T00:00:00"/>
    <s v="07/11/2024"/>
    <m/>
    <x v="10"/>
    <x v="2735"/>
    <x v="324"/>
  </r>
  <r>
    <x v="10"/>
    <x v="3"/>
    <x v="0"/>
    <d v="2024-02-03T00:00:00"/>
    <s v="03/02/2024"/>
    <m/>
    <x v="3"/>
    <x v="2736"/>
    <x v="357"/>
  </r>
  <r>
    <x v="0"/>
    <x v="4"/>
    <x v="17"/>
    <d v="2024-04-03T00:00:00"/>
    <s v="03/04/2024"/>
    <m/>
    <x v="0"/>
    <x v="2737"/>
    <x v="418"/>
  </r>
  <r>
    <x v="20"/>
    <x v="0"/>
    <x v="1"/>
    <s v="23/06/2024"/>
    <s v="23/06/2024"/>
    <m/>
    <x v="4"/>
    <x v="2738"/>
    <x v="190"/>
  </r>
  <r>
    <x v="20"/>
    <x v="4"/>
    <x v="16"/>
    <s v="27/01/2024"/>
    <s v="27/01/2024"/>
    <m/>
    <x v="1"/>
    <x v="2739"/>
    <x v="171"/>
  </r>
  <r>
    <x v="11"/>
    <x v="5"/>
    <x v="7"/>
    <s v="14/01/2024"/>
    <s v="14/01/2024"/>
    <m/>
    <x v="1"/>
    <x v="2740"/>
    <x v="470"/>
  </r>
  <r>
    <x v="17"/>
    <x v="1"/>
    <x v="13"/>
    <s v="29/07/2024"/>
    <s v="29/07/2024"/>
    <m/>
    <x v="2"/>
    <x v="2741"/>
    <x v="47"/>
  </r>
  <r>
    <x v="6"/>
    <x v="5"/>
    <x v="3"/>
    <s v="13/05/2024"/>
    <s v="13/05/2024"/>
    <m/>
    <x v="7"/>
    <x v="2742"/>
    <x v="497"/>
  </r>
  <r>
    <x v="8"/>
    <x v="5"/>
    <x v="19"/>
    <d v="2024-03-02T00:00:00"/>
    <s v="02/03/2024"/>
    <m/>
    <x v="5"/>
    <x v="2743"/>
    <x v="306"/>
  </r>
  <r>
    <x v="6"/>
    <x v="1"/>
    <x v="3"/>
    <s v="27/05/2024"/>
    <s v="27/05/2024"/>
    <m/>
    <x v="7"/>
    <x v="2744"/>
    <x v="206"/>
  </r>
  <r>
    <x v="3"/>
    <x v="2"/>
    <x v="9"/>
    <s v="18/02/2024"/>
    <s v="18/02/2024"/>
    <m/>
    <x v="3"/>
    <x v="2745"/>
    <x v="217"/>
  </r>
  <r>
    <x v="6"/>
    <x v="1"/>
    <x v="12"/>
    <s v="28/01/2024"/>
    <s v="28/01/2024"/>
    <m/>
    <x v="1"/>
    <x v="2746"/>
    <x v="370"/>
  </r>
  <r>
    <x v="1"/>
    <x v="0"/>
    <x v="8"/>
    <s v="29/06/2024"/>
    <s v="29/06/2024"/>
    <m/>
    <x v="4"/>
    <x v="2747"/>
    <x v="280"/>
  </r>
  <r>
    <x v="18"/>
    <x v="1"/>
    <x v="20"/>
    <s v="13/01/2024"/>
    <s v="13/01/2024"/>
    <m/>
    <x v="1"/>
    <x v="2748"/>
    <x v="407"/>
  </r>
  <r>
    <x v="0"/>
    <x v="0"/>
    <x v="5"/>
    <s v="27/06/2024"/>
    <s v="27/06/2024"/>
    <m/>
    <x v="4"/>
    <x v="2749"/>
    <x v="19"/>
  </r>
  <r>
    <x v="8"/>
    <x v="5"/>
    <x v="14"/>
    <s v="29/03/2024"/>
    <s v="29/03/2024"/>
    <m/>
    <x v="5"/>
    <x v="2750"/>
    <x v="347"/>
  </r>
  <r>
    <x v="5"/>
    <x v="1"/>
    <x v="10"/>
    <d v="2024-03-06T00:00:00"/>
    <s v="06/03/2024"/>
    <m/>
    <x v="5"/>
    <x v="2751"/>
    <x v="306"/>
  </r>
  <r>
    <x v="9"/>
    <x v="5"/>
    <x v="3"/>
    <s v="21/03/2024"/>
    <s v="21/03/2024"/>
    <m/>
    <x v="5"/>
    <x v="2752"/>
    <x v="82"/>
  </r>
  <r>
    <x v="9"/>
    <x v="1"/>
    <x v="8"/>
    <d v="2024-12-04T00:00:00"/>
    <s v="04/12/2024"/>
    <m/>
    <x v="11"/>
    <x v="2753"/>
    <x v="55"/>
  </r>
  <r>
    <x v="7"/>
    <x v="2"/>
    <x v="17"/>
    <s v="19/01/2024"/>
    <s v="19/01/2024"/>
    <m/>
    <x v="1"/>
    <x v="2754"/>
    <x v="435"/>
  </r>
  <r>
    <x v="10"/>
    <x v="0"/>
    <x v="6"/>
    <d v="2024-06-04T00:00:00"/>
    <s v="04/06/2024"/>
    <m/>
    <x v="4"/>
    <x v="2755"/>
    <x v="46"/>
  </r>
  <r>
    <x v="16"/>
    <x v="2"/>
    <x v="6"/>
    <d v="2024-02-08T00:00:00"/>
    <s v="08/02/2024"/>
    <m/>
    <x v="3"/>
    <x v="2756"/>
    <x v="147"/>
  </r>
  <r>
    <x v="2"/>
    <x v="2"/>
    <x v="8"/>
    <d v="2024-12-04T00:00:00"/>
    <s v="04/12/2024"/>
    <m/>
    <x v="11"/>
    <x v="2757"/>
    <x v="68"/>
  </r>
  <r>
    <x v="4"/>
    <x v="1"/>
    <x v="9"/>
    <s v="21/07/2024"/>
    <s v="21/07/2024"/>
    <m/>
    <x v="2"/>
    <x v="2758"/>
    <x v="97"/>
  </r>
  <r>
    <x v="1"/>
    <x v="3"/>
    <x v="19"/>
    <s v="22/03/2024"/>
    <s v="22/03/2024"/>
    <m/>
    <x v="5"/>
    <x v="2759"/>
    <x v="51"/>
  </r>
  <r>
    <x v="15"/>
    <x v="1"/>
    <x v="2"/>
    <d v="2024-09-05T00:00:00"/>
    <s v="05/09/2024"/>
    <m/>
    <x v="9"/>
    <x v="2760"/>
    <x v="262"/>
  </r>
  <r>
    <x v="19"/>
    <x v="2"/>
    <x v="19"/>
    <d v="2024-09-08T00:00:00"/>
    <s v="08/09/2024"/>
    <m/>
    <x v="9"/>
    <x v="2761"/>
    <x v="118"/>
  </r>
  <r>
    <x v="22"/>
    <x v="5"/>
    <x v="18"/>
    <s v="20/07/2024"/>
    <s v="20/07/2024"/>
    <m/>
    <x v="2"/>
    <x v="2762"/>
    <x v="308"/>
  </r>
  <r>
    <x v="6"/>
    <x v="1"/>
    <x v="21"/>
    <s v="14/04/2024"/>
    <s v="14/04/2024"/>
    <m/>
    <x v="0"/>
    <x v="2763"/>
    <x v="414"/>
  </r>
  <r>
    <x v="0"/>
    <x v="5"/>
    <x v="14"/>
    <s v="25/01/2024"/>
    <s v="25/01/2024"/>
    <m/>
    <x v="1"/>
    <x v="2764"/>
    <x v="42"/>
  </r>
  <r>
    <x v="19"/>
    <x v="2"/>
    <x v="16"/>
    <s v="25/04/2024"/>
    <s v="25/04/2024"/>
    <m/>
    <x v="0"/>
    <x v="2765"/>
    <x v="291"/>
  </r>
  <r>
    <x v="23"/>
    <x v="5"/>
    <x v="5"/>
    <s v="17/01/2024"/>
    <s v="17/01/2024"/>
    <m/>
    <x v="1"/>
    <x v="2766"/>
    <x v="143"/>
  </r>
  <r>
    <x v="10"/>
    <x v="4"/>
    <x v="8"/>
    <s v="15/08/2024"/>
    <s v="15/08/2024"/>
    <m/>
    <x v="8"/>
    <x v="2767"/>
    <x v="358"/>
  </r>
  <r>
    <x v="10"/>
    <x v="5"/>
    <x v="13"/>
    <d v="2024-02-06T00:00:00"/>
    <s v="06/02/2024"/>
    <m/>
    <x v="3"/>
    <x v="2768"/>
    <x v="390"/>
  </r>
  <r>
    <x v="5"/>
    <x v="4"/>
    <x v="1"/>
    <s v="30/06/2024"/>
    <s v="30/06/2024"/>
    <m/>
    <x v="4"/>
    <x v="2769"/>
    <x v="93"/>
  </r>
  <r>
    <x v="23"/>
    <x v="3"/>
    <x v="17"/>
    <d v="2024-10-02T00:00:00"/>
    <s v="02/10/2024"/>
    <m/>
    <x v="6"/>
    <x v="2770"/>
    <x v="20"/>
  </r>
  <r>
    <x v="11"/>
    <x v="5"/>
    <x v="20"/>
    <s v="23/02/2024"/>
    <s v="23/02/2024"/>
    <m/>
    <x v="3"/>
    <x v="2771"/>
    <x v="498"/>
  </r>
  <r>
    <x v="17"/>
    <x v="1"/>
    <x v="10"/>
    <s v="27/01/2024"/>
    <s v="27/01/2024"/>
    <m/>
    <x v="1"/>
    <x v="2772"/>
    <x v="476"/>
  </r>
  <r>
    <x v="21"/>
    <x v="0"/>
    <x v="0"/>
    <s v="26/05/2024"/>
    <s v="26/05/2024"/>
    <m/>
    <x v="7"/>
    <x v="2773"/>
    <x v="387"/>
  </r>
  <r>
    <x v="6"/>
    <x v="4"/>
    <x v="21"/>
    <s v="14/04/2024"/>
    <s v="14/04/2024"/>
    <m/>
    <x v="0"/>
    <x v="2774"/>
    <x v="108"/>
  </r>
  <r>
    <x v="22"/>
    <x v="2"/>
    <x v="4"/>
    <d v="2024-01-08T00:00:00"/>
    <s v="08/01/2024"/>
    <m/>
    <x v="1"/>
    <x v="2775"/>
    <x v="22"/>
  </r>
  <r>
    <x v="9"/>
    <x v="2"/>
    <x v="8"/>
    <s v="22/08/2024"/>
    <s v="22/08/2024"/>
    <m/>
    <x v="8"/>
    <x v="2776"/>
    <x v="301"/>
  </r>
  <r>
    <x v="11"/>
    <x v="1"/>
    <x v="4"/>
    <s v="22/07/2024"/>
    <s v="22/07/2024"/>
    <m/>
    <x v="2"/>
    <x v="2777"/>
    <x v="412"/>
  </r>
  <r>
    <x v="15"/>
    <x v="4"/>
    <x v="13"/>
    <s v="28/04/2024"/>
    <s v="28/04/2024"/>
    <m/>
    <x v="0"/>
    <x v="2778"/>
    <x v="206"/>
  </r>
  <r>
    <x v="20"/>
    <x v="2"/>
    <x v="16"/>
    <s v="30/05/2024"/>
    <s v="30/05/2024"/>
    <m/>
    <x v="7"/>
    <x v="2779"/>
    <x v="40"/>
  </r>
  <r>
    <x v="24"/>
    <x v="4"/>
    <x v="11"/>
    <s v="21/07/2024"/>
    <s v="21/07/2024"/>
    <m/>
    <x v="2"/>
    <x v="2780"/>
    <x v="141"/>
  </r>
  <r>
    <x v="3"/>
    <x v="0"/>
    <x v="20"/>
    <d v="2024-02-08T00:00:00"/>
    <s v="08/02/2024"/>
    <m/>
    <x v="3"/>
    <x v="2781"/>
    <x v="484"/>
  </r>
  <r>
    <x v="6"/>
    <x v="3"/>
    <x v="21"/>
    <s v="15/06/2024"/>
    <s v="15/06/2024"/>
    <m/>
    <x v="4"/>
    <x v="2782"/>
    <x v="182"/>
  </r>
  <r>
    <x v="4"/>
    <x v="1"/>
    <x v="1"/>
    <d v="2024-05-07T00:00:00"/>
    <s v="07/05/2024"/>
    <m/>
    <x v="7"/>
    <x v="2783"/>
    <x v="284"/>
  </r>
  <r>
    <x v="16"/>
    <x v="3"/>
    <x v="3"/>
    <d v="2024-12-04T00:00:00"/>
    <s v="04/12/2024"/>
    <m/>
    <x v="11"/>
    <x v="2784"/>
    <x v="434"/>
  </r>
  <r>
    <x v="2"/>
    <x v="2"/>
    <x v="21"/>
    <s v="18/08/2024"/>
    <s v="18/08/2024"/>
    <m/>
    <x v="8"/>
    <x v="2785"/>
    <x v="61"/>
  </r>
  <r>
    <x v="3"/>
    <x v="0"/>
    <x v="6"/>
    <d v="2024-12-01T00:00:00"/>
    <s v="01/12/2024"/>
    <m/>
    <x v="11"/>
    <x v="2786"/>
    <x v="297"/>
  </r>
  <r>
    <x v="5"/>
    <x v="5"/>
    <x v="14"/>
    <d v="2024-11-08T00:00:00"/>
    <s v="08/11/2024"/>
    <m/>
    <x v="10"/>
    <x v="2787"/>
    <x v="303"/>
  </r>
  <r>
    <x v="0"/>
    <x v="2"/>
    <x v="12"/>
    <s v="13/01/2024"/>
    <s v="13/01/2024"/>
    <m/>
    <x v="1"/>
    <x v="2788"/>
    <x v="408"/>
  </r>
  <r>
    <x v="15"/>
    <x v="0"/>
    <x v="19"/>
    <s v="29/04/2024"/>
    <s v="29/04/2024"/>
    <m/>
    <x v="0"/>
    <x v="2789"/>
    <x v="32"/>
  </r>
  <r>
    <x v="7"/>
    <x v="3"/>
    <x v="5"/>
    <d v="2024-07-07T00:00:00"/>
    <s v="07/07/2024"/>
    <m/>
    <x v="2"/>
    <x v="2790"/>
    <x v="114"/>
  </r>
  <r>
    <x v="22"/>
    <x v="3"/>
    <x v="0"/>
    <d v="2024-11-03T00:00:00"/>
    <s v="03/11/2024"/>
    <m/>
    <x v="10"/>
    <x v="2791"/>
    <x v="247"/>
  </r>
  <r>
    <x v="22"/>
    <x v="0"/>
    <x v="21"/>
    <s v="16/02/2024"/>
    <s v="16/02/2024"/>
    <m/>
    <x v="3"/>
    <x v="2792"/>
    <x v="324"/>
  </r>
  <r>
    <x v="8"/>
    <x v="2"/>
    <x v="10"/>
    <d v="2024-07-01T00:00:00"/>
    <s v="01/07/2024"/>
    <m/>
    <x v="2"/>
    <x v="2793"/>
    <x v="283"/>
  </r>
  <r>
    <x v="12"/>
    <x v="3"/>
    <x v="9"/>
    <d v="2024-12-01T00:00:00"/>
    <s v="01/12/2024"/>
    <m/>
    <x v="11"/>
    <x v="2794"/>
    <x v="499"/>
  </r>
  <r>
    <x v="12"/>
    <x v="1"/>
    <x v="8"/>
    <d v="2024-09-06T00:00:00"/>
    <s v="06/09/2024"/>
    <m/>
    <x v="9"/>
    <x v="2795"/>
    <x v="277"/>
  </r>
  <r>
    <x v="19"/>
    <x v="1"/>
    <x v="8"/>
    <s v="16/05/2024"/>
    <s v="16/05/2024"/>
    <m/>
    <x v="7"/>
    <x v="2796"/>
    <x v="72"/>
  </r>
  <r>
    <x v="2"/>
    <x v="0"/>
    <x v="1"/>
    <s v="23/06/2024"/>
    <s v="23/06/2024"/>
    <m/>
    <x v="4"/>
    <x v="2797"/>
    <x v="114"/>
  </r>
  <r>
    <x v="13"/>
    <x v="0"/>
    <x v="17"/>
    <s v="28/01/2024"/>
    <s v="28/01/2024"/>
    <m/>
    <x v="1"/>
    <x v="2798"/>
    <x v="219"/>
  </r>
  <r>
    <x v="23"/>
    <x v="0"/>
    <x v="0"/>
    <s v="14/07/2024"/>
    <s v="14/07/2024"/>
    <m/>
    <x v="2"/>
    <x v="2799"/>
    <x v="122"/>
  </r>
  <r>
    <x v="8"/>
    <x v="5"/>
    <x v="9"/>
    <s v="18/04/2024"/>
    <s v="18/04/2024"/>
    <m/>
    <x v="0"/>
    <x v="2800"/>
    <x v="199"/>
  </r>
  <r>
    <x v="4"/>
    <x v="4"/>
    <x v="11"/>
    <s v="14/06/2024"/>
    <s v="14/06/2024"/>
    <m/>
    <x v="4"/>
    <x v="2801"/>
    <x v="159"/>
  </r>
  <r>
    <x v="4"/>
    <x v="0"/>
    <x v="7"/>
    <s v="15/04/2024"/>
    <s v="15/04/2024"/>
    <m/>
    <x v="0"/>
    <x v="2802"/>
    <x v="344"/>
  </r>
  <r>
    <x v="14"/>
    <x v="5"/>
    <x v="2"/>
    <s v="19/05/2024"/>
    <s v="19/05/2024"/>
    <m/>
    <x v="7"/>
    <x v="2803"/>
    <x v="360"/>
  </r>
  <r>
    <x v="2"/>
    <x v="1"/>
    <x v="14"/>
    <s v="13/04/2024"/>
    <s v="13/04/2024"/>
    <m/>
    <x v="0"/>
    <x v="2804"/>
    <x v="50"/>
  </r>
  <r>
    <x v="15"/>
    <x v="5"/>
    <x v="18"/>
    <s v="15/08/2024"/>
    <s v="15/08/2024"/>
    <m/>
    <x v="8"/>
    <x v="2805"/>
    <x v="59"/>
  </r>
  <r>
    <x v="18"/>
    <x v="1"/>
    <x v="18"/>
    <s v="22/08/2024"/>
    <s v="22/08/2024"/>
    <m/>
    <x v="8"/>
    <x v="2806"/>
    <x v="457"/>
  </r>
  <r>
    <x v="18"/>
    <x v="3"/>
    <x v="19"/>
    <s v="22/04/2024"/>
    <s v="22/04/2024"/>
    <m/>
    <x v="0"/>
    <x v="2807"/>
    <x v="204"/>
  </r>
  <r>
    <x v="16"/>
    <x v="0"/>
    <x v="18"/>
    <d v="2024-03-08T00:00:00"/>
    <s v="08/03/2024"/>
    <m/>
    <x v="5"/>
    <x v="2808"/>
    <x v="358"/>
  </r>
  <r>
    <x v="17"/>
    <x v="3"/>
    <x v="10"/>
    <d v="2024-04-01T00:00:00"/>
    <s v="01/04/2024"/>
    <m/>
    <x v="0"/>
    <x v="2809"/>
    <x v="156"/>
  </r>
  <r>
    <x v="20"/>
    <x v="5"/>
    <x v="5"/>
    <s v="13/01/2024"/>
    <s v="13/01/2024"/>
    <m/>
    <x v="1"/>
    <x v="2810"/>
    <x v="259"/>
  </r>
  <r>
    <x v="1"/>
    <x v="2"/>
    <x v="19"/>
    <d v="2024-11-05T00:00:00"/>
    <s v="05/11/2024"/>
    <m/>
    <x v="10"/>
    <x v="2811"/>
    <x v="65"/>
  </r>
  <r>
    <x v="15"/>
    <x v="3"/>
    <x v="2"/>
    <s v="16/02/2024"/>
    <s v="16/02/2024"/>
    <m/>
    <x v="3"/>
    <x v="2812"/>
    <x v="391"/>
  </r>
  <r>
    <x v="16"/>
    <x v="0"/>
    <x v="20"/>
    <s v="20/05/2024"/>
    <s v="20/05/2024"/>
    <m/>
    <x v="7"/>
    <x v="2813"/>
    <x v="36"/>
  </r>
  <r>
    <x v="0"/>
    <x v="0"/>
    <x v="9"/>
    <d v="2024-03-02T00:00:00"/>
    <s v="02/03/2024"/>
    <m/>
    <x v="5"/>
    <x v="2814"/>
    <x v="428"/>
  </r>
  <r>
    <x v="12"/>
    <x v="1"/>
    <x v="15"/>
    <d v="2024-06-05T00:00:00"/>
    <s v="05/06/2024"/>
    <m/>
    <x v="4"/>
    <x v="2815"/>
    <x v="19"/>
  </r>
  <r>
    <x v="5"/>
    <x v="0"/>
    <x v="18"/>
    <s v="30/06/2024"/>
    <s v="30/06/2024"/>
    <m/>
    <x v="4"/>
    <x v="2816"/>
    <x v="378"/>
  </r>
  <r>
    <x v="5"/>
    <x v="0"/>
    <x v="3"/>
    <s v="22/03/2024"/>
    <s v="22/03/2024"/>
    <m/>
    <x v="5"/>
    <x v="2817"/>
    <x v="418"/>
  </r>
  <r>
    <x v="21"/>
    <x v="5"/>
    <x v="7"/>
    <s v="17/02/2024"/>
    <s v="17/02/2024"/>
    <m/>
    <x v="3"/>
    <x v="2818"/>
    <x v="204"/>
  </r>
  <r>
    <x v="0"/>
    <x v="0"/>
    <x v="1"/>
    <d v="2024-07-07T00:00:00"/>
    <s v="07/07/2024"/>
    <m/>
    <x v="2"/>
    <x v="2819"/>
    <x v="150"/>
  </r>
  <r>
    <x v="4"/>
    <x v="0"/>
    <x v="21"/>
    <s v="16/03/2024"/>
    <s v="16/03/2024"/>
    <m/>
    <x v="5"/>
    <x v="2820"/>
    <x v="0"/>
  </r>
  <r>
    <x v="20"/>
    <x v="0"/>
    <x v="4"/>
    <d v="2024-12-08T00:00:00"/>
    <s v="08/12/2024"/>
    <m/>
    <x v="11"/>
    <x v="2821"/>
    <x v="328"/>
  </r>
  <r>
    <x v="2"/>
    <x v="3"/>
    <x v="5"/>
    <s v="21/01/2024"/>
    <s v="21/01/2024"/>
    <m/>
    <x v="1"/>
    <x v="2822"/>
    <x v="302"/>
  </r>
  <r>
    <x v="4"/>
    <x v="2"/>
    <x v="6"/>
    <d v="2024-06-05T00:00:00"/>
    <s v="05/06/2024"/>
    <m/>
    <x v="4"/>
    <x v="2823"/>
    <x v="22"/>
  </r>
  <r>
    <x v="4"/>
    <x v="5"/>
    <x v="6"/>
    <s v="24/06/2024"/>
    <s v="24/06/2024"/>
    <m/>
    <x v="4"/>
    <x v="2824"/>
    <x v="154"/>
  </r>
  <r>
    <x v="8"/>
    <x v="4"/>
    <x v="14"/>
    <d v="2024-05-05T00:00:00"/>
    <s v="05/05/2024"/>
    <m/>
    <x v="7"/>
    <x v="2825"/>
    <x v="333"/>
  </r>
  <r>
    <x v="7"/>
    <x v="3"/>
    <x v="4"/>
    <s v="25/03/2024"/>
    <s v="25/03/2024"/>
    <m/>
    <x v="5"/>
    <x v="2826"/>
    <x v="243"/>
  </r>
  <r>
    <x v="14"/>
    <x v="2"/>
    <x v="20"/>
    <s v="14/02/2024"/>
    <s v="14/02/2024"/>
    <m/>
    <x v="3"/>
    <x v="2827"/>
    <x v="182"/>
  </r>
  <r>
    <x v="14"/>
    <x v="3"/>
    <x v="1"/>
    <d v="2024-12-05T00:00:00"/>
    <s v="05/12/2024"/>
    <m/>
    <x v="11"/>
    <x v="2828"/>
    <x v="401"/>
  </r>
  <r>
    <x v="8"/>
    <x v="3"/>
    <x v="3"/>
    <s v="25/01/2024"/>
    <s v="25/01/2024"/>
    <m/>
    <x v="1"/>
    <x v="2829"/>
    <x v="4"/>
  </r>
  <r>
    <x v="24"/>
    <x v="0"/>
    <x v="1"/>
    <s v="28/06/2024"/>
    <s v="28/06/2024"/>
    <m/>
    <x v="4"/>
    <x v="2830"/>
    <x v="235"/>
  </r>
  <r>
    <x v="17"/>
    <x v="2"/>
    <x v="9"/>
    <s v="13/07/2024"/>
    <s v="13/07/2024"/>
    <m/>
    <x v="2"/>
    <x v="2831"/>
    <x v="4"/>
  </r>
  <r>
    <x v="13"/>
    <x v="4"/>
    <x v="11"/>
    <s v="16/05/2024"/>
    <s v="16/05/2024"/>
    <m/>
    <x v="7"/>
    <x v="2832"/>
    <x v="415"/>
  </r>
  <r>
    <x v="3"/>
    <x v="1"/>
    <x v="5"/>
    <s v="14/03/2024"/>
    <s v="14/03/2024"/>
    <m/>
    <x v="5"/>
    <x v="2833"/>
    <x v="233"/>
  </r>
  <r>
    <x v="5"/>
    <x v="4"/>
    <x v="5"/>
    <s v="15/08/2024"/>
    <s v="15/08/2024"/>
    <m/>
    <x v="8"/>
    <x v="2834"/>
    <x v="232"/>
  </r>
  <r>
    <x v="24"/>
    <x v="1"/>
    <x v="7"/>
    <s v="16/02/2024"/>
    <s v="16/02/2024"/>
    <m/>
    <x v="3"/>
    <x v="2835"/>
    <x v="482"/>
  </r>
  <r>
    <x v="9"/>
    <x v="0"/>
    <x v="15"/>
    <s v="15/06/2024"/>
    <s v="15/06/2024"/>
    <m/>
    <x v="4"/>
    <x v="2836"/>
    <x v="146"/>
  </r>
  <r>
    <x v="8"/>
    <x v="2"/>
    <x v="17"/>
    <s v="27/05/2024"/>
    <s v="27/05/2024"/>
    <m/>
    <x v="7"/>
    <x v="2837"/>
    <x v="239"/>
  </r>
  <r>
    <x v="18"/>
    <x v="4"/>
    <x v="9"/>
    <s v="14/06/2024"/>
    <s v="14/06/2024"/>
    <m/>
    <x v="4"/>
    <x v="2838"/>
    <x v="90"/>
  </r>
  <r>
    <x v="18"/>
    <x v="1"/>
    <x v="8"/>
    <s v="25/02/2024"/>
    <s v="25/02/2024"/>
    <m/>
    <x v="3"/>
    <x v="2839"/>
    <x v="88"/>
  </r>
  <r>
    <x v="18"/>
    <x v="1"/>
    <x v="5"/>
    <d v="2024-04-08T00:00:00"/>
    <s v="08/04/2024"/>
    <m/>
    <x v="0"/>
    <x v="2840"/>
    <x v="78"/>
  </r>
  <r>
    <x v="20"/>
    <x v="1"/>
    <x v="4"/>
    <s v="28/06/2024"/>
    <s v="28/06/2024"/>
    <m/>
    <x v="4"/>
    <x v="2841"/>
    <x v="263"/>
  </r>
  <r>
    <x v="5"/>
    <x v="5"/>
    <x v="12"/>
    <d v="2024-05-04T00:00:00"/>
    <s v="04/05/2024"/>
    <m/>
    <x v="7"/>
    <x v="2842"/>
    <x v="129"/>
  </r>
  <r>
    <x v="22"/>
    <x v="5"/>
    <x v="2"/>
    <d v="2024-05-07T00:00:00"/>
    <s v="07/05/2024"/>
    <m/>
    <x v="7"/>
    <x v="2843"/>
    <x v="241"/>
  </r>
  <r>
    <x v="16"/>
    <x v="3"/>
    <x v="8"/>
    <s v="20/01/2024"/>
    <s v="20/01/2024"/>
    <m/>
    <x v="1"/>
    <x v="2844"/>
    <x v="55"/>
  </r>
  <r>
    <x v="24"/>
    <x v="3"/>
    <x v="9"/>
    <s v="16/02/2024"/>
    <s v="16/02/2024"/>
    <m/>
    <x v="3"/>
    <x v="2845"/>
    <x v="157"/>
  </r>
  <r>
    <x v="14"/>
    <x v="0"/>
    <x v="9"/>
    <d v="2024-12-07T00:00:00"/>
    <s v="07/12/2024"/>
    <m/>
    <x v="11"/>
    <x v="2846"/>
    <x v="26"/>
  </r>
  <r>
    <x v="20"/>
    <x v="1"/>
    <x v="17"/>
    <s v="16/06/2024"/>
    <s v="16/06/2024"/>
    <m/>
    <x v="4"/>
    <x v="2847"/>
    <x v="443"/>
  </r>
  <r>
    <x v="23"/>
    <x v="2"/>
    <x v="18"/>
    <s v="13/04/2024"/>
    <s v="13/04/2024"/>
    <m/>
    <x v="0"/>
    <x v="2848"/>
    <x v="300"/>
  </r>
  <r>
    <x v="16"/>
    <x v="0"/>
    <x v="6"/>
    <s v="21/02/2024"/>
    <s v="21/02/2024"/>
    <m/>
    <x v="3"/>
    <x v="2849"/>
    <x v="162"/>
  </r>
  <r>
    <x v="13"/>
    <x v="5"/>
    <x v="18"/>
    <d v="2024-11-05T00:00:00"/>
    <s v="05/11/2024"/>
    <m/>
    <x v="10"/>
    <x v="2850"/>
    <x v="351"/>
  </r>
  <r>
    <x v="24"/>
    <x v="1"/>
    <x v="6"/>
    <s v="15/04/2024"/>
    <s v="15/04/2024"/>
    <m/>
    <x v="0"/>
    <x v="2851"/>
    <x v="393"/>
  </r>
  <r>
    <x v="4"/>
    <x v="5"/>
    <x v="2"/>
    <d v="2024-07-06T00:00:00"/>
    <s v="06/07/2024"/>
    <m/>
    <x v="2"/>
    <x v="2852"/>
    <x v="50"/>
  </r>
  <r>
    <x v="4"/>
    <x v="0"/>
    <x v="14"/>
    <s v="27/06/2024"/>
    <s v="27/06/2024"/>
    <m/>
    <x v="4"/>
    <x v="2853"/>
    <x v="46"/>
  </r>
  <r>
    <x v="8"/>
    <x v="1"/>
    <x v="5"/>
    <s v="29/07/2024"/>
    <s v="29/07/2024"/>
    <m/>
    <x v="2"/>
    <x v="2854"/>
    <x v="118"/>
  </r>
  <r>
    <x v="18"/>
    <x v="5"/>
    <x v="3"/>
    <d v="2024-02-06T00:00:00"/>
    <s v="06/02/2024"/>
    <m/>
    <x v="3"/>
    <x v="2855"/>
    <x v="56"/>
  </r>
  <r>
    <x v="7"/>
    <x v="1"/>
    <x v="0"/>
    <s v="26/01/2024"/>
    <s v="26/01/2024"/>
    <m/>
    <x v="1"/>
    <x v="2856"/>
    <x v="147"/>
  </r>
  <r>
    <x v="7"/>
    <x v="5"/>
    <x v="4"/>
    <d v="2024-02-03T00:00:00"/>
    <s v="03/02/2024"/>
    <m/>
    <x v="3"/>
    <x v="2857"/>
    <x v="182"/>
  </r>
  <r>
    <x v="1"/>
    <x v="2"/>
    <x v="21"/>
    <d v="2024-10-01T00:00:00"/>
    <s v="01/10/2024"/>
    <m/>
    <x v="6"/>
    <x v="2858"/>
    <x v="73"/>
  </r>
  <r>
    <x v="12"/>
    <x v="4"/>
    <x v="21"/>
    <s v="27/06/2024"/>
    <s v="27/06/2024"/>
    <m/>
    <x v="4"/>
    <x v="2859"/>
    <x v="116"/>
  </r>
  <r>
    <x v="8"/>
    <x v="5"/>
    <x v="7"/>
    <s v="30/06/2024"/>
    <s v="30/06/2024"/>
    <m/>
    <x v="4"/>
    <x v="2860"/>
    <x v="45"/>
  </r>
  <r>
    <x v="13"/>
    <x v="2"/>
    <x v="1"/>
    <d v="2024-08-07T00:00:00"/>
    <s v="07/08/2024"/>
    <m/>
    <x v="8"/>
    <x v="2861"/>
    <x v="148"/>
  </r>
  <r>
    <x v="4"/>
    <x v="1"/>
    <x v="12"/>
    <d v="2024-08-06T00:00:00"/>
    <s v="06/08/2024"/>
    <m/>
    <x v="8"/>
    <x v="2862"/>
    <x v="187"/>
  </r>
  <r>
    <x v="3"/>
    <x v="0"/>
    <x v="15"/>
    <s v="18/08/2024"/>
    <s v="18/08/2024"/>
    <m/>
    <x v="8"/>
    <x v="2863"/>
    <x v="122"/>
  </r>
  <r>
    <x v="16"/>
    <x v="2"/>
    <x v="5"/>
    <d v="2024-08-04T00:00:00"/>
    <s v="04/08/2024"/>
    <m/>
    <x v="8"/>
    <x v="2864"/>
    <x v="300"/>
  </r>
  <r>
    <x v="18"/>
    <x v="5"/>
    <x v="13"/>
    <d v="2024-08-08T00:00:00"/>
    <s v="08/08/2024"/>
    <m/>
    <x v="8"/>
    <x v="2865"/>
    <x v="253"/>
  </r>
  <r>
    <x v="18"/>
    <x v="0"/>
    <x v="11"/>
    <s v="26/08/2024"/>
    <s v="26/08/2024"/>
    <m/>
    <x v="8"/>
    <x v="2866"/>
    <x v="150"/>
  </r>
  <r>
    <x v="4"/>
    <x v="5"/>
    <x v="13"/>
    <s v="14/01/2024"/>
    <s v="14/01/2024"/>
    <m/>
    <x v="1"/>
    <x v="2867"/>
    <x v="141"/>
  </r>
  <r>
    <x v="17"/>
    <x v="4"/>
    <x v="19"/>
    <d v="2024-11-08T00:00:00"/>
    <s v="08/11/2024"/>
    <m/>
    <x v="10"/>
    <x v="2868"/>
    <x v="379"/>
  </r>
  <r>
    <x v="22"/>
    <x v="4"/>
    <x v="16"/>
    <s v="31/05/2024"/>
    <s v="31/05/2024"/>
    <m/>
    <x v="7"/>
    <x v="2869"/>
    <x v="51"/>
  </r>
  <r>
    <x v="1"/>
    <x v="3"/>
    <x v="6"/>
    <d v="2024-11-07T00:00:00"/>
    <s v="07/11/2024"/>
    <m/>
    <x v="10"/>
    <x v="2870"/>
    <x v="71"/>
  </r>
  <r>
    <x v="10"/>
    <x v="5"/>
    <x v="20"/>
    <d v="2024-02-03T00:00:00"/>
    <s v="03/02/2024"/>
    <m/>
    <x v="3"/>
    <x v="2871"/>
    <x v="475"/>
  </r>
  <r>
    <x v="22"/>
    <x v="2"/>
    <x v="17"/>
    <s v="13/07/2024"/>
    <s v="13/07/2024"/>
    <m/>
    <x v="2"/>
    <x v="2872"/>
    <x v="293"/>
  </r>
  <r>
    <x v="7"/>
    <x v="0"/>
    <x v="12"/>
    <d v="2024-03-08T00:00:00"/>
    <s v="08/03/2024"/>
    <m/>
    <x v="5"/>
    <x v="2873"/>
    <x v="378"/>
  </r>
  <r>
    <x v="14"/>
    <x v="0"/>
    <x v="2"/>
    <d v="2024-01-03T00:00:00"/>
    <s v="03/01/2024"/>
    <m/>
    <x v="1"/>
    <x v="2874"/>
    <x v="333"/>
  </r>
  <r>
    <x v="20"/>
    <x v="3"/>
    <x v="14"/>
    <s v="13/04/2024"/>
    <s v="13/04/2024"/>
    <m/>
    <x v="0"/>
    <x v="2875"/>
    <x v="364"/>
  </r>
  <r>
    <x v="12"/>
    <x v="5"/>
    <x v="13"/>
    <s v="14/02/2024"/>
    <s v="14/02/2024"/>
    <m/>
    <x v="3"/>
    <x v="2876"/>
    <x v="233"/>
  </r>
  <r>
    <x v="9"/>
    <x v="1"/>
    <x v="14"/>
    <s v="26/07/2024"/>
    <s v="26/07/2024"/>
    <m/>
    <x v="2"/>
    <x v="2877"/>
    <x v="143"/>
  </r>
  <r>
    <x v="6"/>
    <x v="0"/>
    <x v="9"/>
    <s v="27/01/2024"/>
    <s v="27/01/2024"/>
    <m/>
    <x v="1"/>
    <x v="2878"/>
    <x v="418"/>
  </r>
  <r>
    <x v="0"/>
    <x v="1"/>
    <x v="2"/>
    <s v="14/04/2024"/>
    <s v="14/04/2024"/>
    <m/>
    <x v="0"/>
    <x v="2879"/>
    <x v="500"/>
  </r>
  <r>
    <x v="4"/>
    <x v="4"/>
    <x v="16"/>
    <s v="19/05/2024"/>
    <s v="19/05/2024"/>
    <m/>
    <x v="7"/>
    <x v="2880"/>
    <x v="163"/>
  </r>
  <r>
    <x v="15"/>
    <x v="1"/>
    <x v="8"/>
    <d v="2024-09-02T00:00:00"/>
    <s v="02/09/2024"/>
    <m/>
    <x v="9"/>
    <x v="2881"/>
    <x v="10"/>
  </r>
  <r>
    <x v="6"/>
    <x v="0"/>
    <x v="12"/>
    <s v="25/05/2024"/>
    <s v="25/05/2024"/>
    <m/>
    <x v="7"/>
    <x v="2882"/>
    <x v="8"/>
  </r>
  <r>
    <x v="4"/>
    <x v="2"/>
    <x v="15"/>
    <s v="26/01/2024"/>
    <s v="26/01/2024"/>
    <m/>
    <x v="1"/>
    <x v="2883"/>
    <x v="148"/>
  </r>
  <r>
    <x v="12"/>
    <x v="1"/>
    <x v="14"/>
    <d v="2024-04-07T00:00:00"/>
    <s v="07/04/2024"/>
    <m/>
    <x v="0"/>
    <x v="2884"/>
    <x v="421"/>
  </r>
  <r>
    <x v="24"/>
    <x v="1"/>
    <x v="16"/>
    <s v="13/04/2024"/>
    <s v="13/04/2024"/>
    <m/>
    <x v="0"/>
    <x v="2885"/>
    <x v="36"/>
  </r>
  <r>
    <x v="2"/>
    <x v="2"/>
    <x v="3"/>
    <s v="25/01/2024"/>
    <s v="25/01/2024"/>
    <m/>
    <x v="1"/>
    <x v="2886"/>
    <x v="30"/>
  </r>
  <r>
    <x v="21"/>
    <x v="4"/>
    <x v="1"/>
    <s v="25/04/2024"/>
    <s v="25/04/2024"/>
    <m/>
    <x v="0"/>
    <x v="2887"/>
    <x v="49"/>
  </r>
  <r>
    <x v="21"/>
    <x v="4"/>
    <x v="8"/>
    <d v="2024-10-06T00:00:00"/>
    <s v="06/10/2024"/>
    <m/>
    <x v="6"/>
    <x v="2888"/>
    <x v="501"/>
  </r>
  <r>
    <x v="22"/>
    <x v="3"/>
    <x v="14"/>
    <s v="22/08/2024"/>
    <s v="22/08/2024"/>
    <m/>
    <x v="8"/>
    <x v="2889"/>
    <x v="194"/>
  </r>
  <r>
    <x v="1"/>
    <x v="1"/>
    <x v="5"/>
    <s v="27/06/2024"/>
    <s v="27/06/2024"/>
    <m/>
    <x v="4"/>
    <x v="2890"/>
    <x v="476"/>
  </r>
  <r>
    <x v="15"/>
    <x v="1"/>
    <x v="7"/>
    <s v="30/06/2024"/>
    <s v="30/06/2024"/>
    <m/>
    <x v="4"/>
    <x v="2891"/>
    <x v="5"/>
  </r>
  <r>
    <x v="0"/>
    <x v="1"/>
    <x v="16"/>
    <s v="30/08/2024"/>
    <s v="30/08/2024"/>
    <m/>
    <x v="8"/>
    <x v="2892"/>
    <x v="90"/>
  </r>
  <r>
    <x v="10"/>
    <x v="2"/>
    <x v="17"/>
    <s v="23/08/2024"/>
    <s v="23/08/2024"/>
    <m/>
    <x v="8"/>
    <x v="2893"/>
    <x v="204"/>
  </r>
  <r>
    <x v="21"/>
    <x v="3"/>
    <x v="4"/>
    <s v="26/08/2024"/>
    <s v="26/08/2024"/>
    <m/>
    <x v="8"/>
    <x v="2894"/>
    <x v="110"/>
  </r>
  <r>
    <x v="2"/>
    <x v="2"/>
    <x v="7"/>
    <d v="2024-09-03T00:00:00"/>
    <s v="03/09/2024"/>
    <m/>
    <x v="9"/>
    <x v="2895"/>
    <x v="191"/>
  </r>
  <r>
    <x v="20"/>
    <x v="0"/>
    <x v="9"/>
    <s v="20/04/2024"/>
    <s v="20/04/2024"/>
    <m/>
    <x v="0"/>
    <x v="2896"/>
    <x v="47"/>
  </r>
  <r>
    <x v="9"/>
    <x v="5"/>
    <x v="20"/>
    <d v="2024-10-06T00:00:00"/>
    <s v="06/10/2024"/>
    <m/>
    <x v="6"/>
    <x v="2897"/>
    <x v="337"/>
  </r>
  <r>
    <x v="15"/>
    <x v="2"/>
    <x v="10"/>
    <d v="2024-08-02T00:00:00"/>
    <s v="02/08/2024"/>
    <m/>
    <x v="8"/>
    <x v="2898"/>
    <x v="21"/>
  </r>
  <r>
    <x v="6"/>
    <x v="2"/>
    <x v="14"/>
    <s v="25/08/2024"/>
    <s v="25/08/2024"/>
    <m/>
    <x v="8"/>
    <x v="2899"/>
    <x v="47"/>
  </r>
  <r>
    <x v="23"/>
    <x v="1"/>
    <x v="2"/>
    <s v="16/02/2024"/>
    <s v="16/02/2024"/>
    <m/>
    <x v="3"/>
    <x v="2900"/>
    <x v="148"/>
  </r>
  <r>
    <x v="17"/>
    <x v="0"/>
    <x v="4"/>
    <s v="30/05/2024"/>
    <s v="30/05/2024"/>
    <m/>
    <x v="7"/>
    <x v="2901"/>
    <x v="135"/>
  </r>
  <r>
    <x v="2"/>
    <x v="3"/>
    <x v="6"/>
    <s v="29/06/2024"/>
    <s v="29/06/2024"/>
    <m/>
    <x v="4"/>
    <x v="2902"/>
    <x v="274"/>
  </r>
  <r>
    <x v="2"/>
    <x v="4"/>
    <x v="11"/>
    <s v="16/06/2024"/>
    <s v="16/06/2024"/>
    <m/>
    <x v="4"/>
    <x v="2903"/>
    <x v="197"/>
  </r>
  <r>
    <x v="6"/>
    <x v="0"/>
    <x v="20"/>
    <d v="2024-04-03T00:00:00"/>
    <s v="03/04/2024"/>
    <m/>
    <x v="0"/>
    <x v="2904"/>
    <x v="141"/>
  </r>
  <r>
    <x v="14"/>
    <x v="3"/>
    <x v="2"/>
    <s v="15/03/2024"/>
    <s v="15/03/2024"/>
    <m/>
    <x v="5"/>
    <x v="2905"/>
    <x v="335"/>
  </r>
  <r>
    <x v="14"/>
    <x v="3"/>
    <x v="6"/>
    <s v="27/01/2024"/>
    <s v="27/01/2024"/>
    <m/>
    <x v="1"/>
    <x v="2906"/>
    <x v="147"/>
  </r>
  <r>
    <x v="12"/>
    <x v="5"/>
    <x v="9"/>
    <d v="2024-05-07T00:00:00"/>
    <s v="07/05/2024"/>
    <m/>
    <x v="7"/>
    <x v="2907"/>
    <x v="328"/>
  </r>
  <r>
    <x v="8"/>
    <x v="4"/>
    <x v="20"/>
    <s v="29/03/2024"/>
    <s v="29/03/2024"/>
    <m/>
    <x v="5"/>
    <x v="2908"/>
    <x v="297"/>
  </r>
  <r>
    <x v="9"/>
    <x v="5"/>
    <x v="16"/>
    <d v="2024-12-05T00:00:00"/>
    <s v="05/12/2024"/>
    <m/>
    <x v="11"/>
    <x v="2909"/>
    <x v="314"/>
  </r>
  <r>
    <x v="4"/>
    <x v="4"/>
    <x v="9"/>
    <d v="2024-11-03T00:00:00"/>
    <s v="03/11/2024"/>
    <m/>
    <x v="10"/>
    <x v="2910"/>
    <x v="55"/>
  </r>
  <r>
    <x v="6"/>
    <x v="3"/>
    <x v="8"/>
    <d v="2024-11-07T00:00:00"/>
    <s v="07/11/2024"/>
    <m/>
    <x v="10"/>
    <x v="2911"/>
    <x v="316"/>
  </r>
  <r>
    <x v="5"/>
    <x v="3"/>
    <x v="18"/>
    <d v="2024-01-08T00:00:00"/>
    <s v="08/01/2024"/>
    <m/>
    <x v="1"/>
    <x v="2912"/>
    <x v="169"/>
  </r>
  <r>
    <x v="5"/>
    <x v="0"/>
    <x v="12"/>
    <s v="16/02/2024"/>
    <s v="16/02/2024"/>
    <m/>
    <x v="3"/>
    <x v="2913"/>
    <x v="216"/>
  </r>
  <r>
    <x v="14"/>
    <x v="4"/>
    <x v="5"/>
    <s v="13/04/2024"/>
    <s v="13/04/2024"/>
    <m/>
    <x v="0"/>
    <x v="2914"/>
    <x v="263"/>
  </r>
  <r>
    <x v="4"/>
    <x v="1"/>
    <x v="18"/>
    <s v="14/02/2024"/>
    <s v="14/02/2024"/>
    <m/>
    <x v="3"/>
    <x v="2915"/>
    <x v="213"/>
  </r>
  <r>
    <x v="24"/>
    <x v="2"/>
    <x v="2"/>
    <s v="14/03/2024"/>
    <s v="14/03/2024"/>
    <m/>
    <x v="5"/>
    <x v="2916"/>
    <x v="238"/>
  </r>
  <r>
    <x v="4"/>
    <x v="2"/>
    <x v="12"/>
    <s v="26/04/2024"/>
    <s v="26/04/2024"/>
    <m/>
    <x v="0"/>
    <x v="2917"/>
    <x v="217"/>
  </r>
  <r>
    <x v="0"/>
    <x v="5"/>
    <x v="15"/>
    <d v="2024-05-04T00:00:00"/>
    <s v="04/05/2024"/>
    <m/>
    <x v="7"/>
    <x v="2918"/>
    <x v="64"/>
  </r>
  <r>
    <x v="21"/>
    <x v="5"/>
    <x v="9"/>
    <d v="2024-03-03T00:00:00"/>
    <s v="03/03/2024"/>
    <m/>
    <x v="5"/>
    <x v="2919"/>
    <x v="443"/>
  </r>
  <r>
    <x v="16"/>
    <x v="4"/>
    <x v="12"/>
    <s v="13/06/2024"/>
    <s v="13/06/2024"/>
    <m/>
    <x v="4"/>
    <x v="2920"/>
    <x v="302"/>
  </r>
  <r>
    <x v="11"/>
    <x v="3"/>
    <x v="21"/>
    <s v="14/02/2024"/>
    <s v="14/02/2024"/>
    <m/>
    <x v="3"/>
    <x v="2921"/>
    <x v="341"/>
  </r>
  <r>
    <x v="13"/>
    <x v="3"/>
    <x v="4"/>
    <s v="18/04/2024"/>
    <s v="18/04/2024"/>
    <m/>
    <x v="0"/>
    <x v="2922"/>
    <x v="315"/>
  </r>
  <r>
    <x v="4"/>
    <x v="3"/>
    <x v="1"/>
    <d v="2024-01-02T00:00:00"/>
    <s v="02/01/2024"/>
    <m/>
    <x v="1"/>
    <x v="2923"/>
    <x v="468"/>
  </r>
  <r>
    <x v="23"/>
    <x v="3"/>
    <x v="7"/>
    <d v="2024-04-08T00:00:00"/>
    <s v="08/04/2024"/>
    <m/>
    <x v="0"/>
    <x v="2924"/>
    <x v="181"/>
  </r>
  <r>
    <x v="19"/>
    <x v="3"/>
    <x v="16"/>
    <d v="2024-05-04T00:00:00"/>
    <s v="04/05/2024"/>
    <m/>
    <x v="7"/>
    <x v="2925"/>
    <x v="19"/>
  </r>
  <r>
    <x v="10"/>
    <x v="2"/>
    <x v="4"/>
    <s v="26/01/2024"/>
    <s v="26/01/2024"/>
    <m/>
    <x v="1"/>
    <x v="2926"/>
    <x v="95"/>
  </r>
  <r>
    <x v="16"/>
    <x v="0"/>
    <x v="5"/>
    <s v="21/01/2024"/>
    <s v="21/01/2024"/>
    <m/>
    <x v="1"/>
    <x v="2927"/>
    <x v="215"/>
  </r>
  <r>
    <x v="16"/>
    <x v="5"/>
    <x v="5"/>
    <s v="22/08/2024"/>
    <s v="22/08/2024"/>
    <m/>
    <x v="8"/>
    <x v="2928"/>
    <x v="142"/>
  </r>
  <r>
    <x v="16"/>
    <x v="0"/>
    <x v="9"/>
    <s v="27/01/2024"/>
    <s v="27/01/2024"/>
    <m/>
    <x v="1"/>
    <x v="2929"/>
    <x v="244"/>
  </r>
  <r>
    <x v="7"/>
    <x v="0"/>
    <x v="6"/>
    <s v="16/02/2024"/>
    <s v="16/02/2024"/>
    <m/>
    <x v="3"/>
    <x v="2930"/>
    <x v="271"/>
  </r>
  <r>
    <x v="23"/>
    <x v="4"/>
    <x v="17"/>
    <d v="2024-03-01T00:00:00"/>
    <s v="01/03/2024"/>
    <m/>
    <x v="5"/>
    <x v="2931"/>
    <x v="282"/>
  </r>
  <r>
    <x v="10"/>
    <x v="4"/>
    <x v="14"/>
    <s v="24/08/2024"/>
    <s v="24/08/2024"/>
    <m/>
    <x v="8"/>
    <x v="2932"/>
    <x v="236"/>
  </r>
  <r>
    <x v="4"/>
    <x v="4"/>
    <x v="12"/>
    <d v="2024-07-02T00:00:00"/>
    <s v="02/07/2024"/>
    <m/>
    <x v="2"/>
    <x v="2933"/>
    <x v="133"/>
  </r>
  <r>
    <x v="9"/>
    <x v="2"/>
    <x v="3"/>
    <d v="2024-11-02T00:00:00"/>
    <s v="02/11/2024"/>
    <m/>
    <x v="10"/>
    <x v="2934"/>
    <x v="200"/>
  </r>
  <r>
    <x v="16"/>
    <x v="5"/>
    <x v="10"/>
    <s v="29/03/2024"/>
    <s v="29/03/2024"/>
    <m/>
    <x v="5"/>
    <x v="2935"/>
    <x v="72"/>
  </r>
  <r>
    <x v="11"/>
    <x v="4"/>
    <x v="2"/>
    <s v="15/06/2024"/>
    <s v="15/06/2024"/>
    <m/>
    <x v="4"/>
    <x v="2936"/>
    <x v="77"/>
  </r>
  <r>
    <x v="17"/>
    <x v="0"/>
    <x v="3"/>
    <s v="26/04/2024"/>
    <s v="26/04/2024"/>
    <m/>
    <x v="0"/>
    <x v="2937"/>
    <x v="128"/>
  </r>
  <r>
    <x v="6"/>
    <x v="2"/>
    <x v="10"/>
    <s v="15/07/2024"/>
    <s v="15/07/2024"/>
    <m/>
    <x v="2"/>
    <x v="2938"/>
    <x v="249"/>
  </r>
  <r>
    <x v="12"/>
    <x v="1"/>
    <x v="10"/>
    <s v="23/06/2024"/>
    <s v="23/06/2024"/>
    <m/>
    <x v="4"/>
    <x v="2939"/>
    <x v="166"/>
  </r>
  <r>
    <x v="17"/>
    <x v="2"/>
    <x v="19"/>
    <d v="2024-11-01T00:00:00"/>
    <s v="01/11/2024"/>
    <m/>
    <x v="10"/>
    <x v="2940"/>
    <x v="345"/>
  </r>
  <r>
    <x v="12"/>
    <x v="0"/>
    <x v="6"/>
    <d v="2024-09-02T00:00:00"/>
    <s v="02/09/2024"/>
    <m/>
    <x v="9"/>
    <x v="2941"/>
    <x v="331"/>
  </r>
  <r>
    <x v="1"/>
    <x v="0"/>
    <x v="16"/>
    <d v="2024-06-06T00:00:00"/>
    <s v="06/06/2024"/>
    <m/>
    <x v="4"/>
    <x v="2942"/>
    <x v="353"/>
  </r>
  <r>
    <x v="23"/>
    <x v="0"/>
    <x v="20"/>
    <d v="2024-10-08T00:00:00"/>
    <s v="08/10/2024"/>
    <m/>
    <x v="6"/>
    <x v="2943"/>
    <x v="66"/>
  </r>
  <r>
    <x v="18"/>
    <x v="2"/>
    <x v="3"/>
    <d v="2024-04-01T00:00:00"/>
    <s v="01/04/2024"/>
    <m/>
    <x v="0"/>
    <x v="2944"/>
    <x v="110"/>
  </r>
  <r>
    <x v="19"/>
    <x v="5"/>
    <x v="21"/>
    <d v="2024-08-04T00:00:00"/>
    <s v="04/08/2024"/>
    <m/>
    <x v="8"/>
    <x v="2945"/>
    <x v="39"/>
  </r>
  <r>
    <x v="8"/>
    <x v="0"/>
    <x v="11"/>
    <d v="2024-02-03T00:00:00"/>
    <s v="03/02/2024"/>
    <m/>
    <x v="3"/>
    <x v="2946"/>
    <x v="252"/>
  </r>
  <r>
    <x v="1"/>
    <x v="5"/>
    <x v="9"/>
    <s v="15/06/2024"/>
    <s v="15/06/2024"/>
    <m/>
    <x v="4"/>
    <x v="2947"/>
    <x v="502"/>
  </r>
  <r>
    <x v="0"/>
    <x v="2"/>
    <x v="5"/>
    <s v="14/02/2024"/>
    <s v="14/02/2024"/>
    <m/>
    <x v="3"/>
    <x v="2948"/>
    <x v="106"/>
  </r>
  <r>
    <x v="15"/>
    <x v="0"/>
    <x v="5"/>
    <d v="2024-05-07T00:00:00"/>
    <s v="07/05/2024"/>
    <m/>
    <x v="7"/>
    <x v="2949"/>
    <x v="286"/>
  </r>
  <r>
    <x v="8"/>
    <x v="1"/>
    <x v="0"/>
    <d v="2024-12-01T00:00:00"/>
    <s v="01/12/2024"/>
    <m/>
    <x v="11"/>
    <x v="2950"/>
    <x v="472"/>
  </r>
  <r>
    <x v="14"/>
    <x v="1"/>
    <x v="0"/>
    <d v="2024-03-03T00:00:00"/>
    <s v="03/03/2024"/>
    <m/>
    <x v="5"/>
    <x v="2951"/>
    <x v="149"/>
  </r>
  <r>
    <x v="0"/>
    <x v="3"/>
    <x v="11"/>
    <s v="18/05/2024"/>
    <s v="18/05/2024"/>
    <m/>
    <x v="7"/>
    <x v="2952"/>
    <x v="216"/>
  </r>
  <r>
    <x v="5"/>
    <x v="1"/>
    <x v="20"/>
    <s v="28/07/2024"/>
    <s v="28/07/2024"/>
    <m/>
    <x v="2"/>
    <x v="2953"/>
    <x v="317"/>
  </r>
  <r>
    <x v="14"/>
    <x v="0"/>
    <x v="15"/>
    <d v="2024-07-02T00:00:00"/>
    <s v="02/07/2024"/>
    <m/>
    <x v="2"/>
    <x v="2954"/>
    <x v="280"/>
  </r>
  <r>
    <x v="19"/>
    <x v="1"/>
    <x v="7"/>
    <s v="30/05/2024"/>
    <s v="30/05/2024"/>
    <m/>
    <x v="7"/>
    <x v="2955"/>
    <x v="455"/>
  </r>
  <r>
    <x v="9"/>
    <x v="2"/>
    <x v="17"/>
    <s v="25/04/2024"/>
    <s v="25/04/2024"/>
    <m/>
    <x v="0"/>
    <x v="2956"/>
    <x v="334"/>
  </r>
  <r>
    <x v="12"/>
    <x v="5"/>
    <x v="1"/>
    <s v="16/02/2024"/>
    <s v="16/02/2024"/>
    <m/>
    <x v="3"/>
    <x v="2957"/>
    <x v="106"/>
  </r>
  <r>
    <x v="20"/>
    <x v="2"/>
    <x v="9"/>
    <d v="2024-04-05T00:00:00"/>
    <s v="05/04/2024"/>
    <m/>
    <x v="0"/>
    <x v="2958"/>
    <x v="204"/>
  </r>
  <r>
    <x v="1"/>
    <x v="5"/>
    <x v="21"/>
    <d v="2024-02-06T00:00:00"/>
    <s v="06/02/2024"/>
    <m/>
    <x v="3"/>
    <x v="2959"/>
    <x v="376"/>
  </r>
  <r>
    <x v="17"/>
    <x v="4"/>
    <x v="20"/>
    <d v="2024-11-07T00:00:00"/>
    <s v="07/11/2024"/>
    <m/>
    <x v="10"/>
    <x v="2960"/>
    <x v="503"/>
  </r>
  <r>
    <x v="12"/>
    <x v="3"/>
    <x v="12"/>
    <d v="2024-07-06T00:00:00"/>
    <s v="06/07/2024"/>
    <m/>
    <x v="2"/>
    <x v="2961"/>
    <x v="357"/>
  </r>
  <r>
    <x v="3"/>
    <x v="0"/>
    <x v="16"/>
    <d v="2024-06-07T00:00:00"/>
    <s v="07/06/2024"/>
    <m/>
    <x v="4"/>
    <x v="2962"/>
    <x v="28"/>
  </r>
  <r>
    <x v="15"/>
    <x v="1"/>
    <x v="17"/>
    <s v="15/06/2024"/>
    <s v="15/06/2024"/>
    <m/>
    <x v="4"/>
    <x v="2963"/>
    <x v="273"/>
  </r>
  <r>
    <x v="23"/>
    <x v="1"/>
    <x v="0"/>
    <s v="14/04/2024"/>
    <s v="14/04/2024"/>
    <m/>
    <x v="0"/>
    <x v="2964"/>
    <x v="391"/>
  </r>
  <r>
    <x v="21"/>
    <x v="1"/>
    <x v="9"/>
    <d v="2024-08-08T00:00:00"/>
    <s v="08/08/2024"/>
    <m/>
    <x v="8"/>
    <x v="2965"/>
    <x v="92"/>
  </r>
  <r>
    <x v="11"/>
    <x v="0"/>
    <x v="9"/>
    <s v="29/03/2024"/>
    <s v="29/03/2024"/>
    <m/>
    <x v="5"/>
    <x v="2966"/>
    <x v="103"/>
  </r>
  <r>
    <x v="13"/>
    <x v="2"/>
    <x v="10"/>
    <d v="2024-04-07T00:00:00"/>
    <s v="07/04/2024"/>
    <m/>
    <x v="0"/>
    <x v="2967"/>
    <x v="159"/>
  </r>
  <r>
    <x v="24"/>
    <x v="1"/>
    <x v="4"/>
    <s v="16/02/2024"/>
    <s v="16/02/2024"/>
    <m/>
    <x v="3"/>
    <x v="2968"/>
    <x v="9"/>
  </r>
  <r>
    <x v="7"/>
    <x v="5"/>
    <x v="12"/>
    <d v="2024-02-05T00:00:00"/>
    <s v="05/02/2024"/>
    <m/>
    <x v="3"/>
    <x v="2969"/>
    <x v="223"/>
  </r>
  <r>
    <x v="1"/>
    <x v="1"/>
    <x v="8"/>
    <s v="21/07/2024"/>
    <s v="21/07/2024"/>
    <m/>
    <x v="2"/>
    <x v="2970"/>
    <x v="130"/>
  </r>
  <r>
    <x v="5"/>
    <x v="2"/>
    <x v="4"/>
    <s v="18/08/2024"/>
    <s v="18/08/2024"/>
    <m/>
    <x v="8"/>
    <x v="2971"/>
    <x v="244"/>
  </r>
  <r>
    <x v="16"/>
    <x v="4"/>
    <x v="1"/>
    <s v="22/06/2024"/>
    <s v="22/06/2024"/>
    <m/>
    <x v="4"/>
    <x v="2972"/>
    <x v="172"/>
  </r>
  <r>
    <x v="21"/>
    <x v="0"/>
    <x v="2"/>
    <s v="19/07/2024"/>
    <s v="19/07/2024"/>
    <m/>
    <x v="2"/>
    <x v="2973"/>
    <x v="241"/>
  </r>
  <r>
    <x v="22"/>
    <x v="0"/>
    <x v="2"/>
    <d v="2024-12-08T00:00:00"/>
    <s v="08/12/2024"/>
    <m/>
    <x v="11"/>
    <x v="2974"/>
    <x v="293"/>
  </r>
  <r>
    <x v="22"/>
    <x v="4"/>
    <x v="18"/>
    <d v="2024-07-06T00:00:00"/>
    <s v="06/07/2024"/>
    <m/>
    <x v="2"/>
    <x v="2975"/>
    <x v="68"/>
  </r>
  <r>
    <x v="11"/>
    <x v="5"/>
    <x v="2"/>
    <d v="2024-08-03T00:00:00"/>
    <s v="03/08/2024"/>
    <m/>
    <x v="8"/>
    <x v="2976"/>
    <x v="102"/>
  </r>
  <r>
    <x v="24"/>
    <x v="2"/>
    <x v="18"/>
    <d v="2024-08-04T00:00:00"/>
    <s v="04/08/2024"/>
    <m/>
    <x v="8"/>
    <x v="2977"/>
    <x v="6"/>
  </r>
  <r>
    <x v="14"/>
    <x v="5"/>
    <x v="8"/>
    <d v="2024-06-05T00:00:00"/>
    <s v="05/06/2024"/>
    <m/>
    <x v="4"/>
    <x v="2978"/>
    <x v="216"/>
  </r>
  <r>
    <x v="13"/>
    <x v="1"/>
    <x v="9"/>
    <s v="31/05/2024"/>
    <s v="31/05/2024"/>
    <m/>
    <x v="7"/>
    <x v="2979"/>
    <x v="11"/>
  </r>
  <r>
    <x v="1"/>
    <x v="2"/>
    <x v="0"/>
    <s v="13/01/2024"/>
    <s v="13/01/2024"/>
    <m/>
    <x v="1"/>
    <x v="2980"/>
    <x v="379"/>
  </r>
  <r>
    <x v="17"/>
    <x v="4"/>
    <x v="21"/>
    <s v="15/03/2024"/>
    <s v="15/03/2024"/>
    <m/>
    <x v="5"/>
    <x v="2981"/>
    <x v="148"/>
  </r>
  <r>
    <x v="19"/>
    <x v="5"/>
    <x v="2"/>
    <s v="16/02/2024"/>
    <s v="16/02/2024"/>
    <m/>
    <x v="3"/>
    <x v="2982"/>
    <x v="426"/>
  </r>
  <r>
    <x v="2"/>
    <x v="4"/>
    <x v="21"/>
    <s v="14/01/2024"/>
    <s v="14/01/2024"/>
    <m/>
    <x v="1"/>
    <x v="2983"/>
    <x v="259"/>
  </r>
  <r>
    <x v="7"/>
    <x v="2"/>
    <x v="14"/>
    <s v="21/03/2024"/>
    <s v="21/03/2024"/>
    <m/>
    <x v="5"/>
    <x v="2984"/>
    <x v="9"/>
  </r>
  <r>
    <x v="13"/>
    <x v="5"/>
    <x v="9"/>
    <s v="17/05/2024"/>
    <s v="17/05/2024"/>
    <m/>
    <x v="7"/>
    <x v="2985"/>
    <x v="419"/>
  </r>
  <r>
    <x v="21"/>
    <x v="3"/>
    <x v="1"/>
    <d v="2024-08-08T00:00:00"/>
    <s v="08/08/2024"/>
    <m/>
    <x v="8"/>
    <x v="2986"/>
    <x v="198"/>
  </r>
  <r>
    <x v="22"/>
    <x v="5"/>
    <x v="11"/>
    <s v="26/04/2024"/>
    <s v="26/04/2024"/>
    <m/>
    <x v="0"/>
    <x v="2987"/>
    <x v="102"/>
  </r>
  <r>
    <x v="22"/>
    <x v="2"/>
    <x v="21"/>
    <s v="15/04/2024"/>
    <s v="15/04/2024"/>
    <m/>
    <x v="0"/>
    <x v="2988"/>
    <x v="172"/>
  </r>
  <r>
    <x v="4"/>
    <x v="5"/>
    <x v="8"/>
    <s v="19/05/2024"/>
    <s v="19/05/2024"/>
    <m/>
    <x v="7"/>
    <x v="2989"/>
    <x v="504"/>
  </r>
  <r>
    <x v="17"/>
    <x v="5"/>
    <x v="9"/>
    <d v="2024-10-01T00:00:00"/>
    <s v="01/10/2024"/>
    <m/>
    <x v="6"/>
    <x v="2990"/>
    <x v="51"/>
  </r>
  <r>
    <x v="9"/>
    <x v="3"/>
    <x v="5"/>
    <d v="2024-04-05T00:00:00"/>
    <s v="05/04/2024"/>
    <m/>
    <x v="0"/>
    <x v="2991"/>
    <x v="476"/>
  </r>
  <r>
    <x v="13"/>
    <x v="5"/>
    <x v="14"/>
    <d v="2024-05-04T00:00:00"/>
    <s v="04/05/2024"/>
    <m/>
    <x v="7"/>
    <x v="2992"/>
    <x v="505"/>
  </r>
  <r>
    <x v="19"/>
    <x v="1"/>
    <x v="5"/>
    <s v="17/01/2024"/>
    <s v="17/01/2024"/>
    <m/>
    <x v="1"/>
    <x v="2993"/>
    <x v="162"/>
  </r>
  <r>
    <x v="13"/>
    <x v="1"/>
    <x v="12"/>
    <s v="22/03/2024"/>
    <s v="22/03/2024"/>
    <m/>
    <x v="5"/>
    <x v="2994"/>
    <x v="0"/>
  </r>
  <r>
    <x v="23"/>
    <x v="2"/>
    <x v="14"/>
    <d v="2024-05-07T00:00:00"/>
    <s v="07/05/2024"/>
    <m/>
    <x v="7"/>
    <x v="2995"/>
    <x v="9"/>
  </r>
  <r>
    <x v="4"/>
    <x v="5"/>
    <x v="7"/>
    <s v="27/04/2024"/>
    <s v="27/04/2024"/>
    <m/>
    <x v="0"/>
    <x v="2996"/>
    <x v="393"/>
  </r>
  <r>
    <x v="16"/>
    <x v="5"/>
    <x v="16"/>
    <d v="2024-12-08T00:00:00"/>
    <s v="08/12/2024"/>
    <m/>
    <x v="11"/>
    <x v="2997"/>
    <x v="271"/>
  </r>
  <r>
    <x v="3"/>
    <x v="0"/>
    <x v="19"/>
    <d v="2024-11-03T00:00:00"/>
    <s v="03/11/2024"/>
    <m/>
    <x v="10"/>
    <x v="2998"/>
    <x v="205"/>
  </r>
  <r>
    <x v="0"/>
    <x v="0"/>
    <x v="13"/>
    <s v="13/05/2024"/>
    <s v="13/05/2024"/>
    <m/>
    <x v="7"/>
    <x v="2999"/>
    <x v="433"/>
  </r>
  <r>
    <x v="17"/>
    <x v="4"/>
    <x v="3"/>
    <d v="2024-12-05T00:00:00"/>
    <s v="05/12/2024"/>
    <m/>
    <x v="11"/>
    <x v="3000"/>
    <x v="164"/>
  </r>
  <r>
    <x v="6"/>
    <x v="4"/>
    <x v="17"/>
    <d v="2024-12-01T00:00:00"/>
    <s v="01/12/2024"/>
    <m/>
    <x v="11"/>
    <x v="3001"/>
    <x v="304"/>
  </r>
  <r>
    <x v="22"/>
    <x v="3"/>
    <x v="11"/>
    <s v="29/03/2024"/>
    <s v="29/03/2024"/>
    <m/>
    <x v="5"/>
    <x v="3002"/>
    <x v="368"/>
  </r>
  <r>
    <x v="13"/>
    <x v="1"/>
    <x v="6"/>
    <s v="14/03/2024"/>
    <s v="14/03/2024"/>
    <m/>
    <x v="5"/>
    <x v="3003"/>
    <x v="129"/>
  </r>
  <r>
    <x v="8"/>
    <x v="3"/>
    <x v="4"/>
    <s v="24/05/2024"/>
    <s v="24/05/2024"/>
    <m/>
    <x v="7"/>
    <x v="3004"/>
    <x v="267"/>
  </r>
  <r>
    <x v="17"/>
    <x v="5"/>
    <x v="10"/>
    <s v="28/01/2024"/>
    <s v="28/01/2024"/>
    <m/>
    <x v="1"/>
    <x v="3005"/>
    <x v="159"/>
  </r>
  <r>
    <x v="12"/>
    <x v="1"/>
    <x v="16"/>
    <s v="24/05/2024"/>
    <s v="24/05/2024"/>
    <m/>
    <x v="7"/>
    <x v="3006"/>
    <x v="149"/>
  </r>
  <r>
    <x v="6"/>
    <x v="2"/>
    <x v="2"/>
    <s v="19/08/2024"/>
    <s v="19/08/2024"/>
    <m/>
    <x v="8"/>
    <x v="3007"/>
    <x v="126"/>
  </r>
  <r>
    <x v="10"/>
    <x v="2"/>
    <x v="12"/>
    <s v="17/05/2024"/>
    <s v="17/05/2024"/>
    <m/>
    <x v="7"/>
    <x v="3008"/>
    <x v="40"/>
  </r>
  <r>
    <x v="0"/>
    <x v="4"/>
    <x v="14"/>
    <d v="2024-07-06T00:00:00"/>
    <s v="06/07/2024"/>
    <m/>
    <x v="2"/>
    <x v="3009"/>
    <x v="30"/>
  </r>
  <r>
    <x v="24"/>
    <x v="5"/>
    <x v="10"/>
    <s v="26/07/2024"/>
    <s v="26/07/2024"/>
    <m/>
    <x v="2"/>
    <x v="3010"/>
    <x v="196"/>
  </r>
  <r>
    <x v="23"/>
    <x v="1"/>
    <x v="8"/>
    <s v="28/07/2024"/>
    <s v="28/07/2024"/>
    <m/>
    <x v="2"/>
    <x v="3011"/>
    <x v="506"/>
  </r>
  <r>
    <x v="10"/>
    <x v="1"/>
    <x v="21"/>
    <s v="23/05/2024"/>
    <s v="23/05/2024"/>
    <m/>
    <x v="7"/>
    <x v="3012"/>
    <x v="3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s v="Jehu Rudeforth"/>
    <s v="UK"/>
    <x v="0"/>
    <d v="2022-04-01T00:00:00"/>
    <s v="01/04/2022"/>
    <s v="2022"/>
    <s v="01"/>
    <n v="5320"/>
    <n v="180"/>
    <m/>
    <n v="6030.3387751371092"/>
    <s v="Below Average"/>
    <n v="1609"/>
  </r>
  <r>
    <s v="Van Tuxwell"/>
    <s v="India"/>
    <x v="1"/>
    <d v="2022-01-08T00:00:00"/>
    <s v="08/01/2022"/>
    <s v="2022"/>
    <s v="08"/>
    <n v="7896"/>
    <n v="94"/>
    <m/>
    <m/>
    <s v="Above Average"/>
    <n v="973"/>
  </r>
  <r>
    <s v="Gigi Bohling"/>
    <s v="India"/>
    <x v="2"/>
    <d v="2022-07-07T00:00:00"/>
    <s v="07/07/2022"/>
    <s v="2022"/>
    <s v="07"/>
    <n v="4501"/>
    <n v="91"/>
    <m/>
    <m/>
    <s v="Below Average"/>
    <n v="1847"/>
  </r>
  <r>
    <s v="Jan Morforth"/>
    <s v="Australia"/>
    <x v="2"/>
    <s v="27/04/2022"/>
    <s v="27/04/2022"/>
    <s v="2022"/>
    <s v="27/04/2022"/>
    <n v="12726"/>
    <n v="342"/>
    <m/>
    <m/>
    <s v="Above Average"/>
    <n v="284"/>
  </r>
  <r>
    <s v="Jehu Rudeforth"/>
    <s v="UK"/>
    <x v="2"/>
    <s v="24/02/2022"/>
    <s v="24/02/2022"/>
    <s v="2022"/>
    <s v="24/02/2022"/>
    <n v="13685"/>
    <n v="184"/>
    <m/>
    <m/>
    <s v="Above Average"/>
    <n v="223"/>
  </r>
  <r>
    <s v="Van Tuxwell"/>
    <s v="India"/>
    <x v="3"/>
    <d v="2022-06-06T00:00:00"/>
    <s v="06/06/2022"/>
    <s v="2022"/>
    <s v="06"/>
    <n v="5376"/>
    <n v="38"/>
    <m/>
    <m/>
    <s v="Below Average"/>
    <n v="1598"/>
  </r>
  <r>
    <s v="Oby Sorrel"/>
    <s v="UK"/>
    <x v="4"/>
    <s v="25/01/2022"/>
    <s v="25/01/2022"/>
    <s v="2022"/>
    <s v="25/01/2022"/>
    <n v="13685"/>
    <n v="176"/>
    <m/>
    <m/>
    <s v="Above Average"/>
    <n v="223"/>
  </r>
  <r>
    <s v="Gunar Cockshoot"/>
    <s v="Australia"/>
    <x v="5"/>
    <s v="24/03/2022"/>
    <s v="24/03/2022"/>
    <s v="2022"/>
    <s v="24/03/2022"/>
    <n v="3080"/>
    <n v="73"/>
    <m/>
    <m/>
    <s v="Below Average"/>
    <n v="2277"/>
  </r>
  <r>
    <s v="Jehu Rudeforth"/>
    <s v="New Zealand"/>
    <x v="6"/>
    <s v="20/04/2022"/>
    <s v="20/04/2022"/>
    <s v="2022"/>
    <s v="20/04/2022"/>
    <n v="3990"/>
    <n v="59"/>
    <m/>
    <m/>
    <s v="Below Average"/>
    <n v="1989"/>
  </r>
  <r>
    <s v="Brien Boise"/>
    <s v="Australia"/>
    <x v="4"/>
    <d v="2022-04-07T00:00:00"/>
    <s v="07/04/2022"/>
    <s v="2022"/>
    <s v="07"/>
    <n v="2835"/>
    <n v="102"/>
    <m/>
    <m/>
    <s v="Below Average"/>
    <n v="2359"/>
  </r>
  <r>
    <s v="Rafaelita Blaksland"/>
    <s v="UK"/>
    <x v="3"/>
    <s v="13/01/2022"/>
    <s v="13/01/2022"/>
    <s v="2022"/>
    <s v="13/01/2022"/>
    <n v="4704"/>
    <n v="62"/>
    <m/>
    <m/>
    <s v="Below Average"/>
    <n v="1798"/>
  </r>
  <r>
    <s v="Barr Faughny"/>
    <s v="USA"/>
    <x v="7"/>
    <d v="2022-10-03T00:00:00"/>
    <s v="03/10/2022"/>
    <s v="2022"/>
    <s v="03"/>
    <n v="3703"/>
    <n v="11"/>
    <m/>
    <m/>
    <s v="Below Average"/>
    <n v="2073"/>
  </r>
  <r>
    <s v="Mallorie Waber"/>
    <s v="Canada"/>
    <x v="8"/>
    <s v="13/01/2022"/>
    <s v="13/01/2022"/>
    <s v="2022"/>
    <s v="13/01/2022"/>
    <n v="1442"/>
    <n v="286"/>
    <m/>
    <m/>
    <s v="Below Average"/>
    <n v="2823"/>
  </r>
  <r>
    <s v="Karlen McCaffrey"/>
    <s v="New Zealand"/>
    <x v="9"/>
    <s v="28/07/2022"/>
    <s v="28/07/2022"/>
    <s v="2022"/>
    <s v="28/07/2022"/>
    <n v="168"/>
    <n v="156"/>
    <m/>
    <m/>
    <s v="Below Average"/>
    <n v="3225"/>
  </r>
  <r>
    <s v="Marney O'Breen"/>
    <s v="New Zealand"/>
    <x v="2"/>
    <d v="2022-03-08T00:00:00"/>
    <s v="08/03/2022"/>
    <s v="2022"/>
    <s v="08"/>
    <n v="8379"/>
    <n v="173"/>
    <m/>
    <m/>
    <s v="Above Average"/>
    <n v="857"/>
  </r>
  <r>
    <s v="Beverie Moffet"/>
    <s v="Australia"/>
    <x v="10"/>
    <s v="26/01/2022"/>
    <s v="26/01/2022"/>
    <s v="2022"/>
    <s v="26/01/2022"/>
    <n v="6790"/>
    <n v="356"/>
    <m/>
    <m/>
    <s v="Above Average"/>
    <n v="1241"/>
  </r>
  <r>
    <s v="Van Tuxwell"/>
    <s v="Canada"/>
    <x v="10"/>
    <s v="14/02/2022"/>
    <s v="14/02/2022"/>
    <s v="2022"/>
    <s v="14/02/2022"/>
    <n v="4067"/>
    <n v="42"/>
    <m/>
    <m/>
    <s v="Below Average"/>
    <n v="1963"/>
  </r>
  <r>
    <s v="Roddy Speechley"/>
    <s v="USA"/>
    <x v="3"/>
    <d v="2022-05-04T00:00:00"/>
    <s v="04/05/2022"/>
    <s v="2022"/>
    <s v="04"/>
    <n v="3017"/>
    <n v="140"/>
    <m/>
    <m/>
    <s v="Below Average"/>
    <n v="2299"/>
  </r>
  <r>
    <s v="Beverie Moffet"/>
    <s v="Canada"/>
    <x v="11"/>
    <s v="16/02/2022"/>
    <s v="16/02/2022"/>
    <s v="2022"/>
    <s v="16/02/2022"/>
    <n v="8799"/>
    <n v="250"/>
    <m/>
    <m/>
    <s v="Above Average"/>
    <n v="780"/>
  </r>
  <r>
    <s v="Curtice Advani"/>
    <s v="UK"/>
    <x v="1"/>
    <d v="2022-08-06T00:00:00"/>
    <s v="06/08/2022"/>
    <s v="2022"/>
    <s v="06"/>
    <n v="1085"/>
    <n v="172"/>
    <m/>
    <m/>
    <s v="Below Average"/>
    <n v="2945"/>
  </r>
  <r>
    <s v="Brien Boise"/>
    <s v="Australia"/>
    <x v="8"/>
    <s v="27/06/2022"/>
    <s v="27/06/2022"/>
    <s v="2022"/>
    <s v="27/06/2022"/>
    <n v="6888"/>
    <n v="88"/>
    <m/>
    <m/>
    <s v="Above Average"/>
    <n v="1207"/>
  </r>
  <r>
    <s v="Gunar Cockshoot"/>
    <s v="USA"/>
    <x v="12"/>
    <s v="17/02/2022"/>
    <s v="17/02/2022"/>
    <s v="2022"/>
    <s v="17/02/2022"/>
    <n v="1267"/>
    <n v="157"/>
    <m/>
    <m/>
    <s v="Below Average"/>
    <n v="2885"/>
  </r>
  <r>
    <s v="Marney O'Breen"/>
    <s v="USA"/>
    <x v="5"/>
    <s v="30/05/2022"/>
    <s v="30/05/2022"/>
    <s v="2022"/>
    <s v="30/05/2022"/>
    <n v="4753"/>
    <n v="163"/>
    <m/>
    <m/>
    <s v="Below Average"/>
    <n v="1783"/>
  </r>
  <r>
    <s v="Husein Augar"/>
    <s v="UK"/>
    <x v="9"/>
    <s v="14/03/2022"/>
    <s v="14/03/2022"/>
    <s v="2022"/>
    <s v="14/03/2022"/>
    <n v="3003"/>
    <n v="113"/>
    <m/>
    <m/>
    <s v="Below Average"/>
    <n v="2306"/>
  </r>
  <r>
    <s v="Kaine Padly"/>
    <s v="Australia"/>
    <x v="8"/>
    <s v="28/02/2022"/>
    <s v="28/02/2022"/>
    <s v="2022"/>
    <s v="28/02/2022"/>
    <n v="7672"/>
    <n v="115"/>
    <m/>
    <m/>
    <s v="Above Average"/>
    <n v="1023"/>
  </r>
  <r>
    <s v="Karlen McCaffrey"/>
    <s v="India"/>
    <x v="13"/>
    <s v="26/01/2022"/>
    <s v="26/01/2022"/>
    <s v="2022"/>
    <s v="26/01/2022"/>
    <n v="168"/>
    <n v="321"/>
    <m/>
    <m/>
    <s v="Below Average"/>
    <n v="3225"/>
  </r>
  <r>
    <s v="Roddy Speechley"/>
    <s v="Canada"/>
    <x v="12"/>
    <d v="2022-09-02T00:00:00"/>
    <s v="02/09/2022"/>
    <s v="2022"/>
    <s v="02"/>
    <n v="1652"/>
    <n v="186"/>
    <m/>
    <m/>
    <s v="Below Average"/>
    <n v="2750"/>
  </r>
  <r>
    <s v="Husein Augar"/>
    <s v="USA"/>
    <x v="8"/>
    <d v="2022-07-07T00:00:00"/>
    <s v="07/07/2022"/>
    <s v="2022"/>
    <s v="07"/>
    <n v="4025"/>
    <n v="112"/>
    <m/>
    <m/>
    <s v="Below Average"/>
    <n v="1978"/>
  </r>
  <r>
    <s v="Dennison Crosswaite"/>
    <s v="New Zealand"/>
    <x v="14"/>
    <d v="2022-05-07T00:00:00"/>
    <s v="07/05/2022"/>
    <s v="2022"/>
    <s v="07"/>
    <n v="9492"/>
    <n v="151"/>
    <m/>
    <m/>
    <s v="Above Average"/>
    <n v="655"/>
  </r>
  <r>
    <s v="Dennison Crosswaite"/>
    <s v="New Zealand"/>
    <x v="15"/>
    <s v="15/06/2022"/>
    <s v="15/06/2022"/>
    <s v="2022"/>
    <s v="15/06/2022"/>
    <n v="5061"/>
    <n v="301"/>
    <m/>
    <m/>
    <s v="Below Average"/>
    <n v="1688"/>
  </r>
  <r>
    <s v="Van Tuxwell"/>
    <s v="New Zealand"/>
    <x v="1"/>
    <s v="24/05/2022"/>
    <s v="24/05/2022"/>
    <s v="2022"/>
    <s v="24/05/2022"/>
    <n v="1722"/>
    <n v="121"/>
    <m/>
    <m/>
    <s v="Below Average"/>
    <n v="2727"/>
  </r>
  <r>
    <s v="Rafaelita Blaksland"/>
    <s v="UK"/>
    <x v="4"/>
    <s v="29/06/2022"/>
    <s v="29/06/2022"/>
    <s v="2022"/>
    <s v="29/06/2022"/>
    <n v="12446"/>
    <n v="150"/>
    <m/>
    <m/>
    <s v="Above Average"/>
    <n v="307"/>
  </r>
  <r>
    <s v="Wilone O'Kielt"/>
    <s v="Australia"/>
    <x v="15"/>
    <d v="2022-11-05T00:00:00"/>
    <s v="05/11/2022"/>
    <s v="2022"/>
    <s v="05"/>
    <n v="4284"/>
    <n v="94"/>
    <m/>
    <m/>
    <s v="Below Average"/>
    <n v="1906"/>
  </r>
  <r>
    <s v="Karlen McCaffrey"/>
    <s v="UK"/>
    <x v="16"/>
    <s v="30/06/2022"/>
    <s v="30/06/2022"/>
    <s v="2022"/>
    <s v="30/06/2022"/>
    <n v="6839"/>
    <n v="133"/>
    <m/>
    <m/>
    <s v="Above Average"/>
    <n v="1221"/>
  </r>
  <r>
    <s v="Andria Kimpton"/>
    <s v="Canada"/>
    <x v="5"/>
    <d v="2022-11-05T00:00:00"/>
    <s v="05/11/2022"/>
    <s v="2022"/>
    <s v="05"/>
    <n v="2163"/>
    <n v="70"/>
    <m/>
    <m/>
    <s v="Below Average"/>
    <n v="2588"/>
  </r>
  <r>
    <s v="Roddy Speechley"/>
    <s v="USA"/>
    <x v="15"/>
    <s v="22/07/2022"/>
    <s v="22/07/2022"/>
    <s v="2022"/>
    <s v="22/07/2022"/>
    <n v="9583"/>
    <n v="315"/>
    <m/>
    <m/>
    <s v="Above Average"/>
    <n v="644"/>
  </r>
  <r>
    <s v="Andria Kimpton"/>
    <s v="UK"/>
    <x v="6"/>
    <s v="24/08/2022"/>
    <s v="24/08/2022"/>
    <s v="2022"/>
    <s v="24/08/2022"/>
    <n v="2653"/>
    <n v="314"/>
    <m/>
    <m/>
    <s v="Below Average"/>
    <n v="2420"/>
  </r>
  <r>
    <s v="Kelci Walkden"/>
    <s v="New Zealand"/>
    <x v="5"/>
    <d v="2022-07-07T00:00:00"/>
    <s v="07/07/2022"/>
    <s v="2022"/>
    <s v="07"/>
    <n v="147"/>
    <n v="72"/>
    <m/>
    <m/>
    <s v="Below Average"/>
    <n v="3232"/>
  </r>
  <r>
    <s v="Camilla Castle"/>
    <s v="Australia"/>
    <x v="1"/>
    <s v="19/05/2022"/>
    <s v="19/05/2022"/>
    <s v="2022"/>
    <s v="19/05/2022"/>
    <n v="3654"/>
    <n v="14"/>
    <m/>
    <m/>
    <s v="Below Average"/>
    <n v="2085"/>
  </r>
  <r>
    <s v="Karlen McCaffrey"/>
    <s v="India"/>
    <x v="15"/>
    <d v="2022-04-07T00:00:00"/>
    <s v="07/04/2022"/>
    <s v="2022"/>
    <s v="07"/>
    <n v="2443"/>
    <n v="581"/>
    <m/>
    <m/>
    <s v="Below Average"/>
    <n v="2499"/>
  </r>
  <r>
    <s v="Kelci Walkden"/>
    <s v="USA"/>
    <x v="5"/>
    <d v="2022-02-06T00:00:00"/>
    <s v="06/02/2022"/>
    <s v="2022"/>
    <s v="06"/>
    <n v="938"/>
    <n v="16"/>
    <m/>
    <m/>
    <s v="Below Average"/>
    <n v="2993"/>
  </r>
  <r>
    <s v="Karlen McCaffrey"/>
    <s v="USA"/>
    <x v="17"/>
    <s v="15/04/2022"/>
    <s v="15/04/2022"/>
    <s v="2022"/>
    <s v="15/04/2022"/>
    <n v="14749"/>
    <n v="354"/>
    <m/>
    <m/>
    <s v="Above Average"/>
    <n v="161"/>
  </r>
  <r>
    <s v="Mallorie Waber"/>
    <s v="Canada"/>
    <x v="18"/>
    <d v="2022-11-07T00:00:00"/>
    <s v="07/11/2022"/>
    <s v="2022"/>
    <s v="07"/>
    <n v="4781"/>
    <n v="241"/>
    <m/>
    <m/>
    <s v="Below Average"/>
    <n v="1773"/>
  </r>
  <r>
    <s v="Andria Kimpton"/>
    <s v="India"/>
    <x v="12"/>
    <s v="23/02/2022"/>
    <s v="23/02/2022"/>
    <s v="2022"/>
    <s v="23/02/2022"/>
    <n v="6307"/>
    <n v="142"/>
    <m/>
    <m/>
    <s v="Above Average"/>
    <n v="1357"/>
  </r>
  <r>
    <s v="Madelene Upcott"/>
    <s v="Canada"/>
    <x v="16"/>
    <s v="22/08/2022"/>
    <s v="22/08/2022"/>
    <s v="2022"/>
    <s v="22/08/2022"/>
    <n v="7602"/>
    <n v="102"/>
    <m/>
    <m/>
    <s v="Above Average"/>
    <n v="1044"/>
  </r>
  <r>
    <s v="Kaine Padly"/>
    <s v="USA"/>
    <x v="2"/>
    <s v="16/02/2022"/>
    <s v="16/02/2022"/>
    <s v="2022"/>
    <s v="16/02/2022"/>
    <n v="6790"/>
    <n v="188"/>
    <m/>
    <m/>
    <s v="Above Average"/>
    <n v="1241"/>
  </r>
  <r>
    <s v="Van Tuxwell"/>
    <s v="USA"/>
    <x v="6"/>
    <s v="13/01/2022"/>
    <s v="13/01/2022"/>
    <s v="2022"/>
    <s v="13/01/2022"/>
    <n v="9737"/>
    <n v="160"/>
    <m/>
    <m/>
    <s v="Above Average"/>
    <n v="627"/>
  </r>
  <r>
    <s v="Curtice Advani"/>
    <s v="Australia"/>
    <x v="11"/>
    <s v="14/02/2022"/>
    <s v="14/02/2022"/>
    <s v="2022"/>
    <s v="14/02/2022"/>
    <n v="6979"/>
    <n v="18"/>
    <m/>
    <m/>
    <s v="Above Average"/>
    <n v="1189"/>
  </r>
  <r>
    <s v="Roddy Speechley"/>
    <s v="India"/>
    <x v="8"/>
    <d v="2022-10-06T00:00:00"/>
    <s v="06/10/2022"/>
    <s v="2022"/>
    <s v="06"/>
    <n v="4382"/>
    <n v="303"/>
    <m/>
    <m/>
    <s v="Below Average"/>
    <n v="1881"/>
  </r>
  <r>
    <s v="Curtice Advani"/>
    <s v="India"/>
    <x v="13"/>
    <d v="2022-07-07T00:00:00"/>
    <s v="07/07/2022"/>
    <s v="2022"/>
    <s v="07"/>
    <n v="5243"/>
    <n v="176"/>
    <m/>
    <m/>
    <s v="Below Average"/>
    <n v="1636"/>
  </r>
  <r>
    <s v="Curtice Advani"/>
    <s v="Canada"/>
    <x v="16"/>
    <s v="24/03/2022"/>
    <s v="24/03/2022"/>
    <s v="2022"/>
    <s v="24/03/2022"/>
    <n v="4865"/>
    <n v="70"/>
    <m/>
    <m/>
    <s v="Below Average"/>
    <n v="1746"/>
  </r>
  <r>
    <s v="Brien Boise"/>
    <s v="Australia"/>
    <x v="13"/>
    <d v="2022-06-06T00:00:00"/>
    <s v="06/06/2022"/>
    <s v="2022"/>
    <s v="06"/>
    <n v="8575"/>
    <n v="23"/>
    <m/>
    <m/>
    <s v="Above Average"/>
    <n v="818"/>
  </r>
  <r>
    <s v="Dotty Strutley"/>
    <s v="Australia"/>
    <x v="9"/>
    <s v="19/07/2022"/>
    <s v="19/07/2022"/>
    <s v="2022"/>
    <s v="19/07/2022"/>
    <n v="91"/>
    <n v="135"/>
    <m/>
    <m/>
    <s v="Below Average"/>
    <n v="3247"/>
  </r>
  <r>
    <s v="Beverie Moffet"/>
    <s v="USA"/>
    <x v="17"/>
    <s v="19/04/2022"/>
    <s v="19/04/2022"/>
    <s v="2022"/>
    <s v="19/04/2022"/>
    <n v="14798"/>
    <n v="83"/>
    <m/>
    <m/>
    <s v="Above Average"/>
    <n v="157"/>
  </r>
  <r>
    <s v="Marney O'Breen"/>
    <s v="India"/>
    <x v="1"/>
    <s v="19/07/2022"/>
    <s v="19/07/2022"/>
    <s v="2022"/>
    <s v="19/07/2022"/>
    <n v="2205"/>
    <n v="179"/>
    <m/>
    <m/>
    <s v="Below Average"/>
    <n v="2578"/>
  </r>
  <r>
    <s v="Jehu Rudeforth"/>
    <s v="Canada"/>
    <x v="9"/>
    <s v="15/07/2022"/>
    <s v="15/07/2022"/>
    <s v="2022"/>
    <s v="15/07/2022"/>
    <n v="441"/>
    <n v="24"/>
    <m/>
    <m/>
    <s v="Below Average"/>
    <n v="3153"/>
  </r>
  <r>
    <s v="Ches Bonnell"/>
    <s v="New Zealand"/>
    <x v="12"/>
    <s v="14/02/2022"/>
    <s v="14/02/2022"/>
    <s v="2022"/>
    <s v="14/02/2022"/>
    <n v="3556"/>
    <n v="18"/>
    <m/>
    <m/>
    <s v="Below Average"/>
    <n v="2124"/>
  </r>
  <r>
    <s v="Brien Boise"/>
    <s v="Canada"/>
    <x v="4"/>
    <s v="18/05/2022"/>
    <s v="18/05/2022"/>
    <s v="2022"/>
    <s v="18/05/2022"/>
    <n v="16793"/>
    <n v="416"/>
    <m/>
    <m/>
    <s v="Above Average"/>
    <n v="71"/>
  </r>
  <r>
    <s v="Barr Faughny"/>
    <s v="Australia"/>
    <x v="13"/>
    <s v="30/06/2022"/>
    <s v="30/06/2022"/>
    <s v="2022"/>
    <s v="30/06/2022"/>
    <n v="15421"/>
    <n v="55"/>
    <m/>
    <m/>
    <s v="Above Average"/>
    <n v="130"/>
  </r>
  <r>
    <s v="Andria Kimpton"/>
    <s v="Australia"/>
    <x v="6"/>
    <d v="2022-02-06T00:00:00"/>
    <s v="06/02/2022"/>
    <s v="2022"/>
    <s v="06"/>
    <n v="4438"/>
    <n v="227"/>
    <m/>
    <m/>
    <s v="Below Average"/>
    <n v="1868"/>
  </r>
  <r>
    <s v="Andria Kimpton"/>
    <s v="Australia"/>
    <x v="9"/>
    <s v="28/06/2022"/>
    <s v="28/06/2022"/>
    <s v="2022"/>
    <s v="28/06/2022"/>
    <n v="1603"/>
    <n v="48"/>
    <m/>
    <m/>
    <s v="Below Average"/>
    <n v="2770"/>
  </r>
  <r>
    <s v="Marney O'Breen"/>
    <s v="Australia"/>
    <x v="10"/>
    <s v="16/05/2022"/>
    <s v="16/05/2022"/>
    <s v="2022"/>
    <s v="16/05/2022"/>
    <n v="273"/>
    <n v="174"/>
    <m/>
    <m/>
    <s v="Below Average"/>
    <n v="3202"/>
  </r>
  <r>
    <s v="Kelci Walkden"/>
    <s v="Canada"/>
    <x v="19"/>
    <s v="26/05/2022"/>
    <s v="26/05/2022"/>
    <s v="2022"/>
    <s v="26/05/2022"/>
    <n v="3073"/>
    <n v="302"/>
    <m/>
    <m/>
    <s v="Below Average"/>
    <n v="2279"/>
  </r>
  <r>
    <s v="Karlen McCaffrey"/>
    <s v="India"/>
    <x v="16"/>
    <d v="2022-06-07T00:00:00"/>
    <s v="07/06/2022"/>
    <s v="2022"/>
    <s v="07"/>
    <n v="6090"/>
    <n v="149"/>
    <m/>
    <m/>
    <s v="Above Average"/>
    <n v="1406"/>
  </r>
  <r>
    <s v="Oby Sorrel"/>
    <s v="India"/>
    <x v="4"/>
    <s v="27/05/2022"/>
    <s v="27/05/2022"/>
    <s v="2022"/>
    <s v="27/05/2022"/>
    <n v="10255"/>
    <n v="11"/>
    <m/>
    <m/>
    <s v="Above Average"/>
    <n v="543"/>
  </r>
  <r>
    <s v="Wilone O'Kielt"/>
    <s v="Australia"/>
    <x v="20"/>
    <s v="14/04/2022"/>
    <s v="14/04/2022"/>
    <s v="2022"/>
    <s v="14/04/2022"/>
    <n v="2030"/>
    <n v="11"/>
    <m/>
    <m/>
    <s v="Below Average"/>
    <n v="2626"/>
  </r>
  <r>
    <s v="Van Tuxwell"/>
    <s v="Australia"/>
    <x v="10"/>
    <d v="2022-10-08T00:00:00"/>
    <s v="08/10/2022"/>
    <s v="2022"/>
    <s v="08"/>
    <n v="19453"/>
    <n v="14"/>
    <m/>
    <m/>
    <s v="Above Average"/>
    <n v="21"/>
  </r>
  <r>
    <s v="Camilla Castle"/>
    <s v="India"/>
    <x v="6"/>
    <d v="2022-04-07T00:00:00"/>
    <s v="07/04/2022"/>
    <s v="2022"/>
    <s v="07"/>
    <n v="9275"/>
    <n v="411"/>
    <m/>
    <m/>
    <s v="Above Average"/>
    <n v="694"/>
  </r>
  <r>
    <s v="Oby Sorrel"/>
    <s v="India"/>
    <x v="10"/>
    <d v="2022-08-07T00:00:00"/>
    <s v="07/08/2022"/>
    <s v="2022"/>
    <s v="07"/>
    <n v="6181"/>
    <n v="56"/>
    <m/>
    <m/>
    <s v="Above Average"/>
    <n v="1384"/>
  </r>
  <r>
    <s v="Jan Morforth"/>
    <s v="USA"/>
    <x v="2"/>
    <s v="22/07/2022"/>
    <s v="22/07/2022"/>
    <s v="2022"/>
    <s v="22/07/2022"/>
    <n v="9037"/>
    <n v="102"/>
    <m/>
    <m/>
    <s v="Above Average"/>
    <n v="729"/>
  </r>
  <r>
    <s v="Gigi Bohling"/>
    <s v="USA"/>
    <x v="18"/>
    <d v="2022-02-03T00:00:00"/>
    <s v="03/02/2022"/>
    <s v="2022"/>
    <s v="03"/>
    <n v="12313"/>
    <n v="103"/>
    <m/>
    <m/>
    <s v="Above Average"/>
    <n v="318"/>
  </r>
  <r>
    <s v="Gigi Bohling"/>
    <s v="UK"/>
    <x v="16"/>
    <d v="2022-10-01T00:00:00"/>
    <s v="01/10/2022"/>
    <s v="2022"/>
    <s v="01"/>
    <n v="5642"/>
    <n v="9"/>
    <m/>
    <m/>
    <s v="Below Average"/>
    <n v="1531"/>
  </r>
  <r>
    <s v="Jehu Rudeforth"/>
    <s v="New Zealand"/>
    <x v="14"/>
    <d v="2022-11-03T00:00:00"/>
    <s v="03/11/2022"/>
    <s v="2022"/>
    <s v="03"/>
    <n v="2800"/>
    <n v="241"/>
    <m/>
    <m/>
    <s v="Below Average"/>
    <n v="2372"/>
  </r>
  <r>
    <s v="Andria Kimpton"/>
    <s v="New Zealand"/>
    <x v="2"/>
    <s v="20/06/2022"/>
    <s v="20/06/2022"/>
    <s v="2022"/>
    <s v="20/06/2022"/>
    <n v="959"/>
    <n v="265"/>
    <m/>
    <m/>
    <s v="Below Average"/>
    <n v="2987"/>
  </r>
  <r>
    <s v="Van Tuxwell"/>
    <s v="UK"/>
    <x v="10"/>
    <s v="26/08/2022"/>
    <s v="26/08/2022"/>
    <s v="2022"/>
    <s v="26/08/2022"/>
    <n v="2002"/>
    <n v="214"/>
    <m/>
    <m/>
    <s v="Below Average"/>
    <n v="2635"/>
  </r>
  <r>
    <s v="Roddy Speechley"/>
    <s v="Canada"/>
    <x v="11"/>
    <s v="13/07/2022"/>
    <s v="13/07/2022"/>
    <s v="2022"/>
    <s v="13/07/2022"/>
    <n v="609"/>
    <n v="32"/>
    <m/>
    <m/>
    <s v="Below Average"/>
    <n v="3095"/>
  </r>
  <r>
    <s v="Camilla Castle"/>
    <s v="USA"/>
    <x v="12"/>
    <d v="2022-11-02T00:00:00"/>
    <s v="02/11/2022"/>
    <s v="2022"/>
    <s v="02"/>
    <n v="1274"/>
    <n v="244"/>
    <m/>
    <m/>
    <s v="Below Average"/>
    <n v="2883"/>
  </r>
  <r>
    <s v="Marney O'Breen"/>
    <s v="USA"/>
    <x v="7"/>
    <s v="27/01/2022"/>
    <s v="27/01/2022"/>
    <s v="2022"/>
    <s v="27/01/2022"/>
    <n v="7595"/>
    <n v="181"/>
    <m/>
    <m/>
    <s v="Above Average"/>
    <n v="1046"/>
  </r>
  <r>
    <s v="Van Tuxwell"/>
    <s v="UK"/>
    <x v="4"/>
    <s v="31/01/2022"/>
    <s v="31/01/2022"/>
    <s v="2022"/>
    <s v="31/01/2022"/>
    <n v="4725"/>
    <n v="137"/>
    <m/>
    <m/>
    <s v="Below Average"/>
    <n v="1794"/>
  </r>
  <r>
    <s v="Camilla Castle"/>
    <s v="USA"/>
    <x v="14"/>
    <s v="18/08/2022"/>
    <s v="18/08/2022"/>
    <s v="2022"/>
    <s v="18/08/2022"/>
    <n v="9681"/>
    <n v="24"/>
    <m/>
    <m/>
    <s v="Above Average"/>
    <n v="632"/>
  </r>
  <r>
    <s v="Andria Kimpton"/>
    <s v="USA"/>
    <x v="17"/>
    <s v="30/06/2022"/>
    <s v="30/06/2022"/>
    <s v="2022"/>
    <s v="30/06/2022"/>
    <n v="14504"/>
    <n v="21"/>
    <m/>
    <m/>
    <s v="Above Average"/>
    <n v="181"/>
  </r>
  <r>
    <s v="Dotty Strutley"/>
    <s v="Australia"/>
    <x v="13"/>
    <s v="23/08/2022"/>
    <s v="23/08/2022"/>
    <s v="2022"/>
    <s v="23/08/2022"/>
    <n v="280"/>
    <n v="311"/>
    <m/>
    <m/>
    <s v="Below Average"/>
    <n v="3199"/>
  </r>
  <r>
    <s v="Brien Boise"/>
    <s v="New Zealand"/>
    <x v="0"/>
    <d v="2022-01-08T00:00:00"/>
    <s v="08/01/2022"/>
    <s v="2022"/>
    <s v="08"/>
    <n v="63"/>
    <n v="181"/>
    <m/>
    <m/>
    <s v="Below Average"/>
    <n v="3265"/>
  </r>
  <r>
    <s v="Roddy Speechley"/>
    <s v="New Zealand"/>
    <x v="5"/>
    <s v="25/05/2022"/>
    <s v="25/05/2022"/>
    <s v="2022"/>
    <s v="25/05/2022"/>
    <n v="8001"/>
    <n v="10"/>
    <m/>
    <m/>
    <s v="Above Average"/>
    <n v="936"/>
  </r>
  <r>
    <s v="Roddy Speechley"/>
    <s v="Canada"/>
    <x v="10"/>
    <d v="2022-10-01T00:00:00"/>
    <s v="01/10/2022"/>
    <s v="2022"/>
    <s v="01"/>
    <n v="4032"/>
    <n v="82"/>
    <m/>
    <m/>
    <s v="Below Average"/>
    <n v="1976"/>
  </r>
  <r>
    <s v="Dennison Crosswaite"/>
    <s v="Australia"/>
    <x v="21"/>
    <d v="2022-07-02T00:00:00"/>
    <s v="02/07/2022"/>
    <s v="2022"/>
    <s v="02"/>
    <n v="5859"/>
    <n v="108"/>
    <m/>
    <m/>
    <s v="Below Average"/>
    <n v="1469"/>
  </r>
  <r>
    <s v="Karlen McCaffrey"/>
    <s v="USA"/>
    <x v="7"/>
    <d v="2022-12-05T00:00:00"/>
    <s v="05/12/2022"/>
    <s v="2022"/>
    <s v="05"/>
    <n v="11095"/>
    <n v="401"/>
    <m/>
    <m/>
    <s v="Above Average"/>
    <n v="433"/>
  </r>
  <r>
    <s v="Madelene Upcott"/>
    <s v="Australia"/>
    <x v="12"/>
    <d v="2022-07-03T00:00:00"/>
    <s v="03/07/2022"/>
    <s v="2022"/>
    <s v="03"/>
    <n v="7182"/>
    <n v="408"/>
    <m/>
    <m/>
    <s v="Above Average"/>
    <n v="1138"/>
  </r>
  <r>
    <s v="Dennison Crosswaite"/>
    <s v="Australia"/>
    <x v="1"/>
    <d v="2022-05-04T00:00:00"/>
    <s v="04/05/2022"/>
    <s v="2022"/>
    <s v="04"/>
    <n v="6881"/>
    <n v="420"/>
    <m/>
    <m/>
    <s v="Above Average"/>
    <n v="1211"/>
  </r>
  <r>
    <s v="Andria Kimpton"/>
    <s v="Canada"/>
    <x v="20"/>
    <d v="2022-03-01T00:00:00"/>
    <s v="01/03/2022"/>
    <s v="2022"/>
    <s v="01"/>
    <n v="7154"/>
    <n v="348"/>
    <m/>
    <m/>
    <s v="Above Average"/>
    <n v="1144"/>
  </r>
  <r>
    <s v="Dennison Crosswaite"/>
    <s v="UK"/>
    <x v="8"/>
    <s v="24/03/2022"/>
    <s v="24/03/2022"/>
    <s v="2022"/>
    <s v="24/03/2022"/>
    <n v="6188"/>
    <n v="270"/>
    <m/>
    <m/>
    <s v="Above Average"/>
    <n v="1382"/>
  </r>
  <r>
    <s v="Madelene Upcott"/>
    <s v="India"/>
    <x v="17"/>
    <d v="2022-07-07T00:00:00"/>
    <s v="07/07/2022"/>
    <s v="2022"/>
    <s v="07"/>
    <n v="4221"/>
    <n v="9"/>
    <m/>
    <m/>
    <s v="Below Average"/>
    <n v="1921"/>
  </r>
  <r>
    <s v="Van Tuxwell"/>
    <s v="USA"/>
    <x v="5"/>
    <s v="26/07/2022"/>
    <s v="26/07/2022"/>
    <s v="2022"/>
    <s v="26/07/2022"/>
    <n v="630"/>
    <n v="264"/>
    <m/>
    <m/>
    <s v="Below Average"/>
    <n v="3090"/>
  </r>
  <r>
    <s v="Wilone O'Kielt"/>
    <s v="Australia"/>
    <x v="10"/>
    <d v="2022-07-07T00:00:00"/>
    <s v="07/07/2022"/>
    <s v="2022"/>
    <s v="07"/>
    <n v="1743"/>
    <n v="111"/>
    <m/>
    <m/>
    <s v="Below Average"/>
    <n v="2716"/>
  </r>
  <r>
    <s v="Karlen McCaffrey"/>
    <s v="Canada"/>
    <x v="6"/>
    <s v="15/07/2022"/>
    <s v="15/07/2022"/>
    <s v="2022"/>
    <s v="15/07/2022"/>
    <n v="2919"/>
    <n v="65"/>
    <m/>
    <m/>
    <s v="Below Average"/>
    <n v="2340"/>
  </r>
  <r>
    <s v="Roddy Speechley"/>
    <s v="New Zealand"/>
    <x v="7"/>
    <d v="2022-01-04T00:00:00"/>
    <s v="04/01/2022"/>
    <s v="2022"/>
    <s v="04"/>
    <n v="49"/>
    <n v="97"/>
    <m/>
    <m/>
    <s v="Below Average"/>
    <n v="3272"/>
  </r>
  <r>
    <s v="Beverie Moffet"/>
    <s v="Australia"/>
    <x v="8"/>
    <s v="20/06/2022"/>
    <s v="20/06/2022"/>
    <s v="2022"/>
    <s v="20/06/2022"/>
    <n v="1827"/>
    <n v="6"/>
    <m/>
    <m/>
    <s v="Below Average"/>
    <n v="2693"/>
  </r>
  <r>
    <s v="Kelci Walkden"/>
    <s v="UK"/>
    <x v="13"/>
    <s v="29/06/2022"/>
    <s v="29/06/2022"/>
    <s v="2022"/>
    <s v="29/06/2022"/>
    <n v="13006"/>
    <n v="482"/>
    <m/>
    <m/>
    <s v="Above Average"/>
    <n v="268"/>
  </r>
  <r>
    <s v="Marney O'Breen"/>
    <s v="USA"/>
    <x v="6"/>
    <s v="15/06/2022"/>
    <s v="15/06/2022"/>
    <s v="2022"/>
    <s v="15/06/2022"/>
    <n v="1064"/>
    <n v="106"/>
    <m/>
    <m/>
    <s v="Below Average"/>
    <n v="2952"/>
  </r>
  <r>
    <s v="Husein Augar"/>
    <s v="USA"/>
    <x v="5"/>
    <d v="2022-08-04T00:00:00"/>
    <s v="04/08/2022"/>
    <s v="2022"/>
    <s v="04"/>
    <n v="11571"/>
    <n v="180"/>
    <m/>
    <m/>
    <s v="Above Average"/>
    <n v="389"/>
  </r>
  <r>
    <s v="Dennison Crosswaite"/>
    <s v="Australia"/>
    <x v="17"/>
    <s v="14/03/2022"/>
    <s v="14/03/2022"/>
    <s v="2022"/>
    <s v="14/03/2022"/>
    <n v="5740"/>
    <n v="31"/>
    <m/>
    <m/>
    <s v="Below Average"/>
    <n v="1509"/>
  </r>
  <r>
    <s v="Andria Kimpton"/>
    <s v="USA"/>
    <x v="13"/>
    <s v="15/07/2022"/>
    <s v="15/07/2022"/>
    <s v="2022"/>
    <s v="15/07/2022"/>
    <n v="1456"/>
    <n v="359"/>
    <m/>
    <m/>
    <s v="Below Average"/>
    <n v="2816"/>
  </r>
  <r>
    <s v="Kelci Walkden"/>
    <s v="India"/>
    <x v="8"/>
    <s v="19/04/2022"/>
    <s v="19/04/2022"/>
    <s v="2022"/>
    <s v="19/04/2022"/>
    <n v="5334"/>
    <n v="80"/>
    <m/>
    <m/>
    <s v="Below Average"/>
    <n v="1605"/>
  </r>
  <r>
    <s v="Marney O'Breen"/>
    <s v="USA"/>
    <x v="4"/>
    <s v="28/03/2022"/>
    <s v="28/03/2022"/>
    <s v="2022"/>
    <s v="28/03/2022"/>
    <n v="4151"/>
    <n v="296"/>
    <m/>
    <m/>
    <s v="Below Average"/>
    <n v="1946"/>
  </r>
  <r>
    <s v="Brien Boise"/>
    <s v="Canada"/>
    <x v="12"/>
    <d v="2022-04-03T00:00:00"/>
    <s v="03/04/2022"/>
    <s v="2022"/>
    <s v="03"/>
    <n v="8106"/>
    <n v="101"/>
    <m/>
    <m/>
    <s v="Above Average"/>
    <n v="915"/>
  </r>
  <r>
    <s v="Karlen McCaffrey"/>
    <s v="New Zealand"/>
    <x v="21"/>
    <d v="2022-02-08T00:00:00"/>
    <s v="08/02/2022"/>
    <s v="2022"/>
    <s v="08"/>
    <n v="126"/>
    <n v="40"/>
    <m/>
    <m/>
    <s v="Below Average"/>
    <n v="3235"/>
  </r>
  <r>
    <s v="Husein Augar"/>
    <s v="UK"/>
    <x v="12"/>
    <s v="25/08/2022"/>
    <s v="25/08/2022"/>
    <s v="2022"/>
    <s v="25/08/2022"/>
    <n v="4697"/>
    <n v="42"/>
    <m/>
    <m/>
    <s v="Below Average"/>
    <n v="1800"/>
  </r>
  <r>
    <s v="Marney O'Breen"/>
    <s v="USA"/>
    <x v="16"/>
    <s v="25/02/2022"/>
    <s v="25/02/2022"/>
    <s v="2022"/>
    <s v="25/02/2022"/>
    <n v="7798"/>
    <n v="167"/>
    <m/>
    <m/>
    <s v="Above Average"/>
    <n v="989"/>
  </r>
  <r>
    <s v="Kelci Walkden"/>
    <s v="India"/>
    <x v="7"/>
    <d v="2022-07-06T00:00:00"/>
    <s v="06/07/2022"/>
    <s v="2022"/>
    <s v="06"/>
    <n v="9408"/>
    <n v="138"/>
    <m/>
    <m/>
    <s v="Above Average"/>
    <n v="674"/>
  </r>
  <r>
    <s v="Jan Morforth"/>
    <s v="India"/>
    <x v="12"/>
    <d v="2022-12-04T00:00:00"/>
    <s v="04/12/2022"/>
    <s v="2022"/>
    <s v="04"/>
    <n v="1939"/>
    <n v="520"/>
    <m/>
    <m/>
    <s v="Below Average"/>
    <n v="2653"/>
  </r>
  <r>
    <s v="Ches Bonnell"/>
    <s v="India"/>
    <x v="12"/>
    <d v="2022-06-07T00:00:00"/>
    <s v="07/06/2022"/>
    <s v="2022"/>
    <s v="07"/>
    <n v="10906"/>
    <n v="94"/>
    <m/>
    <m/>
    <s v="Above Average"/>
    <n v="455"/>
  </r>
  <r>
    <s v="Kelci Walkden"/>
    <s v="UK"/>
    <x v="3"/>
    <s v="19/01/2022"/>
    <s v="19/01/2022"/>
    <s v="2022"/>
    <s v="19/01/2022"/>
    <n v="5929"/>
    <n v="175"/>
    <m/>
    <m/>
    <s v="Below Average"/>
    <n v="1451"/>
  </r>
  <r>
    <s v="Madelene Upcott"/>
    <s v="Australia"/>
    <x v="13"/>
    <d v="2022-05-01T00:00:00"/>
    <s v="01/05/2022"/>
    <s v="2022"/>
    <s v="01"/>
    <n v="5579"/>
    <n v="92"/>
    <m/>
    <m/>
    <s v="Below Average"/>
    <n v="1549"/>
  </r>
  <r>
    <s v="Madelene Upcott"/>
    <s v="Canada"/>
    <x v="21"/>
    <s v="24/01/2022"/>
    <s v="24/01/2022"/>
    <s v="2022"/>
    <s v="24/01/2022"/>
    <n v="10927"/>
    <n v="141"/>
    <m/>
    <m/>
    <s v="Above Average"/>
    <n v="450"/>
  </r>
  <r>
    <s v="Wilone O'Kielt"/>
    <s v="Australia"/>
    <x v="9"/>
    <d v="2022-06-04T00:00:00"/>
    <s v="04/06/2022"/>
    <s v="2022"/>
    <s v="04"/>
    <n v="623"/>
    <n v="283"/>
    <m/>
    <m/>
    <s v="Below Average"/>
    <n v="3093"/>
  </r>
  <r>
    <s v="Gunar Cockshoot"/>
    <s v="Australia"/>
    <x v="13"/>
    <s v="15/06/2022"/>
    <s v="15/06/2022"/>
    <s v="2022"/>
    <s v="15/06/2022"/>
    <n v="6013"/>
    <n v="21"/>
    <m/>
    <m/>
    <s v="Below Average"/>
    <n v="1435"/>
  </r>
  <r>
    <s v="Gigi Bohling"/>
    <s v="Canada"/>
    <x v="19"/>
    <s v="28/01/2022"/>
    <s v="28/01/2022"/>
    <s v="2022"/>
    <s v="28/01/2022"/>
    <n v="1505"/>
    <n v="47"/>
    <m/>
    <m/>
    <s v="Below Average"/>
    <n v="2808"/>
  </r>
  <r>
    <s v="Kelci Walkden"/>
    <s v="India"/>
    <x v="20"/>
    <s v="16/03/2022"/>
    <s v="16/03/2022"/>
    <s v="2022"/>
    <s v="16/03/2022"/>
    <n v="476"/>
    <n v="125"/>
    <m/>
    <m/>
    <s v="Below Average"/>
    <n v="3140"/>
  </r>
  <r>
    <s v="Rafaelita Blaksland"/>
    <s v="Australia"/>
    <x v="9"/>
    <s v="21/02/2022"/>
    <s v="21/02/2022"/>
    <s v="2022"/>
    <s v="21/02/2022"/>
    <n v="11550"/>
    <n v="396"/>
    <m/>
    <m/>
    <s v="Above Average"/>
    <n v="392"/>
  </r>
  <r>
    <s v="Kelci Walkden"/>
    <s v="USA"/>
    <x v="15"/>
    <s v="16/02/2022"/>
    <s v="16/02/2022"/>
    <s v="2022"/>
    <s v="16/02/2022"/>
    <n v="17318"/>
    <n v="87"/>
    <m/>
    <m/>
    <s v="Above Average"/>
    <n v="58"/>
  </r>
  <r>
    <s v="Jehu Rudeforth"/>
    <s v="Canada"/>
    <x v="12"/>
    <s v="13/01/2022"/>
    <s v="13/01/2022"/>
    <s v="2022"/>
    <s v="13/01/2022"/>
    <n v="1848"/>
    <n v="27"/>
    <m/>
    <m/>
    <s v="Below Average"/>
    <n v="2685"/>
  </r>
  <r>
    <s v="Kelci Walkden"/>
    <s v="Australia"/>
    <x v="8"/>
    <s v="23/03/2022"/>
    <s v="23/03/2022"/>
    <s v="2022"/>
    <s v="23/03/2022"/>
    <n v="7273"/>
    <n v="547"/>
    <m/>
    <m/>
    <s v="Above Average"/>
    <n v="1114"/>
  </r>
  <r>
    <s v="Curtice Advani"/>
    <s v="Canada"/>
    <x v="12"/>
    <s v="16/06/2022"/>
    <s v="16/06/2022"/>
    <s v="2022"/>
    <s v="16/06/2022"/>
    <n v="854"/>
    <n v="118"/>
    <m/>
    <m/>
    <s v="Below Average"/>
    <n v="3015"/>
  </r>
  <r>
    <s v="Oby Sorrel"/>
    <s v="India"/>
    <x v="17"/>
    <s v="14/04/2022"/>
    <s v="14/04/2022"/>
    <s v="2022"/>
    <s v="14/04/2022"/>
    <n v="6832"/>
    <n v="46"/>
    <m/>
    <m/>
    <s v="Above Average"/>
    <n v="1225"/>
  </r>
  <r>
    <s v="Kelci Walkden"/>
    <s v="UK"/>
    <x v="8"/>
    <s v="25/01/2022"/>
    <s v="25/01/2022"/>
    <s v="2022"/>
    <s v="25/01/2022"/>
    <n v="4606"/>
    <n v="57"/>
    <m/>
    <m/>
    <s v="Below Average"/>
    <n v="1821"/>
  </r>
  <r>
    <s v="Jan Morforth"/>
    <s v="India"/>
    <x v="16"/>
    <d v="2022-11-03T00:00:00"/>
    <s v="03/11/2022"/>
    <s v="2022"/>
    <s v="03"/>
    <n v="4466"/>
    <n v="22"/>
    <m/>
    <m/>
    <s v="Below Average"/>
    <n v="1861"/>
  </r>
  <r>
    <s v="Dotty Strutley"/>
    <s v="UK"/>
    <x v="16"/>
    <s v="28/07/2022"/>
    <s v="28/07/2022"/>
    <s v="2022"/>
    <s v="28/07/2022"/>
    <n v="16114"/>
    <n v="96"/>
    <m/>
    <m/>
    <s v="Above Average"/>
    <n v="97"/>
  </r>
  <r>
    <s v="Marney O'Breen"/>
    <s v="New Zealand"/>
    <x v="5"/>
    <d v="2022-09-03T00:00:00"/>
    <s v="03/09/2022"/>
    <s v="2022"/>
    <s v="03"/>
    <n v="1561"/>
    <n v="44"/>
    <m/>
    <m/>
    <s v="Below Average"/>
    <n v="2784"/>
  </r>
  <r>
    <s v="Husein Augar"/>
    <s v="Australia"/>
    <x v="7"/>
    <s v="28/06/2022"/>
    <s v="28/06/2022"/>
    <s v="2022"/>
    <s v="28/06/2022"/>
    <n v="8897"/>
    <n v="188"/>
    <m/>
    <m/>
    <s v="Above Average"/>
    <n v="760"/>
  </r>
  <r>
    <s v="Marney O'Breen"/>
    <s v="Australia"/>
    <x v="11"/>
    <s v="28/07/2022"/>
    <s v="28/07/2022"/>
    <s v="2022"/>
    <s v="28/07/2022"/>
    <n v="2464"/>
    <n v="387"/>
    <m/>
    <m/>
    <s v="Below Average"/>
    <n v="2488"/>
  </r>
  <r>
    <s v="Kelci Walkden"/>
    <s v="Canada"/>
    <x v="4"/>
    <s v="15/08/2022"/>
    <s v="15/08/2022"/>
    <s v="2022"/>
    <s v="15/08/2022"/>
    <n v="4830"/>
    <n v="50"/>
    <m/>
    <m/>
    <s v="Below Average"/>
    <n v="1757"/>
  </r>
  <r>
    <s v="Kaine Padly"/>
    <s v="Australia"/>
    <x v="15"/>
    <d v="2022-12-01T00:00:00"/>
    <s v="01/12/2022"/>
    <s v="2022"/>
    <s v="01"/>
    <n v="2765"/>
    <n v="264"/>
    <m/>
    <m/>
    <s v="Below Average"/>
    <n v="2386"/>
  </r>
  <r>
    <s v="Beverie Moffet"/>
    <s v="New Zealand"/>
    <x v="14"/>
    <s v="24/03/2022"/>
    <s v="24/03/2022"/>
    <s v="2022"/>
    <s v="24/03/2022"/>
    <n v="7126"/>
    <n v="7"/>
    <m/>
    <m/>
    <s v="Above Average"/>
    <n v="1152"/>
  </r>
  <r>
    <s v="Van Tuxwell"/>
    <s v="UK"/>
    <x v="11"/>
    <s v="25/07/2022"/>
    <s v="25/07/2022"/>
    <s v="2022"/>
    <s v="25/07/2022"/>
    <n v="4263"/>
    <n v="90"/>
    <m/>
    <m/>
    <s v="Below Average"/>
    <n v="1912"/>
  </r>
  <r>
    <s v="Oby Sorrel"/>
    <s v="Canada"/>
    <x v="4"/>
    <d v="2022-01-08T00:00:00"/>
    <s v="08/01/2022"/>
    <s v="2022"/>
    <s v="08"/>
    <n v="3605"/>
    <n v="403"/>
    <m/>
    <m/>
    <s v="Below Average"/>
    <n v="2105"/>
  </r>
  <r>
    <s v="Van Tuxwell"/>
    <s v="India"/>
    <x v="10"/>
    <s v="16/05/2022"/>
    <s v="16/05/2022"/>
    <s v="2022"/>
    <s v="16/05/2022"/>
    <n v="19929"/>
    <n v="174"/>
    <m/>
    <m/>
    <s v="Above Average"/>
    <n v="19"/>
  </r>
  <r>
    <s v="Roddy Speechley"/>
    <s v="India"/>
    <x v="3"/>
    <d v="2022-10-08T00:00:00"/>
    <s v="08/10/2022"/>
    <s v="2022"/>
    <s v="08"/>
    <n v="5103"/>
    <n v="140"/>
    <m/>
    <m/>
    <s v="Below Average"/>
    <n v="1669"/>
  </r>
  <r>
    <s v="Jan Morforth"/>
    <s v="India"/>
    <x v="8"/>
    <d v="2022-05-01T00:00:00"/>
    <s v="01/05/2022"/>
    <s v="2022"/>
    <s v="01"/>
    <n v="2541"/>
    <n v="27"/>
    <m/>
    <m/>
    <s v="Below Average"/>
    <n v="2454"/>
  </r>
  <r>
    <s v="Ches Bonnell"/>
    <s v="UK"/>
    <x v="3"/>
    <d v="2022-11-07T00:00:00"/>
    <s v="07/11/2022"/>
    <s v="2022"/>
    <s v="07"/>
    <n v="5663"/>
    <n v="110"/>
    <m/>
    <m/>
    <s v="Below Average"/>
    <n v="1528"/>
  </r>
  <r>
    <s v="Wilone O'Kielt"/>
    <s v="USA"/>
    <x v="5"/>
    <s v="25/04/2022"/>
    <s v="25/04/2022"/>
    <s v="2022"/>
    <s v="25/04/2022"/>
    <n v="392"/>
    <n v="30"/>
    <m/>
    <m/>
    <s v="Below Average"/>
    <n v="3165"/>
  </r>
  <r>
    <s v="Gigi Bohling"/>
    <s v="New Zealand"/>
    <x v="13"/>
    <d v="2022-04-04T00:00:00"/>
    <s v="04/04/2022"/>
    <s v="2022"/>
    <s v="04"/>
    <n v="10976"/>
    <n v="121"/>
    <m/>
    <m/>
    <s v="Above Average"/>
    <n v="442"/>
  </r>
  <r>
    <s v="Barr Faughny"/>
    <s v="USA"/>
    <x v="17"/>
    <d v="2022-12-04T00:00:00"/>
    <s v="04/12/2022"/>
    <s v="2022"/>
    <s v="04"/>
    <n v="9282"/>
    <n v="101"/>
    <m/>
    <m/>
    <s v="Above Average"/>
    <n v="693"/>
  </r>
  <r>
    <s v="Wilone O'Kielt"/>
    <s v="New Zealand"/>
    <x v="1"/>
    <d v="2022-02-08T00:00:00"/>
    <s v="08/02/2022"/>
    <s v="2022"/>
    <s v="08"/>
    <n v="1827"/>
    <n v="117"/>
    <m/>
    <m/>
    <s v="Below Average"/>
    <n v="2693"/>
  </r>
  <r>
    <s v="Gigi Bohling"/>
    <s v="New Zealand"/>
    <x v="15"/>
    <s v="28/06/2022"/>
    <s v="28/06/2022"/>
    <s v="2022"/>
    <s v="28/06/2022"/>
    <n v="8267"/>
    <n v="272"/>
    <m/>
    <m/>
    <s v="Above Average"/>
    <n v="878"/>
  </r>
  <r>
    <s v="Ches Bonnell"/>
    <s v="Australia"/>
    <x v="8"/>
    <d v="2022-05-07T00:00:00"/>
    <s v="07/05/2022"/>
    <s v="2022"/>
    <s v="07"/>
    <n v="4116"/>
    <n v="128"/>
    <m/>
    <m/>
    <s v="Below Average"/>
    <n v="1953"/>
  </r>
  <r>
    <s v="Rafaelita Blaksland"/>
    <s v="New Zealand"/>
    <x v="18"/>
    <d v="2022-07-06T00:00:00"/>
    <s v="06/07/2022"/>
    <s v="2022"/>
    <s v="06"/>
    <n v="2093"/>
    <n v="45"/>
    <m/>
    <m/>
    <s v="Below Average"/>
    <n v="2605"/>
  </r>
  <r>
    <s v="Brien Boise"/>
    <s v="New Zealand"/>
    <x v="3"/>
    <s v="18/01/2022"/>
    <s v="18/01/2022"/>
    <s v="2022"/>
    <s v="18/01/2022"/>
    <n v="1015"/>
    <n v="27"/>
    <m/>
    <m/>
    <s v="Below Average"/>
    <n v="2970"/>
  </r>
  <r>
    <s v="Brien Boise"/>
    <s v="Australia"/>
    <x v="19"/>
    <d v="2022-04-01T00:00:00"/>
    <s v="01/04/2022"/>
    <s v="2022"/>
    <s v="01"/>
    <n v="12516"/>
    <n v="212"/>
    <m/>
    <m/>
    <s v="Above Average"/>
    <n v="300"/>
  </r>
  <r>
    <s v="Dennison Crosswaite"/>
    <s v="Australia"/>
    <x v="4"/>
    <s v="31/01/2022"/>
    <s v="31/01/2022"/>
    <s v="2022"/>
    <s v="31/01/2022"/>
    <n v="2758"/>
    <n v="18"/>
    <m/>
    <m/>
    <s v="Below Average"/>
    <n v="2388"/>
  </r>
  <r>
    <s v="Kelci Walkden"/>
    <s v="India"/>
    <x v="16"/>
    <s v="14/03/2022"/>
    <s v="14/03/2022"/>
    <s v="2022"/>
    <s v="14/03/2022"/>
    <n v="3297"/>
    <n v="149"/>
    <m/>
    <m/>
    <s v="Below Average"/>
    <n v="2211"/>
  </r>
  <r>
    <s v="Camilla Castle"/>
    <s v="Australia"/>
    <x v="21"/>
    <s v="29/04/2022"/>
    <s v="29/04/2022"/>
    <s v="2022"/>
    <s v="29/04/2022"/>
    <n v="6048"/>
    <n v="477"/>
    <m/>
    <m/>
    <s v="Above Average"/>
    <n v="1423"/>
  </r>
  <r>
    <s v="Oby Sorrel"/>
    <s v="India"/>
    <x v="3"/>
    <d v="2022-07-02T00:00:00"/>
    <s v="02/07/2022"/>
    <s v="2022"/>
    <s v="02"/>
    <n v="10101"/>
    <n v="108"/>
    <m/>
    <m/>
    <s v="Above Average"/>
    <n v="567"/>
  </r>
  <r>
    <s v="Kaine Padly"/>
    <s v="UK"/>
    <x v="10"/>
    <s v="31/03/2022"/>
    <s v="31/03/2022"/>
    <s v="2022"/>
    <s v="31/03/2022"/>
    <n v="2282"/>
    <n v="178"/>
    <m/>
    <m/>
    <s v="Below Average"/>
    <n v="2556"/>
  </r>
  <r>
    <s v="Marney O'Breen"/>
    <s v="India"/>
    <x v="20"/>
    <s v="16/03/2022"/>
    <s v="16/03/2022"/>
    <s v="2022"/>
    <s v="16/03/2022"/>
    <n v="4361"/>
    <n v="81"/>
    <m/>
    <m/>
    <s v="Below Average"/>
    <n v="1887"/>
  </r>
  <r>
    <s v="Karlen McCaffrey"/>
    <s v="UK"/>
    <x v="8"/>
    <s v="25/01/2022"/>
    <s v="25/01/2022"/>
    <s v="2022"/>
    <s v="25/01/2022"/>
    <n v="7798"/>
    <n v="196"/>
    <m/>
    <m/>
    <s v="Above Average"/>
    <n v="989"/>
  </r>
  <r>
    <s v="Van Tuxwell"/>
    <s v="India"/>
    <x v="19"/>
    <s v="20/06/2022"/>
    <s v="20/06/2022"/>
    <s v="2022"/>
    <s v="20/06/2022"/>
    <n v="3052"/>
    <n v="447"/>
    <m/>
    <m/>
    <s v="Below Average"/>
    <n v="2285"/>
  </r>
  <r>
    <s v="Gigi Bohling"/>
    <s v="UK"/>
    <x v="5"/>
    <s v="29/03/2022"/>
    <s v="29/03/2022"/>
    <s v="2022"/>
    <s v="29/03/2022"/>
    <n v="8029"/>
    <n v="175"/>
    <m/>
    <m/>
    <s v="Above Average"/>
    <n v="932"/>
  </r>
  <r>
    <s v="Curtice Advani"/>
    <s v="Australia"/>
    <x v="7"/>
    <d v="2022-12-07T00:00:00"/>
    <s v="07/12/2022"/>
    <s v="2022"/>
    <s v="07"/>
    <n v="854"/>
    <n v="136"/>
    <m/>
    <m/>
    <s v="Below Average"/>
    <n v="3015"/>
  </r>
  <r>
    <s v="Jehu Rudeforth"/>
    <s v="Canada"/>
    <x v="3"/>
    <d v="2022-11-07T00:00:00"/>
    <s v="07/11/2022"/>
    <s v="2022"/>
    <s v="07"/>
    <n v="5460"/>
    <n v="138"/>
    <m/>
    <m/>
    <s v="Below Average"/>
    <n v="1579"/>
  </r>
  <r>
    <s v="Karlen McCaffrey"/>
    <s v="Canada"/>
    <x v="3"/>
    <s v="19/01/2022"/>
    <s v="19/01/2022"/>
    <s v="2022"/>
    <s v="19/01/2022"/>
    <n v="3017"/>
    <n v="184"/>
    <m/>
    <m/>
    <s v="Below Average"/>
    <n v="2299"/>
  </r>
  <r>
    <s v="Andria Kimpton"/>
    <s v="USA"/>
    <x v="1"/>
    <d v="2022-05-04T00:00:00"/>
    <s v="04/05/2022"/>
    <s v="2022"/>
    <s v="04"/>
    <n v="8911"/>
    <n v="82"/>
    <m/>
    <m/>
    <s v="Above Average"/>
    <n v="755"/>
  </r>
  <r>
    <s v="Jehu Rudeforth"/>
    <s v="Canada"/>
    <x v="11"/>
    <s v="21/02/2022"/>
    <s v="21/02/2022"/>
    <s v="2022"/>
    <s v="21/02/2022"/>
    <n v="7203"/>
    <n v="12"/>
    <m/>
    <m/>
    <s v="Above Average"/>
    <n v="1130"/>
  </r>
  <r>
    <s v="Rafaelita Blaksland"/>
    <s v="New Zealand"/>
    <x v="20"/>
    <s v="20/05/2022"/>
    <s v="20/05/2022"/>
    <s v="2022"/>
    <s v="20/05/2022"/>
    <n v="13083"/>
    <n v="14"/>
    <m/>
    <m/>
    <s v="Above Average"/>
    <n v="259"/>
  </r>
  <r>
    <s v="Mallorie Waber"/>
    <s v="Australia"/>
    <x v="11"/>
    <s v="29/07/2022"/>
    <s v="29/07/2022"/>
    <s v="2022"/>
    <s v="29/07/2022"/>
    <n v="2779"/>
    <n v="104"/>
    <m/>
    <m/>
    <s v="Below Average"/>
    <n v="2381"/>
  </r>
  <r>
    <s v="Barr Faughny"/>
    <s v="USA"/>
    <x v="13"/>
    <s v="28/01/2022"/>
    <s v="28/01/2022"/>
    <s v="2022"/>
    <s v="28/01/2022"/>
    <n v="9058"/>
    <n v="46"/>
    <m/>
    <m/>
    <s v="Above Average"/>
    <n v="725"/>
  </r>
  <r>
    <s v="Marney O'Breen"/>
    <s v="UK"/>
    <x v="20"/>
    <s v="19/07/2022"/>
    <s v="19/07/2022"/>
    <s v="2022"/>
    <s v="19/07/2022"/>
    <n v="3549"/>
    <n v="112"/>
    <m/>
    <m/>
    <s v="Below Average"/>
    <n v="2126"/>
  </r>
  <r>
    <s v="Mallorie Waber"/>
    <s v="New Zealand"/>
    <x v="15"/>
    <s v="13/04/2022"/>
    <s v="13/04/2022"/>
    <s v="2022"/>
    <s v="13/04/2022"/>
    <n v="9436"/>
    <n v="11"/>
    <m/>
    <m/>
    <s v="Above Average"/>
    <n v="667"/>
  </r>
  <r>
    <s v="Roddy Speechley"/>
    <s v="India"/>
    <x v="2"/>
    <d v="2022-11-02T00:00:00"/>
    <s v="02/11/2022"/>
    <s v="2022"/>
    <s v="02"/>
    <n v="10283"/>
    <n v="21"/>
    <m/>
    <m/>
    <s v="Above Average"/>
    <n v="536"/>
  </r>
  <r>
    <s v="Roddy Speechley"/>
    <s v="New Zealand"/>
    <x v="11"/>
    <d v="2022-02-03T00:00:00"/>
    <s v="03/02/2022"/>
    <s v="2022"/>
    <s v="03"/>
    <n v="5446"/>
    <n v="116"/>
    <m/>
    <m/>
    <s v="Below Average"/>
    <n v="1581"/>
  </r>
  <r>
    <s v="Ches Bonnell"/>
    <s v="Australia"/>
    <x v="14"/>
    <d v="2022-02-03T00:00:00"/>
    <s v="03/02/2022"/>
    <s v="2022"/>
    <s v="03"/>
    <n v="1043"/>
    <n v="202"/>
    <m/>
    <m/>
    <s v="Below Average"/>
    <n v="2958"/>
  </r>
  <r>
    <s v="Van Tuxwell"/>
    <s v="USA"/>
    <x v="4"/>
    <s v="28/07/2022"/>
    <s v="28/07/2022"/>
    <s v="2022"/>
    <s v="28/07/2022"/>
    <n v="12586"/>
    <n v="6"/>
    <m/>
    <m/>
    <s v="Above Average"/>
    <n v="290"/>
  </r>
  <r>
    <s v="Kelci Walkden"/>
    <s v="India"/>
    <x v="5"/>
    <d v="2022-07-01T00:00:00"/>
    <s v="01/07/2022"/>
    <s v="2022"/>
    <s v="01"/>
    <n v="1687"/>
    <n v="520"/>
    <m/>
    <m/>
    <s v="Below Average"/>
    <n v="2734"/>
  </r>
  <r>
    <s v="Brien Boise"/>
    <s v="UK"/>
    <x v="14"/>
    <d v="2022-12-04T00:00:00"/>
    <s v="04/12/2022"/>
    <s v="2022"/>
    <s v="04"/>
    <n v="5299"/>
    <n v="167"/>
    <m/>
    <m/>
    <s v="Below Average"/>
    <n v="1617"/>
  </r>
  <r>
    <s v="Van Tuxwell"/>
    <s v="Canada"/>
    <x v="16"/>
    <s v="27/06/2022"/>
    <s v="27/06/2022"/>
    <s v="2022"/>
    <s v="27/06/2022"/>
    <n v="3213"/>
    <n v="72"/>
    <m/>
    <m/>
    <s v="Below Average"/>
    <n v="2230"/>
  </r>
  <r>
    <s v="Jehu Rudeforth"/>
    <s v="Australia"/>
    <x v="6"/>
    <s v="14/01/2022"/>
    <s v="14/01/2022"/>
    <s v="2022"/>
    <s v="14/01/2022"/>
    <n v="5194"/>
    <n v="418"/>
    <m/>
    <m/>
    <s v="Below Average"/>
    <n v="1649"/>
  </r>
  <r>
    <s v="Karlen McCaffrey"/>
    <s v="UK"/>
    <x v="19"/>
    <d v="2022-07-02T00:00:00"/>
    <s v="02/07/2022"/>
    <s v="2022"/>
    <s v="02"/>
    <n v="4753"/>
    <n v="389"/>
    <m/>
    <m/>
    <s v="Below Average"/>
    <n v="1783"/>
  </r>
  <r>
    <s v="Jehu Rudeforth"/>
    <s v="Australia"/>
    <x v="7"/>
    <s v="23/03/2022"/>
    <s v="23/03/2022"/>
    <s v="2022"/>
    <s v="23/03/2022"/>
    <n v="13706"/>
    <n v="26"/>
    <m/>
    <m/>
    <s v="Above Average"/>
    <n v="220"/>
  </r>
  <r>
    <s v="Marney O'Breen"/>
    <s v="India"/>
    <x v="2"/>
    <d v="2022-10-01T00:00:00"/>
    <s v="01/10/2022"/>
    <s v="2022"/>
    <s v="01"/>
    <n v="6489"/>
    <n v="146"/>
    <m/>
    <m/>
    <s v="Above Average"/>
    <n v="1310"/>
  </r>
  <r>
    <s v="Oby Sorrel"/>
    <s v="UK"/>
    <x v="18"/>
    <s v="17/03/2022"/>
    <s v="17/03/2022"/>
    <s v="2022"/>
    <s v="17/03/2022"/>
    <n v="9324"/>
    <n v="41"/>
    <m/>
    <m/>
    <s v="Above Average"/>
    <n v="685"/>
  </r>
  <r>
    <s v="Gigi Bohling"/>
    <s v="USA"/>
    <x v="12"/>
    <s v="21/01/2022"/>
    <s v="21/01/2022"/>
    <s v="2022"/>
    <s v="21/01/2022"/>
    <n v="10829"/>
    <n v="54"/>
    <m/>
    <m/>
    <s v="Above Average"/>
    <n v="466"/>
  </r>
  <r>
    <s v="Barr Faughny"/>
    <s v="Australia"/>
    <x v="14"/>
    <d v="2022-04-07T00:00:00"/>
    <s v="07/04/2022"/>
    <s v="2022"/>
    <s v="07"/>
    <n v="8113"/>
    <n v="370"/>
    <m/>
    <m/>
    <s v="Above Average"/>
    <n v="910"/>
  </r>
  <r>
    <s v="Kaine Padly"/>
    <s v="Canada"/>
    <x v="2"/>
    <d v="2022-04-07T00:00:00"/>
    <s v="07/04/2022"/>
    <s v="2022"/>
    <s v="07"/>
    <n v="3269"/>
    <n v="176"/>
    <m/>
    <m/>
    <s v="Below Average"/>
    <n v="2220"/>
  </r>
  <r>
    <s v="Dotty Strutley"/>
    <s v="USA"/>
    <x v="15"/>
    <d v="2022-10-08T00:00:00"/>
    <s v="08/10/2022"/>
    <s v="2022"/>
    <s v="08"/>
    <n v="273"/>
    <n v="210"/>
    <m/>
    <m/>
    <s v="Below Average"/>
    <n v="3202"/>
  </r>
  <r>
    <s v="Dennison Crosswaite"/>
    <s v="Australia"/>
    <x v="6"/>
    <d v="2022-01-04T00:00:00"/>
    <s v="04/01/2022"/>
    <s v="2022"/>
    <s v="04"/>
    <n v="7287"/>
    <n v="12"/>
    <m/>
    <m/>
    <s v="Above Average"/>
    <n v="1113"/>
  </r>
  <r>
    <s v="Gigi Bohling"/>
    <s v="India"/>
    <x v="17"/>
    <s v="22/02/2022"/>
    <s v="22/02/2022"/>
    <s v="2022"/>
    <s v="22/02/2022"/>
    <n v="2583"/>
    <n v="159"/>
    <m/>
    <m/>
    <s v="Below Average"/>
    <n v="2446"/>
  </r>
  <r>
    <s v="Camilla Castle"/>
    <s v="UK"/>
    <x v="14"/>
    <d v="2022-03-01T00:00:00"/>
    <s v="01/03/2022"/>
    <s v="2022"/>
    <s v="01"/>
    <n v="9982"/>
    <n v="187"/>
    <m/>
    <m/>
    <s v="Above Average"/>
    <n v="585"/>
  </r>
  <r>
    <s v="Karlen McCaffrey"/>
    <s v="India"/>
    <x v="9"/>
    <s v="31/05/2022"/>
    <s v="31/05/2022"/>
    <s v="2022"/>
    <s v="31/05/2022"/>
    <n v="4795"/>
    <n v="233"/>
    <m/>
    <m/>
    <s v="Below Average"/>
    <n v="1768"/>
  </r>
  <r>
    <s v="Dotty Strutley"/>
    <s v="UK"/>
    <x v="4"/>
    <d v="2022-03-01T00:00:00"/>
    <s v="01/03/2022"/>
    <s v="2022"/>
    <s v="01"/>
    <n v="9310"/>
    <n v="282"/>
    <m/>
    <m/>
    <s v="Above Average"/>
    <n v="689"/>
  </r>
  <r>
    <s v="Husein Augar"/>
    <s v="New Zealand"/>
    <x v="20"/>
    <s v="27/01/2022"/>
    <s v="27/01/2022"/>
    <s v="2022"/>
    <s v="27/01/2022"/>
    <n v="497"/>
    <n v="475"/>
    <m/>
    <m/>
    <s v="Below Average"/>
    <n v="3128"/>
  </r>
  <r>
    <s v="Barr Faughny"/>
    <s v="UK"/>
    <x v="6"/>
    <s v="28/01/2022"/>
    <s v="28/01/2022"/>
    <s v="2022"/>
    <s v="28/01/2022"/>
    <n v="581"/>
    <n v="65"/>
    <m/>
    <m/>
    <s v="Below Average"/>
    <n v="3103"/>
  </r>
  <r>
    <s v="Curtice Advani"/>
    <s v="Australia"/>
    <x v="10"/>
    <s v="28/06/2022"/>
    <s v="28/06/2022"/>
    <s v="2022"/>
    <s v="28/06/2022"/>
    <n v="3472"/>
    <n v="311"/>
    <m/>
    <m/>
    <s v="Below Average"/>
    <n v="2146"/>
  </r>
  <r>
    <s v="Husein Augar"/>
    <s v="UK"/>
    <x v="18"/>
    <d v="2022-02-03T00:00:00"/>
    <s v="03/02/2022"/>
    <s v="2022"/>
    <s v="03"/>
    <n v="4333"/>
    <n v="43"/>
    <m/>
    <m/>
    <s v="Below Average"/>
    <n v="1897"/>
  </r>
  <r>
    <s v="Wilone O'Kielt"/>
    <s v="Australia"/>
    <x v="5"/>
    <s v="27/05/2022"/>
    <s v="27/05/2022"/>
    <s v="2022"/>
    <s v="27/05/2022"/>
    <n v="3325"/>
    <n v="26"/>
    <m/>
    <m/>
    <s v="Below Average"/>
    <n v="2204"/>
  </r>
  <r>
    <s v="Dennison Crosswaite"/>
    <s v="USA"/>
    <x v="16"/>
    <s v="30/06/2022"/>
    <s v="30/06/2022"/>
    <s v="2022"/>
    <s v="30/06/2022"/>
    <n v="11718"/>
    <n v="84"/>
    <m/>
    <m/>
    <s v="Above Average"/>
    <n v="372"/>
  </r>
  <r>
    <s v="Barr Faughny"/>
    <s v="Canada"/>
    <x v="2"/>
    <d v="2022-07-06T00:00:00"/>
    <s v="06/07/2022"/>
    <s v="2022"/>
    <s v="06"/>
    <n v="2100"/>
    <n v="78"/>
    <m/>
    <m/>
    <s v="Below Average"/>
    <n v="2601"/>
  </r>
  <r>
    <s v="Kaine Padly"/>
    <s v="USA"/>
    <x v="21"/>
    <d v="2022-12-05T00:00:00"/>
    <s v="05/12/2022"/>
    <s v="2022"/>
    <s v="05"/>
    <n v="4018"/>
    <n v="100"/>
    <m/>
    <m/>
    <s v="Below Average"/>
    <n v="1980"/>
  </r>
  <r>
    <s v="Barr Faughny"/>
    <s v="New Zealand"/>
    <x v="17"/>
    <s v="29/07/2022"/>
    <s v="29/07/2022"/>
    <s v="2022"/>
    <s v="29/07/2022"/>
    <n v="6468"/>
    <n v="66"/>
    <m/>
    <m/>
    <s v="Above Average"/>
    <n v="1314"/>
  </r>
  <r>
    <s v="Dennison Crosswaite"/>
    <s v="UK"/>
    <x v="14"/>
    <d v="2022-03-08T00:00:00"/>
    <s v="08/03/2022"/>
    <s v="2022"/>
    <s v="08"/>
    <n v="7238"/>
    <n v="265"/>
    <m/>
    <m/>
    <s v="Above Average"/>
    <n v="1120"/>
  </r>
  <r>
    <s v="Barr Faughny"/>
    <s v="India"/>
    <x v="19"/>
    <s v="18/08/2022"/>
    <s v="18/08/2022"/>
    <s v="2022"/>
    <s v="18/08/2022"/>
    <n v="6454"/>
    <n v="141"/>
    <m/>
    <m/>
    <s v="Above Average"/>
    <n v="1317"/>
  </r>
  <r>
    <s v="Van Tuxwell"/>
    <s v="New Zealand"/>
    <x v="3"/>
    <s v="14/06/2022"/>
    <s v="14/06/2022"/>
    <s v="2022"/>
    <s v="14/06/2022"/>
    <n v="3115"/>
    <n v="42"/>
    <m/>
    <m/>
    <s v="Below Average"/>
    <n v="2262"/>
  </r>
  <r>
    <s v="Beverie Moffet"/>
    <s v="UK"/>
    <x v="14"/>
    <s v="30/06/2022"/>
    <s v="30/06/2022"/>
    <s v="2022"/>
    <s v="30/06/2022"/>
    <n v="6475"/>
    <n v="76"/>
    <m/>
    <m/>
    <s v="Above Average"/>
    <n v="1312"/>
  </r>
  <r>
    <s v="Camilla Castle"/>
    <s v="New Zealand"/>
    <x v="0"/>
    <s v="13/06/2022"/>
    <s v="13/06/2022"/>
    <s v="2022"/>
    <s v="13/06/2022"/>
    <n v="1162"/>
    <n v="190"/>
    <m/>
    <m/>
    <s v="Below Average"/>
    <n v="2913"/>
  </r>
  <r>
    <s v="Ches Bonnell"/>
    <s v="UK"/>
    <x v="7"/>
    <s v="27/04/2022"/>
    <s v="27/04/2022"/>
    <s v="2022"/>
    <s v="27/04/2022"/>
    <n v="14238"/>
    <n v="54"/>
    <m/>
    <m/>
    <s v="Above Average"/>
    <n v="194"/>
  </r>
  <r>
    <s v="Jan Morforth"/>
    <s v="Australia"/>
    <x v="14"/>
    <s v="27/07/2022"/>
    <s v="27/07/2022"/>
    <s v="2022"/>
    <s v="27/07/2022"/>
    <n v="3472"/>
    <n v="32"/>
    <m/>
    <m/>
    <s v="Below Average"/>
    <n v="2146"/>
  </r>
  <r>
    <s v="Mallorie Waber"/>
    <s v="Canada"/>
    <x v="1"/>
    <s v="20/04/2022"/>
    <s v="20/04/2022"/>
    <s v="2022"/>
    <s v="20/04/2022"/>
    <n v="1428"/>
    <n v="424"/>
    <m/>
    <m/>
    <s v="Below Average"/>
    <n v="2829"/>
  </r>
  <r>
    <s v="Rafaelita Blaksland"/>
    <s v="India"/>
    <x v="12"/>
    <d v="2022-04-01T00:00:00"/>
    <s v="01/04/2022"/>
    <s v="2022"/>
    <s v="01"/>
    <n v="8064"/>
    <n v="134"/>
    <m/>
    <m/>
    <s v="Above Average"/>
    <n v="925"/>
  </r>
  <r>
    <s v="Ches Bonnell"/>
    <s v="Australia"/>
    <x v="0"/>
    <s v="21/02/2022"/>
    <s v="21/02/2022"/>
    <s v="2022"/>
    <s v="21/02/2022"/>
    <n v="9660"/>
    <n v="92"/>
    <m/>
    <m/>
    <s v="Above Average"/>
    <n v="634"/>
  </r>
  <r>
    <s v="Karlen McCaffrey"/>
    <s v="Australia"/>
    <x v="14"/>
    <d v="2022-05-01T00:00:00"/>
    <s v="01/05/2022"/>
    <s v="2022"/>
    <s v="01"/>
    <n v="7357"/>
    <n v="48"/>
    <m/>
    <m/>
    <s v="Above Average"/>
    <n v="1098"/>
  </r>
  <r>
    <s v="Beverie Moffet"/>
    <s v="India"/>
    <x v="9"/>
    <s v="15/07/2022"/>
    <s v="15/07/2022"/>
    <s v="2022"/>
    <s v="15/07/2022"/>
    <n v="6055"/>
    <n v="46"/>
    <m/>
    <m/>
    <s v="Above Average"/>
    <n v="1417"/>
  </r>
  <r>
    <s v="Brien Boise"/>
    <s v="Australia"/>
    <x v="18"/>
    <s v="25/05/2022"/>
    <s v="25/05/2022"/>
    <s v="2022"/>
    <s v="25/05/2022"/>
    <n v="5124"/>
    <n v="62"/>
    <m/>
    <m/>
    <s v="Below Average"/>
    <n v="1665"/>
  </r>
  <r>
    <s v="Karlen McCaffrey"/>
    <s v="Canada"/>
    <x v="8"/>
    <s v="20/04/2022"/>
    <s v="20/04/2022"/>
    <s v="2022"/>
    <s v="20/04/2022"/>
    <n v="3479"/>
    <n v="358"/>
    <m/>
    <m/>
    <s v="Below Average"/>
    <n v="2143"/>
  </r>
  <r>
    <s v="Gigi Bohling"/>
    <s v="USA"/>
    <x v="4"/>
    <d v="2022-02-06T00:00:00"/>
    <s v="06/02/2022"/>
    <s v="2022"/>
    <s v="06"/>
    <n v="784"/>
    <n v="249"/>
    <m/>
    <m/>
    <s v="Below Average"/>
    <n v="3032"/>
  </r>
  <r>
    <s v="Marney O'Breen"/>
    <s v="UK"/>
    <x v="3"/>
    <s v="13/05/2022"/>
    <s v="13/05/2022"/>
    <s v="2022"/>
    <s v="13/05/2022"/>
    <n v="18991"/>
    <n v="88"/>
    <m/>
    <m/>
    <s v="Above Average"/>
    <n v="27"/>
  </r>
  <r>
    <s v="Beverie Moffet"/>
    <s v="New Zealand"/>
    <x v="19"/>
    <d v="2022-03-08T00:00:00"/>
    <s v="08/03/2022"/>
    <s v="2022"/>
    <s v="08"/>
    <n v="1372"/>
    <n v="144"/>
    <m/>
    <m/>
    <s v="Below Average"/>
    <n v="2850"/>
  </r>
  <r>
    <s v="Beverie Moffet"/>
    <s v="Australia"/>
    <x v="11"/>
    <s v="25/05/2022"/>
    <s v="25/05/2022"/>
    <s v="2022"/>
    <s v="25/05/2022"/>
    <n v="735"/>
    <n v="390"/>
    <m/>
    <m/>
    <s v="Below Average"/>
    <n v="3048"/>
  </r>
  <r>
    <s v="Van Tuxwell"/>
    <s v="UK"/>
    <x v="17"/>
    <s v="16/03/2022"/>
    <s v="16/03/2022"/>
    <s v="2022"/>
    <s v="16/03/2022"/>
    <n v="6538"/>
    <n v="79"/>
    <m/>
    <m/>
    <s v="Above Average"/>
    <n v="1298"/>
  </r>
  <r>
    <s v="Jan Morforth"/>
    <s v="Australia"/>
    <x v="7"/>
    <d v="2022-04-07T00:00:00"/>
    <s v="07/04/2022"/>
    <s v="2022"/>
    <s v="07"/>
    <n v="3199"/>
    <n v="122"/>
    <m/>
    <m/>
    <s v="Below Average"/>
    <n v="2233"/>
  </r>
  <r>
    <s v="Jehu Rudeforth"/>
    <s v="India"/>
    <x v="6"/>
    <d v="2022-05-07T00:00:00"/>
    <s v="07/05/2022"/>
    <s v="2022"/>
    <s v="07"/>
    <n v="3472"/>
    <n v="135"/>
    <m/>
    <m/>
    <s v="Below Average"/>
    <n v="2146"/>
  </r>
  <r>
    <s v="Madelene Upcott"/>
    <s v="USA"/>
    <x v="5"/>
    <s v="15/03/2022"/>
    <s v="15/03/2022"/>
    <s v="2022"/>
    <s v="15/03/2022"/>
    <n v="4571"/>
    <n v="430"/>
    <m/>
    <m/>
    <s v="Below Average"/>
    <n v="1828"/>
  </r>
  <r>
    <s v="Barr Faughny"/>
    <s v="UK"/>
    <x v="17"/>
    <s v="22/08/2022"/>
    <s v="22/08/2022"/>
    <s v="2022"/>
    <s v="22/08/2022"/>
    <n v="5481"/>
    <n v="69"/>
    <m/>
    <m/>
    <s v="Below Average"/>
    <n v="1572"/>
  </r>
  <r>
    <s v="Ches Bonnell"/>
    <s v="Australia"/>
    <x v="21"/>
    <d v="2022-12-01T00:00:00"/>
    <s v="01/12/2022"/>
    <s v="2022"/>
    <s v="01"/>
    <n v="3136"/>
    <n v="125"/>
    <m/>
    <m/>
    <s v="Below Average"/>
    <n v="2257"/>
  </r>
  <r>
    <s v="Marney O'Breen"/>
    <s v="UK"/>
    <x v="19"/>
    <d v="2022-10-06T00:00:00"/>
    <s v="06/10/2022"/>
    <s v="2022"/>
    <s v="06"/>
    <n v="252"/>
    <n v="154"/>
    <m/>
    <m/>
    <s v="Below Average"/>
    <n v="3207"/>
  </r>
  <r>
    <s v="Kaine Padly"/>
    <s v="Australia"/>
    <x v="2"/>
    <s v="25/03/2022"/>
    <s v="25/03/2022"/>
    <s v="2022"/>
    <s v="25/03/2022"/>
    <n v="5460"/>
    <n v="286"/>
    <m/>
    <m/>
    <s v="Below Average"/>
    <n v="1579"/>
  </r>
  <r>
    <s v="Rafaelita Blaksland"/>
    <s v="India"/>
    <x v="16"/>
    <s v="27/07/2022"/>
    <s v="27/07/2022"/>
    <s v="2022"/>
    <s v="27/07/2022"/>
    <n v="3395"/>
    <n v="99"/>
    <m/>
    <m/>
    <s v="Below Average"/>
    <n v="2176"/>
  </r>
  <r>
    <s v="Husein Augar"/>
    <s v="UK"/>
    <x v="20"/>
    <s v="15/04/2022"/>
    <s v="15/04/2022"/>
    <s v="2022"/>
    <s v="15/04/2022"/>
    <n v="14938"/>
    <n v="433"/>
    <m/>
    <m/>
    <s v="Above Average"/>
    <n v="152"/>
  </r>
  <r>
    <s v="Roddy Speechley"/>
    <s v="India"/>
    <x v="7"/>
    <s v="27/06/2022"/>
    <s v="27/06/2022"/>
    <s v="2022"/>
    <s v="27/06/2022"/>
    <n v="4053"/>
    <n v="19"/>
    <m/>
    <m/>
    <s v="Below Average"/>
    <n v="1968"/>
  </r>
  <r>
    <s v="Jehu Rudeforth"/>
    <s v="UK"/>
    <x v="21"/>
    <s v="14/04/2022"/>
    <s v="14/04/2022"/>
    <s v="2022"/>
    <s v="14/04/2022"/>
    <n v="5565"/>
    <n v="258"/>
    <m/>
    <m/>
    <s v="Below Average"/>
    <n v="1553"/>
  </r>
  <r>
    <s v="Husein Augar"/>
    <s v="Australia"/>
    <x v="15"/>
    <s v="15/03/2022"/>
    <s v="15/03/2022"/>
    <s v="2022"/>
    <s v="15/03/2022"/>
    <n v="7161"/>
    <n v="92"/>
    <m/>
    <m/>
    <s v="Above Average"/>
    <n v="1143"/>
  </r>
  <r>
    <s v="Madelene Upcott"/>
    <s v="USA"/>
    <x v="8"/>
    <s v="18/03/2022"/>
    <s v="18/03/2022"/>
    <s v="2022"/>
    <s v="18/03/2022"/>
    <n v="8883"/>
    <n v="200"/>
    <m/>
    <m/>
    <s v="Above Average"/>
    <n v="763"/>
  </r>
  <r>
    <s v="Brien Boise"/>
    <s v="India"/>
    <x v="8"/>
    <s v="29/04/2022"/>
    <s v="29/04/2022"/>
    <s v="2022"/>
    <s v="29/04/2022"/>
    <n v="1351"/>
    <n v="61"/>
    <m/>
    <m/>
    <s v="Below Average"/>
    <n v="2860"/>
  </r>
  <r>
    <s v="Mallorie Waber"/>
    <s v="New Zealand"/>
    <x v="14"/>
    <s v="25/02/2022"/>
    <s v="25/02/2022"/>
    <s v="2022"/>
    <s v="25/02/2022"/>
    <n v="3171"/>
    <n v="246"/>
    <m/>
    <m/>
    <s v="Below Average"/>
    <n v="2244"/>
  </r>
  <r>
    <s v="Husein Augar"/>
    <s v="USA"/>
    <x v="11"/>
    <d v="2022-02-03T00:00:00"/>
    <s v="03/02/2022"/>
    <s v="2022"/>
    <s v="03"/>
    <n v="854"/>
    <n v="56"/>
    <m/>
    <m/>
    <s v="Below Average"/>
    <n v="3015"/>
  </r>
  <r>
    <s v="Van Tuxwell"/>
    <s v="Australia"/>
    <x v="11"/>
    <s v="20/06/2022"/>
    <s v="20/06/2022"/>
    <s v="2022"/>
    <s v="20/06/2022"/>
    <n v="7910"/>
    <n v="87"/>
    <m/>
    <m/>
    <s v="Above Average"/>
    <n v="964"/>
  </r>
  <r>
    <s v="Beverie Moffet"/>
    <s v="Canada"/>
    <x v="14"/>
    <s v="15/07/2022"/>
    <s v="15/07/2022"/>
    <s v="2022"/>
    <s v="15/07/2022"/>
    <n v="9275"/>
    <n v="173"/>
    <m/>
    <m/>
    <s v="Above Average"/>
    <n v="694"/>
  </r>
  <r>
    <s v="Dotty Strutley"/>
    <s v="Australia"/>
    <x v="6"/>
    <d v="2022-12-05T00:00:00"/>
    <s v="05/12/2022"/>
    <s v="2022"/>
    <s v="05"/>
    <n v="3108"/>
    <n v="252"/>
    <m/>
    <m/>
    <s v="Below Average"/>
    <n v="2266"/>
  </r>
  <r>
    <s v="Mallorie Waber"/>
    <s v="New Zealand"/>
    <x v="10"/>
    <d v="2022-01-07T00:00:00"/>
    <s v="07/01/2022"/>
    <s v="2022"/>
    <s v="07"/>
    <n v="5075"/>
    <n v="256"/>
    <m/>
    <m/>
    <s v="Below Average"/>
    <n v="1681"/>
  </r>
  <r>
    <s v="Husein Augar"/>
    <s v="USA"/>
    <x v="1"/>
    <d v="2022-08-08T00:00:00"/>
    <s v="08/08/2022"/>
    <s v="2022"/>
    <s v="08"/>
    <n v="378"/>
    <n v="54"/>
    <m/>
    <m/>
    <s v="Below Average"/>
    <n v="3169"/>
  </r>
  <r>
    <s v="Madelene Upcott"/>
    <s v="Australia"/>
    <x v="6"/>
    <s v="25/07/2022"/>
    <s v="25/07/2022"/>
    <s v="2022"/>
    <s v="25/07/2022"/>
    <n v="7350"/>
    <n v="6"/>
    <m/>
    <m/>
    <s v="Above Average"/>
    <n v="1101"/>
  </r>
  <r>
    <s v="Wilone O'Kielt"/>
    <s v="UK"/>
    <x v="9"/>
    <s v="18/05/2022"/>
    <s v="18/05/2022"/>
    <s v="2022"/>
    <s v="18/05/2022"/>
    <n v="3388"/>
    <n v="55"/>
    <m/>
    <m/>
    <s v="Below Average"/>
    <n v="2180"/>
  </r>
  <r>
    <s v="Camilla Castle"/>
    <s v="India"/>
    <x v="2"/>
    <s v="15/07/2022"/>
    <s v="15/07/2022"/>
    <s v="2022"/>
    <s v="15/07/2022"/>
    <n v="11837"/>
    <n v="277"/>
    <m/>
    <m/>
    <s v="Above Average"/>
    <n v="356"/>
  </r>
  <r>
    <s v="Curtice Advani"/>
    <s v="India"/>
    <x v="21"/>
    <d v="2022-05-07T00:00:00"/>
    <s v="07/05/2022"/>
    <s v="2022"/>
    <s v="07"/>
    <n v="2282"/>
    <n v="44"/>
    <m/>
    <m/>
    <s v="Below Average"/>
    <n v="2556"/>
  </r>
  <r>
    <s v="Mallorie Waber"/>
    <s v="USA"/>
    <x v="15"/>
    <d v="2022-04-07T00:00:00"/>
    <s v="07/04/2022"/>
    <s v="2022"/>
    <s v="07"/>
    <n v="5425"/>
    <n v="96"/>
    <m/>
    <m/>
    <s v="Below Average"/>
    <n v="1588"/>
  </r>
  <r>
    <s v="Dotty Strutley"/>
    <s v="UK"/>
    <x v="21"/>
    <s v="20/06/2022"/>
    <s v="20/06/2022"/>
    <s v="2022"/>
    <s v="20/06/2022"/>
    <n v="1267"/>
    <n v="216"/>
    <m/>
    <m/>
    <s v="Below Average"/>
    <n v="2885"/>
  </r>
  <r>
    <s v="Gunar Cockshoot"/>
    <s v="Australia"/>
    <x v="16"/>
    <s v="25/01/2022"/>
    <s v="25/01/2022"/>
    <s v="2022"/>
    <s v="25/01/2022"/>
    <n v="3752"/>
    <n v="424"/>
    <m/>
    <m/>
    <s v="Below Average"/>
    <n v="2052"/>
  </r>
  <r>
    <s v="Kaine Padly"/>
    <s v="New Zealand"/>
    <x v="12"/>
    <d v="2022-01-07T00:00:00"/>
    <s v="07/01/2022"/>
    <s v="2022"/>
    <s v="07"/>
    <n v="7728"/>
    <n v="37"/>
    <m/>
    <m/>
    <s v="Above Average"/>
    <n v="1004"/>
  </r>
  <r>
    <s v="Gigi Bohling"/>
    <s v="USA"/>
    <x v="6"/>
    <s v="13/04/2022"/>
    <s v="13/04/2022"/>
    <s v="2022"/>
    <s v="13/04/2022"/>
    <n v="2296"/>
    <n v="59"/>
    <m/>
    <m/>
    <s v="Below Average"/>
    <n v="2554"/>
  </r>
  <r>
    <s v="Beverie Moffet"/>
    <s v="UK"/>
    <x v="3"/>
    <d v="2022-04-05T00:00:00"/>
    <s v="05/04/2022"/>
    <s v="2022"/>
    <s v="05"/>
    <n v="4403"/>
    <n v="76"/>
    <m/>
    <m/>
    <s v="Below Average"/>
    <n v="1873"/>
  </r>
  <r>
    <s v="Beverie Moffet"/>
    <s v="Australia"/>
    <x v="19"/>
    <d v="2022-04-08T00:00:00"/>
    <s v="08/04/2022"/>
    <s v="2022"/>
    <s v="08"/>
    <n v="3192"/>
    <n v="109"/>
    <m/>
    <m/>
    <s v="Below Average"/>
    <n v="2235"/>
  </r>
  <r>
    <s v="Beverie Moffet"/>
    <s v="India"/>
    <x v="21"/>
    <d v="2022-01-06T00:00:00"/>
    <s v="06/01/2022"/>
    <s v="2022"/>
    <s v="06"/>
    <n v="448"/>
    <n v="146"/>
    <m/>
    <m/>
    <s v="Below Average"/>
    <n v="3152"/>
  </r>
  <r>
    <s v="Jehu Rudeforth"/>
    <s v="UK"/>
    <x v="18"/>
    <s v="22/04/2022"/>
    <s v="22/04/2022"/>
    <s v="2022"/>
    <s v="22/04/2022"/>
    <n v="4270"/>
    <n v="185"/>
    <m/>
    <m/>
    <s v="Below Average"/>
    <n v="1908"/>
  </r>
  <r>
    <s v="Kaine Padly"/>
    <s v="USA"/>
    <x v="6"/>
    <d v="2022-03-08T00:00:00"/>
    <s v="08/03/2022"/>
    <s v="2022"/>
    <s v="08"/>
    <n v="70"/>
    <n v="27"/>
    <m/>
    <m/>
    <s v="Below Average"/>
    <n v="3260"/>
  </r>
  <r>
    <s v="Ches Bonnell"/>
    <s v="USA"/>
    <x v="7"/>
    <d v="2022-10-06T00:00:00"/>
    <s v="06/10/2022"/>
    <s v="2022"/>
    <s v="06"/>
    <n v="1743"/>
    <n v="69"/>
    <m/>
    <m/>
    <s v="Below Average"/>
    <n v="2716"/>
  </r>
  <r>
    <s v="Gunar Cockshoot"/>
    <s v="UK"/>
    <x v="15"/>
    <s v="27/06/2022"/>
    <s v="27/06/2022"/>
    <s v="2022"/>
    <s v="27/06/2022"/>
    <n v="6762"/>
    <n v="46"/>
    <m/>
    <m/>
    <s v="Above Average"/>
    <n v="1251"/>
  </r>
  <r>
    <s v="Marney O'Breen"/>
    <s v="Australia"/>
    <x v="3"/>
    <d v="2022-03-01T00:00:00"/>
    <s v="01/03/2022"/>
    <s v="2022"/>
    <s v="01"/>
    <n v="3745"/>
    <n v="170"/>
    <m/>
    <m/>
    <s v="Below Average"/>
    <n v="2056"/>
  </r>
  <r>
    <s v="Marney O'Breen"/>
    <s v="India"/>
    <x v="5"/>
    <d v="2022-11-07T00:00:00"/>
    <s v="07/11/2022"/>
    <s v="2022"/>
    <s v="07"/>
    <n v="2639"/>
    <n v="179"/>
    <m/>
    <m/>
    <s v="Below Average"/>
    <n v="2426"/>
  </r>
  <r>
    <s v="Ches Bonnell"/>
    <s v="New Zealand"/>
    <x v="11"/>
    <s v="17/08/2022"/>
    <s v="17/08/2022"/>
    <s v="2022"/>
    <s v="17/08/2022"/>
    <n v="4389"/>
    <n v="126"/>
    <m/>
    <m/>
    <s v="Below Average"/>
    <n v="1878"/>
  </r>
  <r>
    <s v="Rafaelita Blaksland"/>
    <s v="USA"/>
    <x v="13"/>
    <s v="18/01/2022"/>
    <s v="18/01/2022"/>
    <s v="2022"/>
    <s v="18/01/2022"/>
    <n v="2604"/>
    <n v="65"/>
    <m/>
    <m/>
    <s v="Below Average"/>
    <n v="2439"/>
  </r>
  <r>
    <s v="Ches Bonnell"/>
    <s v="India"/>
    <x v="10"/>
    <d v="2022-08-03T00:00:00"/>
    <s v="03/08/2022"/>
    <s v="2022"/>
    <s v="03"/>
    <n v="16569"/>
    <n v="99"/>
    <m/>
    <m/>
    <s v="Above Average"/>
    <n v="81"/>
  </r>
  <r>
    <s v="Mallorie Waber"/>
    <s v="Australia"/>
    <x v="7"/>
    <d v="2022-07-03T00:00:00"/>
    <s v="03/07/2022"/>
    <s v="2022"/>
    <s v="03"/>
    <n v="14658"/>
    <n v="275"/>
    <m/>
    <m/>
    <s v="Above Average"/>
    <n v="167"/>
  </r>
  <r>
    <s v="Husein Augar"/>
    <s v="India"/>
    <x v="21"/>
    <d v="2022-09-05T00:00:00"/>
    <s v="05/09/2022"/>
    <s v="2022"/>
    <s v="05"/>
    <n v="6454"/>
    <n v="157"/>
    <m/>
    <m/>
    <s v="Above Average"/>
    <n v="1317"/>
  </r>
  <r>
    <s v="Barr Faughny"/>
    <s v="New Zealand"/>
    <x v="1"/>
    <s v="23/05/2022"/>
    <s v="23/05/2022"/>
    <s v="2022"/>
    <s v="23/05/2022"/>
    <n v="2100"/>
    <n v="157"/>
    <m/>
    <m/>
    <s v="Below Average"/>
    <n v="2601"/>
  </r>
  <r>
    <s v="Madelene Upcott"/>
    <s v="UK"/>
    <x v="20"/>
    <s v="15/04/2022"/>
    <s v="15/04/2022"/>
    <s v="2022"/>
    <s v="15/04/2022"/>
    <n v="161"/>
    <n v="145"/>
    <m/>
    <m/>
    <s v="Below Average"/>
    <n v="3228"/>
  </r>
  <r>
    <s v="Gigi Bohling"/>
    <s v="Australia"/>
    <x v="9"/>
    <s v="27/07/2022"/>
    <s v="27/07/2022"/>
    <s v="2022"/>
    <s v="27/07/2022"/>
    <n v="2807"/>
    <n v="139"/>
    <m/>
    <m/>
    <s v="Below Average"/>
    <n v="2369"/>
  </r>
  <r>
    <s v="Marney O'Breen"/>
    <s v="Canada"/>
    <x v="18"/>
    <s v="22/08/2022"/>
    <s v="22/08/2022"/>
    <s v="2022"/>
    <s v="22/08/2022"/>
    <n v="2639"/>
    <n v="406"/>
    <m/>
    <m/>
    <s v="Below Average"/>
    <n v="2426"/>
  </r>
  <r>
    <s v="Ches Bonnell"/>
    <s v="USA"/>
    <x v="21"/>
    <d v="2022-11-05T00:00:00"/>
    <s v="05/11/2022"/>
    <s v="2022"/>
    <s v="05"/>
    <n v="4571"/>
    <n v="122"/>
    <m/>
    <m/>
    <s v="Below Average"/>
    <n v="1828"/>
  </r>
  <r>
    <s v="Madelene Upcott"/>
    <s v="India"/>
    <x v="10"/>
    <s v="26/01/2022"/>
    <s v="26/01/2022"/>
    <s v="2022"/>
    <s v="26/01/2022"/>
    <n v="4781"/>
    <n v="38"/>
    <m/>
    <m/>
    <s v="Below Average"/>
    <n v="1773"/>
  </r>
  <r>
    <s v="Barr Faughny"/>
    <s v="USA"/>
    <x v="6"/>
    <s v="14/04/2022"/>
    <s v="14/04/2022"/>
    <s v="2022"/>
    <s v="14/04/2022"/>
    <n v="13034"/>
    <n v="117"/>
    <m/>
    <m/>
    <s v="Above Average"/>
    <n v="266"/>
  </r>
  <r>
    <s v="Dennison Crosswaite"/>
    <s v="New Zealand"/>
    <x v="0"/>
    <d v="2022-05-04T00:00:00"/>
    <s v="04/05/2022"/>
    <s v="2022"/>
    <s v="04"/>
    <n v="6454"/>
    <n v="417"/>
    <m/>
    <m/>
    <s v="Above Average"/>
    <n v="1317"/>
  </r>
  <r>
    <s v="Marney O'Breen"/>
    <s v="New Zealand"/>
    <x v="3"/>
    <s v="14/06/2022"/>
    <s v="14/06/2022"/>
    <s v="2022"/>
    <s v="14/06/2022"/>
    <n v="8484"/>
    <n v="57"/>
    <m/>
    <m/>
    <s v="Above Average"/>
    <n v="840"/>
  </r>
  <r>
    <s v="Brien Boise"/>
    <s v="Canada"/>
    <x v="16"/>
    <s v="13/04/2022"/>
    <s v="13/04/2022"/>
    <s v="2022"/>
    <s v="13/04/2022"/>
    <n v="4781"/>
    <n v="125"/>
    <m/>
    <m/>
    <s v="Below Average"/>
    <n v="1773"/>
  </r>
  <r>
    <s v="Beverie Moffet"/>
    <s v="Australia"/>
    <x v="14"/>
    <s v="27/06/2022"/>
    <s v="27/06/2022"/>
    <s v="2022"/>
    <s v="27/06/2022"/>
    <n v="2240"/>
    <n v="166"/>
    <m/>
    <m/>
    <s v="Below Average"/>
    <n v="2569"/>
  </r>
  <r>
    <s v="Dotty Strutley"/>
    <s v="Australia"/>
    <x v="8"/>
    <s v="26/01/2022"/>
    <s v="26/01/2022"/>
    <s v="2022"/>
    <s v="26/01/2022"/>
    <n v="6979"/>
    <n v="3"/>
    <m/>
    <m/>
    <s v="Above Average"/>
    <n v="1189"/>
  </r>
  <r>
    <s v="Barr Faughny"/>
    <s v="UK"/>
    <x v="14"/>
    <d v="2022-05-07T00:00:00"/>
    <s v="07/05/2022"/>
    <s v="2022"/>
    <s v="07"/>
    <n v="1652"/>
    <n v="72"/>
    <m/>
    <m/>
    <s v="Below Average"/>
    <n v="2750"/>
  </r>
  <r>
    <s v="Beverie Moffet"/>
    <s v="Canada"/>
    <x v="19"/>
    <d v="2022-11-01T00:00:00"/>
    <s v="01/11/2022"/>
    <s v="2022"/>
    <s v="01"/>
    <n v="13447"/>
    <n v="95"/>
    <m/>
    <m/>
    <s v="Above Average"/>
    <n v="238"/>
  </r>
  <r>
    <s v="Kelci Walkden"/>
    <s v="USA"/>
    <x v="14"/>
    <d v="2022-07-03T00:00:00"/>
    <s v="03/07/2022"/>
    <s v="2022"/>
    <s v="03"/>
    <n v="9422"/>
    <n v="22"/>
    <m/>
    <m/>
    <s v="Above Average"/>
    <n v="670"/>
  </r>
  <r>
    <s v="Kaine Padly"/>
    <s v="Canada"/>
    <x v="6"/>
    <d v="2022-04-03T00:00:00"/>
    <s v="03/04/2022"/>
    <s v="2022"/>
    <s v="03"/>
    <n v="8687"/>
    <n v="100"/>
    <m/>
    <m/>
    <s v="Above Average"/>
    <n v="800"/>
  </r>
  <r>
    <s v="Karlen McCaffrey"/>
    <s v="Canada"/>
    <x v="10"/>
    <s v="15/07/2022"/>
    <s v="15/07/2022"/>
    <s v="2022"/>
    <s v="15/07/2022"/>
    <n v="2415"/>
    <n v="312"/>
    <m/>
    <m/>
    <s v="Below Average"/>
    <n v="2509"/>
  </r>
  <r>
    <s v="Kaine Padly"/>
    <s v="UK"/>
    <x v="2"/>
    <d v="2022-11-05T00:00:00"/>
    <s v="05/11/2022"/>
    <s v="2022"/>
    <s v="05"/>
    <n v="6272"/>
    <n v="86"/>
    <m/>
    <m/>
    <s v="Above Average"/>
    <n v="1365"/>
  </r>
  <r>
    <s v="Karlen McCaffrey"/>
    <s v="USA"/>
    <x v="11"/>
    <s v="27/01/2022"/>
    <s v="27/01/2022"/>
    <s v="2022"/>
    <s v="27/01/2022"/>
    <n v="4389"/>
    <n v="7"/>
    <m/>
    <m/>
    <s v="Below Average"/>
    <n v="1878"/>
  </r>
  <r>
    <s v="Karlen McCaffrey"/>
    <s v="India"/>
    <x v="7"/>
    <s v="27/06/2022"/>
    <s v="27/06/2022"/>
    <s v="2022"/>
    <s v="27/06/2022"/>
    <n v="3122"/>
    <n v="149"/>
    <m/>
    <m/>
    <s v="Below Average"/>
    <n v="2261"/>
  </r>
  <r>
    <s v="Ches Bonnell"/>
    <s v="India"/>
    <x v="3"/>
    <d v="2022-03-08T00:00:00"/>
    <s v="08/03/2022"/>
    <s v="2022"/>
    <s v="08"/>
    <n v="8043"/>
    <n v="18"/>
    <m/>
    <m/>
    <s v="Above Average"/>
    <n v="930"/>
  </r>
  <r>
    <s v="Wilone O'Kielt"/>
    <s v="New Zealand"/>
    <x v="0"/>
    <s v="19/08/2022"/>
    <s v="19/08/2022"/>
    <s v="2022"/>
    <s v="19/08/2022"/>
    <n v="11662"/>
    <n v="242"/>
    <m/>
    <m/>
    <s v="Above Average"/>
    <n v="380"/>
  </r>
  <r>
    <s v="Wilone O'Kielt"/>
    <s v="Australia"/>
    <x v="13"/>
    <s v="15/06/2022"/>
    <s v="15/06/2022"/>
    <s v="2022"/>
    <s v="15/06/2022"/>
    <n v="392"/>
    <n v="102"/>
    <m/>
    <m/>
    <s v="Below Average"/>
    <n v="3165"/>
  </r>
  <r>
    <s v="Dennison Crosswaite"/>
    <s v="UK"/>
    <x v="2"/>
    <d v="2022-07-02T00:00:00"/>
    <s v="02/07/2022"/>
    <s v="2022"/>
    <s v="02"/>
    <n v="8925"/>
    <n v="158"/>
    <m/>
    <m/>
    <s v="Above Average"/>
    <n v="754"/>
  </r>
  <r>
    <s v="Karlen McCaffrey"/>
    <s v="Australia"/>
    <x v="16"/>
    <d v="2022-08-07T00:00:00"/>
    <s v="07/08/2022"/>
    <s v="2022"/>
    <s v="07"/>
    <n v="7294"/>
    <n v="128"/>
    <m/>
    <m/>
    <s v="Above Average"/>
    <n v="1112"/>
  </r>
  <r>
    <s v="Dennison Crosswaite"/>
    <s v="India"/>
    <x v="11"/>
    <s v="21/04/2022"/>
    <s v="21/04/2022"/>
    <s v="2022"/>
    <s v="21/04/2022"/>
    <n v="1526"/>
    <n v="96"/>
    <m/>
    <m/>
    <s v="Below Average"/>
    <n v="2799"/>
  </r>
  <r>
    <s v="Ches Bonnell"/>
    <s v="UK"/>
    <x v="0"/>
    <d v="2022-08-04T00:00:00"/>
    <s v="04/08/2022"/>
    <s v="2022"/>
    <s v="04"/>
    <n v="2688"/>
    <n v="209"/>
    <m/>
    <m/>
    <s v="Below Average"/>
    <n v="2408"/>
  </r>
  <r>
    <s v="Husein Augar"/>
    <s v="Australia"/>
    <x v="6"/>
    <s v="19/08/2022"/>
    <s v="19/08/2022"/>
    <s v="2022"/>
    <s v="19/08/2022"/>
    <n v="14889"/>
    <n v="52"/>
    <m/>
    <m/>
    <s v="Above Average"/>
    <n v="154"/>
  </r>
  <r>
    <s v="Jan Morforth"/>
    <s v="India"/>
    <x v="13"/>
    <d v="2022-04-05T00:00:00"/>
    <s v="05/04/2022"/>
    <s v="2022"/>
    <s v="05"/>
    <n v="2912"/>
    <n v="55"/>
    <m/>
    <m/>
    <s v="Below Average"/>
    <n v="2341"/>
  </r>
  <r>
    <s v="Mallorie Waber"/>
    <s v="USA"/>
    <x v="1"/>
    <d v="2022-11-05T00:00:00"/>
    <s v="05/11/2022"/>
    <s v="2022"/>
    <s v="05"/>
    <n v="2632"/>
    <n v="108"/>
    <m/>
    <m/>
    <s v="Below Average"/>
    <n v="2431"/>
  </r>
  <r>
    <s v="Mallorie Waber"/>
    <s v="USA"/>
    <x v="8"/>
    <s v="22/03/2022"/>
    <s v="22/03/2022"/>
    <s v="2022"/>
    <s v="22/03/2022"/>
    <n v="6328"/>
    <n v="51"/>
    <m/>
    <m/>
    <s v="Above Average"/>
    <n v="1345"/>
  </r>
  <r>
    <s v="Dennison Crosswaite"/>
    <s v="Canada"/>
    <x v="12"/>
    <d v="2022-10-08T00:00:00"/>
    <s v="08/10/2022"/>
    <s v="2022"/>
    <s v="08"/>
    <n v="2527"/>
    <n v="216"/>
    <m/>
    <m/>
    <s v="Below Average"/>
    <n v="2460"/>
  </r>
  <r>
    <s v="Dennison Crosswaite"/>
    <s v="USA"/>
    <x v="13"/>
    <d v="2022-04-05T00:00:00"/>
    <s v="05/04/2022"/>
    <s v="2022"/>
    <s v="05"/>
    <n v="1414"/>
    <n v="318"/>
    <m/>
    <m/>
    <s v="Below Average"/>
    <n v="2834"/>
  </r>
  <r>
    <s v="Kelci Walkden"/>
    <s v="USA"/>
    <x v="4"/>
    <s v="18/08/2022"/>
    <s v="18/08/2022"/>
    <s v="2022"/>
    <s v="18/08/2022"/>
    <n v="7714"/>
    <n v="238"/>
    <m/>
    <m/>
    <s v="Above Average"/>
    <n v="1010"/>
  </r>
  <r>
    <s v="Dotty Strutley"/>
    <s v="Canada"/>
    <x v="17"/>
    <d v="2022-03-08T00:00:00"/>
    <s v="08/03/2022"/>
    <s v="2022"/>
    <s v="08"/>
    <n v="4347"/>
    <n v="238"/>
    <m/>
    <m/>
    <s v="Below Average"/>
    <n v="1893"/>
  </r>
  <r>
    <s v="Marney O'Breen"/>
    <s v="New Zealand"/>
    <x v="11"/>
    <s v="14/01/2022"/>
    <s v="14/01/2022"/>
    <s v="2022"/>
    <s v="14/01/2022"/>
    <n v="7490"/>
    <n v="315"/>
    <m/>
    <m/>
    <s v="Above Average"/>
    <n v="1064"/>
  </r>
  <r>
    <s v="Madelene Upcott"/>
    <s v="Australia"/>
    <x v="18"/>
    <d v="2022-08-04T00:00:00"/>
    <s v="04/08/2022"/>
    <s v="2022"/>
    <s v="04"/>
    <n v="2058"/>
    <n v="72"/>
    <m/>
    <m/>
    <s v="Below Average"/>
    <n v="2613"/>
  </r>
  <r>
    <s v="Kelci Walkden"/>
    <s v="UK"/>
    <x v="7"/>
    <d v="2022-01-08T00:00:00"/>
    <s v="08/01/2022"/>
    <s v="2022"/>
    <s v="08"/>
    <n v="3640"/>
    <n v="3"/>
    <m/>
    <m/>
    <s v="Below Average"/>
    <n v="2091"/>
  </r>
  <r>
    <s v="Dennison Crosswaite"/>
    <s v="Canada"/>
    <x v="8"/>
    <s v="15/03/2022"/>
    <s v="15/03/2022"/>
    <s v="2022"/>
    <s v="15/03/2022"/>
    <n v="455"/>
    <n v="45"/>
    <m/>
    <m/>
    <s v="Below Average"/>
    <n v="3149"/>
  </r>
  <r>
    <s v="Karlen McCaffrey"/>
    <s v="India"/>
    <x v="0"/>
    <s v="15/07/2022"/>
    <s v="15/07/2022"/>
    <s v="2022"/>
    <s v="15/07/2022"/>
    <n v="10990"/>
    <n v="184"/>
    <m/>
    <m/>
    <s v="Above Average"/>
    <n v="440"/>
  </r>
  <r>
    <s v="Barr Faughny"/>
    <s v="New Zealand"/>
    <x v="16"/>
    <s v="13/01/2022"/>
    <s v="13/01/2022"/>
    <s v="2022"/>
    <s v="13/01/2022"/>
    <n v="5558"/>
    <n v="127"/>
    <m/>
    <m/>
    <s v="Below Average"/>
    <n v="1554"/>
  </r>
  <r>
    <s v="Mallorie Waber"/>
    <s v="Australia"/>
    <x v="1"/>
    <s v="26/08/2022"/>
    <s v="26/08/2022"/>
    <s v="2022"/>
    <s v="26/08/2022"/>
    <n v="2541"/>
    <n v="53"/>
    <m/>
    <m/>
    <s v="Below Average"/>
    <n v="2454"/>
  </r>
  <r>
    <s v="Ches Bonnell"/>
    <s v="Canada"/>
    <x v="8"/>
    <d v="2022-10-01T00:00:00"/>
    <s v="01/10/2022"/>
    <s v="2022"/>
    <s v="01"/>
    <n v="1876"/>
    <n v="172"/>
    <m/>
    <m/>
    <s v="Below Average"/>
    <n v="2672"/>
  </r>
  <r>
    <s v="Gigi Bohling"/>
    <s v="Australia"/>
    <x v="14"/>
    <d v="2022-11-05T00:00:00"/>
    <s v="05/11/2022"/>
    <s v="2022"/>
    <s v="05"/>
    <n v="5523"/>
    <n v="87"/>
    <m/>
    <m/>
    <s v="Below Average"/>
    <n v="1560"/>
  </r>
  <r>
    <s v="Beverie Moffet"/>
    <s v="New Zealand"/>
    <x v="1"/>
    <s v="30/08/2022"/>
    <s v="30/08/2022"/>
    <s v="2022"/>
    <s v="30/08/2022"/>
    <n v="11200"/>
    <n v="22"/>
    <m/>
    <m/>
    <s v="Above Average"/>
    <n v="426"/>
  </r>
  <r>
    <s v="Kaine Padly"/>
    <s v="USA"/>
    <x v="20"/>
    <s v="21/07/2022"/>
    <s v="21/07/2022"/>
    <s v="2022"/>
    <s v="21/07/2022"/>
    <n v="5593"/>
    <n v="122"/>
    <m/>
    <m/>
    <s v="Below Average"/>
    <n v="1547"/>
  </r>
  <r>
    <s v="Mallorie Waber"/>
    <s v="Australia"/>
    <x v="16"/>
    <d v="2022-01-08T00:00:00"/>
    <s v="08/01/2022"/>
    <s v="2022"/>
    <s v="08"/>
    <n v="7882"/>
    <n v="125"/>
    <m/>
    <m/>
    <s v="Above Average"/>
    <n v="977"/>
  </r>
  <r>
    <s v="Brien Boise"/>
    <s v="Canada"/>
    <x v="1"/>
    <s v="17/02/2022"/>
    <s v="17/02/2022"/>
    <s v="2022"/>
    <s v="17/02/2022"/>
    <n v="10241"/>
    <n v="259"/>
    <m/>
    <m/>
    <s v="Above Average"/>
    <n v="545"/>
  </r>
  <r>
    <s v="Brien Boise"/>
    <s v="Australia"/>
    <x v="9"/>
    <s v="27/07/2022"/>
    <s v="27/07/2022"/>
    <s v="2022"/>
    <s v="27/07/2022"/>
    <n v="6832"/>
    <n v="156"/>
    <m/>
    <m/>
    <s v="Above Average"/>
    <n v="1225"/>
  </r>
  <r>
    <s v="Dotty Strutley"/>
    <s v="USA"/>
    <x v="7"/>
    <s v="23/02/2022"/>
    <s v="23/02/2022"/>
    <s v="2022"/>
    <s v="23/02/2022"/>
    <n v="1379"/>
    <n v="107"/>
    <m/>
    <m/>
    <s v="Below Average"/>
    <n v="2846"/>
  </r>
  <r>
    <s v="Rafaelita Blaksland"/>
    <s v="Australia"/>
    <x v="6"/>
    <s v="22/03/2022"/>
    <s v="22/03/2022"/>
    <s v="2022"/>
    <s v="22/03/2022"/>
    <n v="3010"/>
    <n v="40"/>
    <m/>
    <m/>
    <s v="Below Average"/>
    <n v="2304"/>
  </r>
  <r>
    <s v="Dennison Crosswaite"/>
    <s v="India"/>
    <x v="4"/>
    <s v="23/06/2022"/>
    <s v="23/06/2022"/>
    <s v="2022"/>
    <s v="23/06/2022"/>
    <n v="6888"/>
    <n v="311"/>
    <m/>
    <m/>
    <s v="Above Average"/>
    <n v="1207"/>
  </r>
  <r>
    <s v="Curtice Advani"/>
    <s v="UK"/>
    <x v="14"/>
    <d v="2022-01-02T00:00:00"/>
    <s v="02/01/2022"/>
    <s v="2022"/>
    <s v="02"/>
    <n v="1540"/>
    <n v="73"/>
    <m/>
    <m/>
    <s v="Below Average"/>
    <n v="2793"/>
  </r>
  <r>
    <s v="Kelci Walkden"/>
    <s v="Australia"/>
    <x v="5"/>
    <d v="2022-02-03T00:00:00"/>
    <s v="03/02/2022"/>
    <s v="2022"/>
    <s v="03"/>
    <n v="6916"/>
    <n v="288"/>
    <m/>
    <m/>
    <s v="Above Average"/>
    <n v="1201"/>
  </r>
  <r>
    <s v="Gigi Bohling"/>
    <s v="UK"/>
    <x v="13"/>
    <d v="2022-06-04T00:00:00"/>
    <s v="04/06/2022"/>
    <s v="2022"/>
    <s v="04"/>
    <n v="1232"/>
    <n v="86"/>
    <m/>
    <m/>
    <s v="Below Average"/>
    <n v="2895"/>
  </r>
  <r>
    <s v="Gunar Cockshoot"/>
    <s v="Australia"/>
    <x v="17"/>
    <s v="17/03/2022"/>
    <s v="17/03/2022"/>
    <s v="2022"/>
    <s v="17/03/2022"/>
    <n v="602"/>
    <n v="72"/>
    <m/>
    <m/>
    <s v="Below Average"/>
    <n v="3098"/>
  </r>
  <r>
    <s v="Curtice Advani"/>
    <s v="UK"/>
    <x v="13"/>
    <s v="24/06/2022"/>
    <s v="24/06/2022"/>
    <s v="2022"/>
    <s v="24/06/2022"/>
    <n v="10927"/>
    <n v="136"/>
    <m/>
    <m/>
    <s v="Above Average"/>
    <n v="450"/>
  </r>
  <r>
    <s v="Barr Faughny"/>
    <s v="Canada"/>
    <x v="6"/>
    <s v="19/07/2022"/>
    <s v="19/07/2022"/>
    <s v="2022"/>
    <s v="19/07/2022"/>
    <n v="10185"/>
    <n v="303"/>
    <m/>
    <m/>
    <s v="Above Average"/>
    <n v="555"/>
  </r>
  <r>
    <s v="Curtice Advani"/>
    <s v="USA"/>
    <x v="12"/>
    <d v="2022-11-07T00:00:00"/>
    <s v="07/11/2022"/>
    <s v="2022"/>
    <s v="07"/>
    <n v="1603"/>
    <n v="264"/>
    <m/>
    <m/>
    <s v="Below Average"/>
    <n v="2770"/>
  </r>
  <r>
    <s v="Brien Boise"/>
    <s v="India"/>
    <x v="16"/>
    <s v="13/01/2022"/>
    <s v="13/01/2022"/>
    <s v="2022"/>
    <s v="13/01/2022"/>
    <n v="2170"/>
    <n v="218"/>
    <m/>
    <m/>
    <s v="Below Average"/>
    <n v="2586"/>
  </r>
  <r>
    <s v="Oby Sorrel"/>
    <s v="New Zealand"/>
    <x v="3"/>
    <d v="2022-07-07T00:00:00"/>
    <s v="07/07/2022"/>
    <s v="2022"/>
    <s v="07"/>
    <n v="8673"/>
    <n v="60"/>
    <m/>
    <m/>
    <s v="Above Average"/>
    <n v="803"/>
  </r>
  <r>
    <s v="Jan Morforth"/>
    <s v="India"/>
    <x v="1"/>
    <s v="25/05/2022"/>
    <s v="25/05/2022"/>
    <s v="2022"/>
    <s v="25/05/2022"/>
    <n v="4760"/>
    <n v="418"/>
    <m/>
    <m/>
    <s v="Below Average"/>
    <n v="1780"/>
  </r>
  <r>
    <s v="Marney O'Breen"/>
    <s v="India"/>
    <x v="13"/>
    <s v="13/04/2022"/>
    <s v="13/04/2022"/>
    <s v="2022"/>
    <s v="13/04/2022"/>
    <n v="4753"/>
    <n v="151"/>
    <m/>
    <m/>
    <s v="Below Average"/>
    <n v="1783"/>
  </r>
  <r>
    <s v="Andria Kimpton"/>
    <s v="New Zealand"/>
    <x v="6"/>
    <d v="2022-02-03T00:00:00"/>
    <s v="03/02/2022"/>
    <s v="2022"/>
    <s v="03"/>
    <n v="3374"/>
    <n v="202"/>
    <m/>
    <m/>
    <s v="Below Average"/>
    <n v="2188"/>
  </r>
  <r>
    <s v="Gunar Cockshoot"/>
    <s v="Canada"/>
    <x v="17"/>
    <s v="23/06/2022"/>
    <s v="23/06/2022"/>
    <s v="2022"/>
    <s v="23/06/2022"/>
    <n v="2058"/>
    <n v="126"/>
    <m/>
    <m/>
    <s v="Below Average"/>
    <n v="2613"/>
  </r>
  <r>
    <s v="Kelci Walkden"/>
    <s v="USA"/>
    <x v="9"/>
    <s v="26/07/2022"/>
    <s v="26/07/2022"/>
    <s v="2022"/>
    <s v="26/07/2022"/>
    <n v="6454"/>
    <n v="160"/>
    <m/>
    <m/>
    <s v="Above Average"/>
    <n v="1317"/>
  </r>
  <r>
    <s v="Van Tuxwell"/>
    <s v="Canada"/>
    <x v="14"/>
    <s v="22/03/2022"/>
    <s v="22/03/2022"/>
    <s v="2022"/>
    <s v="22/03/2022"/>
    <n v="420"/>
    <n v="3"/>
    <m/>
    <m/>
    <s v="Below Average"/>
    <n v="3160"/>
  </r>
  <r>
    <s v="Rafaelita Blaksland"/>
    <s v="USA"/>
    <x v="19"/>
    <d v="2022-09-06T00:00:00"/>
    <s v="06/09/2022"/>
    <s v="2022"/>
    <s v="06"/>
    <n v="2863"/>
    <n v="58"/>
    <m/>
    <m/>
    <s v="Below Average"/>
    <n v="2352"/>
  </r>
  <r>
    <s v="Van Tuxwell"/>
    <s v="Australia"/>
    <x v="20"/>
    <s v="17/05/2022"/>
    <s v="17/05/2022"/>
    <s v="2022"/>
    <s v="17/05/2022"/>
    <n v="5936"/>
    <n v="59"/>
    <m/>
    <m/>
    <s v="Below Average"/>
    <n v="1445"/>
  </r>
  <r>
    <s v="Ches Bonnell"/>
    <s v="New Zealand"/>
    <x v="2"/>
    <d v="2022-04-03T00:00:00"/>
    <s v="03/04/2022"/>
    <s v="2022"/>
    <s v="03"/>
    <n v="889"/>
    <n v="273"/>
    <m/>
    <m/>
    <s v="Below Average"/>
    <n v="3006"/>
  </r>
  <r>
    <s v="Kelci Walkden"/>
    <s v="Canada"/>
    <x v="11"/>
    <d v="2022-07-07T00:00:00"/>
    <s v="07/07/2022"/>
    <s v="2022"/>
    <s v="07"/>
    <n v="16016"/>
    <n v="28"/>
    <m/>
    <m/>
    <s v="Above Average"/>
    <n v="100"/>
  </r>
  <r>
    <s v="Dennison Crosswaite"/>
    <s v="Canada"/>
    <x v="18"/>
    <s v="13/01/2022"/>
    <s v="13/01/2022"/>
    <s v="2022"/>
    <s v="13/01/2022"/>
    <n v="10479"/>
    <n v="118"/>
    <m/>
    <m/>
    <s v="Above Average"/>
    <n v="512"/>
  </r>
  <r>
    <s v="Curtice Advani"/>
    <s v="Australia"/>
    <x v="16"/>
    <s v="13/07/2022"/>
    <s v="13/07/2022"/>
    <s v="2022"/>
    <s v="13/07/2022"/>
    <n v="2912"/>
    <n v="75"/>
    <m/>
    <m/>
    <s v="Below Average"/>
    <n v="2341"/>
  </r>
  <r>
    <s v="Madelene Upcott"/>
    <s v="Australia"/>
    <x v="1"/>
    <s v="16/06/2022"/>
    <s v="16/06/2022"/>
    <s v="2022"/>
    <s v="16/06/2022"/>
    <n v="1575"/>
    <n v="329"/>
    <m/>
    <m/>
    <s v="Below Average"/>
    <n v="2781"/>
  </r>
  <r>
    <s v="Gigi Bohling"/>
    <s v="UK"/>
    <x v="6"/>
    <s v="18/07/2022"/>
    <s v="18/07/2022"/>
    <s v="2022"/>
    <s v="18/07/2022"/>
    <n v="8197"/>
    <n v="69"/>
    <m/>
    <m/>
    <s v="Above Average"/>
    <n v="893"/>
  </r>
  <r>
    <s v="Ches Bonnell"/>
    <s v="UK"/>
    <x v="15"/>
    <s v="30/05/2022"/>
    <s v="30/05/2022"/>
    <s v="2022"/>
    <s v="30/05/2022"/>
    <n v="4221"/>
    <n v="395"/>
    <m/>
    <m/>
    <s v="Below Average"/>
    <n v="1921"/>
  </r>
  <r>
    <s v="Gigi Bohling"/>
    <s v="UK"/>
    <x v="21"/>
    <s v="21/06/2022"/>
    <s v="21/06/2022"/>
    <s v="2022"/>
    <s v="21/06/2022"/>
    <n v="840"/>
    <n v="81"/>
    <m/>
    <m/>
    <s v="Below Average"/>
    <n v="3020"/>
  </r>
  <r>
    <s v="Jehu Rudeforth"/>
    <s v="Australia"/>
    <x v="2"/>
    <s v="24/06/2022"/>
    <s v="24/06/2022"/>
    <s v="2022"/>
    <s v="24/06/2022"/>
    <n v="5691"/>
    <n v="38"/>
    <m/>
    <m/>
    <s v="Below Average"/>
    <n v="1518"/>
  </r>
  <r>
    <s v="Marney O'Breen"/>
    <s v="India"/>
    <x v="8"/>
    <s v="13/01/2022"/>
    <s v="13/01/2022"/>
    <s v="2022"/>
    <s v="13/01/2022"/>
    <n v="3472"/>
    <n v="96"/>
    <m/>
    <m/>
    <s v="Below Average"/>
    <n v="2146"/>
  </r>
  <r>
    <s v="Curtice Advani"/>
    <s v="Canada"/>
    <x v="13"/>
    <d v="2022-04-04T00:00:00"/>
    <s v="04/04/2022"/>
    <s v="2022"/>
    <s v="04"/>
    <n v="4193"/>
    <n v="195"/>
    <m/>
    <m/>
    <s v="Below Average"/>
    <n v="1931"/>
  </r>
  <r>
    <s v="Kaine Padly"/>
    <s v="UK"/>
    <x v="3"/>
    <d v="2022-08-06T00:00:00"/>
    <s v="06/08/2022"/>
    <s v="2022"/>
    <s v="06"/>
    <n v="9016"/>
    <n v="554"/>
    <m/>
    <m/>
    <s v="Above Average"/>
    <n v="735"/>
  </r>
  <r>
    <s v="Karlen McCaffrey"/>
    <s v="Canada"/>
    <x v="12"/>
    <d v="2022-02-08T00:00:00"/>
    <s v="08/02/2022"/>
    <s v="2022"/>
    <s v="08"/>
    <n v="6328"/>
    <n v="47"/>
    <m/>
    <m/>
    <s v="Above Average"/>
    <n v="1345"/>
  </r>
  <r>
    <s v="Kelci Walkden"/>
    <s v="USA"/>
    <x v="10"/>
    <s v="21/07/2022"/>
    <s v="21/07/2022"/>
    <s v="2022"/>
    <s v="21/07/2022"/>
    <n v="9870"/>
    <n v="152"/>
    <m/>
    <m/>
    <s v="Above Average"/>
    <n v="600"/>
  </r>
  <r>
    <s v="Curtice Advani"/>
    <s v="India"/>
    <x v="12"/>
    <s v="20/06/2022"/>
    <s v="20/06/2022"/>
    <s v="2022"/>
    <s v="20/06/2022"/>
    <n v="161"/>
    <n v="134"/>
    <m/>
    <m/>
    <s v="Below Average"/>
    <n v="3228"/>
  </r>
  <r>
    <s v="Roddy Speechley"/>
    <s v="India"/>
    <x v="5"/>
    <s v="22/06/2022"/>
    <s v="22/06/2022"/>
    <s v="2022"/>
    <s v="22/06/2022"/>
    <n v="2576"/>
    <n v="112"/>
    <m/>
    <m/>
    <s v="Below Average"/>
    <n v="2448"/>
  </r>
  <r>
    <s v="Camilla Castle"/>
    <s v="Australia"/>
    <x v="20"/>
    <d v="2022-02-05T00:00:00"/>
    <s v="05/02/2022"/>
    <s v="2022"/>
    <s v="05"/>
    <n v="3178"/>
    <n v="16"/>
    <m/>
    <m/>
    <s v="Below Average"/>
    <n v="2239"/>
  </r>
  <r>
    <s v="Curtice Advani"/>
    <s v="Australia"/>
    <x v="4"/>
    <d v="2022-07-01T00:00:00"/>
    <s v="01/07/2022"/>
    <s v="2022"/>
    <s v="01"/>
    <n v="4676"/>
    <n v="84"/>
    <m/>
    <m/>
    <s v="Below Average"/>
    <n v="1805"/>
  </r>
  <r>
    <s v="Mallorie Waber"/>
    <s v="UK"/>
    <x v="6"/>
    <s v="21/02/2022"/>
    <s v="21/02/2022"/>
    <s v="2022"/>
    <s v="21/02/2022"/>
    <n v="5502"/>
    <n v="99"/>
    <m/>
    <m/>
    <s v="Below Average"/>
    <n v="1567"/>
  </r>
  <r>
    <s v="Ches Bonnell"/>
    <s v="Canada"/>
    <x v="19"/>
    <s v="21/03/2022"/>
    <s v="21/03/2022"/>
    <s v="2022"/>
    <s v="21/03/2022"/>
    <n v="7462"/>
    <n v="371"/>
    <m/>
    <m/>
    <s v="Above Average"/>
    <n v="1075"/>
  </r>
  <r>
    <s v="Van Tuxwell"/>
    <s v="UK"/>
    <x v="9"/>
    <d v="2022-04-04T00:00:00"/>
    <s v="04/04/2022"/>
    <s v="2022"/>
    <s v="04"/>
    <n v="5803"/>
    <n v="136"/>
    <m/>
    <m/>
    <s v="Below Average"/>
    <n v="1486"/>
  </r>
  <r>
    <s v="Gunar Cockshoot"/>
    <s v="Canada"/>
    <x v="13"/>
    <s v="24/03/2022"/>
    <s v="24/03/2022"/>
    <s v="2022"/>
    <s v="24/03/2022"/>
    <n v="13888"/>
    <n v="203"/>
    <m/>
    <m/>
    <s v="Above Average"/>
    <n v="214"/>
  </r>
  <r>
    <s v="Gunar Cockshoot"/>
    <s v="New Zealand"/>
    <x v="12"/>
    <s v="28/06/2022"/>
    <s v="28/06/2022"/>
    <s v="2022"/>
    <s v="28/06/2022"/>
    <n v="6867"/>
    <n v="183"/>
    <m/>
    <m/>
    <s v="Above Average"/>
    <n v="1217"/>
  </r>
  <r>
    <s v="Gunar Cockshoot"/>
    <s v="Australia"/>
    <x v="9"/>
    <s v="14/01/2022"/>
    <s v="14/01/2022"/>
    <s v="2022"/>
    <s v="14/01/2022"/>
    <n v="2317"/>
    <n v="195"/>
    <m/>
    <m/>
    <s v="Below Average"/>
    <n v="2542"/>
  </r>
  <r>
    <s v="Karlen McCaffrey"/>
    <s v="New Zealand"/>
    <x v="13"/>
    <d v="2022-07-02T00:00:00"/>
    <s v="02/07/2022"/>
    <s v="2022"/>
    <s v="02"/>
    <n v="1218"/>
    <n v="135"/>
    <m/>
    <m/>
    <s v="Below Average"/>
    <n v="2901"/>
  </r>
  <r>
    <s v="Dennison Crosswaite"/>
    <s v="New Zealand"/>
    <x v="9"/>
    <d v="2022-11-01T00:00:00"/>
    <s v="01/11/2022"/>
    <s v="2022"/>
    <s v="01"/>
    <n v="4109"/>
    <n v="197"/>
    <m/>
    <m/>
    <s v="Below Average"/>
    <n v="1956"/>
  </r>
  <r>
    <s v="Jehu Rudeforth"/>
    <s v="India"/>
    <x v="4"/>
    <s v="25/02/2022"/>
    <s v="25/02/2022"/>
    <s v="2022"/>
    <s v="25/02/2022"/>
    <n v="1953"/>
    <n v="242"/>
    <m/>
    <m/>
    <s v="Below Average"/>
    <n v="2648"/>
  </r>
  <r>
    <s v="Dotty Strutley"/>
    <s v="Australia"/>
    <x v="0"/>
    <d v="2022-01-08T00:00:00"/>
    <s v="08/01/2022"/>
    <s v="2022"/>
    <s v="08"/>
    <n v="6790"/>
    <n v="25"/>
    <m/>
    <m/>
    <s v="Above Average"/>
    <n v="1241"/>
  </r>
  <r>
    <s v="Roddy Speechley"/>
    <s v="Australia"/>
    <x v="0"/>
    <d v="2022-05-05T00:00:00"/>
    <s v="05/05/2022"/>
    <s v="2022"/>
    <s v="05"/>
    <n v="6797"/>
    <n v="252"/>
    <m/>
    <m/>
    <s v="Above Average"/>
    <n v="1238"/>
  </r>
  <r>
    <s v="Madelene Upcott"/>
    <s v="New Zealand"/>
    <x v="17"/>
    <s v="18/05/2022"/>
    <s v="18/05/2022"/>
    <s v="2022"/>
    <s v="18/05/2022"/>
    <n v="9226"/>
    <n v="415"/>
    <m/>
    <m/>
    <s v="Above Average"/>
    <n v="700"/>
  </r>
  <r>
    <s v="Dotty Strutley"/>
    <s v="New Zealand"/>
    <x v="18"/>
    <d v="2022-04-01T00:00:00"/>
    <s v="01/04/2022"/>
    <s v="2022"/>
    <s v="01"/>
    <n v="5733"/>
    <n v="348"/>
    <m/>
    <m/>
    <s v="Below Average"/>
    <n v="1510"/>
  </r>
  <r>
    <s v="Roddy Speechley"/>
    <s v="New Zealand"/>
    <x v="6"/>
    <d v="2022-09-05T00:00:00"/>
    <s v="05/09/2022"/>
    <s v="2022"/>
    <s v="05"/>
    <n v="4312"/>
    <n v="211"/>
    <m/>
    <m/>
    <s v="Below Average"/>
    <n v="1902"/>
  </r>
  <r>
    <s v="Rafaelita Blaksland"/>
    <s v="India"/>
    <x v="3"/>
    <d v="2022-06-05T00:00:00"/>
    <s v="05/06/2022"/>
    <s v="2022"/>
    <s v="05"/>
    <n v="1638"/>
    <n v="81"/>
    <m/>
    <m/>
    <s v="Below Average"/>
    <n v="2758"/>
  </r>
  <r>
    <s v="Husein Augar"/>
    <s v="UK"/>
    <x v="14"/>
    <s v="13/01/2022"/>
    <s v="13/01/2022"/>
    <s v="2022"/>
    <s v="13/01/2022"/>
    <n v="10815"/>
    <n v="145"/>
    <m/>
    <m/>
    <s v="Above Average"/>
    <n v="470"/>
  </r>
  <r>
    <s v="Roddy Speechley"/>
    <s v="Australia"/>
    <x v="16"/>
    <s v="24/06/2022"/>
    <s v="24/06/2022"/>
    <s v="2022"/>
    <s v="24/06/2022"/>
    <n v="4466"/>
    <n v="74"/>
    <m/>
    <m/>
    <s v="Below Average"/>
    <n v="1861"/>
  </r>
  <r>
    <s v="Van Tuxwell"/>
    <s v="USA"/>
    <x v="20"/>
    <s v="14/02/2022"/>
    <s v="14/02/2022"/>
    <s v="2022"/>
    <s v="14/02/2022"/>
    <n v="987"/>
    <n v="21"/>
    <m/>
    <m/>
    <s v="Below Average"/>
    <n v="2978"/>
  </r>
  <r>
    <s v="Camilla Castle"/>
    <s v="Australia"/>
    <x v="4"/>
    <s v="18/01/2022"/>
    <s v="18/01/2022"/>
    <s v="2022"/>
    <s v="18/01/2022"/>
    <n v="4669"/>
    <n v="101"/>
    <m/>
    <m/>
    <s v="Below Average"/>
    <n v="1808"/>
  </r>
  <r>
    <s v="Kaine Padly"/>
    <s v="India"/>
    <x v="11"/>
    <d v="2022-02-05T00:00:00"/>
    <s v="05/02/2022"/>
    <s v="2022"/>
    <s v="05"/>
    <n v="2905"/>
    <n v="91"/>
    <m/>
    <m/>
    <s v="Below Average"/>
    <n v="2344"/>
  </r>
  <r>
    <s v="Ches Bonnell"/>
    <s v="Australia"/>
    <x v="3"/>
    <s v="16/05/2022"/>
    <s v="16/05/2022"/>
    <s v="2022"/>
    <s v="16/05/2022"/>
    <n v="7490"/>
    <n v="54"/>
    <m/>
    <m/>
    <s v="Above Average"/>
    <n v="1064"/>
  </r>
  <r>
    <s v="Mallorie Waber"/>
    <s v="USA"/>
    <x v="16"/>
    <s v="28/01/2022"/>
    <s v="28/01/2022"/>
    <s v="2022"/>
    <s v="28/01/2022"/>
    <n v="6986"/>
    <n v="368"/>
    <m/>
    <m/>
    <s v="Above Average"/>
    <n v="1184"/>
  </r>
  <r>
    <s v="Kaine Padly"/>
    <s v="Canada"/>
    <x v="4"/>
    <s v="24/06/2022"/>
    <s v="24/06/2022"/>
    <s v="2022"/>
    <s v="24/06/2022"/>
    <n v="1288"/>
    <n v="409"/>
    <m/>
    <m/>
    <s v="Below Average"/>
    <n v="2878"/>
  </r>
  <r>
    <s v="Oby Sorrel"/>
    <s v="UK"/>
    <x v="5"/>
    <s v="18/07/2022"/>
    <s v="18/07/2022"/>
    <s v="2022"/>
    <s v="18/07/2022"/>
    <n v="2345"/>
    <n v="104"/>
    <m/>
    <m/>
    <s v="Below Average"/>
    <n v="2532"/>
  </r>
  <r>
    <s v="Gunar Cockshoot"/>
    <s v="UK"/>
    <x v="8"/>
    <s v="13/04/2022"/>
    <s v="13/04/2022"/>
    <s v="2022"/>
    <s v="13/04/2022"/>
    <n v="3619"/>
    <n v="164"/>
    <m/>
    <m/>
    <s v="Below Average"/>
    <n v="2098"/>
  </r>
  <r>
    <s v="Dotty Strutley"/>
    <s v="USA"/>
    <x v="20"/>
    <s v="15/04/2022"/>
    <s v="15/04/2022"/>
    <s v="2022"/>
    <s v="15/04/2022"/>
    <n v="16982"/>
    <n v="76"/>
    <m/>
    <m/>
    <s v="Above Average"/>
    <n v="69"/>
  </r>
  <r>
    <s v="Jan Morforth"/>
    <s v="India"/>
    <x v="2"/>
    <d v="2022-04-01T00:00:00"/>
    <s v="01/04/2022"/>
    <s v="2022"/>
    <s v="01"/>
    <n v="8092"/>
    <n v="178"/>
    <m/>
    <m/>
    <s v="Above Average"/>
    <n v="919"/>
  </r>
  <r>
    <s v="Husein Augar"/>
    <s v="Australia"/>
    <x v="8"/>
    <d v="2022-04-07T00:00:00"/>
    <s v="07/04/2022"/>
    <s v="2022"/>
    <s v="07"/>
    <n v="6993"/>
    <n v="31"/>
    <m/>
    <m/>
    <s v="Above Average"/>
    <n v="1182"/>
  </r>
  <r>
    <s v="Beverie Moffet"/>
    <s v="USA"/>
    <x v="3"/>
    <s v="24/03/2022"/>
    <s v="24/03/2022"/>
    <s v="2022"/>
    <s v="24/03/2022"/>
    <n v="2317"/>
    <n v="352"/>
    <m/>
    <m/>
    <s v="Below Average"/>
    <n v="2542"/>
  </r>
  <r>
    <s v="Camilla Castle"/>
    <s v="Australia"/>
    <x v="15"/>
    <s v="17/03/2022"/>
    <s v="17/03/2022"/>
    <s v="2022"/>
    <s v="17/03/2022"/>
    <n v="637"/>
    <n v="169"/>
    <m/>
    <m/>
    <s v="Below Average"/>
    <n v="3087"/>
  </r>
  <r>
    <s v="Oby Sorrel"/>
    <s v="Australia"/>
    <x v="16"/>
    <s v="15/02/2022"/>
    <s v="15/02/2022"/>
    <s v="2022"/>
    <s v="15/02/2022"/>
    <n v="6034"/>
    <n v="223"/>
    <m/>
    <m/>
    <s v="Above Average"/>
    <n v="1426"/>
  </r>
  <r>
    <s v="Jan Morforth"/>
    <s v="USA"/>
    <x v="7"/>
    <s v="29/06/2022"/>
    <s v="29/06/2022"/>
    <s v="2022"/>
    <s v="29/06/2022"/>
    <n v="980"/>
    <n v="146"/>
    <m/>
    <m/>
    <s v="Below Average"/>
    <n v="2979"/>
  </r>
  <r>
    <s v="Gigi Bohling"/>
    <s v="USA"/>
    <x v="13"/>
    <s v="24/05/2022"/>
    <s v="24/05/2022"/>
    <s v="2022"/>
    <s v="24/05/2022"/>
    <n v="2821"/>
    <n v="112"/>
    <m/>
    <m/>
    <s v="Below Average"/>
    <n v="2363"/>
  </r>
  <r>
    <s v="Mallorie Waber"/>
    <s v="UK"/>
    <x v="11"/>
    <d v="2022-10-01T00:00:00"/>
    <s v="01/10/2022"/>
    <s v="2022"/>
    <s v="01"/>
    <n v="3563"/>
    <n v="284"/>
    <m/>
    <m/>
    <s v="Below Average"/>
    <n v="2121"/>
  </r>
  <r>
    <s v="Curtice Advani"/>
    <s v="USA"/>
    <x v="17"/>
    <s v="15/03/2022"/>
    <s v="15/03/2022"/>
    <s v="2022"/>
    <s v="15/03/2022"/>
    <n v="2996"/>
    <n v="139"/>
    <m/>
    <m/>
    <s v="Below Average"/>
    <n v="2310"/>
  </r>
  <r>
    <s v="Marney O'Breen"/>
    <s v="Canada"/>
    <x v="11"/>
    <d v="2022-08-02T00:00:00"/>
    <s v="02/08/2022"/>
    <s v="2022"/>
    <s v="02"/>
    <n v="2436"/>
    <n v="309"/>
    <m/>
    <m/>
    <s v="Below Average"/>
    <n v="2505"/>
  </r>
  <r>
    <s v="Brien Boise"/>
    <s v="India"/>
    <x v="20"/>
    <s v="25/02/2022"/>
    <s v="25/02/2022"/>
    <s v="2022"/>
    <s v="25/02/2022"/>
    <n v="1540"/>
    <n v="100"/>
    <m/>
    <m/>
    <s v="Below Average"/>
    <n v="2793"/>
  </r>
  <r>
    <s v="Gunar Cockshoot"/>
    <s v="USA"/>
    <x v="8"/>
    <d v="2022-03-05T00:00:00"/>
    <s v="05/03/2022"/>
    <s v="2022"/>
    <s v="05"/>
    <n v="6916"/>
    <n v="42"/>
    <m/>
    <m/>
    <s v="Above Average"/>
    <n v="1201"/>
  </r>
  <r>
    <s v="Roddy Speechley"/>
    <s v="USA"/>
    <x v="13"/>
    <s v="14/06/2022"/>
    <s v="14/06/2022"/>
    <s v="2022"/>
    <s v="14/06/2022"/>
    <n v="5509"/>
    <n v="24"/>
    <m/>
    <m/>
    <s v="Below Average"/>
    <n v="1565"/>
  </r>
  <r>
    <s v="Gunar Cockshoot"/>
    <s v="India"/>
    <x v="6"/>
    <d v="2022-09-08T00:00:00"/>
    <s v="08/09/2022"/>
    <s v="2022"/>
    <s v="08"/>
    <n v="12992"/>
    <n v="83"/>
    <m/>
    <m/>
    <s v="Above Average"/>
    <n v="270"/>
  </r>
  <r>
    <s v="Wilone O'Kielt"/>
    <s v="New Zealand"/>
    <x v="15"/>
    <d v="2022-11-07T00:00:00"/>
    <s v="07/11/2022"/>
    <s v="2022"/>
    <s v="07"/>
    <n v="3724"/>
    <n v="234"/>
    <m/>
    <m/>
    <s v="Below Average"/>
    <n v="2064"/>
  </r>
  <r>
    <s v="Kaine Padly"/>
    <s v="UK"/>
    <x v="15"/>
    <s v="14/01/2022"/>
    <s v="14/01/2022"/>
    <s v="2022"/>
    <s v="14/01/2022"/>
    <n v="7133"/>
    <n v="118"/>
    <m/>
    <m/>
    <s v="Above Average"/>
    <n v="1151"/>
  </r>
  <r>
    <s v="Van Tuxwell"/>
    <s v="Canada"/>
    <x v="15"/>
    <s v="24/02/2022"/>
    <s v="24/02/2022"/>
    <s v="2022"/>
    <s v="24/02/2022"/>
    <n v="8617"/>
    <n v="46"/>
    <m/>
    <m/>
    <s v="Above Average"/>
    <n v="811"/>
  </r>
  <r>
    <s v="Wilone O'Kielt"/>
    <s v="New Zealand"/>
    <x v="16"/>
    <s v="15/03/2022"/>
    <s v="15/03/2022"/>
    <s v="2022"/>
    <s v="15/03/2022"/>
    <n v="9198"/>
    <n v="144"/>
    <m/>
    <m/>
    <s v="Above Average"/>
    <n v="704"/>
  </r>
  <r>
    <s v="Oby Sorrel"/>
    <s v="New Zealand"/>
    <x v="19"/>
    <s v="25/04/2022"/>
    <s v="25/04/2022"/>
    <s v="2022"/>
    <s v="25/04/2022"/>
    <n v="11823"/>
    <n v="47"/>
    <m/>
    <m/>
    <s v="Above Average"/>
    <n v="358"/>
  </r>
  <r>
    <s v="Dennison Crosswaite"/>
    <s v="Australia"/>
    <x v="10"/>
    <d v="2022-10-05T00:00:00"/>
    <s v="05/10/2022"/>
    <s v="2022"/>
    <s v="05"/>
    <n v="5775"/>
    <n v="41"/>
    <m/>
    <m/>
    <s v="Below Average"/>
    <n v="1494"/>
  </r>
  <r>
    <s v="Marney O'Breen"/>
    <s v="Australia"/>
    <x v="12"/>
    <s v="23/06/2022"/>
    <s v="23/06/2022"/>
    <s v="2022"/>
    <s v="23/06/2022"/>
    <n v="13125"/>
    <n v="275"/>
    <m/>
    <m/>
    <s v="Above Average"/>
    <n v="257"/>
  </r>
  <r>
    <s v="Beverie Moffet"/>
    <s v="Canada"/>
    <x v="3"/>
    <s v="28/02/2022"/>
    <s v="28/02/2022"/>
    <s v="2022"/>
    <s v="28/02/2022"/>
    <n v="14287"/>
    <n v="370"/>
    <m/>
    <m/>
    <s v="Above Average"/>
    <n v="193"/>
  </r>
  <r>
    <s v="Brien Boise"/>
    <s v="USA"/>
    <x v="10"/>
    <s v="25/05/2022"/>
    <s v="25/05/2022"/>
    <s v="2022"/>
    <s v="25/05/2022"/>
    <n v="16233"/>
    <n v="138"/>
    <m/>
    <m/>
    <s v="Above Average"/>
    <n v="94"/>
  </r>
  <r>
    <s v="Roddy Speechley"/>
    <s v="New Zealand"/>
    <x v="19"/>
    <s v="22/02/2022"/>
    <s v="22/02/2022"/>
    <s v="2022"/>
    <s v="22/02/2022"/>
    <n v="5313"/>
    <n v="215"/>
    <m/>
    <m/>
    <s v="Below Average"/>
    <n v="1612"/>
  </r>
  <r>
    <s v="Van Tuxwell"/>
    <s v="UK"/>
    <x v="1"/>
    <d v="2022-11-07T00:00:00"/>
    <s v="07/11/2022"/>
    <s v="2022"/>
    <s v="07"/>
    <n v="3577"/>
    <n v="134"/>
    <m/>
    <m/>
    <s v="Below Average"/>
    <n v="2112"/>
  </r>
  <r>
    <s v="Marney O'Breen"/>
    <s v="Canada"/>
    <x v="12"/>
    <d v="2022-03-01T00:00:00"/>
    <s v="01/03/2022"/>
    <s v="2022"/>
    <s v="01"/>
    <n v="3528"/>
    <n v="336"/>
    <m/>
    <m/>
    <s v="Below Average"/>
    <n v="2132"/>
  </r>
  <r>
    <s v="Rafaelita Blaksland"/>
    <s v="New Zealand"/>
    <x v="21"/>
    <s v="24/08/2022"/>
    <s v="24/08/2022"/>
    <s v="2022"/>
    <s v="24/08/2022"/>
    <n v="679"/>
    <n v="280"/>
    <m/>
    <m/>
    <s v="Below Average"/>
    <n v="3073"/>
  </r>
  <r>
    <s v="Beverie Moffet"/>
    <s v="USA"/>
    <x v="6"/>
    <s v="28/07/2022"/>
    <s v="28/07/2022"/>
    <s v="2022"/>
    <s v="28/07/2022"/>
    <n v="2450"/>
    <n v="352"/>
    <m/>
    <m/>
    <s v="Below Average"/>
    <n v="2496"/>
  </r>
  <r>
    <s v="Brien Boise"/>
    <s v="USA"/>
    <x v="0"/>
    <s v="25/05/2022"/>
    <s v="25/05/2022"/>
    <s v="2022"/>
    <s v="25/05/2022"/>
    <n v="10577"/>
    <n v="150"/>
    <m/>
    <m/>
    <s v="Above Average"/>
    <n v="503"/>
  </r>
  <r>
    <s v="Karlen McCaffrey"/>
    <s v="New Zealand"/>
    <x v="8"/>
    <d v="2022-06-05T00:00:00"/>
    <s v="05/06/2022"/>
    <s v="2022"/>
    <s v="05"/>
    <n v="2597"/>
    <n v="177"/>
    <m/>
    <m/>
    <s v="Below Average"/>
    <n v="2440"/>
  </r>
  <r>
    <s v="Barr Faughny"/>
    <s v="India"/>
    <x v="9"/>
    <s v="28/01/2022"/>
    <s v="28/01/2022"/>
    <s v="2022"/>
    <s v="28/01/2022"/>
    <n v="2219"/>
    <n v="142"/>
    <m/>
    <m/>
    <s v="Below Average"/>
    <n v="2574"/>
  </r>
  <r>
    <s v="Marney O'Breen"/>
    <s v="UK"/>
    <x v="7"/>
    <d v="2022-06-06T00:00:00"/>
    <s v="06/06/2022"/>
    <s v="2022"/>
    <s v="06"/>
    <n v="11319"/>
    <n v="12"/>
    <m/>
    <m/>
    <s v="Above Average"/>
    <n v="412"/>
  </r>
  <r>
    <s v="Brien Boise"/>
    <s v="New Zealand"/>
    <x v="19"/>
    <d v="2022-12-07T00:00:00"/>
    <s v="07/12/2022"/>
    <s v="2022"/>
    <s v="07"/>
    <n v="5978"/>
    <n v="24"/>
    <m/>
    <m/>
    <s v="Below Average"/>
    <n v="1437"/>
  </r>
  <r>
    <s v="Ches Bonnell"/>
    <s v="Canada"/>
    <x v="12"/>
    <d v="2022-05-08T00:00:00"/>
    <s v="08/05/2022"/>
    <s v="2022"/>
    <s v="08"/>
    <n v="5327"/>
    <n v="183"/>
    <m/>
    <m/>
    <s v="Below Average"/>
    <n v="1608"/>
  </r>
  <r>
    <s v="Brien Boise"/>
    <s v="USA"/>
    <x v="7"/>
    <s v="28/01/2022"/>
    <s v="28/01/2022"/>
    <s v="2022"/>
    <s v="28/01/2022"/>
    <n v="6020"/>
    <n v="147"/>
    <m/>
    <m/>
    <s v="Below Average"/>
    <n v="1430"/>
  </r>
  <r>
    <s v="Kaine Padly"/>
    <s v="India"/>
    <x v="12"/>
    <s v="31/08/2022"/>
    <s v="31/08/2022"/>
    <s v="2022"/>
    <s v="31/08/2022"/>
    <n v="5614"/>
    <n v="137"/>
    <m/>
    <m/>
    <s v="Below Average"/>
    <n v="1538"/>
  </r>
  <r>
    <s v="Mallorie Waber"/>
    <s v="USA"/>
    <x v="6"/>
    <s v="19/04/2022"/>
    <s v="19/04/2022"/>
    <s v="2022"/>
    <s v="19/04/2022"/>
    <n v="1736"/>
    <n v="13"/>
    <m/>
    <m/>
    <s v="Below Average"/>
    <n v="2720"/>
  </r>
  <r>
    <s v="Mallorie Waber"/>
    <s v="UK"/>
    <x v="0"/>
    <s v="29/06/2022"/>
    <s v="29/06/2022"/>
    <s v="2022"/>
    <s v="29/06/2022"/>
    <n v="6384"/>
    <n v="2"/>
    <m/>
    <m/>
    <s v="Above Average"/>
    <n v="1336"/>
  </r>
  <r>
    <s v="Beverie Moffet"/>
    <s v="India"/>
    <x v="18"/>
    <s v="24/02/2022"/>
    <s v="24/02/2022"/>
    <s v="2022"/>
    <s v="24/02/2022"/>
    <n v="3577"/>
    <n v="261"/>
    <m/>
    <m/>
    <s v="Below Average"/>
    <n v="2112"/>
  </r>
  <r>
    <s v="Madelene Upcott"/>
    <s v="UK"/>
    <x v="3"/>
    <d v="2022-04-03T00:00:00"/>
    <s v="03/04/2022"/>
    <s v="2022"/>
    <s v="03"/>
    <n v="14539"/>
    <n v="84"/>
    <m/>
    <m/>
    <s v="Above Average"/>
    <n v="177"/>
  </r>
  <r>
    <s v="Gigi Bohling"/>
    <s v="India"/>
    <x v="8"/>
    <s v="21/06/2022"/>
    <s v="21/06/2022"/>
    <s v="2022"/>
    <s v="21/06/2022"/>
    <n v="3493"/>
    <n v="68"/>
    <m/>
    <m/>
    <s v="Below Average"/>
    <n v="2140"/>
  </r>
  <r>
    <s v="Rafaelita Blaksland"/>
    <s v="Australia"/>
    <x v="10"/>
    <s v="26/01/2022"/>
    <s v="26/01/2022"/>
    <s v="2022"/>
    <s v="26/01/2022"/>
    <n v="994"/>
    <n v="105"/>
    <m/>
    <m/>
    <s v="Below Average"/>
    <n v="2974"/>
  </r>
  <r>
    <s v="Oby Sorrel"/>
    <s v="New Zealand"/>
    <x v="14"/>
    <d v="2022-10-06T00:00:00"/>
    <s v="06/10/2022"/>
    <s v="2022"/>
    <s v="06"/>
    <n v="4361"/>
    <n v="40"/>
    <m/>
    <m/>
    <s v="Below Average"/>
    <n v="1887"/>
  </r>
  <r>
    <s v="Andria Kimpton"/>
    <s v="UK"/>
    <x v="9"/>
    <s v="23/05/2022"/>
    <s v="23/05/2022"/>
    <s v="2022"/>
    <s v="23/05/2022"/>
    <n v="1554"/>
    <n v="65"/>
    <m/>
    <m/>
    <s v="Below Average"/>
    <n v="2786"/>
  </r>
  <r>
    <s v="Kelci Walkden"/>
    <s v="India"/>
    <x v="11"/>
    <s v="15/04/2022"/>
    <s v="15/04/2022"/>
    <s v="2022"/>
    <s v="15/04/2022"/>
    <n v="966"/>
    <n v="107"/>
    <m/>
    <m/>
    <s v="Below Average"/>
    <n v="2984"/>
  </r>
  <r>
    <s v="Karlen McCaffrey"/>
    <s v="New Zealand"/>
    <x v="20"/>
    <s v="31/01/2022"/>
    <s v="31/01/2022"/>
    <s v="2022"/>
    <s v="31/01/2022"/>
    <n v="5334"/>
    <n v="227"/>
    <m/>
    <m/>
    <s v="Below Average"/>
    <n v="1605"/>
  </r>
  <r>
    <s v="Andria Kimpton"/>
    <s v="New Zealand"/>
    <x v="10"/>
    <d v="2022-04-03T00:00:00"/>
    <s v="03/04/2022"/>
    <s v="2022"/>
    <s v="03"/>
    <n v="4935"/>
    <n v="39"/>
    <m/>
    <m/>
    <s v="Below Average"/>
    <n v="1719"/>
  </r>
  <r>
    <s v="Barr Faughny"/>
    <s v="New Zealand"/>
    <x v="5"/>
    <s v="19/04/2022"/>
    <s v="19/04/2022"/>
    <s v="2022"/>
    <s v="19/04/2022"/>
    <n v="10024"/>
    <n v="84"/>
    <m/>
    <m/>
    <s v="Above Average"/>
    <n v="577"/>
  </r>
  <r>
    <s v="Beverie Moffet"/>
    <s v="UK"/>
    <x v="16"/>
    <s v="16/05/2022"/>
    <s v="16/05/2022"/>
    <s v="2022"/>
    <s v="16/05/2022"/>
    <n v="2506"/>
    <n v="100"/>
    <m/>
    <m/>
    <s v="Below Average"/>
    <n v="2469"/>
  </r>
  <r>
    <s v="Oby Sorrel"/>
    <s v="Australia"/>
    <x v="17"/>
    <s v="17/02/2022"/>
    <s v="17/02/2022"/>
    <s v="2022"/>
    <s v="17/02/2022"/>
    <n v="1043"/>
    <n v="120"/>
    <m/>
    <m/>
    <s v="Below Average"/>
    <n v="2958"/>
  </r>
  <r>
    <s v="Dennison Crosswaite"/>
    <s v="USA"/>
    <x v="17"/>
    <s v="18/01/2022"/>
    <s v="18/01/2022"/>
    <s v="2022"/>
    <s v="18/01/2022"/>
    <n v="6524"/>
    <n v="257"/>
    <m/>
    <m/>
    <s v="Above Average"/>
    <n v="1302"/>
  </r>
  <r>
    <s v="Roddy Speechley"/>
    <s v="Canada"/>
    <x v="7"/>
    <d v="2022-09-02T00:00:00"/>
    <s v="02/09/2022"/>
    <s v="2022"/>
    <s v="02"/>
    <n v="8148"/>
    <n v="85"/>
    <m/>
    <m/>
    <s v="Above Average"/>
    <n v="904"/>
  </r>
  <r>
    <s v="Mallorie Waber"/>
    <s v="Canada"/>
    <x v="7"/>
    <s v="23/03/2022"/>
    <s v="23/03/2022"/>
    <s v="2022"/>
    <s v="23/03/2022"/>
    <n v="3577"/>
    <n v="178"/>
    <m/>
    <m/>
    <s v="Below Average"/>
    <n v="2112"/>
  </r>
  <r>
    <s v="Madelene Upcott"/>
    <s v="New Zealand"/>
    <x v="20"/>
    <d v="2022-01-02T00:00:00"/>
    <s v="02/01/2022"/>
    <s v="2022"/>
    <s v="02"/>
    <n v="3374"/>
    <n v="151"/>
    <m/>
    <m/>
    <s v="Below Average"/>
    <n v="2188"/>
  </r>
  <r>
    <s v="Mallorie Waber"/>
    <s v="India"/>
    <x v="9"/>
    <d v="2022-07-03T00:00:00"/>
    <s v="03/07/2022"/>
    <s v="2022"/>
    <s v="03"/>
    <n v="3948"/>
    <n v="142"/>
    <m/>
    <m/>
    <s v="Below Average"/>
    <n v="2001"/>
  </r>
  <r>
    <s v="Ches Bonnell"/>
    <s v="UK"/>
    <x v="14"/>
    <d v="2022-03-01T00:00:00"/>
    <s v="01/03/2022"/>
    <s v="2022"/>
    <s v="01"/>
    <n v="3269"/>
    <n v="226"/>
    <m/>
    <m/>
    <s v="Below Average"/>
    <n v="2220"/>
  </r>
  <r>
    <s v="Ches Bonnell"/>
    <s v="USA"/>
    <x v="14"/>
    <d v="2022-11-02T00:00:00"/>
    <s v="02/11/2022"/>
    <s v="2022"/>
    <s v="02"/>
    <n v="5271"/>
    <n v="341"/>
    <m/>
    <m/>
    <s v="Below Average"/>
    <n v="1625"/>
  </r>
  <r>
    <s v="Dennison Crosswaite"/>
    <s v="New Zealand"/>
    <x v="7"/>
    <s v="16/03/2022"/>
    <s v="16/03/2022"/>
    <s v="2022"/>
    <s v="16/03/2022"/>
    <n v="4571"/>
    <n v="140"/>
    <m/>
    <m/>
    <s v="Below Average"/>
    <n v="1828"/>
  </r>
  <r>
    <s v="Dotty Strutley"/>
    <s v="India"/>
    <x v="14"/>
    <s v="15/08/2022"/>
    <s v="15/08/2022"/>
    <s v="2022"/>
    <s v="15/08/2022"/>
    <n v="12327"/>
    <n v="330"/>
    <m/>
    <m/>
    <s v="Above Average"/>
    <n v="316"/>
  </r>
  <r>
    <s v="Gigi Bohling"/>
    <s v="India"/>
    <x v="15"/>
    <d v="2022-12-05T00:00:00"/>
    <s v="05/12/2022"/>
    <s v="2022"/>
    <s v="05"/>
    <n v="4935"/>
    <n v="73"/>
    <m/>
    <m/>
    <s v="Below Average"/>
    <n v="1719"/>
  </r>
  <r>
    <s v="Van Tuxwell"/>
    <s v="India"/>
    <x v="12"/>
    <d v="2022-11-04T00:00:00"/>
    <s v="04/11/2022"/>
    <s v="2022"/>
    <s v="04"/>
    <n v="6167"/>
    <n v="4"/>
    <m/>
    <m/>
    <s v="Above Average"/>
    <n v="1390"/>
  </r>
  <r>
    <s v="Jan Morforth"/>
    <s v="New Zealand"/>
    <x v="0"/>
    <s v="30/06/2022"/>
    <s v="30/06/2022"/>
    <s v="2022"/>
    <s v="30/06/2022"/>
    <n v="18340"/>
    <n v="285"/>
    <m/>
    <m/>
    <s v="Above Average"/>
    <n v="39"/>
  </r>
  <r>
    <s v="Dotty Strutley"/>
    <s v="New Zealand"/>
    <x v="14"/>
    <s v="15/06/2022"/>
    <s v="15/06/2022"/>
    <s v="2022"/>
    <s v="15/06/2022"/>
    <n v="7014"/>
    <n v="60"/>
    <m/>
    <m/>
    <s v="Above Average"/>
    <n v="1175"/>
  </r>
  <r>
    <s v="Rafaelita Blaksland"/>
    <s v="Canada"/>
    <x v="20"/>
    <d v="2022-01-08T00:00:00"/>
    <s v="08/01/2022"/>
    <s v="2022"/>
    <s v="08"/>
    <n v="7119"/>
    <n v="101"/>
    <m/>
    <m/>
    <s v="Above Average"/>
    <n v="1154"/>
  </r>
  <r>
    <s v="Kaine Padly"/>
    <s v="USA"/>
    <x v="11"/>
    <s v="15/06/2022"/>
    <s v="15/06/2022"/>
    <s v="2022"/>
    <s v="15/06/2022"/>
    <n v="15491"/>
    <n v="58"/>
    <m/>
    <m/>
    <s v="Above Average"/>
    <n v="127"/>
  </r>
  <r>
    <s v="Brien Boise"/>
    <s v="India"/>
    <x v="5"/>
    <s v="16/06/2022"/>
    <s v="16/06/2022"/>
    <s v="2022"/>
    <s v="16/06/2022"/>
    <n v="5747"/>
    <n v="45"/>
    <m/>
    <m/>
    <s v="Below Average"/>
    <n v="1507"/>
  </r>
  <r>
    <s v="Oby Sorrel"/>
    <s v="New Zealand"/>
    <x v="17"/>
    <s v="13/05/2022"/>
    <s v="13/05/2022"/>
    <s v="2022"/>
    <s v="13/05/2022"/>
    <n v="4550"/>
    <n v="281"/>
    <m/>
    <m/>
    <s v="Below Average"/>
    <n v="1838"/>
  </r>
  <r>
    <s v="Dennison Crosswaite"/>
    <s v="USA"/>
    <x v="9"/>
    <d v="2022-10-05T00:00:00"/>
    <s v="05/10/2022"/>
    <s v="2022"/>
    <s v="05"/>
    <n v="2191"/>
    <n v="138"/>
    <m/>
    <m/>
    <s v="Below Average"/>
    <n v="2581"/>
  </r>
  <r>
    <s v="Oby Sorrel"/>
    <s v="India"/>
    <x v="8"/>
    <s v="25/08/2022"/>
    <s v="25/08/2022"/>
    <s v="2022"/>
    <s v="25/08/2022"/>
    <n v="5663"/>
    <n v="322"/>
    <m/>
    <m/>
    <s v="Below Average"/>
    <n v="1528"/>
  </r>
  <r>
    <s v="Ches Bonnell"/>
    <s v="New Zealand"/>
    <x v="10"/>
    <s v="15/07/2022"/>
    <s v="15/07/2022"/>
    <s v="2022"/>
    <s v="15/07/2022"/>
    <n v="7623"/>
    <n v="85"/>
    <m/>
    <m/>
    <s v="Above Average"/>
    <n v="1036"/>
  </r>
  <r>
    <s v="Gigi Bohling"/>
    <s v="UK"/>
    <x v="19"/>
    <s v="16/05/2022"/>
    <s v="16/05/2022"/>
    <s v="2022"/>
    <s v="16/05/2022"/>
    <n v="9023"/>
    <n v="409"/>
    <m/>
    <m/>
    <s v="Above Average"/>
    <n v="732"/>
  </r>
  <r>
    <s v="Jan Morforth"/>
    <s v="Australia"/>
    <x v="6"/>
    <s v="14/06/2022"/>
    <s v="14/06/2022"/>
    <s v="2022"/>
    <s v="14/06/2022"/>
    <n v="3402"/>
    <n v="182"/>
    <m/>
    <m/>
    <s v="Below Average"/>
    <n v="2171"/>
  </r>
  <r>
    <s v="Beverie Moffet"/>
    <s v="Australia"/>
    <x v="3"/>
    <s v="25/01/2022"/>
    <s v="25/01/2022"/>
    <s v="2022"/>
    <s v="25/01/2022"/>
    <n v="10507"/>
    <n v="467"/>
    <m/>
    <m/>
    <s v="Above Average"/>
    <n v="509"/>
  </r>
  <r>
    <s v="Ches Bonnell"/>
    <s v="USA"/>
    <x v="10"/>
    <s v="28/07/2022"/>
    <s v="28/07/2022"/>
    <s v="2022"/>
    <s v="28/07/2022"/>
    <n v="7721"/>
    <n v="14"/>
    <m/>
    <m/>
    <s v="Above Average"/>
    <n v="1008"/>
  </r>
  <r>
    <s v="Brien Boise"/>
    <s v="Canada"/>
    <x v="0"/>
    <s v="28/01/2022"/>
    <s v="28/01/2022"/>
    <s v="2022"/>
    <s v="28/01/2022"/>
    <n v="5033"/>
    <n v="178"/>
    <m/>
    <m/>
    <s v="Below Average"/>
    <n v="1694"/>
  </r>
  <r>
    <s v="Kaine Padly"/>
    <s v="UK"/>
    <x v="7"/>
    <s v="29/06/2022"/>
    <s v="29/06/2022"/>
    <s v="2022"/>
    <s v="29/06/2022"/>
    <n v="1960"/>
    <n v="191"/>
    <m/>
    <m/>
    <s v="Below Average"/>
    <n v="2645"/>
  </r>
  <r>
    <s v="Karlen McCaffrey"/>
    <s v="Australia"/>
    <x v="21"/>
    <s v="24/06/2022"/>
    <s v="24/06/2022"/>
    <s v="2022"/>
    <s v="24/06/2022"/>
    <n v="238"/>
    <n v="317"/>
    <m/>
    <m/>
    <s v="Below Average"/>
    <n v="3210"/>
  </r>
  <r>
    <s v="Gunar Cockshoot"/>
    <s v="Canada"/>
    <x v="0"/>
    <d v="2022-01-07T00:00:00"/>
    <s v="07/01/2022"/>
    <s v="2022"/>
    <s v="07"/>
    <n v="7756"/>
    <n v="410"/>
    <m/>
    <m/>
    <s v="Above Average"/>
    <n v="997"/>
  </r>
  <r>
    <s v="Roddy Speechley"/>
    <s v="USA"/>
    <x v="2"/>
    <s v="25/02/2022"/>
    <s v="25/02/2022"/>
    <s v="2022"/>
    <s v="25/02/2022"/>
    <n v="1736"/>
    <n v="137"/>
    <m/>
    <m/>
    <s v="Below Average"/>
    <n v="2720"/>
  </r>
  <r>
    <s v="Curtice Advani"/>
    <s v="Canada"/>
    <x v="3"/>
    <d v="2022-01-08T00:00:00"/>
    <s v="08/01/2022"/>
    <s v="2022"/>
    <s v="08"/>
    <n v="2660"/>
    <n v="12"/>
    <m/>
    <m/>
    <s v="Below Average"/>
    <n v="2418"/>
  </r>
  <r>
    <s v="Oby Sorrel"/>
    <s v="Australia"/>
    <x v="11"/>
    <s v="21/06/2022"/>
    <s v="21/06/2022"/>
    <s v="2022"/>
    <s v="21/06/2022"/>
    <n v="7672"/>
    <n v="254"/>
    <m/>
    <m/>
    <s v="Above Average"/>
    <n v="1023"/>
  </r>
  <r>
    <s v="Camilla Castle"/>
    <s v="New Zealand"/>
    <x v="12"/>
    <s v="25/01/2022"/>
    <s v="25/01/2022"/>
    <s v="2022"/>
    <s v="25/01/2022"/>
    <n v="11564"/>
    <n v="24"/>
    <m/>
    <m/>
    <s v="Above Average"/>
    <n v="390"/>
  </r>
  <r>
    <s v="Gigi Bohling"/>
    <s v="UK"/>
    <x v="11"/>
    <s v="17/05/2022"/>
    <s v="17/05/2022"/>
    <s v="2022"/>
    <s v="17/05/2022"/>
    <n v="1365"/>
    <n v="232"/>
    <m/>
    <m/>
    <s v="Below Average"/>
    <n v="2857"/>
  </r>
  <r>
    <s v="Andria Kimpton"/>
    <s v="Australia"/>
    <x v="1"/>
    <s v="23/08/2022"/>
    <s v="23/08/2022"/>
    <s v="2022"/>
    <s v="23/08/2022"/>
    <n v="4186"/>
    <n v="233"/>
    <m/>
    <m/>
    <s v="Below Average"/>
    <n v="1933"/>
  </r>
  <r>
    <s v="Camilla Castle"/>
    <s v="Australia"/>
    <x v="3"/>
    <d v="2022-03-03T00:00:00"/>
    <s v="03/03/2022"/>
    <s v="2022"/>
    <s v="03"/>
    <n v="7406"/>
    <n v="118"/>
    <m/>
    <m/>
    <s v="Above Average"/>
    <n v="1088"/>
  </r>
  <r>
    <s v="Roddy Speechley"/>
    <s v="India"/>
    <x v="20"/>
    <s v="30/05/2022"/>
    <s v="30/05/2022"/>
    <s v="2022"/>
    <s v="30/05/2022"/>
    <n v="8911"/>
    <n v="543"/>
    <m/>
    <m/>
    <s v="Above Average"/>
    <n v="755"/>
  </r>
  <r>
    <s v="Karlen McCaffrey"/>
    <s v="USA"/>
    <x v="9"/>
    <s v="29/06/2022"/>
    <s v="29/06/2022"/>
    <s v="2022"/>
    <s v="29/06/2022"/>
    <n v="112"/>
    <n v="223"/>
    <m/>
    <m/>
    <s v="Below Average"/>
    <n v="3240"/>
  </r>
  <r>
    <s v="Andria Kimpton"/>
    <s v="Canada"/>
    <x v="10"/>
    <d v="2022-04-01T00:00:00"/>
    <s v="01/04/2022"/>
    <s v="2022"/>
    <s v="01"/>
    <n v="8204"/>
    <n v="204"/>
    <m/>
    <m/>
    <s v="Above Average"/>
    <n v="891"/>
  </r>
  <r>
    <s v="Jehu Rudeforth"/>
    <s v="Australia"/>
    <x v="9"/>
    <s v="14/01/2022"/>
    <s v="14/01/2022"/>
    <s v="2022"/>
    <s v="14/01/2022"/>
    <n v="2611"/>
    <n v="65"/>
    <m/>
    <m/>
    <s v="Below Average"/>
    <n v="2437"/>
  </r>
  <r>
    <s v="Karlen McCaffrey"/>
    <s v="USA"/>
    <x v="0"/>
    <s v="15/02/2022"/>
    <s v="15/02/2022"/>
    <s v="2022"/>
    <s v="15/02/2022"/>
    <n v="15652"/>
    <n v="53"/>
    <m/>
    <m/>
    <s v="Above Average"/>
    <n v="115"/>
  </r>
  <r>
    <s v="Curtice Advani"/>
    <s v="New Zealand"/>
    <x v="12"/>
    <d v="2022-10-01T00:00:00"/>
    <s v="01/10/2022"/>
    <s v="2022"/>
    <s v="01"/>
    <n v="4074"/>
    <n v="469"/>
    <m/>
    <m/>
    <s v="Below Average"/>
    <n v="1960"/>
  </r>
  <r>
    <s v="Madelene Upcott"/>
    <s v="USA"/>
    <x v="14"/>
    <d v="2022-04-05T00:00:00"/>
    <s v="05/04/2022"/>
    <s v="2022"/>
    <s v="05"/>
    <n v="12250"/>
    <n v="213"/>
    <m/>
    <m/>
    <s v="Above Average"/>
    <n v="324"/>
  </r>
  <r>
    <s v="Andria Kimpton"/>
    <s v="USA"/>
    <x v="12"/>
    <s v="23/05/2022"/>
    <s v="23/05/2022"/>
    <s v="2022"/>
    <s v="23/05/2022"/>
    <n v="2366"/>
    <n v="5"/>
    <m/>
    <m/>
    <s v="Below Average"/>
    <n v="2526"/>
  </r>
  <r>
    <s v="Barr Faughny"/>
    <s v="New Zealand"/>
    <x v="13"/>
    <s v="26/04/2022"/>
    <s v="26/04/2022"/>
    <s v="2022"/>
    <s v="26/04/2022"/>
    <n v="1687"/>
    <n v="147"/>
    <m/>
    <m/>
    <s v="Below Average"/>
    <n v="2734"/>
  </r>
  <r>
    <s v="Oby Sorrel"/>
    <s v="Canada"/>
    <x v="10"/>
    <d v="2022-05-07T00:00:00"/>
    <s v="07/05/2022"/>
    <s v="2022"/>
    <s v="07"/>
    <n v="1232"/>
    <n v="74"/>
    <m/>
    <m/>
    <s v="Below Average"/>
    <n v="2895"/>
  </r>
  <r>
    <s v="Madelene Upcott"/>
    <s v="UK"/>
    <x v="10"/>
    <s v="21/07/2022"/>
    <s v="21/07/2022"/>
    <s v="2022"/>
    <s v="21/07/2022"/>
    <n v="6965"/>
    <n v="163"/>
    <m/>
    <m/>
    <s v="Above Average"/>
    <n v="1194"/>
  </r>
  <r>
    <s v="Dotty Strutley"/>
    <s v="USA"/>
    <x v="0"/>
    <s v="21/02/2022"/>
    <s v="21/02/2022"/>
    <s v="2022"/>
    <s v="21/02/2022"/>
    <n v="5292"/>
    <n v="248"/>
    <m/>
    <m/>
    <s v="Below Average"/>
    <n v="1620"/>
  </r>
  <r>
    <s v="Kelci Walkden"/>
    <s v="USA"/>
    <x v="7"/>
    <d v="2022-03-02T00:00:00"/>
    <s v="02/03/2022"/>
    <s v="2022"/>
    <s v="02"/>
    <n v="1379"/>
    <n v="138"/>
    <m/>
    <m/>
    <s v="Below Average"/>
    <n v="2846"/>
  </r>
  <r>
    <s v="Gigi Bohling"/>
    <s v="Australia"/>
    <x v="20"/>
    <d v="2022-08-07T00:00:00"/>
    <s v="07/08/2022"/>
    <s v="2022"/>
    <s v="07"/>
    <n v="8001"/>
    <n v="151"/>
    <m/>
    <m/>
    <s v="Above Average"/>
    <n v="936"/>
  </r>
  <r>
    <s v="Mallorie Waber"/>
    <s v="India"/>
    <x v="6"/>
    <s v="31/05/2022"/>
    <s v="31/05/2022"/>
    <s v="2022"/>
    <s v="31/05/2022"/>
    <n v="588"/>
    <n v="139"/>
    <m/>
    <m/>
    <s v="Below Average"/>
    <n v="3102"/>
  </r>
  <r>
    <s v="Van Tuxwell"/>
    <s v="New Zealand"/>
    <x v="0"/>
    <s v="27/06/2022"/>
    <s v="27/06/2022"/>
    <s v="2022"/>
    <s v="27/06/2022"/>
    <n v="4046"/>
    <n v="103"/>
    <m/>
    <m/>
    <s v="Below Average"/>
    <n v="1971"/>
  </r>
  <r>
    <s v="Van Tuxwell"/>
    <s v="India"/>
    <x v="6"/>
    <s v="13/05/2022"/>
    <s v="13/05/2022"/>
    <s v="2022"/>
    <s v="13/05/2022"/>
    <n v="5103"/>
    <n v="129"/>
    <m/>
    <m/>
    <s v="Below Average"/>
    <n v="1669"/>
  </r>
  <r>
    <s v="Van Tuxwell"/>
    <s v="USA"/>
    <x v="15"/>
    <s v="31/05/2022"/>
    <s v="31/05/2022"/>
    <s v="2022"/>
    <s v="31/05/2022"/>
    <n v="2317"/>
    <n v="102"/>
    <m/>
    <m/>
    <s v="Below Average"/>
    <n v="2542"/>
  </r>
  <r>
    <s v="Wilone O'Kielt"/>
    <s v="USA"/>
    <x v="7"/>
    <s v="28/02/2022"/>
    <s v="28/02/2022"/>
    <s v="2022"/>
    <s v="28/02/2022"/>
    <n v="7042"/>
    <n v="37"/>
    <m/>
    <m/>
    <s v="Above Average"/>
    <n v="1169"/>
  </r>
  <r>
    <s v="Barr Faughny"/>
    <s v="New Zealand"/>
    <x v="8"/>
    <s v="28/03/2022"/>
    <s v="28/03/2022"/>
    <s v="2022"/>
    <s v="28/03/2022"/>
    <n v="6713"/>
    <n v="31"/>
    <m/>
    <m/>
    <s v="Above Average"/>
    <n v="1257"/>
  </r>
  <r>
    <s v="Gigi Bohling"/>
    <s v="USA"/>
    <x v="5"/>
    <s v="14/01/2022"/>
    <s v="14/01/2022"/>
    <s v="2022"/>
    <s v="14/01/2022"/>
    <n v="1848"/>
    <n v="227"/>
    <m/>
    <m/>
    <s v="Below Average"/>
    <n v="2685"/>
  </r>
  <r>
    <s v="Barr Faughny"/>
    <s v="New Zealand"/>
    <x v="0"/>
    <s v="21/02/2022"/>
    <s v="21/02/2022"/>
    <s v="2022"/>
    <s v="21/02/2022"/>
    <n v="6440"/>
    <n v="145"/>
    <m/>
    <m/>
    <s v="Above Average"/>
    <n v="1322"/>
  </r>
  <r>
    <s v="Dennison Crosswaite"/>
    <s v="Canada"/>
    <x v="1"/>
    <d v="2022-01-08T00:00:00"/>
    <s v="08/01/2022"/>
    <s v="2022"/>
    <s v="08"/>
    <n v="10885"/>
    <n v="90"/>
    <m/>
    <m/>
    <s v="Above Average"/>
    <n v="458"/>
  </r>
  <r>
    <s v="Beverie Moffet"/>
    <s v="New Zealand"/>
    <x v="3"/>
    <s v="19/05/2022"/>
    <s v="19/05/2022"/>
    <s v="2022"/>
    <s v="19/05/2022"/>
    <n v="2387"/>
    <n v="59"/>
    <m/>
    <m/>
    <s v="Below Average"/>
    <n v="2519"/>
  </r>
  <r>
    <s v="Husein Augar"/>
    <s v="USA"/>
    <x v="14"/>
    <s v="13/07/2022"/>
    <s v="13/07/2022"/>
    <s v="2022"/>
    <s v="13/07/2022"/>
    <n v="2030"/>
    <n v="60"/>
    <m/>
    <m/>
    <s v="Below Average"/>
    <n v="2626"/>
  </r>
  <r>
    <s v="Andria Kimpton"/>
    <s v="Australia"/>
    <x v="2"/>
    <s v="20/04/2022"/>
    <s v="20/04/2022"/>
    <s v="2022"/>
    <s v="20/04/2022"/>
    <n v="6678"/>
    <n v="148"/>
    <m/>
    <m/>
    <s v="Above Average"/>
    <n v="1264"/>
  </r>
  <r>
    <s v="Dennison Crosswaite"/>
    <s v="India"/>
    <x v="1"/>
    <s v="30/06/2022"/>
    <s v="30/06/2022"/>
    <s v="2022"/>
    <s v="30/06/2022"/>
    <n v="4515"/>
    <n v="22"/>
    <m/>
    <m/>
    <s v="Below Average"/>
    <n v="1843"/>
  </r>
  <r>
    <s v="Curtice Advani"/>
    <s v="UK"/>
    <x v="6"/>
    <d v="2022-08-03T00:00:00"/>
    <s v="03/08/2022"/>
    <s v="2022"/>
    <s v="03"/>
    <n v="3374"/>
    <n v="142"/>
    <m/>
    <m/>
    <s v="Below Average"/>
    <n v="2188"/>
  </r>
  <r>
    <s v="Gunar Cockshoot"/>
    <s v="USA"/>
    <x v="13"/>
    <d v="2022-09-03T00:00:00"/>
    <s v="03/09/2022"/>
    <s v="2022"/>
    <s v="03"/>
    <n v="5852"/>
    <n v="93"/>
    <m/>
    <m/>
    <s v="Below Average"/>
    <n v="1473"/>
  </r>
  <r>
    <s v="Oby Sorrel"/>
    <s v="Canada"/>
    <x v="17"/>
    <s v="16/06/2022"/>
    <s v="16/06/2022"/>
    <s v="2022"/>
    <s v="16/06/2022"/>
    <n v="1750"/>
    <n v="208"/>
    <m/>
    <m/>
    <s v="Below Average"/>
    <n v="2711"/>
  </r>
  <r>
    <s v="Gigi Bohling"/>
    <s v="UK"/>
    <x v="9"/>
    <s v="30/06/2022"/>
    <s v="30/06/2022"/>
    <s v="2022"/>
    <s v="30/06/2022"/>
    <n v="5782"/>
    <n v="42"/>
    <m/>
    <m/>
    <s v="Below Average"/>
    <n v="1491"/>
  </r>
  <r>
    <s v="Kelci Walkden"/>
    <s v="India"/>
    <x v="0"/>
    <s v="28/07/2022"/>
    <s v="28/07/2022"/>
    <s v="2022"/>
    <s v="28/07/2022"/>
    <n v="2870"/>
    <n v="120"/>
    <m/>
    <m/>
    <s v="Below Average"/>
    <n v="2351"/>
  </r>
  <r>
    <s v="Karlen McCaffrey"/>
    <s v="Canada"/>
    <x v="2"/>
    <d v="2022-12-08T00:00:00"/>
    <s v="08/12/2022"/>
    <s v="2022"/>
    <s v="08"/>
    <n v="3094"/>
    <n v="159"/>
    <m/>
    <m/>
    <s v="Below Average"/>
    <n v="2271"/>
  </r>
  <r>
    <s v="Barr Faughny"/>
    <s v="UK"/>
    <x v="0"/>
    <d v="2022-07-07T00:00:00"/>
    <s v="07/07/2022"/>
    <s v="2022"/>
    <s v="07"/>
    <n v="3724"/>
    <n v="316"/>
    <m/>
    <m/>
    <s v="Below Average"/>
    <n v="2064"/>
  </r>
  <r>
    <s v="Barr Faughny"/>
    <s v="USA"/>
    <x v="1"/>
    <s v="25/08/2022"/>
    <s v="25/08/2022"/>
    <s v="2022"/>
    <s v="25/08/2022"/>
    <n v="12761"/>
    <n v="47"/>
    <m/>
    <m/>
    <s v="Above Average"/>
    <n v="280"/>
  </r>
  <r>
    <s v="Husein Augar"/>
    <s v="Canada"/>
    <x v="8"/>
    <s v="17/01/2022"/>
    <s v="17/01/2022"/>
    <s v="2022"/>
    <s v="17/01/2022"/>
    <n v="3696"/>
    <n v="233"/>
    <m/>
    <m/>
    <s v="Below Average"/>
    <n v="2075"/>
  </r>
  <r>
    <s v="Jan Morforth"/>
    <s v="Australia"/>
    <x v="21"/>
    <d v="2022-04-03T00:00:00"/>
    <s v="03/04/2022"/>
    <s v="2022"/>
    <s v="03"/>
    <n v="5222"/>
    <n v="384"/>
    <m/>
    <m/>
    <s v="Below Average"/>
    <n v="1642"/>
  </r>
  <r>
    <s v="Marney O'Breen"/>
    <s v="New Zealand"/>
    <x v="13"/>
    <s v="25/08/2022"/>
    <s v="25/08/2022"/>
    <s v="2022"/>
    <s v="25/08/2022"/>
    <n v="8939"/>
    <n v="4"/>
    <m/>
    <m/>
    <s v="Above Average"/>
    <n v="748"/>
  </r>
  <r>
    <s v="Ches Bonnell"/>
    <s v="UK"/>
    <x v="2"/>
    <s v="15/04/2022"/>
    <s v="15/04/2022"/>
    <s v="2022"/>
    <s v="15/04/2022"/>
    <n v="2156"/>
    <n v="260"/>
    <m/>
    <m/>
    <s v="Below Average"/>
    <n v="2589"/>
  </r>
  <r>
    <s v="Kaine Padly"/>
    <s v="USA"/>
    <x v="10"/>
    <d v="2022-11-03T00:00:00"/>
    <s v="03/11/2022"/>
    <s v="2022"/>
    <s v="03"/>
    <n v="2380"/>
    <n v="22"/>
    <m/>
    <m/>
    <s v="Below Average"/>
    <n v="2521"/>
  </r>
  <r>
    <s v="Camilla Castle"/>
    <s v="USA"/>
    <x v="17"/>
    <s v="20/05/2022"/>
    <s v="20/05/2022"/>
    <s v="2022"/>
    <s v="20/05/2022"/>
    <n v="3339"/>
    <n v="18"/>
    <m/>
    <m/>
    <s v="Below Average"/>
    <n v="2202"/>
  </r>
  <r>
    <s v="Brien Boise"/>
    <s v="New Zealand"/>
    <x v="15"/>
    <s v="14/06/2022"/>
    <s v="14/06/2022"/>
    <s v="2022"/>
    <s v="14/06/2022"/>
    <n v="14980"/>
    <n v="42"/>
    <m/>
    <m/>
    <s v="Above Average"/>
    <n v="147"/>
  </r>
  <r>
    <s v="Jehu Rudeforth"/>
    <s v="New Zealand"/>
    <x v="5"/>
    <s v="14/04/2022"/>
    <s v="14/04/2022"/>
    <s v="2022"/>
    <s v="14/04/2022"/>
    <n v="1512"/>
    <n v="73"/>
    <m/>
    <m/>
    <s v="Below Average"/>
    <n v="2804"/>
  </r>
  <r>
    <s v="Jehu Rudeforth"/>
    <s v="USA"/>
    <x v="3"/>
    <d v="2022-07-07T00:00:00"/>
    <s v="07/07/2022"/>
    <s v="2022"/>
    <s v="07"/>
    <n v="6657"/>
    <n v="154"/>
    <m/>
    <m/>
    <s v="Above Average"/>
    <n v="1271"/>
  </r>
  <r>
    <s v="Madelene Upcott"/>
    <s v="India"/>
    <x v="0"/>
    <s v="24/08/2022"/>
    <s v="24/08/2022"/>
    <s v="2022"/>
    <s v="24/08/2022"/>
    <n v="3836"/>
    <n v="71"/>
    <m/>
    <m/>
    <s v="Below Average"/>
    <n v="2029"/>
  </r>
  <r>
    <s v="Jehu Rudeforth"/>
    <s v="India"/>
    <x v="8"/>
    <s v="24/02/2022"/>
    <s v="24/02/2022"/>
    <s v="2022"/>
    <s v="24/02/2022"/>
    <n v="8771"/>
    <n v="127"/>
    <m/>
    <m/>
    <s v="Above Average"/>
    <n v="784"/>
  </r>
  <r>
    <s v="Karlen McCaffrey"/>
    <s v="Canada"/>
    <x v="17"/>
    <d v="2022-09-05T00:00:00"/>
    <s v="05/09/2022"/>
    <s v="2022"/>
    <s v="05"/>
    <n v="651"/>
    <n v="224"/>
    <m/>
    <m/>
    <s v="Below Average"/>
    <n v="3084"/>
  </r>
  <r>
    <s v="Kaine Padly"/>
    <s v="Australia"/>
    <x v="21"/>
    <d v="2022-08-02T00:00:00"/>
    <s v="02/08/2022"/>
    <s v="2022"/>
    <s v="02"/>
    <n v="6706"/>
    <n v="223"/>
    <m/>
    <m/>
    <s v="Above Average"/>
    <n v="1261"/>
  </r>
  <r>
    <s v="Roddy Speechley"/>
    <s v="UK"/>
    <x v="21"/>
    <s v="24/03/2022"/>
    <s v="24/03/2022"/>
    <s v="2022"/>
    <s v="24/03/2022"/>
    <n v="1421"/>
    <n v="284"/>
    <m/>
    <m/>
    <s v="Below Average"/>
    <n v="2831"/>
  </r>
  <r>
    <s v="Rafaelita Blaksland"/>
    <s v="USA"/>
    <x v="9"/>
    <s v="20/06/2022"/>
    <s v="20/06/2022"/>
    <s v="2022"/>
    <s v="20/06/2022"/>
    <n v="8526"/>
    <n v="73"/>
    <m/>
    <m/>
    <s v="Above Average"/>
    <n v="826"/>
  </r>
  <r>
    <s v="Mallorie Waber"/>
    <s v="Canada"/>
    <x v="15"/>
    <d v="2022-07-03T00:00:00"/>
    <s v="03/07/2022"/>
    <s v="2022"/>
    <s v="03"/>
    <n v="1435"/>
    <n v="112"/>
    <m/>
    <m/>
    <s v="Below Average"/>
    <n v="2827"/>
  </r>
  <r>
    <s v="Kaine Padly"/>
    <s v="Australia"/>
    <x v="13"/>
    <s v="20/06/2022"/>
    <s v="20/06/2022"/>
    <s v="2022"/>
    <s v="20/06/2022"/>
    <n v="7434"/>
    <n v="85"/>
    <m/>
    <m/>
    <s v="Above Average"/>
    <n v="1082"/>
  </r>
  <r>
    <s v="Oby Sorrel"/>
    <s v="New Zealand"/>
    <x v="10"/>
    <s v="17/02/2022"/>
    <s v="17/02/2022"/>
    <s v="2022"/>
    <s v="17/02/2022"/>
    <n v="15316"/>
    <n v="270"/>
    <m/>
    <m/>
    <s v="Above Average"/>
    <n v="137"/>
  </r>
  <r>
    <s v="Madelene Upcott"/>
    <s v="UK"/>
    <x v="4"/>
    <s v="26/01/2022"/>
    <s v="26/01/2022"/>
    <s v="2022"/>
    <s v="26/01/2022"/>
    <n v="10479"/>
    <n v="45"/>
    <m/>
    <m/>
    <s v="Above Average"/>
    <n v="512"/>
  </r>
  <r>
    <s v="Madelene Upcott"/>
    <s v="Australia"/>
    <x v="0"/>
    <d v="2022-02-05T00:00:00"/>
    <s v="05/02/2022"/>
    <s v="2022"/>
    <s v="05"/>
    <n v="2751"/>
    <n v="153"/>
    <m/>
    <m/>
    <s v="Below Average"/>
    <n v="2392"/>
  </r>
  <r>
    <s v="Curtice Advani"/>
    <s v="Canada"/>
    <x v="4"/>
    <d v="2022-07-07T00:00:00"/>
    <s v="07/07/2022"/>
    <s v="2022"/>
    <s v="07"/>
    <n v="12586"/>
    <n v="7"/>
    <m/>
    <m/>
    <s v="Above Average"/>
    <n v="290"/>
  </r>
  <r>
    <s v="Rafaelita Blaksland"/>
    <s v="Australia"/>
    <x v="19"/>
    <s v="22/08/2022"/>
    <s v="22/08/2022"/>
    <s v="2022"/>
    <s v="22/08/2022"/>
    <n v="2786"/>
    <n v="51"/>
    <m/>
    <m/>
    <s v="Below Average"/>
    <n v="2380"/>
  </r>
  <r>
    <s v="Karlen McCaffrey"/>
    <s v="Australia"/>
    <x v="5"/>
    <d v="2022-11-08T00:00:00"/>
    <s v="08/11/2022"/>
    <s v="2022"/>
    <s v="08"/>
    <n v="2303"/>
    <n v="67"/>
    <m/>
    <m/>
    <s v="Below Average"/>
    <n v="2550"/>
  </r>
  <r>
    <s v="Marney O'Breen"/>
    <s v="UK"/>
    <x v="4"/>
    <s v="13/01/2022"/>
    <s v="13/01/2022"/>
    <s v="2022"/>
    <s v="13/01/2022"/>
    <n v="8113"/>
    <n v="194"/>
    <m/>
    <m/>
    <s v="Above Average"/>
    <n v="910"/>
  </r>
  <r>
    <s v="Gunar Cockshoot"/>
    <s v="Australia"/>
    <x v="6"/>
    <d v="2022-02-03T00:00:00"/>
    <s v="03/02/2022"/>
    <s v="2022"/>
    <s v="03"/>
    <n v="12271"/>
    <n v="116"/>
    <m/>
    <m/>
    <s v="Above Average"/>
    <n v="321"/>
  </r>
  <r>
    <s v="Marney O'Breen"/>
    <s v="Australia"/>
    <x v="18"/>
    <s v="27/07/2022"/>
    <s v="27/07/2022"/>
    <s v="2022"/>
    <s v="27/07/2022"/>
    <n v="11298"/>
    <n v="41"/>
    <m/>
    <m/>
    <s v="Above Average"/>
    <n v="415"/>
  </r>
  <r>
    <s v="Kelci Walkden"/>
    <s v="New Zealand"/>
    <x v="9"/>
    <d v="2022-10-03T00:00:00"/>
    <s v="03/10/2022"/>
    <s v="2022"/>
    <s v="03"/>
    <n v="15855"/>
    <n v="111"/>
    <m/>
    <m/>
    <s v="Above Average"/>
    <n v="106"/>
  </r>
  <r>
    <s v="Beverie Moffet"/>
    <s v="USA"/>
    <x v="1"/>
    <s v="23/08/2022"/>
    <s v="23/08/2022"/>
    <s v="2022"/>
    <s v="23/08/2022"/>
    <n v="12404"/>
    <n v="334"/>
    <m/>
    <m/>
    <s v="Above Average"/>
    <n v="310"/>
  </r>
  <r>
    <s v="Roddy Speechley"/>
    <s v="USA"/>
    <x v="8"/>
    <s v="25/04/2022"/>
    <s v="25/04/2022"/>
    <s v="2022"/>
    <s v="25/04/2022"/>
    <n v="3990"/>
    <n v="155"/>
    <m/>
    <m/>
    <s v="Below Average"/>
    <n v="1989"/>
  </r>
  <r>
    <s v="Dennison Crosswaite"/>
    <s v="UK"/>
    <x v="11"/>
    <d v="2022-07-03T00:00:00"/>
    <s v="03/07/2022"/>
    <s v="2022"/>
    <s v="03"/>
    <n v="10808"/>
    <n v="407"/>
    <m/>
    <m/>
    <s v="Above Average"/>
    <n v="471"/>
  </r>
  <r>
    <s v="Wilone O'Kielt"/>
    <s v="UK"/>
    <x v="10"/>
    <d v="2022-12-07T00:00:00"/>
    <s v="07/12/2022"/>
    <s v="2022"/>
    <s v="07"/>
    <n v="4858"/>
    <n v="52"/>
    <m/>
    <m/>
    <s v="Below Average"/>
    <n v="1750"/>
  </r>
  <r>
    <s v="Madelene Upcott"/>
    <s v="USA"/>
    <x v="7"/>
    <s v="16/05/2022"/>
    <s v="16/05/2022"/>
    <s v="2022"/>
    <s v="16/05/2022"/>
    <n v="7742"/>
    <n v="138"/>
    <m/>
    <m/>
    <s v="Above Average"/>
    <n v="1000"/>
  </r>
  <r>
    <s v="Gunar Cockshoot"/>
    <s v="India"/>
    <x v="3"/>
    <d v="2022-02-03T00:00:00"/>
    <s v="03/02/2022"/>
    <s v="2022"/>
    <s v="03"/>
    <n v="3752"/>
    <n v="70"/>
    <m/>
    <m/>
    <s v="Below Average"/>
    <n v="2052"/>
  </r>
  <r>
    <s v="Marney O'Breen"/>
    <s v="New Zealand"/>
    <x v="1"/>
    <s v="30/05/2022"/>
    <s v="30/05/2022"/>
    <s v="2022"/>
    <s v="30/05/2022"/>
    <n v="1218"/>
    <n v="149"/>
    <m/>
    <m/>
    <s v="Below Average"/>
    <n v="2901"/>
  </r>
  <r>
    <s v="Marney O'Breen"/>
    <s v="UK"/>
    <x v="15"/>
    <d v="2022-10-06T00:00:00"/>
    <s v="06/10/2022"/>
    <s v="2022"/>
    <s v="06"/>
    <n v="10983"/>
    <n v="179"/>
    <m/>
    <m/>
    <s v="Above Average"/>
    <n v="441"/>
  </r>
  <r>
    <s v="Brien Boise"/>
    <s v="USA"/>
    <x v="4"/>
    <s v="25/07/2022"/>
    <s v="25/07/2022"/>
    <s v="2022"/>
    <s v="25/07/2022"/>
    <n v="6769"/>
    <n v="353"/>
    <m/>
    <m/>
    <s v="Above Average"/>
    <n v="1248"/>
  </r>
  <r>
    <s v="Beverie Moffet"/>
    <s v="New Zealand"/>
    <x v="0"/>
    <d v="2022-09-06T00:00:00"/>
    <s v="06/09/2022"/>
    <s v="2022"/>
    <s v="06"/>
    <n v="4361"/>
    <n v="97"/>
    <m/>
    <m/>
    <s v="Below Average"/>
    <n v="1887"/>
  </r>
  <r>
    <s v="Dennison Crosswaite"/>
    <s v="USA"/>
    <x v="11"/>
    <d v="2022-12-05T00:00:00"/>
    <s v="05/12/2022"/>
    <s v="2022"/>
    <s v="05"/>
    <n v="777"/>
    <n v="60"/>
    <m/>
    <m/>
    <s v="Below Average"/>
    <n v="3038"/>
  </r>
  <r>
    <s v="Gunar Cockshoot"/>
    <s v="USA"/>
    <x v="9"/>
    <d v="2022-09-05T00:00:00"/>
    <s v="05/09/2022"/>
    <s v="2022"/>
    <s v="05"/>
    <n v="3843"/>
    <n v="5"/>
    <m/>
    <m/>
    <s v="Below Average"/>
    <n v="2028"/>
  </r>
  <r>
    <s v="Brien Boise"/>
    <s v="Canada"/>
    <x v="15"/>
    <d v="2022-09-08T00:00:00"/>
    <s v="08/09/2022"/>
    <s v="2022"/>
    <s v="08"/>
    <n v="6930"/>
    <n v="182"/>
    <m/>
    <m/>
    <s v="Above Average"/>
    <n v="1199"/>
  </r>
  <r>
    <s v="Van Tuxwell"/>
    <s v="India"/>
    <x v="18"/>
    <s v="13/04/2022"/>
    <s v="13/04/2022"/>
    <s v="2022"/>
    <s v="13/04/2022"/>
    <n v="5733"/>
    <n v="114"/>
    <m/>
    <m/>
    <s v="Below Average"/>
    <n v="1510"/>
  </r>
  <r>
    <s v="Andria Kimpton"/>
    <s v="USA"/>
    <x v="20"/>
    <d v="2022-02-05T00:00:00"/>
    <s v="05/02/2022"/>
    <s v="2022"/>
    <s v="05"/>
    <n v="8393"/>
    <n v="46"/>
    <m/>
    <m/>
    <s v="Above Average"/>
    <n v="854"/>
  </r>
  <r>
    <s v="Dotty Strutley"/>
    <s v="USA"/>
    <x v="4"/>
    <d v="2022-09-08T00:00:00"/>
    <s v="08/09/2022"/>
    <s v="2022"/>
    <s v="08"/>
    <n v="3822"/>
    <n v="320"/>
    <m/>
    <m/>
    <s v="Below Average"/>
    <n v="2033"/>
  </r>
  <r>
    <s v="Camilla Castle"/>
    <s v="Australia"/>
    <x v="17"/>
    <s v="23/08/2022"/>
    <s v="23/08/2022"/>
    <s v="2022"/>
    <s v="23/08/2022"/>
    <n v="6342"/>
    <n v="178"/>
    <m/>
    <m/>
    <s v="Above Average"/>
    <n v="1341"/>
  </r>
  <r>
    <s v="Gunar Cockshoot"/>
    <s v="India"/>
    <x v="12"/>
    <s v="13/05/2022"/>
    <s v="13/05/2022"/>
    <s v="2022"/>
    <s v="13/05/2022"/>
    <n v="6510"/>
    <n v="170"/>
    <m/>
    <m/>
    <s v="Above Average"/>
    <n v="1305"/>
  </r>
  <r>
    <s v="Karlen McCaffrey"/>
    <s v="USA"/>
    <x v="15"/>
    <d v="2022-01-02T00:00:00"/>
    <s v="02/01/2022"/>
    <s v="2022"/>
    <s v="02"/>
    <n v="10171"/>
    <n v="67"/>
    <m/>
    <m/>
    <s v="Above Average"/>
    <n v="556"/>
  </r>
  <r>
    <s v="Camilla Castle"/>
    <s v="USA"/>
    <x v="6"/>
    <s v="23/06/2022"/>
    <s v="23/06/2022"/>
    <s v="2022"/>
    <s v="23/06/2022"/>
    <n v="5908"/>
    <n v="301"/>
    <m/>
    <m/>
    <s v="Below Average"/>
    <n v="1457"/>
  </r>
  <r>
    <s v="Madelene Upcott"/>
    <s v="UK"/>
    <x v="18"/>
    <s v="24/05/2022"/>
    <s v="24/05/2022"/>
    <s v="2022"/>
    <s v="24/05/2022"/>
    <n v="10164"/>
    <n v="134"/>
    <m/>
    <m/>
    <s v="Above Average"/>
    <n v="558"/>
  </r>
  <r>
    <s v="Jan Morforth"/>
    <s v="Canada"/>
    <x v="0"/>
    <d v="2022-01-04T00:00:00"/>
    <s v="04/01/2022"/>
    <s v="2022"/>
    <s v="04"/>
    <n v="1064"/>
    <n v="211"/>
    <m/>
    <m/>
    <s v="Below Average"/>
    <n v="2952"/>
  </r>
  <r>
    <s v="Camilla Castle"/>
    <s v="Canada"/>
    <x v="21"/>
    <s v="27/07/2022"/>
    <s v="27/07/2022"/>
    <s v="2022"/>
    <s v="27/07/2022"/>
    <n v="9716"/>
    <n v="151"/>
    <m/>
    <m/>
    <s v="Above Average"/>
    <n v="629"/>
  </r>
  <r>
    <s v="Ches Bonnell"/>
    <s v="India"/>
    <x v="2"/>
    <s v="27/01/2022"/>
    <s v="27/01/2022"/>
    <s v="2022"/>
    <s v="27/01/2022"/>
    <n v="22050"/>
    <n v="208"/>
    <m/>
    <m/>
    <s v="Above Average"/>
    <n v="8"/>
  </r>
  <r>
    <s v="Jan Morforth"/>
    <s v="India"/>
    <x v="18"/>
    <d v="2022-12-08T00:00:00"/>
    <s v="08/12/2022"/>
    <s v="2022"/>
    <s v="08"/>
    <n v="2541"/>
    <n v="134"/>
    <m/>
    <m/>
    <s v="Below Average"/>
    <n v="2454"/>
  </r>
  <r>
    <s v="Gigi Bohling"/>
    <s v="Canada"/>
    <x v="16"/>
    <d v="2022-01-02T00:00:00"/>
    <s v="02/01/2022"/>
    <s v="2022"/>
    <s v="02"/>
    <n v="9989"/>
    <n v="49"/>
    <m/>
    <m/>
    <s v="Above Average"/>
    <n v="582"/>
  </r>
  <r>
    <s v="Rafaelita Blaksland"/>
    <s v="India"/>
    <x v="5"/>
    <d v="2022-02-03T00:00:00"/>
    <s v="03/02/2022"/>
    <s v="2022"/>
    <s v="03"/>
    <n v="4739"/>
    <n v="204"/>
    <m/>
    <m/>
    <s v="Below Average"/>
    <n v="1789"/>
  </r>
  <r>
    <s v="Kelci Walkden"/>
    <s v="Australia"/>
    <x v="4"/>
    <s v="30/06/2022"/>
    <s v="30/06/2022"/>
    <s v="2022"/>
    <s v="30/06/2022"/>
    <n v="3185"/>
    <n v="34"/>
    <m/>
    <m/>
    <s v="Below Average"/>
    <n v="2237"/>
  </r>
  <r>
    <s v="Dotty Strutley"/>
    <s v="Australia"/>
    <x v="12"/>
    <s v="17/01/2022"/>
    <s v="17/01/2022"/>
    <s v="2022"/>
    <s v="17/01/2022"/>
    <n v="8225"/>
    <n v="91"/>
    <m/>
    <m/>
    <s v="Above Average"/>
    <n v="887"/>
  </r>
  <r>
    <s v="Brien Boise"/>
    <s v="USA"/>
    <x v="11"/>
    <d v="2022-07-07T00:00:00"/>
    <s v="07/07/2022"/>
    <s v="2022"/>
    <s v="07"/>
    <n v="14301"/>
    <n v="130"/>
    <m/>
    <m/>
    <s v="Above Average"/>
    <n v="190"/>
  </r>
  <r>
    <s v="Mallorie Waber"/>
    <s v="New Zealand"/>
    <x v="0"/>
    <s v="31/01/2022"/>
    <s v="31/01/2022"/>
    <s v="2022"/>
    <s v="31/01/2022"/>
    <n v="1316"/>
    <n v="107"/>
    <m/>
    <m/>
    <s v="Below Average"/>
    <n v="2866"/>
  </r>
  <r>
    <s v="Beverie Moffet"/>
    <s v="UK"/>
    <x v="4"/>
    <d v="2022-10-08T00:00:00"/>
    <s v="08/10/2022"/>
    <s v="2022"/>
    <s v="08"/>
    <n v="3486"/>
    <n v="121"/>
    <m/>
    <m/>
    <s v="Below Average"/>
    <n v="2141"/>
  </r>
  <r>
    <s v="Beverie Moffet"/>
    <s v="USA"/>
    <x v="2"/>
    <s v="18/08/2022"/>
    <s v="18/08/2022"/>
    <s v="2022"/>
    <s v="18/08/2022"/>
    <n v="13930"/>
    <n v="339"/>
    <m/>
    <m/>
    <s v="Above Average"/>
    <n v="213"/>
  </r>
  <r>
    <s v="Brien Boise"/>
    <s v="New Zealand"/>
    <x v="14"/>
    <s v="15/06/2022"/>
    <s v="15/06/2022"/>
    <s v="2022"/>
    <s v="15/06/2022"/>
    <n v="5509"/>
    <n v="321"/>
    <m/>
    <m/>
    <s v="Below Average"/>
    <n v="1565"/>
  </r>
  <r>
    <s v="Marney O'Breen"/>
    <s v="USA"/>
    <x v="19"/>
    <s v="26/01/2022"/>
    <s v="26/01/2022"/>
    <s v="2022"/>
    <s v="26/01/2022"/>
    <n v="8470"/>
    <n v="9"/>
    <m/>
    <m/>
    <s v="Above Average"/>
    <n v="843"/>
  </r>
  <r>
    <s v="Kelci Walkden"/>
    <s v="USA"/>
    <x v="12"/>
    <s v="29/04/2022"/>
    <s v="29/04/2022"/>
    <s v="2022"/>
    <s v="29/04/2022"/>
    <n v="77"/>
    <n v="69"/>
    <m/>
    <m/>
    <s v="Below Average"/>
    <n v="3254"/>
  </r>
  <r>
    <s v="Mallorie Waber"/>
    <s v="Canada"/>
    <x v="14"/>
    <d v="2022-03-03T00:00:00"/>
    <s v="03/03/2022"/>
    <s v="2022"/>
    <s v="03"/>
    <n v="3381"/>
    <n v="72"/>
    <m/>
    <m/>
    <s v="Below Average"/>
    <n v="2183"/>
  </r>
  <r>
    <s v="Kaine Padly"/>
    <s v="Australia"/>
    <x v="16"/>
    <s v="22/02/2022"/>
    <s v="22/02/2022"/>
    <s v="2022"/>
    <s v="22/02/2022"/>
    <n v="4102"/>
    <n v="392"/>
    <m/>
    <m/>
    <s v="Below Average"/>
    <n v="1957"/>
  </r>
  <r>
    <s v="Oby Sorrel"/>
    <s v="USA"/>
    <x v="3"/>
    <d v="2022-04-03T00:00:00"/>
    <s v="03/04/2022"/>
    <s v="2022"/>
    <s v="03"/>
    <n v="3577"/>
    <n v="158"/>
    <m/>
    <m/>
    <s v="Below Average"/>
    <n v="2112"/>
  </r>
  <r>
    <s v="Dennison Crosswaite"/>
    <s v="India"/>
    <x v="3"/>
    <d v="2022-07-07T00:00:00"/>
    <s v="07/07/2022"/>
    <s v="2022"/>
    <s v="07"/>
    <n v="2975"/>
    <n v="9"/>
    <m/>
    <m/>
    <s v="Below Average"/>
    <n v="2317"/>
  </r>
  <r>
    <s v="Camilla Castle"/>
    <s v="New Zealand"/>
    <x v="20"/>
    <s v="17/06/2022"/>
    <s v="17/06/2022"/>
    <s v="2022"/>
    <s v="17/06/2022"/>
    <n v="4137"/>
    <n v="347"/>
    <m/>
    <m/>
    <s v="Below Average"/>
    <n v="1948"/>
  </r>
  <r>
    <s v="Jan Morforth"/>
    <s v="Canada"/>
    <x v="20"/>
    <d v="2022-02-08T00:00:00"/>
    <s v="08/02/2022"/>
    <s v="2022"/>
    <s v="08"/>
    <n v="9541"/>
    <n v="114"/>
    <m/>
    <m/>
    <s v="Above Average"/>
    <n v="649"/>
  </r>
  <r>
    <s v="Oby Sorrel"/>
    <s v="USA"/>
    <x v="19"/>
    <d v="2022-12-08T00:00:00"/>
    <s v="08/12/2022"/>
    <s v="2022"/>
    <s v="08"/>
    <n v="8001"/>
    <n v="120"/>
    <m/>
    <m/>
    <s v="Above Average"/>
    <n v="936"/>
  </r>
  <r>
    <s v="Madelene Upcott"/>
    <s v="New Zealand"/>
    <x v="2"/>
    <s v="28/01/2022"/>
    <s v="28/01/2022"/>
    <s v="2022"/>
    <s v="28/01/2022"/>
    <n v="5152"/>
    <n v="333"/>
    <m/>
    <m/>
    <s v="Below Average"/>
    <n v="1659"/>
  </r>
  <r>
    <s v="Kelci Walkden"/>
    <s v="Australia"/>
    <x v="7"/>
    <s v="29/04/2022"/>
    <s v="29/04/2022"/>
    <s v="2022"/>
    <s v="29/04/2022"/>
    <n v="11116"/>
    <n v="432"/>
    <m/>
    <m/>
    <s v="Above Average"/>
    <n v="430"/>
  </r>
  <r>
    <s v="Marney O'Breen"/>
    <s v="Australia"/>
    <x v="15"/>
    <d v="2022-05-04T00:00:00"/>
    <s v="04/05/2022"/>
    <s v="2022"/>
    <s v="04"/>
    <n v="13076"/>
    <n v="236"/>
    <m/>
    <m/>
    <s v="Above Average"/>
    <n v="261"/>
  </r>
  <r>
    <s v="Kaine Padly"/>
    <s v="Canada"/>
    <x v="15"/>
    <s v="18/01/2022"/>
    <s v="18/01/2022"/>
    <s v="2022"/>
    <s v="18/01/2022"/>
    <n v="10213"/>
    <n v="135"/>
    <m/>
    <m/>
    <s v="Above Average"/>
    <n v="549"/>
  </r>
  <r>
    <s v="Jehu Rudeforth"/>
    <s v="UK"/>
    <x v="19"/>
    <s v="16/05/2022"/>
    <s v="16/05/2022"/>
    <s v="2022"/>
    <s v="16/05/2022"/>
    <n v="2485"/>
    <n v="97"/>
    <m/>
    <m/>
    <s v="Below Average"/>
    <n v="2482"/>
  </r>
  <r>
    <s v="Kelci Walkden"/>
    <s v="Australia"/>
    <x v="14"/>
    <s v="24/08/2022"/>
    <s v="24/08/2022"/>
    <s v="2022"/>
    <s v="24/08/2022"/>
    <n v="8715"/>
    <n v="168"/>
    <m/>
    <m/>
    <s v="Above Average"/>
    <n v="796"/>
  </r>
  <r>
    <s v="Curtice Advani"/>
    <s v="India"/>
    <x v="1"/>
    <s v="18/01/2022"/>
    <s v="18/01/2022"/>
    <s v="2022"/>
    <s v="18/01/2022"/>
    <n v="273"/>
    <n v="402"/>
    <m/>
    <m/>
    <s v="Below Average"/>
    <n v="3202"/>
  </r>
  <r>
    <s v="Kaine Padly"/>
    <s v="USA"/>
    <x v="8"/>
    <s v="22/08/2022"/>
    <s v="22/08/2022"/>
    <s v="2022"/>
    <s v="22/08/2022"/>
    <n v="7623"/>
    <n v="10"/>
    <m/>
    <m/>
    <s v="Above Average"/>
    <n v="1036"/>
  </r>
  <r>
    <s v="Gunar Cockshoot"/>
    <s v="UK"/>
    <x v="4"/>
    <d v="2022-07-03T00:00:00"/>
    <s v="03/07/2022"/>
    <s v="2022"/>
    <s v="03"/>
    <n v="7"/>
    <n v="84"/>
    <m/>
    <m/>
    <s v="Below Average"/>
    <n v="3281"/>
  </r>
  <r>
    <s v="Beverie Moffet"/>
    <s v="UK"/>
    <x v="18"/>
    <d v="2022-04-03T00:00:00"/>
    <s v="03/04/2022"/>
    <s v="2022"/>
    <s v="03"/>
    <n v="3010"/>
    <n v="69"/>
    <m/>
    <m/>
    <s v="Below Average"/>
    <n v="2304"/>
  </r>
  <r>
    <s v="Dotty Strutley"/>
    <s v="Canada"/>
    <x v="15"/>
    <s v="22/04/2022"/>
    <s v="22/04/2022"/>
    <s v="2022"/>
    <s v="22/04/2022"/>
    <n v="11550"/>
    <n v="111"/>
    <m/>
    <m/>
    <s v="Above Average"/>
    <n v="392"/>
  </r>
  <r>
    <s v="Kaine Padly"/>
    <s v="Australia"/>
    <x v="11"/>
    <d v="2022-09-06T00:00:00"/>
    <s v="06/09/2022"/>
    <s v="2022"/>
    <s v="06"/>
    <n v="4046"/>
    <n v="89"/>
    <m/>
    <m/>
    <s v="Below Average"/>
    <n v="1971"/>
  </r>
  <r>
    <s v="Jan Morforth"/>
    <s v="Canada"/>
    <x v="13"/>
    <s v="25/07/2022"/>
    <s v="25/07/2022"/>
    <s v="2022"/>
    <s v="25/07/2022"/>
    <n v="8904"/>
    <n v="199"/>
    <m/>
    <m/>
    <s v="Above Average"/>
    <n v="759"/>
  </r>
  <r>
    <s v="Jan Morforth"/>
    <s v="India"/>
    <x v="3"/>
    <d v="2022-03-08T00:00:00"/>
    <s v="08/03/2022"/>
    <s v="2022"/>
    <s v="08"/>
    <n v="11298"/>
    <n v="89"/>
    <m/>
    <m/>
    <s v="Above Average"/>
    <n v="415"/>
  </r>
  <r>
    <s v="Rafaelita Blaksland"/>
    <s v="Australia"/>
    <x v="15"/>
    <d v="2022-03-08T00:00:00"/>
    <s v="08/03/2022"/>
    <s v="2022"/>
    <s v="08"/>
    <n v="4396"/>
    <n v="131"/>
    <m/>
    <m/>
    <s v="Below Average"/>
    <n v="1876"/>
  </r>
  <r>
    <s v="Jehu Rudeforth"/>
    <s v="UK"/>
    <x v="11"/>
    <d v="2022-03-05T00:00:00"/>
    <s v="05/03/2022"/>
    <s v="2022"/>
    <s v="05"/>
    <n v="12068"/>
    <n v="227"/>
    <m/>
    <m/>
    <s v="Above Average"/>
    <n v="342"/>
  </r>
  <r>
    <s v="Husein Augar"/>
    <s v="Canada"/>
    <x v="5"/>
    <s v="19/01/2022"/>
    <s v="19/01/2022"/>
    <s v="2022"/>
    <s v="19/01/2022"/>
    <n v="9772"/>
    <n v="301"/>
    <m/>
    <m/>
    <s v="Above Average"/>
    <n v="616"/>
  </r>
  <r>
    <s v="Roddy Speechley"/>
    <s v="USA"/>
    <x v="6"/>
    <d v="2022-11-02T00:00:00"/>
    <s v="02/11/2022"/>
    <s v="2022"/>
    <s v="02"/>
    <n v="10458"/>
    <n v="316"/>
    <m/>
    <m/>
    <s v="Above Average"/>
    <n v="516"/>
  </r>
  <r>
    <s v="Van Tuxwell"/>
    <s v="India"/>
    <x v="16"/>
    <s v="14/06/2022"/>
    <s v="14/06/2022"/>
    <s v="2022"/>
    <s v="14/06/2022"/>
    <n v="6426"/>
    <n v="390"/>
    <m/>
    <m/>
    <s v="Above Average"/>
    <n v="1327"/>
  </r>
  <r>
    <s v="Kelci Walkden"/>
    <s v="USA"/>
    <x v="6"/>
    <s v="23/03/2022"/>
    <s v="23/03/2022"/>
    <s v="2022"/>
    <s v="23/03/2022"/>
    <n v="6188"/>
    <n v="223"/>
    <m/>
    <m/>
    <s v="Above Average"/>
    <n v="1382"/>
  </r>
  <r>
    <s v="Madelene Upcott"/>
    <s v="Canada"/>
    <x v="1"/>
    <s v="17/02/2022"/>
    <s v="17/02/2022"/>
    <s v="2022"/>
    <s v="17/02/2022"/>
    <n v="7504"/>
    <n v="101"/>
    <m/>
    <m/>
    <s v="Above Average"/>
    <n v="1061"/>
  </r>
  <r>
    <s v="Dennison Crosswaite"/>
    <s v="Canada"/>
    <x v="3"/>
    <s v="17/03/2022"/>
    <s v="17/03/2022"/>
    <s v="2022"/>
    <s v="17/03/2022"/>
    <n v="1750"/>
    <n v="479"/>
    <m/>
    <m/>
    <s v="Below Average"/>
    <n v="2711"/>
  </r>
  <r>
    <s v="Mallorie Waber"/>
    <s v="Australia"/>
    <x v="12"/>
    <s v="29/06/2022"/>
    <s v="29/06/2022"/>
    <s v="2022"/>
    <s v="29/06/2022"/>
    <n v="5439"/>
    <n v="287"/>
    <m/>
    <m/>
    <s v="Below Average"/>
    <n v="1585"/>
  </r>
  <r>
    <s v="Ches Bonnell"/>
    <s v="Canada"/>
    <x v="18"/>
    <s v="24/08/2022"/>
    <s v="24/08/2022"/>
    <s v="2022"/>
    <s v="24/08/2022"/>
    <n v="15547"/>
    <n v="269"/>
    <m/>
    <m/>
    <s v="Above Average"/>
    <n v="122"/>
  </r>
  <r>
    <s v="Gigi Bohling"/>
    <s v="Canada"/>
    <x v="12"/>
    <d v="2022-04-07T00:00:00"/>
    <s v="07/04/2022"/>
    <s v="2022"/>
    <s v="07"/>
    <n v="11956"/>
    <n v="277"/>
    <m/>
    <m/>
    <s v="Above Average"/>
    <n v="349"/>
  </r>
  <r>
    <s v="Roddy Speechley"/>
    <s v="New Zealand"/>
    <x v="16"/>
    <s v="28/03/2022"/>
    <s v="28/03/2022"/>
    <s v="2022"/>
    <s v="28/03/2022"/>
    <n v="2723"/>
    <n v="67"/>
    <m/>
    <m/>
    <s v="Below Average"/>
    <n v="2396"/>
  </r>
  <r>
    <s v="Curtice Advani"/>
    <s v="India"/>
    <x v="3"/>
    <s v="19/04/2022"/>
    <s v="19/04/2022"/>
    <s v="2022"/>
    <s v="19/04/2022"/>
    <n v="19327"/>
    <n v="135"/>
    <m/>
    <m/>
    <s v="Above Average"/>
    <n v="24"/>
  </r>
  <r>
    <s v="Ches Bonnell"/>
    <s v="New Zealand"/>
    <x v="0"/>
    <s v="18/01/2022"/>
    <s v="18/01/2022"/>
    <s v="2022"/>
    <s v="18/01/2022"/>
    <n v="9058"/>
    <n v="229"/>
    <m/>
    <m/>
    <s v="Above Average"/>
    <n v="725"/>
  </r>
  <r>
    <s v="Van Tuxwell"/>
    <s v="New Zealand"/>
    <x v="13"/>
    <s v="17/01/2022"/>
    <s v="17/01/2022"/>
    <s v="2022"/>
    <s v="17/01/2022"/>
    <n v="2996"/>
    <n v="88"/>
    <m/>
    <m/>
    <s v="Below Average"/>
    <n v="2310"/>
  </r>
  <r>
    <s v="Andria Kimpton"/>
    <s v="New Zealand"/>
    <x v="0"/>
    <s v="15/02/2022"/>
    <s v="15/02/2022"/>
    <s v="2022"/>
    <s v="15/02/2022"/>
    <n v="8848"/>
    <n v="211"/>
    <m/>
    <m/>
    <s v="Above Average"/>
    <n v="770"/>
  </r>
  <r>
    <s v="Andria Kimpton"/>
    <s v="UK"/>
    <x v="11"/>
    <d v="2022-11-02T00:00:00"/>
    <s v="02/11/2022"/>
    <s v="2022"/>
    <s v="02"/>
    <n v="14336"/>
    <n v="293"/>
    <m/>
    <m/>
    <s v="Above Average"/>
    <n v="189"/>
  </r>
  <r>
    <s v="Camilla Castle"/>
    <s v="USA"/>
    <x v="15"/>
    <s v="21/03/2022"/>
    <s v="21/03/2022"/>
    <s v="2022"/>
    <s v="21/03/2022"/>
    <n v="16401"/>
    <n v="179"/>
    <m/>
    <m/>
    <s v="Above Average"/>
    <n v="89"/>
  </r>
  <r>
    <s v="Gunar Cockshoot"/>
    <s v="New Zealand"/>
    <x v="16"/>
    <d v="2022-05-01T00:00:00"/>
    <s v="01/05/2022"/>
    <s v="2022"/>
    <s v="01"/>
    <n v="5173"/>
    <n v="129"/>
    <m/>
    <m/>
    <s v="Below Average"/>
    <n v="1656"/>
  </r>
  <r>
    <s v="Brien Boise"/>
    <s v="India"/>
    <x v="17"/>
    <s v="30/05/2022"/>
    <s v="30/05/2022"/>
    <s v="2022"/>
    <s v="30/05/2022"/>
    <n v="6328"/>
    <n v="164"/>
    <m/>
    <m/>
    <s v="Above Average"/>
    <n v="1345"/>
  </r>
  <r>
    <s v="Jehu Rudeforth"/>
    <s v="USA"/>
    <x v="4"/>
    <d v="2022-04-01T00:00:00"/>
    <s v="01/04/2022"/>
    <s v="2022"/>
    <s v="01"/>
    <n v="2534"/>
    <n v="219"/>
    <m/>
    <m/>
    <s v="Below Average"/>
    <n v="2457"/>
  </r>
  <r>
    <s v="Beverie Moffet"/>
    <s v="Australia"/>
    <x v="13"/>
    <s v="22/04/2022"/>
    <s v="22/04/2022"/>
    <s v="2022"/>
    <s v="22/04/2022"/>
    <n v="1435"/>
    <n v="258"/>
    <m/>
    <m/>
    <s v="Below Average"/>
    <n v="2827"/>
  </r>
  <r>
    <s v="Gigi Bohling"/>
    <s v="Canada"/>
    <x v="11"/>
    <d v="2022-10-02T00:00:00"/>
    <s v="02/10/2022"/>
    <s v="2022"/>
    <s v="02"/>
    <n v="3052"/>
    <n v="116"/>
    <m/>
    <m/>
    <s v="Below Average"/>
    <n v="2285"/>
  </r>
  <r>
    <s v="Dotty Strutley"/>
    <s v="India"/>
    <x v="12"/>
    <d v="2022-12-08T00:00:00"/>
    <s v="08/12/2022"/>
    <s v="2022"/>
    <s v="08"/>
    <n v="910"/>
    <n v="204"/>
    <m/>
    <m/>
    <s v="Below Average"/>
    <n v="2999"/>
  </r>
  <r>
    <s v="Gunar Cockshoot"/>
    <s v="USA"/>
    <x v="10"/>
    <d v="2022-10-08T00:00:00"/>
    <s v="08/10/2022"/>
    <s v="2022"/>
    <s v="08"/>
    <n v="2331"/>
    <n v="321"/>
    <m/>
    <m/>
    <s v="Below Average"/>
    <n v="2538"/>
  </r>
  <r>
    <s v="Kelci Walkden"/>
    <s v="Australia"/>
    <x v="17"/>
    <d v="2022-07-06T00:00:00"/>
    <s v="06/07/2022"/>
    <s v="2022"/>
    <s v="06"/>
    <n v="679"/>
    <n v="56"/>
    <m/>
    <m/>
    <s v="Below Average"/>
    <n v="3073"/>
  </r>
  <r>
    <s v="Jehu Rudeforth"/>
    <s v="India"/>
    <x v="19"/>
    <d v="2022-06-06T00:00:00"/>
    <s v="06/06/2022"/>
    <s v="2022"/>
    <s v="06"/>
    <n v="2086"/>
    <n v="74"/>
    <m/>
    <m/>
    <s v="Below Average"/>
    <n v="2606"/>
  </r>
  <r>
    <s v="Karlen McCaffrey"/>
    <s v="New Zealand"/>
    <x v="19"/>
    <d v="2022-05-04T00:00:00"/>
    <s v="04/05/2022"/>
    <s v="2022"/>
    <s v="04"/>
    <n v="5012"/>
    <n v="189"/>
    <m/>
    <m/>
    <s v="Below Average"/>
    <n v="1701"/>
  </r>
  <r>
    <s v="Wilone O'Kielt"/>
    <s v="USA"/>
    <x v="6"/>
    <s v="18/04/2022"/>
    <s v="18/04/2022"/>
    <s v="2022"/>
    <s v="18/04/2022"/>
    <n v="4501"/>
    <n v="131"/>
    <m/>
    <m/>
    <s v="Below Average"/>
    <n v="1847"/>
  </r>
  <r>
    <s v="Andria Kimpton"/>
    <s v="India"/>
    <x v="6"/>
    <s v="31/01/2022"/>
    <s v="31/01/2022"/>
    <s v="2022"/>
    <s v="31/01/2022"/>
    <n v="13482"/>
    <n v="15"/>
    <m/>
    <m/>
    <s v="Above Average"/>
    <n v="237"/>
  </r>
  <r>
    <s v="Madelene Upcott"/>
    <s v="USA"/>
    <x v="19"/>
    <s v="22/08/2022"/>
    <s v="22/08/2022"/>
    <s v="2022"/>
    <s v="22/08/2022"/>
    <n v="5621"/>
    <n v="140"/>
    <m/>
    <m/>
    <s v="Below Average"/>
    <n v="1535"/>
  </r>
  <r>
    <s v="Jehu Rudeforth"/>
    <s v="Australia"/>
    <x v="4"/>
    <s v="25/02/2022"/>
    <s v="25/02/2022"/>
    <s v="2022"/>
    <s v="25/02/2022"/>
    <n v="10486"/>
    <n v="198"/>
    <m/>
    <m/>
    <s v="Above Average"/>
    <n v="511"/>
  </r>
  <r>
    <s v="Jan Morforth"/>
    <s v="Australia"/>
    <x v="0"/>
    <s v="22/02/2022"/>
    <s v="22/02/2022"/>
    <s v="2022"/>
    <s v="22/02/2022"/>
    <n v="17626"/>
    <n v="103"/>
    <m/>
    <m/>
    <s v="Above Average"/>
    <n v="50"/>
  </r>
  <r>
    <s v="Oby Sorrel"/>
    <s v="New Zealand"/>
    <x v="11"/>
    <d v="2022-12-01T00:00:00"/>
    <s v="01/12/2022"/>
    <s v="2022"/>
    <s v="01"/>
    <n v="4494"/>
    <n v="187"/>
    <m/>
    <m/>
    <s v="Below Average"/>
    <n v="1852"/>
  </r>
  <r>
    <s v="Brien Boise"/>
    <s v="UK"/>
    <x v="16"/>
    <s v="25/05/2022"/>
    <s v="25/05/2022"/>
    <s v="2022"/>
    <s v="25/05/2022"/>
    <n v="105"/>
    <n v="125"/>
    <m/>
    <m/>
    <s v="Below Average"/>
    <n v="3244"/>
  </r>
  <r>
    <s v="Kelci Walkden"/>
    <s v="India"/>
    <x v="3"/>
    <d v="2022-01-02T00:00:00"/>
    <s v="02/01/2022"/>
    <s v="2022"/>
    <s v="02"/>
    <n v="2464"/>
    <n v="8"/>
    <m/>
    <m/>
    <s v="Below Average"/>
    <n v="2488"/>
  </r>
  <r>
    <s v="Rafaelita Blaksland"/>
    <s v="UK"/>
    <x v="8"/>
    <s v="27/04/2022"/>
    <s v="27/04/2022"/>
    <s v="2022"/>
    <s v="27/04/2022"/>
    <n v="1379"/>
    <n v="70"/>
    <m/>
    <m/>
    <s v="Below Average"/>
    <n v="2846"/>
  </r>
  <r>
    <s v="Gigi Bohling"/>
    <s v="USA"/>
    <x v="3"/>
    <s v="22/07/2022"/>
    <s v="22/07/2022"/>
    <s v="2022"/>
    <s v="22/07/2022"/>
    <n v="2583"/>
    <n v="126"/>
    <m/>
    <m/>
    <s v="Below Average"/>
    <n v="2446"/>
  </r>
  <r>
    <s v="Curtice Advani"/>
    <s v="New Zealand"/>
    <x v="0"/>
    <s v="26/01/2022"/>
    <s v="26/01/2022"/>
    <s v="2022"/>
    <s v="26/01/2022"/>
    <n v="3220"/>
    <n v="265"/>
    <m/>
    <m/>
    <s v="Below Average"/>
    <n v="2228"/>
  </r>
  <r>
    <s v="Curtice Advani"/>
    <s v="USA"/>
    <x v="0"/>
    <s v="24/08/2022"/>
    <s v="24/08/2022"/>
    <s v="2022"/>
    <s v="24/08/2022"/>
    <n v="4802"/>
    <n v="296"/>
    <m/>
    <m/>
    <s v="Below Average"/>
    <n v="1766"/>
  </r>
  <r>
    <s v="Madelene Upcott"/>
    <s v="New Zealand"/>
    <x v="13"/>
    <s v="18/01/2022"/>
    <s v="18/01/2022"/>
    <s v="2022"/>
    <s v="18/01/2022"/>
    <n v="5677"/>
    <n v="21"/>
    <m/>
    <m/>
    <s v="Below Average"/>
    <n v="1524"/>
  </r>
  <r>
    <s v="Karlen McCaffrey"/>
    <s v="India"/>
    <x v="1"/>
    <s v="30/03/2022"/>
    <s v="30/03/2022"/>
    <s v="2022"/>
    <s v="30/03/2022"/>
    <n v="945"/>
    <n v="83"/>
    <m/>
    <m/>
    <s v="Below Average"/>
    <n v="2991"/>
  </r>
  <r>
    <s v="Ches Bonnell"/>
    <s v="Australia"/>
    <x v="20"/>
    <s v="17/01/2022"/>
    <s v="17/01/2022"/>
    <s v="2022"/>
    <s v="17/01/2022"/>
    <n v="8757"/>
    <n v="162"/>
    <m/>
    <m/>
    <s v="Above Average"/>
    <n v="787"/>
  </r>
  <r>
    <s v="Kelci Walkden"/>
    <s v="USA"/>
    <x v="13"/>
    <s v="17/02/2022"/>
    <s v="17/02/2022"/>
    <s v="2022"/>
    <s v="17/02/2022"/>
    <n v="4816"/>
    <n v="145"/>
    <m/>
    <m/>
    <s v="Below Average"/>
    <n v="1761"/>
  </r>
  <r>
    <s v="Kelci Walkden"/>
    <s v="Canada"/>
    <x v="2"/>
    <d v="2022-08-04T00:00:00"/>
    <s v="04/08/2022"/>
    <s v="2022"/>
    <s v="04"/>
    <n v="7532"/>
    <n v="44"/>
    <m/>
    <m/>
    <s v="Above Average"/>
    <n v="1056"/>
  </r>
  <r>
    <s v="Gigi Bohling"/>
    <s v="Canada"/>
    <x v="9"/>
    <d v="2022-06-07T00:00:00"/>
    <s v="07/06/2022"/>
    <s v="2022"/>
    <s v="07"/>
    <n v="3549"/>
    <n v="82"/>
    <m/>
    <m/>
    <s v="Below Average"/>
    <n v="2126"/>
  </r>
  <r>
    <s v="Husein Augar"/>
    <s v="India"/>
    <x v="13"/>
    <d v="2022-04-04T00:00:00"/>
    <s v="04/04/2022"/>
    <s v="2022"/>
    <s v="04"/>
    <n v="4340"/>
    <n v="226"/>
    <m/>
    <m/>
    <s v="Below Average"/>
    <n v="1894"/>
  </r>
  <r>
    <s v="Jan Morforth"/>
    <s v="New Zealand"/>
    <x v="10"/>
    <d v="2022-02-03T00:00:00"/>
    <s v="03/02/2022"/>
    <s v="2022"/>
    <s v="03"/>
    <n v="1799"/>
    <n v="207"/>
    <m/>
    <m/>
    <s v="Below Average"/>
    <n v="2701"/>
  </r>
  <r>
    <s v="Gigi Bohling"/>
    <s v="New Zealand"/>
    <x v="17"/>
    <d v="2022-09-08T00:00:00"/>
    <s v="08/09/2022"/>
    <s v="2022"/>
    <s v="08"/>
    <n v="1127"/>
    <n v="176"/>
    <m/>
    <m/>
    <s v="Below Average"/>
    <n v="2927"/>
  </r>
  <r>
    <s v="Dennison Crosswaite"/>
    <s v="Australia"/>
    <x v="11"/>
    <d v="2022-09-06T00:00:00"/>
    <s v="06/09/2022"/>
    <s v="2022"/>
    <s v="06"/>
    <n v="10038"/>
    <n v="286"/>
    <m/>
    <m/>
    <s v="Above Average"/>
    <n v="574"/>
  </r>
  <r>
    <s v="Ches Bonnell"/>
    <s v="UK"/>
    <x v="20"/>
    <d v="2022-02-06T00:00:00"/>
    <s v="06/02/2022"/>
    <s v="2022"/>
    <s v="06"/>
    <n v="2926"/>
    <n v="300"/>
    <m/>
    <m/>
    <s v="Below Average"/>
    <n v="2335"/>
  </r>
  <r>
    <s v="Van Tuxwell"/>
    <s v="USA"/>
    <x v="13"/>
    <d v="2022-05-07T00:00:00"/>
    <s v="07/05/2022"/>
    <s v="2022"/>
    <s v="07"/>
    <n v="6279"/>
    <n v="235"/>
    <m/>
    <m/>
    <s v="Above Average"/>
    <n v="1363"/>
  </r>
  <r>
    <s v="Andria Kimpton"/>
    <s v="Canada"/>
    <x v="8"/>
    <d v="2022-11-08T00:00:00"/>
    <s v="08/11/2022"/>
    <s v="2022"/>
    <s v="08"/>
    <n v="308"/>
    <n v="125"/>
    <m/>
    <m/>
    <s v="Below Average"/>
    <n v="3187"/>
  </r>
  <r>
    <s v="Madelene Upcott"/>
    <s v="India"/>
    <x v="18"/>
    <d v="2022-11-02T00:00:00"/>
    <s v="02/11/2022"/>
    <s v="2022"/>
    <s v="02"/>
    <n v="3500"/>
    <n v="145"/>
    <m/>
    <m/>
    <s v="Below Average"/>
    <n v="2138"/>
  </r>
  <r>
    <s v="Kelci Walkden"/>
    <s v="New Zealand"/>
    <x v="12"/>
    <d v="2022-11-08T00:00:00"/>
    <s v="08/11/2022"/>
    <s v="2022"/>
    <s v="08"/>
    <n v="658"/>
    <n v="65"/>
    <m/>
    <m/>
    <s v="Below Average"/>
    <n v="3080"/>
  </r>
  <r>
    <s v="Roddy Speechley"/>
    <s v="Australia"/>
    <x v="9"/>
    <d v="2022-12-05T00:00:00"/>
    <s v="05/12/2022"/>
    <s v="2022"/>
    <s v="05"/>
    <n v="12565"/>
    <n v="102"/>
    <m/>
    <m/>
    <s v="Above Average"/>
    <n v="294"/>
  </r>
  <r>
    <s v="Wilone O'Kielt"/>
    <s v="USA"/>
    <x v="11"/>
    <s v="15/07/2022"/>
    <s v="15/07/2022"/>
    <s v="2022"/>
    <s v="15/07/2022"/>
    <n v="5012"/>
    <n v="93"/>
    <m/>
    <m/>
    <s v="Below Average"/>
    <n v="1701"/>
  </r>
  <r>
    <s v="Andria Kimpton"/>
    <s v="India"/>
    <x v="10"/>
    <s v="18/01/2022"/>
    <s v="18/01/2022"/>
    <s v="2022"/>
    <s v="18/01/2022"/>
    <n v="3955"/>
    <n v="134"/>
    <m/>
    <m/>
    <s v="Below Average"/>
    <n v="1998"/>
  </r>
  <r>
    <s v="Madelene Upcott"/>
    <s v="UK"/>
    <x v="13"/>
    <d v="2022-05-01T00:00:00"/>
    <s v="01/05/2022"/>
    <s v="2022"/>
    <s v="01"/>
    <n v="8512"/>
    <n v="189"/>
    <m/>
    <m/>
    <s v="Above Average"/>
    <n v="831"/>
  </r>
  <r>
    <s v="Curtice Advani"/>
    <s v="Australia"/>
    <x v="6"/>
    <s v="29/06/2022"/>
    <s v="29/06/2022"/>
    <s v="2022"/>
    <s v="29/06/2022"/>
    <n v="504"/>
    <n v="232"/>
    <m/>
    <m/>
    <s v="Below Average"/>
    <n v="3123"/>
  </r>
  <r>
    <s v="Brien Boise"/>
    <s v="Canada"/>
    <x v="17"/>
    <s v="14/06/2022"/>
    <s v="14/06/2022"/>
    <s v="2022"/>
    <s v="14/06/2022"/>
    <n v="2800"/>
    <n v="45"/>
    <m/>
    <m/>
    <s v="Below Average"/>
    <n v="2372"/>
  </r>
  <r>
    <s v="Gunar Cockshoot"/>
    <s v="India"/>
    <x v="0"/>
    <d v="2022-08-08T00:00:00"/>
    <s v="08/08/2022"/>
    <s v="2022"/>
    <s v="08"/>
    <n v="4256"/>
    <n v="67"/>
    <m/>
    <m/>
    <s v="Below Average"/>
    <n v="1914"/>
  </r>
  <r>
    <s v="Dennison Crosswaite"/>
    <s v="India"/>
    <x v="0"/>
    <s v="23/03/2022"/>
    <s v="23/03/2022"/>
    <s v="2022"/>
    <s v="23/03/2022"/>
    <n v="13573"/>
    <n v="138"/>
    <m/>
    <m/>
    <s v="Above Average"/>
    <n v="229"/>
  </r>
  <r>
    <s v="Barr Faughny"/>
    <s v="India"/>
    <x v="20"/>
    <d v="2022-04-01T00:00:00"/>
    <s v="01/04/2022"/>
    <s v="2022"/>
    <s v="01"/>
    <n v="6566"/>
    <n v="99"/>
    <m/>
    <m/>
    <s v="Above Average"/>
    <n v="1289"/>
  </r>
  <r>
    <s v="Brien Boise"/>
    <s v="India"/>
    <x v="11"/>
    <s v="22/02/2022"/>
    <s v="22/02/2022"/>
    <s v="2022"/>
    <s v="22/02/2022"/>
    <n v="13503"/>
    <n v="251"/>
    <m/>
    <m/>
    <s v="Above Average"/>
    <n v="235"/>
  </r>
  <r>
    <s v="Beverie Moffet"/>
    <s v="UK"/>
    <x v="12"/>
    <s v="17/02/2022"/>
    <s v="17/02/2022"/>
    <s v="2022"/>
    <s v="17/02/2022"/>
    <n v="8680"/>
    <n v="252"/>
    <m/>
    <m/>
    <s v="Above Average"/>
    <n v="802"/>
  </r>
  <r>
    <s v="Barr Faughny"/>
    <s v="USA"/>
    <x v="16"/>
    <d v="2022-03-02T00:00:00"/>
    <s v="02/03/2022"/>
    <s v="2022"/>
    <s v="02"/>
    <n v="385"/>
    <n v="78"/>
    <m/>
    <m/>
    <s v="Below Average"/>
    <n v="3168"/>
  </r>
  <r>
    <s v="Van Tuxwell"/>
    <s v="Canada"/>
    <x v="17"/>
    <s v="17/03/2022"/>
    <s v="17/03/2022"/>
    <s v="2022"/>
    <s v="17/03/2022"/>
    <n v="1267"/>
    <n v="130"/>
    <m/>
    <m/>
    <s v="Below Average"/>
    <n v="2885"/>
  </r>
  <r>
    <s v="Wilone O'Kielt"/>
    <s v="Australia"/>
    <x v="19"/>
    <s v="25/01/2022"/>
    <s v="25/01/2022"/>
    <s v="2022"/>
    <s v="25/01/2022"/>
    <n v="2961"/>
    <n v="154"/>
    <m/>
    <m/>
    <s v="Below Average"/>
    <n v="2322"/>
  </r>
  <r>
    <s v="Brien Boise"/>
    <s v="Australia"/>
    <x v="11"/>
    <s v="27/07/2022"/>
    <s v="27/07/2022"/>
    <s v="2022"/>
    <s v="27/07/2022"/>
    <n v="1981"/>
    <n v="52"/>
    <m/>
    <m/>
    <s v="Below Average"/>
    <n v="2640"/>
  </r>
  <r>
    <s v="Husein Augar"/>
    <s v="Australia"/>
    <x v="13"/>
    <s v="28/01/2022"/>
    <s v="28/01/2022"/>
    <s v="2022"/>
    <s v="28/01/2022"/>
    <n v="7959"/>
    <n v="53"/>
    <m/>
    <m/>
    <s v="Above Average"/>
    <n v="946"/>
  </r>
  <r>
    <s v="Madelene Upcott"/>
    <s v="Australia"/>
    <x v="10"/>
    <d v="2022-05-07T00:00:00"/>
    <s v="07/05/2022"/>
    <s v="2022"/>
    <s v="07"/>
    <n v="10794"/>
    <n v="50"/>
    <m/>
    <m/>
    <s v="Above Average"/>
    <n v="473"/>
  </r>
  <r>
    <s v="Van Tuxwell"/>
    <s v="India"/>
    <x v="14"/>
    <s v="15/03/2022"/>
    <s v="15/03/2022"/>
    <s v="2022"/>
    <s v="15/03/2022"/>
    <n v="1897"/>
    <n v="44"/>
    <m/>
    <m/>
    <s v="Below Average"/>
    <n v="2665"/>
  </r>
  <r>
    <s v="Gunar Cockshoot"/>
    <s v="Canada"/>
    <x v="5"/>
    <d v="2022-04-08T00:00:00"/>
    <s v="08/04/2022"/>
    <s v="2022"/>
    <s v="08"/>
    <n v="2744"/>
    <n v="200"/>
    <m/>
    <m/>
    <s v="Below Average"/>
    <n v="2393"/>
  </r>
  <r>
    <s v="Jan Morforth"/>
    <s v="USA"/>
    <x v="13"/>
    <s v="27/06/2022"/>
    <s v="27/06/2022"/>
    <s v="2022"/>
    <s v="27/06/2022"/>
    <n v="4382"/>
    <n v="361"/>
    <m/>
    <m/>
    <s v="Below Average"/>
    <n v="1881"/>
  </r>
  <r>
    <s v="Jan Morforth"/>
    <s v="Canada"/>
    <x v="5"/>
    <s v="13/07/2022"/>
    <s v="13/07/2022"/>
    <s v="2022"/>
    <s v="13/07/2022"/>
    <n v="4515"/>
    <n v="172"/>
    <m/>
    <m/>
    <s v="Below Average"/>
    <n v="1843"/>
  </r>
  <r>
    <s v="Barr Faughny"/>
    <s v="New Zealand"/>
    <x v="15"/>
    <s v="24/02/2022"/>
    <s v="24/02/2022"/>
    <s v="2022"/>
    <s v="24/02/2022"/>
    <n v="5474"/>
    <n v="239"/>
    <m/>
    <m/>
    <s v="Below Average"/>
    <n v="1575"/>
  </r>
  <r>
    <s v="Karlen McCaffrey"/>
    <s v="New Zealand"/>
    <x v="1"/>
    <s v="28/06/2022"/>
    <s v="28/06/2022"/>
    <s v="2022"/>
    <s v="28/06/2022"/>
    <n v="6069"/>
    <n v="55"/>
    <m/>
    <m/>
    <s v="Above Average"/>
    <n v="1411"/>
  </r>
  <r>
    <s v="Oby Sorrel"/>
    <s v="Australia"/>
    <x v="1"/>
    <s v="30/06/2022"/>
    <s v="30/06/2022"/>
    <s v="2022"/>
    <s v="30/06/2022"/>
    <n v="6944"/>
    <n v="27"/>
    <m/>
    <m/>
    <s v="Above Average"/>
    <n v="1197"/>
  </r>
  <r>
    <s v="Curtice Advani"/>
    <s v="Canada"/>
    <x v="18"/>
    <s v="18/08/2022"/>
    <s v="18/08/2022"/>
    <s v="2022"/>
    <s v="18/08/2022"/>
    <n v="5859"/>
    <n v="7"/>
    <m/>
    <m/>
    <s v="Below Average"/>
    <n v="1469"/>
  </r>
  <r>
    <s v="Kaine Padly"/>
    <s v="India"/>
    <x v="21"/>
    <s v="24/01/2022"/>
    <s v="24/01/2022"/>
    <s v="2022"/>
    <s v="24/01/2022"/>
    <n v="12173"/>
    <n v="301"/>
    <m/>
    <m/>
    <s v="Above Average"/>
    <n v="331"/>
  </r>
  <r>
    <s v="Beverie Moffet"/>
    <s v="USA"/>
    <x v="14"/>
    <d v="2022-11-03T00:00:00"/>
    <s v="03/11/2022"/>
    <s v="2022"/>
    <s v="03"/>
    <n v="5292"/>
    <n v="134"/>
    <m/>
    <m/>
    <s v="Below Average"/>
    <n v="1620"/>
  </r>
  <r>
    <s v="Ches Bonnell"/>
    <s v="New Zealand"/>
    <x v="5"/>
    <s v="23/06/2022"/>
    <s v="23/06/2022"/>
    <s v="2022"/>
    <s v="23/06/2022"/>
    <n v="5705"/>
    <n v="350"/>
    <m/>
    <m/>
    <s v="Below Average"/>
    <n v="1514"/>
  </r>
  <r>
    <s v="Husein Augar"/>
    <s v="India"/>
    <x v="12"/>
    <s v="22/08/2022"/>
    <s v="22/08/2022"/>
    <s v="2022"/>
    <s v="22/08/2022"/>
    <n v="2492"/>
    <n v="33"/>
    <m/>
    <m/>
    <s v="Below Average"/>
    <n v="2479"/>
  </r>
  <r>
    <s v="Gunar Cockshoot"/>
    <s v="Canada"/>
    <x v="6"/>
    <d v="2022-04-01T00:00:00"/>
    <s v="01/04/2022"/>
    <s v="2022"/>
    <s v="01"/>
    <n v="3024"/>
    <n v="23"/>
    <m/>
    <m/>
    <s v="Below Average"/>
    <n v="2295"/>
  </r>
  <r>
    <s v="Curtice Advani"/>
    <s v="India"/>
    <x v="11"/>
    <d v="2022-05-04T00:00:00"/>
    <s v="04/05/2022"/>
    <s v="2022"/>
    <s v="04"/>
    <n v="3437"/>
    <n v="201"/>
    <m/>
    <m/>
    <s v="Below Average"/>
    <n v="2158"/>
  </r>
  <r>
    <s v="Beverie Moffet"/>
    <s v="India"/>
    <x v="11"/>
    <s v="15/04/2022"/>
    <s v="15/04/2022"/>
    <s v="2022"/>
    <s v="15/04/2022"/>
    <n v="1869"/>
    <n v="323"/>
    <m/>
    <m/>
    <s v="Below Average"/>
    <n v="2674"/>
  </r>
  <r>
    <s v="Husein Augar"/>
    <s v="Australia"/>
    <x v="14"/>
    <d v="2022-11-05T00:00:00"/>
    <s v="05/11/2022"/>
    <s v="2022"/>
    <s v="05"/>
    <n v="3171"/>
    <n v="220"/>
    <m/>
    <m/>
    <s v="Below Average"/>
    <n v="2244"/>
  </r>
  <r>
    <s v="Andria Kimpton"/>
    <s v="Canada"/>
    <x v="15"/>
    <s v="21/07/2022"/>
    <s v="21/07/2022"/>
    <s v="2022"/>
    <s v="21/07/2022"/>
    <n v="4858"/>
    <n v="488"/>
    <m/>
    <m/>
    <s v="Below Average"/>
    <n v="1750"/>
  </r>
  <r>
    <s v="Jan Morforth"/>
    <s v="New Zealand"/>
    <x v="7"/>
    <d v="2022-11-02T00:00:00"/>
    <s v="02/11/2022"/>
    <s v="2022"/>
    <s v="02"/>
    <n v="1225"/>
    <n v="84"/>
    <m/>
    <m/>
    <s v="Below Average"/>
    <n v="2899"/>
  </r>
  <r>
    <s v="Andria Kimpton"/>
    <s v="Canada"/>
    <x v="3"/>
    <d v="2022-08-07T00:00:00"/>
    <s v="07/08/2022"/>
    <s v="2022"/>
    <s v="07"/>
    <n v="1155"/>
    <n v="79"/>
    <m/>
    <m/>
    <s v="Below Average"/>
    <n v="2918"/>
  </r>
  <r>
    <s v="Gunar Cockshoot"/>
    <s v="UK"/>
    <x v="17"/>
    <d v="2022-11-08T00:00:00"/>
    <s v="08/11/2022"/>
    <s v="2022"/>
    <s v="08"/>
    <n v="6811"/>
    <n v="344"/>
    <m/>
    <m/>
    <s v="Above Average"/>
    <n v="1235"/>
  </r>
  <r>
    <s v="Husein Augar"/>
    <s v="New Zealand"/>
    <x v="5"/>
    <d v="2022-04-08T00:00:00"/>
    <s v="08/04/2022"/>
    <s v="2022"/>
    <s v="08"/>
    <n v="6433"/>
    <n v="7"/>
    <m/>
    <m/>
    <s v="Above Average"/>
    <n v="1324"/>
  </r>
  <r>
    <s v="Andria Kimpton"/>
    <s v="New Zealand"/>
    <x v="7"/>
    <s v="14/06/2022"/>
    <s v="14/06/2022"/>
    <s v="2022"/>
    <s v="14/06/2022"/>
    <n v="8169"/>
    <n v="88"/>
    <m/>
    <m/>
    <s v="Above Average"/>
    <n v="900"/>
  </r>
  <r>
    <s v="Dennison Crosswaite"/>
    <s v="UK"/>
    <x v="19"/>
    <s v="17/01/2022"/>
    <s v="17/01/2022"/>
    <s v="2022"/>
    <s v="17/01/2022"/>
    <n v="2275"/>
    <n v="275"/>
    <m/>
    <m/>
    <s v="Below Average"/>
    <n v="2561"/>
  </r>
  <r>
    <s v="Jehu Rudeforth"/>
    <s v="Canada"/>
    <x v="7"/>
    <s v="23/06/2022"/>
    <s v="23/06/2022"/>
    <s v="2022"/>
    <s v="23/06/2022"/>
    <n v="3857"/>
    <n v="512"/>
    <m/>
    <m/>
    <s v="Below Average"/>
    <n v="2025"/>
  </r>
  <r>
    <s v="Jehu Rudeforth"/>
    <s v="UK"/>
    <x v="3"/>
    <s v="24/08/2022"/>
    <s v="24/08/2022"/>
    <s v="2022"/>
    <s v="24/08/2022"/>
    <n v="1463"/>
    <n v="113"/>
    <m/>
    <m/>
    <s v="Below Average"/>
    <n v="2814"/>
  </r>
  <r>
    <s v="Andria Kimpton"/>
    <s v="UK"/>
    <x v="20"/>
    <d v="2022-07-06T00:00:00"/>
    <s v="06/07/2022"/>
    <s v="2022"/>
    <s v="06"/>
    <n v="7924"/>
    <n v="275"/>
    <m/>
    <m/>
    <s v="Above Average"/>
    <n v="957"/>
  </r>
  <r>
    <s v="Jan Morforth"/>
    <s v="UK"/>
    <x v="14"/>
    <s v="22/06/2022"/>
    <s v="22/06/2022"/>
    <s v="2022"/>
    <s v="22/06/2022"/>
    <n v="8799"/>
    <n v="47"/>
    <m/>
    <m/>
    <s v="Above Average"/>
    <n v="780"/>
  </r>
  <r>
    <s v="Dotty Strutley"/>
    <s v="USA"/>
    <x v="13"/>
    <s v="13/07/2022"/>
    <s v="13/07/2022"/>
    <s v="2022"/>
    <s v="13/07/2022"/>
    <n v="2898"/>
    <n v="276"/>
    <m/>
    <m/>
    <s v="Below Average"/>
    <n v="2347"/>
  </r>
  <r>
    <s v="Kelci Walkden"/>
    <s v="UK"/>
    <x v="18"/>
    <s v="24/05/2022"/>
    <s v="24/05/2022"/>
    <s v="2022"/>
    <s v="24/05/2022"/>
    <n v="9506"/>
    <n v="212"/>
    <m/>
    <m/>
    <s v="Above Average"/>
    <n v="654"/>
  </r>
  <r>
    <s v="Gunar Cockshoot"/>
    <s v="New Zealand"/>
    <x v="5"/>
    <d v="2022-09-08T00:00:00"/>
    <s v="08/09/2022"/>
    <s v="2022"/>
    <s v="08"/>
    <n v="7175"/>
    <n v="145"/>
    <m/>
    <m/>
    <s v="Above Average"/>
    <n v="1139"/>
  </r>
  <r>
    <s v="Kaine Padly"/>
    <s v="Canada"/>
    <x v="1"/>
    <d v="2022-06-04T00:00:00"/>
    <s v="04/06/2022"/>
    <s v="2022"/>
    <s v="04"/>
    <n v="1729"/>
    <n v="31"/>
    <m/>
    <m/>
    <s v="Below Average"/>
    <n v="2725"/>
  </r>
  <r>
    <s v="Jan Morforth"/>
    <s v="New Zealand"/>
    <x v="15"/>
    <s v="28/07/2022"/>
    <s v="28/07/2022"/>
    <s v="2022"/>
    <s v="28/07/2022"/>
    <n v="1589"/>
    <n v="271"/>
    <m/>
    <m/>
    <s v="Below Average"/>
    <n v="2774"/>
  </r>
  <r>
    <s v="Gunar Cockshoot"/>
    <s v="New Zealand"/>
    <x v="17"/>
    <s v="24/08/2022"/>
    <s v="24/08/2022"/>
    <s v="2022"/>
    <s v="24/08/2022"/>
    <n v="630"/>
    <n v="52"/>
    <m/>
    <m/>
    <s v="Below Average"/>
    <n v="3090"/>
  </r>
  <r>
    <s v="Van Tuxwell"/>
    <s v="Australia"/>
    <x v="4"/>
    <s v="17/01/2022"/>
    <s v="17/01/2022"/>
    <s v="2022"/>
    <s v="17/01/2022"/>
    <n v="112"/>
    <n v="128"/>
    <m/>
    <m/>
    <s v="Below Average"/>
    <n v="3240"/>
  </r>
  <r>
    <s v="Curtice Advani"/>
    <s v="USA"/>
    <x v="9"/>
    <d v="2022-07-02T00:00:00"/>
    <s v="02/07/2022"/>
    <s v="2022"/>
    <s v="02"/>
    <n v="5187"/>
    <n v="142"/>
    <m/>
    <m/>
    <s v="Below Average"/>
    <n v="1653"/>
  </r>
  <r>
    <s v="Brien Boise"/>
    <s v="Australia"/>
    <x v="12"/>
    <d v="2022-09-05T00:00:00"/>
    <s v="05/09/2022"/>
    <s v="2022"/>
    <s v="05"/>
    <n v="6223"/>
    <n v="256"/>
    <m/>
    <m/>
    <s v="Above Average"/>
    <n v="1374"/>
  </r>
  <r>
    <s v="Mallorie Waber"/>
    <s v="New Zealand"/>
    <x v="1"/>
    <d v="2022-06-06T00:00:00"/>
    <s v="06/06/2022"/>
    <s v="2022"/>
    <s v="06"/>
    <n v="7714"/>
    <n v="106"/>
    <m/>
    <m/>
    <s v="Above Average"/>
    <n v="1010"/>
  </r>
  <r>
    <s v="Wilone O'Kielt"/>
    <s v="USA"/>
    <x v="18"/>
    <d v="2022-06-06T00:00:00"/>
    <s v="06/06/2022"/>
    <s v="2022"/>
    <s v="06"/>
    <n v="9457"/>
    <n v="6"/>
    <m/>
    <m/>
    <s v="Above Average"/>
    <n v="664"/>
  </r>
  <r>
    <s v="Beverie Moffet"/>
    <s v="New Zealand"/>
    <x v="10"/>
    <s v="24/05/2022"/>
    <s v="24/05/2022"/>
    <s v="2022"/>
    <s v="24/05/2022"/>
    <n v="6678"/>
    <n v="226"/>
    <m/>
    <m/>
    <s v="Above Average"/>
    <n v="1264"/>
  </r>
  <r>
    <s v="Gunar Cockshoot"/>
    <s v="UK"/>
    <x v="6"/>
    <s v="13/01/2022"/>
    <s v="13/01/2022"/>
    <s v="2022"/>
    <s v="13/01/2022"/>
    <n v="2107"/>
    <n v="121"/>
    <m/>
    <m/>
    <s v="Below Average"/>
    <n v="2597"/>
  </r>
  <r>
    <s v="Marney O'Breen"/>
    <s v="USA"/>
    <x v="17"/>
    <s v="23/05/2022"/>
    <s v="23/05/2022"/>
    <s v="2022"/>
    <s v="23/05/2022"/>
    <n v="6069"/>
    <n v="151"/>
    <m/>
    <m/>
    <s v="Above Average"/>
    <n v="1411"/>
  </r>
  <r>
    <s v="Jehu Rudeforth"/>
    <s v="UK"/>
    <x v="14"/>
    <s v="29/06/2022"/>
    <s v="29/06/2022"/>
    <s v="2022"/>
    <s v="29/06/2022"/>
    <n v="1862"/>
    <n v="284"/>
    <m/>
    <m/>
    <s v="Below Average"/>
    <n v="2679"/>
  </r>
  <r>
    <s v="Jehu Rudeforth"/>
    <s v="New Zealand"/>
    <x v="1"/>
    <d v="2022-11-03T00:00:00"/>
    <s v="03/11/2022"/>
    <s v="2022"/>
    <s v="03"/>
    <n v="6972"/>
    <n v="89"/>
    <m/>
    <m/>
    <s v="Above Average"/>
    <n v="1192"/>
  </r>
  <r>
    <s v="Dotty Strutley"/>
    <s v="USA"/>
    <x v="1"/>
    <s v="25/04/2022"/>
    <s v="25/04/2022"/>
    <s v="2022"/>
    <s v="25/04/2022"/>
    <n v="10220"/>
    <n v="508"/>
    <m/>
    <m/>
    <s v="Above Average"/>
    <n v="547"/>
  </r>
  <r>
    <s v="Rafaelita Blaksland"/>
    <s v="Australia"/>
    <x v="3"/>
    <s v="30/05/2022"/>
    <s v="30/05/2022"/>
    <s v="2022"/>
    <s v="30/05/2022"/>
    <n v="3969"/>
    <n v="243"/>
    <m/>
    <m/>
    <s v="Below Average"/>
    <n v="1993"/>
  </r>
  <r>
    <s v="Curtice Advani"/>
    <s v="India"/>
    <x v="15"/>
    <s v="23/05/2022"/>
    <s v="23/05/2022"/>
    <s v="2022"/>
    <s v="23/05/2022"/>
    <n v="1547"/>
    <n v="170"/>
    <m/>
    <m/>
    <s v="Below Average"/>
    <n v="2788"/>
  </r>
  <r>
    <s v="Mallorie Waber"/>
    <s v="USA"/>
    <x v="2"/>
    <s v="23/05/2022"/>
    <s v="23/05/2022"/>
    <s v="2022"/>
    <s v="23/05/2022"/>
    <n v="1162"/>
    <n v="18"/>
    <m/>
    <m/>
    <s v="Below Average"/>
    <n v="2913"/>
  </r>
  <r>
    <s v="Van Tuxwell"/>
    <s v="Canada"/>
    <x v="2"/>
    <s v="24/06/2022"/>
    <s v="24/06/2022"/>
    <s v="2022"/>
    <s v="24/06/2022"/>
    <n v="6342"/>
    <n v="282"/>
    <m/>
    <m/>
    <s v="Above Average"/>
    <n v="1341"/>
  </r>
  <r>
    <s v="Kelci Walkden"/>
    <s v="New Zealand"/>
    <x v="3"/>
    <d v="2022-11-03T00:00:00"/>
    <s v="03/11/2022"/>
    <s v="2022"/>
    <s v="03"/>
    <n v="10633"/>
    <n v="277"/>
    <m/>
    <m/>
    <s v="Above Average"/>
    <n v="497"/>
  </r>
  <r>
    <s v="Rafaelita Blaksland"/>
    <s v="USA"/>
    <x v="3"/>
    <s v="27/07/2022"/>
    <s v="27/07/2022"/>
    <s v="2022"/>
    <s v="27/07/2022"/>
    <n v="15057"/>
    <n v="212"/>
    <m/>
    <m/>
    <s v="Above Average"/>
    <n v="143"/>
  </r>
  <r>
    <s v="Rafaelita Blaksland"/>
    <s v="USA"/>
    <x v="14"/>
    <s v="16/08/2022"/>
    <s v="16/08/2022"/>
    <s v="2022"/>
    <s v="16/08/2022"/>
    <n v="4704"/>
    <n v="126"/>
    <m/>
    <m/>
    <s v="Below Average"/>
    <n v="1798"/>
  </r>
  <r>
    <s v="Roddy Speechley"/>
    <s v="Canada"/>
    <x v="3"/>
    <d v="2022-07-03T00:00:00"/>
    <s v="03/07/2022"/>
    <s v="2022"/>
    <s v="03"/>
    <n v="9338"/>
    <n v="11"/>
    <m/>
    <m/>
    <s v="Above Average"/>
    <n v="680"/>
  </r>
  <r>
    <s v="Curtice Advani"/>
    <s v="New Zealand"/>
    <x v="5"/>
    <d v="2022-05-04T00:00:00"/>
    <s v="04/05/2022"/>
    <s v="2022"/>
    <s v="04"/>
    <n v="7959"/>
    <n v="30"/>
    <m/>
    <m/>
    <s v="Above Average"/>
    <n v="946"/>
  </r>
  <r>
    <s v="Camilla Castle"/>
    <s v="India"/>
    <x v="1"/>
    <d v="2022-04-05T00:00:00"/>
    <s v="05/04/2022"/>
    <s v="2022"/>
    <s v="05"/>
    <n v="9023"/>
    <n v="51"/>
    <m/>
    <m/>
    <s v="Above Average"/>
    <n v="732"/>
  </r>
  <r>
    <s v="Ches Bonnell"/>
    <s v="USA"/>
    <x v="18"/>
    <d v="2022-04-01T00:00:00"/>
    <s v="01/04/2022"/>
    <s v="2022"/>
    <s v="01"/>
    <n v="14525"/>
    <n v="92"/>
    <m/>
    <m/>
    <s v="Above Average"/>
    <n v="180"/>
  </r>
  <r>
    <s v="Marney O'Breen"/>
    <s v="Australia"/>
    <x v="19"/>
    <s v="13/01/2022"/>
    <s v="13/01/2022"/>
    <s v="2022"/>
    <s v="13/01/2022"/>
    <n v="5810"/>
    <n v="101"/>
    <m/>
    <m/>
    <s v="Below Average"/>
    <n v="1483"/>
  </r>
  <r>
    <s v="Wilone O'Kielt"/>
    <s v="New Zealand"/>
    <x v="13"/>
    <d v="2022-11-07T00:00:00"/>
    <s v="07/11/2022"/>
    <s v="2022"/>
    <s v="07"/>
    <n v="6426"/>
    <n v="98"/>
    <m/>
    <m/>
    <s v="Above Average"/>
    <n v="1327"/>
  </r>
  <r>
    <s v="Kaine Padly"/>
    <s v="Australia"/>
    <x v="0"/>
    <s v="17/05/2022"/>
    <s v="17/05/2022"/>
    <s v="2022"/>
    <s v="17/05/2022"/>
    <n v="4403"/>
    <n v="159"/>
    <m/>
    <m/>
    <s v="Below Average"/>
    <n v="1873"/>
  </r>
  <r>
    <s v="Camilla Castle"/>
    <s v="New Zealand"/>
    <x v="2"/>
    <s v="21/07/2022"/>
    <s v="21/07/2022"/>
    <s v="2022"/>
    <s v="21/07/2022"/>
    <n v="1582"/>
    <n v="62"/>
    <m/>
    <m/>
    <s v="Below Average"/>
    <n v="2778"/>
  </r>
  <r>
    <s v="Curtice Advani"/>
    <s v="Canada"/>
    <x v="10"/>
    <s v="22/02/2022"/>
    <s v="22/02/2022"/>
    <s v="2022"/>
    <s v="22/02/2022"/>
    <n v="791"/>
    <n v="22"/>
    <m/>
    <m/>
    <s v="Below Average"/>
    <n v="3030"/>
  </r>
  <r>
    <s v="Jan Morforth"/>
    <s v="India"/>
    <x v="4"/>
    <s v="23/05/2022"/>
    <s v="23/05/2022"/>
    <s v="2022"/>
    <s v="23/05/2022"/>
    <n v="9100"/>
    <n v="187"/>
    <m/>
    <m/>
    <s v="Above Average"/>
    <n v="720"/>
  </r>
  <r>
    <s v="Rafaelita Blaksland"/>
    <s v="Canada"/>
    <x v="9"/>
    <d v="2022-12-07T00:00:00"/>
    <s v="07/12/2022"/>
    <s v="2022"/>
    <s v="07"/>
    <n v="9884"/>
    <n v="200"/>
    <m/>
    <m/>
    <s v="Above Average"/>
    <n v="597"/>
  </r>
  <r>
    <s v="Jan Morforth"/>
    <s v="UK"/>
    <x v="7"/>
    <s v="15/06/2022"/>
    <s v="15/06/2022"/>
    <s v="2022"/>
    <s v="15/06/2022"/>
    <n v="3780"/>
    <n v="201"/>
    <m/>
    <m/>
    <s v="Below Average"/>
    <n v="2045"/>
  </r>
  <r>
    <s v="Barr Faughny"/>
    <s v="New Zealand"/>
    <x v="6"/>
    <s v="23/06/2022"/>
    <s v="23/06/2022"/>
    <s v="2022"/>
    <s v="23/06/2022"/>
    <n v="4557"/>
    <n v="308"/>
    <m/>
    <m/>
    <s v="Below Average"/>
    <n v="1834"/>
  </r>
  <r>
    <s v="Curtice Advani"/>
    <s v="Australia"/>
    <x v="8"/>
    <s v="25/03/2022"/>
    <s v="25/03/2022"/>
    <s v="2022"/>
    <s v="25/03/2022"/>
    <n v="5796"/>
    <n v="55"/>
    <m/>
    <m/>
    <s v="Below Average"/>
    <n v="1490"/>
  </r>
  <r>
    <s v="Jan Morforth"/>
    <s v="India"/>
    <x v="20"/>
    <d v="2022-04-07T00:00:00"/>
    <s v="07/04/2022"/>
    <s v="2022"/>
    <s v="07"/>
    <n v="84"/>
    <n v="153"/>
    <m/>
    <m/>
    <s v="Below Average"/>
    <n v="3251"/>
  </r>
  <r>
    <s v="Andria Kimpton"/>
    <s v="UK"/>
    <x v="14"/>
    <d v="2022-12-05T00:00:00"/>
    <s v="05/12/2022"/>
    <s v="2022"/>
    <s v="05"/>
    <n v="9037"/>
    <n v="101"/>
    <m/>
    <m/>
    <s v="Above Average"/>
    <n v="729"/>
  </r>
  <r>
    <s v="Camilla Castle"/>
    <s v="New Zealand"/>
    <x v="17"/>
    <d v="2022-04-04T00:00:00"/>
    <s v="04/04/2022"/>
    <s v="2022"/>
    <s v="04"/>
    <n v="4746"/>
    <n v="137"/>
    <m/>
    <m/>
    <s v="Below Average"/>
    <n v="1786"/>
  </r>
  <r>
    <s v="Madelene Upcott"/>
    <s v="Australia"/>
    <x v="7"/>
    <s v="15/04/2022"/>
    <s v="15/04/2022"/>
    <s v="2022"/>
    <s v="15/04/2022"/>
    <n v="6713"/>
    <n v="398"/>
    <m/>
    <m/>
    <s v="Above Average"/>
    <n v="1257"/>
  </r>
  <r>
    <s v="Roddy Speechley"/>
    <s v="Canada"/>
    <x v="8"/>
    <d v="2022-08-03T00:00:00"/>
    <s v="03/08/2022"/>
    <s v="2022"/>
    <s v="03"/>
    <n v="6237"/>
    <n v="88"/>
    <m/>
    <m/>
    <s v="Above Average"/>
    <n v="1370"/>
  </r>
  <r>
    <s v="Karlen McCaffrey"/>
    <s v="India"/>
    <x v="14"/>
    <s v="17/01/2022"/>
    <s v="17/01/2022"/>
    <s v="2022"/>
    <s v="17/01/2022"/>
    <n v="7483"/>
    <n v="232"/>
    <m/>
    <m/>
    <s v="Above Average"/>
    <n v="1068"/>
  </r>
  <r>
    <s v="Wilone O'Kielt"/>
    <s v="India"/>
    <x v="0"/>
    <s v="22/08/2022"/>
    <s v="22/08/2022"/>
    <s v="2022"/>
    <s v="22/08/2022"/>
    <n v="1309"/>
    <n v="51"/>
    <m/>
    <m/>
    <s v="Below Average"/>
    <n v="2872"/>
  </r>
  <r>
    <s v="Andria Kimpton"/>
    <s v="UK"/>
    <x v="4"/>
    <s v="25/07/2022"/>
    <s v="25/07/2022"/>
    <s v="2022"/>
    <s v="25/07/2022"/>
    <n v="1155"/>
    <n v="66"/>
    <m/>
    <m/>
    <s v="Below Average"/>
    <n v="2918"/>
  </r>
  <r>
    <s v="Marney O'Breen"/>
    <s v="UK"/>
    <x v="6"/>
    <s v="14/06/2022"/>
    <s v="14/06/2022"/>
    <s v="2022"/>
    <s v="14/06/2022"/>
    <n v="2989"/>
    <n v="124"/>
    <m/>
    <m/>
    <s v="Below Average"/>
    <n v="2314"/>
  </r>
  <r>
    <s v="Ches Bonnell"/>
    <s v="India"/>
    <x v="18"/>
    <d v="2022-05-04T00:00:00"/>
    <s v="04/05/2022"/>
    <s v="2022"/>
    <s v="04"/>
    <n v="9625"/>
    <n v="78"/>
    <m/>
    <m/>
    <s v="Above Average"/>
    <n v="639"/>
  </r>
  <r>
    <s v="Madelene Upcott"/>
    <s v="UK"/>
    <x v="17"/>
    <s v="26/08/2022"/>
    <s v="26/08/2022"/>
    <s v="2022"/>
    <s v="26/08/2022"/>
    <n v="7357"/>
    <n v="341"/>
    <m/>
    <m/>
    <s v="Above Average"/>
    <n v="1098"/>
  </r>
  <r>
    <s v="Wilone O'Kielt"/>
    <s v="Australia"/>
    <x v="6"/>
    <d v="2022-03-08T00:00:00"/>
    <s v="08/03/2022"/>
    <s v="2022"/>
    <s v="08"/>
    <n v="10031"/>
    <n v="114"/>
    <m/>
    <m/>
    <s v="Above Average"/>
    <n v="576"/>
  </r>
  <r>
    <s v="Gigi Bohling"/>
    <s v="Canada"/>
    <x v="14"/>
    <d v="2022-11-07T00:00:00"/>
    <s v="07/11/2022"/>
    <s v="2022"/>
    <s v="07"/>
    <n v="6587"/>
    <n v="4"/>
    <m/>
    <m/>
    <s v="Above Average"/>
    <n v="1283"/>
  </r>
  <r>
    <s v="Wilone O'Kielt"/>
    <s v="New Zealand"/>
    <x v="8"/>
    <d v="2022-11-03T00:00:00"/>
    <s v="03/11/2022"/>
    <s v="2022"/>
    <s v="03"/>
    <n v="3311"/>
    <n v="22"/>
    <m/>
    <m/>
    <s v="Below Average"/>
    <n v="2208"/>
  </r>
  <r>
    <s v="Brien Boise"/>
    <s v="UK"/>
    <x v="2"/>
    <d v="2022-10-01T00:00:00"/>
    <s v="01/10/2022"/>
    <s v="2022"/>
    <s v="01"/>
    <n v="15330"/>
    <n v="30"/>
    <m/>
    <m/>
    <s v="Above Average"/>
    <n v="136"/>
  </r>
  <r>
    <s v="Roddy Speechley"/>
    <s v="UK"/>
    <x v="19"/>
    <d v="2022-04-04T00:00:00"/>
    <s v="04/04/2022"/>
    <s v="2022"/>
    <s v="04"/>
    <n v="14028"/>
    <n v="351"/>
    <m/>
    <m/>
    <s v="Above Average"/>
    <n v="207"/>
  </r>
  <r>
    <s v="Karlen McCaffrey"/>
    <s v="Australia"/>
    <x v="6"/>
    <s v="17/01/2022"/>
    <s v="17/01/2022"/>
    <s v="2022"/>
    <s v="17/01/2022"/>
    <n v="6678"/>
    <n v="708"/>
    <m/>
    <m/>
    <s v="Above Average"/>
    <n v="1264"/>
  </r>
  <r>
    <s v="Marney O'Breen"/>
    <s v="New Zealand"/>
    <x v="10"/>
    <d v="2022-08-07T00:00:00"/>
    <s v="07/08/2022"/>
    <s v="2022"/>
    <s v="07"/>
    <n v="8624"/>
    <n v="50"/>
    <m/>
    <m/>
    <s v="Above Average"/>
    <n v="810"/>
  </r>
  <r>
    <s v="Jan Morforth"/>
    <s v="UK"/>
    <x v="10"/>
    <d v="2022-12-04T00:00:00"/>
    <s v="04/12/2022"/>
    <s v="2022"/>
    <s v="04"/>
    <n v="1197"/>
    <n v="356"/>
    <m/>
    <m/>
    <s v="Below Average"/>
    <n v="2907"/>
  </r>
  <r>
    <s v="Rafaelita Blaksland"/>
    <s v="Canada"/>
    <x v="13"/>
    <s v="24/08/2022"/>
    <s v="24/08/2022"/>
    <s v="2022"/>
    <s v="24/08/2022"/>
    <n v="483"/>
    <n v="185"/>
    <m/>
    <m/>
    <s v="Below Average"/>
    <n v="3136"/>
  </r>
  <r>
    <s v="Ches Bonnell"/>
    <s v="UK"/>
    <x v="18"/>
    <d v="2022-07-06T00:00:00"/>
    <s v="06/07/2022"/>
    <s v="2022"/>
    <s v="06"/>
    <n v="1687"/>
    <n v="236"/>
    <m/>
    <m/>
    <s v="Below Average"/>
    <n v="2734"/>
  </r>
  <r>
    <s v="Gunar Cockshoot"/>
    <s v="Canada"/>
    <x v="16"/>
    <s v="28/07/2022"/>
    <s v="28/07/2022"/>
    <s v="2022"/>
    <s v="28/07/2022"/>
    <n v="1309"/>
    <n v="30"/>
    <m/>
    <m/>
    <s v="Below Average"/>
    <n v="2872"/>
  </r>
  <r>
    <s v="Husein Augar"/>
    <s v="USA"/>
    <x v="4"/>
    <s v="21/02/2022"/>
    <s v="21/02/2022"/>
    <s v="2022"/>
    <s v="21/02/2022"/>
    <n v="9534"/>
    <n v="111"/>
    <m/>
    <m/>
    <s v="Above Average"/>
    <n v="651"/>
  </r>
  <r>
    <s v="Dennison Crosswaite"/>
    <s v="Canada"/>
    <x v="0"/>
    <d v="2022-08-04T00:00:00"/>
    <s v="04/08/2022"/>
    <s v="2022"/>
    <s v="04"/>
    <n v="1694"/>
    <n v="289"/>
    <m/>
    <m/>
    <s v="Below Average"/>
    <n v="2732"/>
  </r>
  <r>
    <s v="Brien Boise"/>
    <s v="UK"/>
    <x v="15"/>
    <s v="28/06/2022"/>
    <s v="28/06/2022"/>
    <s v="2022"/>
    <s v="28/06/2022"/>
    <n v="70"/>
    <n v="103"/>
    <m/>
    <m/>
    <s v="Below Average"/>
    <n v="3260"/>
  </r>
  <r>
    <s v="Van Tuxwell"/>
    <s v="UK"/>
    <x v="19"/>
    <s v="24/03/2022"/>
    <s v="24/03/2022"/>
    <s v="2022"/>
    <s v="24/03/2022"/>
    <n v="2443"/>
    <n v="20"/>
    <m/>
    <m/>
    <s v="Below Average"/>
    <n v="2499"/>
  </r>
  <r>
    <s v="Barr Faughny"/>
    <s v="Australia"/>
    <x v="20"/>
    <s v="29/07/2022"/>
    <s v="29/07/2022"/>
    <s v="2022"/>
    <s v="29/07/2022"/>
    <n v="2933"/>
    <n v="55"/>
    <m/>
    <m/>
    <s v="Below Average"/>
    <n v="2330"/>
  </r>
  <r>
    <s v="Dennison Crosswaite"/>
    <s v="USA"/>
    <x v="8"/>
    <s v="25/05/2022"/>
    <s v="25/05/2022"/>
    <s v="2022"/>
    <s v="25/05/2022"/>
    <n v="2044"/>
    <n v="90"/>
    <m/>
    <m/>
    <s v="Below Average"/>
    <n v="2622"/>
  </r>
  <r>
    <s v="Gigi Bohling"/>
    <s v="Australia"/>
    <x v="17"/>
    <s v="30/03/2022"/>
    <s v="30/03/2022"/>
    <s v="2022"/>
    <s v="30/03/2022"/>
    <n v="6524"/>
    <n v="303"/>
    <m/>
    <m/>
    <s v="Above Average"/>
    <n v="1302"/>
  </r>
  <r>
    <s v="Dennison Crosswaite"/>
    <s v="USA"/>
    <x v="10"/>
    <s v="18/07/2022"/>
    <s v="18/07/2022"/>
    <s v="2022"/>
    <s v="18/07/2022"/>
    <n v="12656"/>
    <n v="126"/>
    <m/>
    <m/>
    <s v="Above Average"/>
    <n v="285"/>
  </r>
  <r>
    <s v="Beverie Moffet"/>
    <s v="Canada"/>
    <x v="7"/>
    <d v="2022-10-05T00:00:00"/>
    <s v="05/10/2022"/>
    <s v="2022"/>
    <s v="05"/>
    <n v="8722"/>
    <n v="109"/>
    <m/>
    <m/>
    <s v="Above Average"/>
    <n v="795"/>
  </r>
  <r>
    <s v="Mallorie Waber"/>
    <s v="Australia"/>
    <x v="18"/>
    <s v="18/03/2022"/>
    <s v="18/03/2022"/>
    <s v="2022"/>
    <s v="18/03/2022"/>
    <n v="15750"/>
    <n v="92"/>
    <m/>
    <m/>
    <s v="Above Average"/>
    <n v="111"/>
  </r>
  <r>
    <s v="Ches Bonnell"/>
    <s v="India"/>
    <x v="20"/>
    <s v="15/06/2022"/>
    <s v="15/06/2022"/>
    <s v="2022"/>
    <s v="15/06/2022"/>
    <n v="6839"/>
    <n v="56"/>
    <m/>
    <m/>
    <s v="Above Average"/>
    <n v="1221"/>
  </r>
  <r>
    <s v="Van Tuxwell"/>
    <s v="Canada"/>
    <x v="6"/>
    <d v="2022-12-05T00:00:00"/>
    <s v="05/12/2022"/>
    <s v="2022"/>
    <s v="05"/>
    <n v="13685"/>
    <n v="58"/>
    <m/>
    <m/>
    <s v="Above Average"/>
    <n v="223"/>
  </r>
  <r>
    <s v="Kelci Walkden"/>
    <s v="New Zealand"/>
    <x v="19"/>
    <s v="23/06/2022"/>
    <s v="23/06/2022"/>
    <s v="2022"/>
    <s v="23/06/2022"/>
    <n v="2912"/>
    <n v="110"/>
    <m/>
    <m/>
    <s v="Below Average"/>
    <n v="2341"/>
  </r>
  <r>
    <s v="Beverie Moffet"/>
    <s v="India"/>
    <x v="12"/>
    <s v="21/04/2022"/>
    <s v="21/04/2022"/>
    <s v="2022"/>
    <s v="21/04/2022"/>
    <n v="3339"/>
    <n v="171"/>
    <m/>
    <m/>
    <s v="Below Average"/>
    <n v="2202"/>
  </r>
  <r>
    <s v="Gigi Bohling"/>
    <s v="Australia"/>
    <x v="16"/>
    <s v="17/08/2022"/>
    <s v="17/08/2022"/>
    <s v="2022"/>
    <s v="17/08/2022"/>
    <n v="910"/>
    <n v="117"/>
    <m/>
    <m/>
    <s v="Below Average"/>
    <n v="2999"/>
  </r>
  <r>
    <s v="Rafaelita Blaksland"/>
    <s v="New Zealand"/>
    <x v="8"/>
    <d v="2022-07-02T00:00:00"/>
    <s v="02/07/2022"/>
    <s v="2022"/>
    <s v="02"/>
    <n v="19481"/>
    <n v="51"/>
    <m/>
    <m/>
    <s v="Above Average"/>
    <n v="20"/>
  </r>
  <r>
    <s v="Kelci Walkden"/>
    <s v="Canada"/>
    <x v="3"/>
    <s v="17/03/2022"/>
    <s v="17/03/2022"/>
    <s v="2022"/>
    <s v="17/03/2022"/>
    <n v="8099"/>
    <n v="118"/>
    <m/>
    <m/>
    <s v="Above Average"/>
    <n v="918"/>
  </r>
  <r>
    <s v="Jan Morforth"/>
    <s v="India"/>
    <x v="19"/>
    <d v="2022-01-08T00:00:00"/>
    <s v="08/01/2022"/>
    <s v="2022"/>
    <s v="08"/>
    <n v="13727"/>
    <n v="79"/>
    <m/>
    <m/>
    <s v="Above Average"/>
    <n v="219"/>
  </r>
  <r>
    <s v="Jehu Rudeforth"/>
    <s v="Australia"/>
    <x v="11"/>
    <s v="18/03/2022"/>
    <s v="18/03/2022"/>
    <s v="2022"/>
    <s v="18/03/2022"/>
    <n v="8659"/>
    <n v="29"/>
    <m/>
    <m/>
    <s v="Above Average"/>
    <n v="806"/>
  </r>
  <r>
    <s v="Gigi Bohling"/>
    <s v="Canada"/>
    <x v="13"/>
    <s v="14/06/2022"/>
    <s v="14/06/2022"/>
    <s v="2022"/>
    <s v="14/06/2022"/>
    <n v="5782"/>
    <n v="103"/>
    <m/>
    <m/>
    <s v="Below Average"/>
    <n v="1491"/>
  </r>
  <r>
    <s v="Beverie Moffet"/>
    <s v="UK"/>
    <x v="8"/>
    <s v="22/04/2022"/>
    <s v="22/04/2022"/>
    <s v="2022"/>
    <s v="22/04/2022"/>
    <n v="8463"/>
    <n v="155"/>
    <m/>
    <m/>
    <s v="Above Average"/>
    <n v="844"/>
  </r>
  <r>
    <s v="Marney O'Breen"/>
    <s v="New Zealand"/>
    <x v="8"/>
    <s v="18/01/2022"/>
    <s v="18/01/2022"/>
    <s v="2022"/>
    <s v="18/01/2022"/>
    <n v="4914"/>
    <n v="31"/>
    <m/>
    <m/>
    <s v="Below Average"/>
    <n v="1725"/>
  </r>
  <r>
    <s v="Husein Augar"/>
    <s v="Australia"/>
    <x v="4"/>
    <s v="26/08/2022"/>
    <s v="26/08/2022"/>
    <s v="2022"/>
    <s v="26/08/2022"/>
    <n v="3087"/>
    <n v="128"/>
    <m/>
    <m/>
    <s v="Below Average"/>
    <n v="2274"/>
  </r>
  <r>
    <s v="Gunar Cockshoot"/>
    <s v="New Zealand"/>
    <x v="13"/>
    <d v="2022-10-06T00:00:00"/>
    <s v="06/10/2022"/>
    <s v="2022"/>
    <s v="06"/>
    <n v="9205"/>
    <n v="419"/>
    <m/>
    <m/>
    <s v="Above Average"/>
    <n v="703"/>
  </r>
  <r>
    <s v="Curtice Advani"/>
    <s v="Canada"/>
    <x v="21"/>
    <s v="31/01/2022"/>
    <s v="31/01/2022"/>
    <s v="2022"/>
    <s v="31/01/2022"/>
    <n v="2303"/>
    <n v="7"/>
    <m/>
    <m/>
    <s v="Below Average"/>
    <n v="2550"/>
  </r>
  <r>
    <s v="Kelci Walkden"/>
    <s v="New Zealand"/>
    <x v="15"/>
    <d v="2022-08-04T00:00:00"/>
    <s v="04/08/2022"/>
    <s v="2022"/>
    <s v="04"/>
    <n v="1358"/>
    <n v="106"/>
    <m/>
    <m/>
    <s v="Below Average"/>
    <n v="2858"/>
  </r>
  <r>
    <s v="Dotty Strutley"/>
    <s v="Australia"/>
    <x v="19"/>
    <d v="2022-07-06T00:00:00"/>
    <s v="06/07/2022"/>
    <s v="2022"/>
    <s v="06"/>
    <n v="3605"/>
    <n v="68"/>
    <m/>
    <m/>
    <s v="Below Average"/>
    <n v="2105"/>
  </r>
  <r>
    <s v="Barr Faughny"/>
    <s v="Australia"/>
    <x v="1"/>
    <d v="2022-10-02T00:00:00"/>
    <s v="02/10/2022"/>
    <s v="2022"/>
    <s v="02"/>
    <n v="8498"/>
    <n v="44"/>
    <m/>
    <m/>
    <s v="Above Average"/>
    <n v="834"/>
  </r>
  <r>
    <s v="Beverie Moffet"/>
    <s v="Australia"/>
    <x v="6"/>
    <s v="16/05/2022"/>
    <s v="16/05/2022"/>
    <s v="2022"/>
    <s v="16/05/2022"/>
    <n v="700"/>
    <n v="457"/>
    <m/>
    <m/>
    <s v="Below Average"/>
    <n v="3064"/>
  </r>
  <r>
    <s v="Gunar Cockshoot"/>
    <s v="India"/>
    <x v="19"/>
    <s v="18/03/2022"/>
    <s v="18/03/2022"/>
    <s v="2022"/>
    <s v="18/03/2022"/>
    <n v="2191"/>
    <n v="524"/>
    <m/>
    <m/>
    <s v="Below Average"/>
    <n v="2581"/>
  </r>
  <r>
    <s v="Van Tuxwell"/>
    <s v="Australia"/>
    <x v="6"/>
    <s v="13/07/2022"/>
    <s v="13/07/2022"/>
    <s v="2022"/>
    <s v="13/07/2022"/>
    <n v="644"/>
    <n v="137"/>
    <m/>
    <m/>
    <s v="Below Average"/>
    <n v="3085"/>
  </r>
  <r>
    <s v="Oby Sorrel"/>
    <s v="USA"/>
    <x v="15"/>
    <s v="25/07/2022"/>
    <s v="25/07/2022"/>
    <s v="2022"/>
    <s v="25/07/2022"/>
    <n v="4340"/>
    <n v="86"/>
    <m/>
    <m/>
    <s v="Below Average"/>
    <n v="1894"/>
  </r>
  <r>
    <s v="Van Tuxwell"/>
    <s v="Canada"/>
    <x v="18"/>
    <s v="19/08/2022"/>
    <s v="19/08/2022"/>
    <s v="2022"/>
    <s v="19/08/2022"/>
    <n v="2282"/>
    <n v="296"/>
    <m/>
    <m/>
    <s v="Below Average"/>
    <n v="2556"/>
  </r>
  <r>
    <s v="Karlen McCaffrey"/>
    <s v="Canada"/>
    <x v="21"/>
    <s v="24/06/2022"/>
    <s v="24/06/2022"/>
    <s v="2022"/>
    <s v="24/06/2022"/>
    <n v="7714"/>
    <n v="597"/>
    <m/>
    <m/>
    <s v="Above Average"/>
    <n v="1010"/>
  </r>
  <r>
    <s v="Kelci Walkden"/>
    <s v="Canada"/>
    <x v="13"/>
    <s v="20/06/2022"/>
    <s v="20/06/2022"/>
    <s v="2022"/>
    <s v="20/06/2022"/>
    <n v="826"/>
    <n v="149"/>
    <m/>
    <m/>
    <s v="Below Average"/>
    <n v="3021"/>
  </r>
  <r>
    <s v="Camilla Castle"/>
    <s v="India"/>
    <x v="4"/>
    <d v="2022-02-08T00:00:00"/>
    <s v="08/02/2022"/>
    <s v="2022"/>
    <s v="08"/>
    <n v="203"/>
    <n v="207"/>
    <m/>
    <m/>
    <s v="Below Average"/>
    <n v="3216"/>
  </r>
  <r>
    <s v="Madelene Upcott"/>
    <s v="New Zealand"/>
    <x v="21"/>
    <s v="22/02/2022"/>
    <s v="22/02/2022"/>
    <s v="2022"/>
    <s v="22/02/2022"/>
    <n v="13356"/>
    <n v="93"/>
    <m/>
    <m/>
    <s v="Above Average"/>
    <n v="245"/>
  </r>
  <r>
    <s v="Mallorie Waber"/>
    <s v="New Zealand"/>
    <x v="7"/>
    <d v="2022-01-02T00:00:00"/>
    <s v="02/01/2022"/>
    <s v="2022"/>
    <s v="02"/>
    <n v="6510"/>
    <n v="23"/>
    <m/>
    <m/>
    <s v="Above Average"/>
    <n v="1305"/>
  </r>
  <r>
    <s v="Jan Morforth"/>
    <s v="Canada"/>
    <x v="21"/>
    <s v="14/02/2022"/>
    <s v="14/02/2022"/>
    <s v="2022"/>
    <s v="14/02/2022"/>
    <n v="5894"/>
    <n v="305"/>
    <m/>
    <m/>
    <s v="Below Average"/>
    <n v="1461"/>
  </r>
  <r>
    <s v="Kelci Walkden"/>
    <s v="Australia"/>
    <x v="11"/>
    <s v="24/02/2022"/>
    <s v="24/02/2022"/>
    <s v="2022"/>
    <s v="24/02/2022"/>
    <n v="7910"/>
    <n v="125"/>
    <m/>
    <m/>
    <s v="Above Average"/>
    <n v="964"/>
  </r>
  <r>
    <s v="Dennison Crosswaite"/>
    <s v="India"/>
    <x v="7"/>
    <s v="18/03/2022"/>
    <s v="18/03/2022"/>
    <s v="2022"/>
    <s v="18/03/2022"/>
    <n v="784"/>
    <n v="129"/>
    <m/>
    <m/>
    <s v="Below Average"/>
    <n v="3032"/>
  </r>
  <r>
    <s v="Husein Augar"/>
    <s v="UK"/>
    <x v="8"/>
    <s v="30/08/2022"/>
    <s v="30/08/2022"/>
    <s v="2022"/>
    <s v="30/08/2022"/>
    <n v="1750"/>
    <n v="252"/>
    <m/>
    <m/>
    <s v="Below Average"/>
    <n v="2711"/>
  </r>
  <r>
    <s v="Gigi Bohling"/>
    <s v="USA"/>
    <x v="2"/>
    <d v="2022-09-05T00:00:00"/>
    <s v="05/09/2022"/>
    <s v="2022"/>
    <s v="05"/>
    <n v="280"/>
    <n v="75"/>
    <m/>
    <m/>
    <s v="Below Average"/>
    <n v="3199"/>
  </r>
  <r>
    <s v="Wilone O'Kielt"/>
    <s v="USA"/>
    <x v="3"/>
    <s v="18/01/2022"/>
    <s v="18/01/2022"/>
    <s v="2022"/>
    <s v="18/01/2022"/>
    <n v="504"/>
    <n v="87"/>
    <m/>
    <m/>
    <s v="Below Average"/>
    <n v="3123"/>
  </r>
  <r>
    <s v="Curtice Advani"/>
    <s v="India"/>
    <x v="14"/>
    <d v="2022-04-07T00:00:00"/>
    <s v="07/04/2022"/>
    <s v="2022"/>
    <s v="07"/>
    <n v="7154"/>
    <n v="342"/>
    <m/>
    <m/>
    <s v="Above Average"/>
    <n v="1144"/>
  </r>
  <r>
    <s v="Oby Sorrel"/>
    <s v="New Zealand"/>
    <x v="12"/>
    <d v="2022-03-06T00:00:00"/>
    <s v="06/03/2022"/>
    <s v="2022"/>
    <s v="06"/>
    <n v="1617"/>
    <n v="13"/>
    <m/>
    <m/>
    <s v="Below Average"/>
    <n v="2764"/>
  </r>
  <r>
    <s v="Beverie Moffet"/>
    <s v="New Zealand"/>
    <x v="2"/>
    <s v="23/02/2022"/>
    <s v="23/02/2022"/>
    <s v="2022"/>
    <s v="23/02/2022"/>
    <n v="10822"/>
    <n v="30"/>
    <m/>
    <m/>
    <s v="Above Average"/>
    <n v="467"/>
  </r>
  <r>
    <s v="Dotty Strutley"/>
    <s v="New Zealand"/>
    <x v="4"/>
    <d v="2022-09-05T00:00:00"/>
    <s v="05/09/2022"/>
    <s v="2022"/>
    <s v="05"/>
    <n v="10724"/>
    <n v="203"/>
    <m/>
    <m/>
    <s v="Above Average"/>
    <n v="487"/>
  </r>
  <r>
    <s v="Kelci Walkden"/>
    <s v="India"/>
    <x v="21"/>
    <d v="2022-06-06T00:00:00"/>
    <s v="06/06/2022"/>
    <s v="2022"/>
    <s v="06"/>
    <n v="3640"/>
    <n v="106"/>
    <m/>
    <m/>
    <s v="Below Average"/>
    <n v="2091"/>
  </r>
  <r>
    <s v="Kelci Walkden"/>
    <s v="India"/>
    <x v="9"/>
    <d v="2022-04-07T00:00:00"/>
    <s v="07/04/2022"/>
    <s v="2022"/>
    <s v="07"/>
    <n v="7532"/>
    <n v="234"/>
    <m/>
    <m/>
    <s v="Above Average"/>
    <n v="1056"/>
  </r>
  <r>
    <s v="Brien Boise"/>
    <s v="New Zealand"/>
    <x v="9"/>
    <d v="2022-06-06T00:00:00"/>
    <s v="06/06/2022"/>
    <s v="2022"/>
    <s v="06"/>
    <n v="1582"/>
    <n v="100"/>
    <m/>
    <m/>
    <s v="Below Average"/>
    <n v="2778"/>
  </r>
  <r>
    <s v="Dotty Strutley"/>
    <s v="Australia"/>
    <x v="16"/>
    <s v="13/05/2022"/>
    <s v="13/05/2022"/>
    <s v="2022"/>
    <s v="13/05/2022"/>
    <n v="1456"/>
    <n v="91"/>
    <m/>
    <m/>
    <s v="Below Average"/>
    <n v="2816"/>
  </r>
  <r>
    <s v="Wilone O'Kielt"/>
    <s v="New Zealand"/>
    <x v="10"/>
    <s v="31/01/2022"/>
    <s v="31/01/2022"/>
    <s v="2022"/>
    <s v="31/01/2022"/>
    <n v="2016"/>
    <n v="277"/>
    <m/>
    <m/>
    <s v="Below Average"/>
    <n v="2629"/>
  </r>
  <r>
    <s v="Ches Bonnell"/>
    <s v="New Zealand"/>
    <x v="20"/>
    <s v="30/06/2022"/>
    <s v="30/06/2022"/>
    <s v="2022"/>
    <s v="30/06/2022"/>
    <n v="7588"/>
    <n v="42"/>
    <m/>
    <m/>
    <s v="Above Average"/>
    <n v="1048"/>
  </r>
  <r>
    <s v="Barr Faughny"/>
    <s v="Canada"/>
    <x v="15"/>
    <s v="25/08/2022"/>
    <s v="25/08/2022"/>
    <s v="2022"/>
    <s v="25/08/2022"/>
    <n v="3402"/>
    <n v="249"/>
    <m/>
    <m/>
    <s v="Below Average"/>
    <n v="2171"/>
  </r>
  <r>
    <s v="Gigi Bohling"/>
    <s v="New Zealand"/>
    <x v="3"/>
    <d v="2022-10-01T00:00:00"/>
    <s v="01/10/2022"/>
    <s v="2022"/>
    <s v="01"/>
    <n v="700"/>
    <n v="97"/>
    <m/>
    <m/>
    <s v="Below Average"/>
    <n v="3064"/>
  </r>
  <r>
    <s v="Brien Boise"/>
    <s v="USA"/>
    <x v="15"/>
    <s v="22/08/2022"/>
    <s v="22/08/2022"/>
    <s v="2022"/>
    <s v="22/08/2022"/>
    <n v="1904"/>
    <n v="8"/>
    <m/>
    <m/>
    <s v="Below Average"/>
    <n v="2661"/>
  </r>
  <r>
    <s v="Roddy Speechley"/>
    <s v="New Zealand"/>
    <x v="1"/>
    <s v="14/04/2022"/>
    <s v="14/04/2022"/>
    <s v="2022"/>
    <s v="14/04/2022"/>
    <n v="4844"/>
    <n v="275"/>
    <m/>
    <m/>
    <s v="Below Average"/>
    <n v="1754"/>
  </r>
  <r>
    <s v="Oby Sorrel"/>
    <s v="UK"/>
    <x v="3"/>
    <s v="31/05/2022"/>
    <s v="31/05/2022"/>
    <s v="2022"/>
    <s v="31/05/2022"/>
    <n v="9625"/>
    <n v="313"/>
    <m/>
    <m/>
    <s v="Above Average"/>
    <n v="639"/>
  </r>
  <r>
    <s v="Oby Sorrel"/>
    <s v="UK"/>
    <x v="17"/>
    <d v="2022-08-04T00:00:00"/>
    <s v="04/08/2022"/>
    <s v="2022"/>
    <s v="04"/>
    <n v="4599"/>
    <n v="323"/>
    <m/>
    <m/>
    <s v="Below Average"/>
    <n v="1822"/>
  </r>
  <r>
    <s v="Roddy Speechley"/>
    <s v="USA"/>
    <x v="9"/>
    <s v="21/02/2022"/>
    <s v="21/02/2022"/>
    <s v="2022"/>
    <s v="21/02/2022"/>
    <n v="3003"/>
    <n v="155"/>
    <m/>
    <m/>
    <s v="Below Average"/>
    <n v="2306"/>
  </r>
  <r>
    <s v="Andria Kimpton"/>
    <s v="Australia"/>
    <x v="15"/>
    <s v="30/03/2022"/>
    <s v="30/03/2022"/>
    <s v="2022"/>
    <s v="30/03/2022"/>
    <n v="9744"/>
    <n v="377"/>
    <m/>
    <m/>
    <s v="Above Average"/>
    <n v="624"/>
  </r>
  <r>
    <s v="Mallorie Waber"/>
    <s v="India"/>
    <x v="17"/>
    <d v="2022-02-03T00:00:00"/>
    <s v="03/02/2022"/>
    <s v="2022"/>
    <s v="03"/>
    <n v="1400"/>
    <n v="2"/>
    <m/>
    <m/>
    <s v="Below Average"/>
    <n v="2840"/>
  </r>
  <r>
    <s v="Jehu Rudeforth"/>
    <s v="USA"/>
    <x v="7"/>
    <s v="28/07/2022"/>
    <s v="28/07/2022"/>
    <s v="2022"/>
    <s v="28/07/2022"/>
    <n v="364"/>
    <n v="170"/>
    <m/>
    <m/>
    <s v="Below Average"/>
    <n v="3171"/>
  </r>
  <r>
    <s v="Kaine Padly"/>
    <s v="New Zealand"/>
    <x v="21"/>
    <s v="24/03/2022"/>
    <s v="24/03/2022"/>
    <s v="2022"/>
    <s v="24/03/2022"/>
    <n v="7231"/>
    <n v="38"/>
    <m/>
    <m/>
    <s v="Above Average"/>
    <n v="1122"/>
  </r>
  <r>
    <s v="Curtice Advani"/>
    <s v="Australia"/>
    <x v="5"/>
    <d v="2022-11-08T00:00:00"/>
    <s v="08/11/2022"/>
    <s v="2022"/>
    <s v="08"/>
    <n v="63"/>
    <n v="105"/>
    <m/>
    <m/>
    <s v="Below Average"/>
    <n v="3265"/>
  </r>
  <r>
    <s v="Husein Augar"/>
    <s v="UK"/>
    <x v="16"/>
    <s v="17/05/2022"/>
    <s v="17/05/2022"/>
    <s v="2022"/>
    <s v="17/05/2022"/>
    <n v="8309"/>
    <n v="166"/>
    <m/>
    <m/>
    <s v="Above Average"/>
    <n v="870"/>
  </r>
  <r>
    <s v="Kaine Padly"/>
    <s v="Canada"/>
    <x v="18"/>
    <s v="18/05/2022"/>
    <s v="18/05/2022"/>
    <s v="2022"/>
    <s v="18/05/2022"/>
    <n v="3164"/>
    <n v="164"/>
    <m/>
    <m/>
    <s v="Below Average"/>
    <n v="2250"/>
  </r>
  <r>
    <s v="Roddy Speechley"/>
    <s v="UK"/>
    <x v="2"/>
    <s v="17/08/2022"/>
    <s v="17/08/2022"/>
    <s v="2022"/>
    <s v="17/08/2022"/>
    <n v="5691"/>
    <n v="171"/>
    <m/>
    <m/>
    <s v="Below Average"/>
    <n v="1518"/>
  </r>
  <r>
    <s v="Ches Bonnell"/>
    <s v="New Zealand"/>
    <x v="8"/>
    <d v="2022-04-04T00:00:00"/>
    <s v="04/04/2022"/>
    <s v="2022"/>
    <s v="04"/>
    <n v="490"/>
    <n v="49"/>
    <m/>
    <m/>
    <s v="Below Average"/>
    <n v="3133"/>
  </r>
  <r>
    <s v="Brien Boise"/>
    <s v="India"/>
    <x v="1"/>
    <d v="2022-09-08T00:00:00"/>
    <s v="08/09/2022"/>
    <s v="2022"/>
    <s v="08"/>
    <n v="18032"/>
    <n v="205"/>
    <m/>
    <m/>
    <s v="Above Average"/>
    <n v="41"/>
  </r>
  <r>
    <s v="Brien Boise"/>
    <s v="New Zealand"/>
    <x v="10"/>
    <s v="17/01/2022"/>
    <s v="17/01/2022"/>
    <s v="2022"/>
    <s v="17/01/2022"/>
    <n v="637"/>
    <n v="313"/>
    <m/>
    <m/>
    <s v="Below Average"/>
    <n v="3087"/>
  </r>
  <r>
    <s v="Andria Kimpton"/>
    <s v="Canada"/>
    <x v="14"/>
    <s v="14/02/2022"/>
    <s v="14/02/2022"/>
    <s v="2022"/>
    <s v="14/02/2022"/>
    <n v="4067"/>
    <n v="29"/>
    <m/>
    <m/>
    <s v="Below Average"/>
    <n v="1963"/>
  </r>
  <r>
    <s v="Gigi Bohling"/>
    <s v="New Zealand"/>
    <x v="7"/>
    <s v="16/05/2022"/>
    <s v="16/05/2022"/>
    <s v="2022"/>
    <s v="16/05/2022"/>
    <n v="8204"/>
    <n v="307"/>
    <m/>
    <m/>
    <s v="Above Average"/>
    <n v="891"/>
  </r>
  <r>
    <s v="Ches Bonnell"/>
    <s v="Canada"/>
    <x v="3"/>
    <s v="16/03/2022"/>
    <s v="16/03/2022"/>
    <s v="2022"/>
    <s v="16/03/2022"/>
    <n v="9870"/>
    <n v="121"/>
    <m/>
    <m/>
    <s v="Above Average"/>
    <n v="600"/>
  </r>
  <r>
    <s v="Husein Augar"/>
    <s v="Canada"/>
    <x v="21"/>
    <s v="31/01/2022"/>
    <s v="31/01/2022"/>
    <s v="2022"/>
    <s v="31/01/2022"/>
    <n v="5131"/>
    <n v="285"/>
    <m/>
    <m/>
    <s v="Below Average"/>
    <n v="1663"/>
  </r>
  <r>
    <s v="Barr Faughny"/>
    <s v="Canada"/>
    <x v="10"/>
    <d v="2022-10-03T00:00:00"/>
    <s v="03/10/2022"/>
    <s v="2022"/>
    <s v="03"/>
    <n v="1141"/>
    <n v="205"/>
    <m/>
    <m/>
    <s v="Below Average"/>
    <n v="2922"/>
  </r>
  <r>
    <s v="Oby Sorrel"/>
    <s v="UK"/>
    <x v="10"/>
    <s v="30/06/2022"/>
    <s v="30/06/2022"/>
    <s v="2022"/>
    <s v="30/06/2022"/>
    <n v="7980"/>
    <n v="157"/>
    <m/>
    <m/>
    <s v="Above Average"/>
    <n v="941"/>
  </r>
  <r>
    <s v="Van Tuxwell"/>
    <s v="New Zealand"/>
    <x v="8"/>
    <d v="2022-01-03T00:00:00"/>
    <s v="03/01/2022"/>
    <s v="2022"/>
    <s v="03"/>
    <n v="5229"/>
    <n v="182"/>
    <m/>
    <m/>
    <s v="Below Average"/>
    <n v="1641"/>
  </r>
  <r>
    <s v="Mallorie Waber"/>
    <s v="UK"/>
    <x v="9"/>
    <s v="27/05/2022"/>
    <s v="27/05/2022"/>
    <s v="2022"/>
    <s v="27/05/2022"/>
    <n v="3423"/>
    <n v="100"/>
    <m/>
    <m/>
    <s v="Below Average"/>
    <n v="2167"/>
  </r>
  <r>
    <s v="Oby Sorrel"/>
    <s v="UK"/>
    <x v="11"/>
    <d v="2022-11-07T00:00:00"/>
    <s v="07/11/2022"/>
    <s v="2022"/>
    <s v="07"/>
    <n v="6468"/>
    <n v="223"/>
    <m/>
    <m/>
    <s v="Above Average"/>
    <n v="1314"/>
  </r>
  <r>
    <s v="Karlen McCaffrey"/>
    <s v="New Zealand"/>
    <x v="0"/>
    <d v="2022-02-03T00:00:00"/>
    <s v="03/02/2022"/>
    <s v="2022"/>
    <s v="03"/>
    <n v="4326"/>
    <n v="61"/>
    <m/>
    <m/>
    <s v="Below Average"/>
    <n v="1899"/>
  </r>
  <r>
    <s v="Jehu Rudeforth"/>
    <s v="USA"/>
    <x v="17"/>
    <d v="2022-04-03T00:00:00"/>
    <s v="03/04/2022"/>
    <s v="2022"/>
    <s v="03"/>
    <n v="7154"/>
    <n v="133"/>
    <m/>
    <m/>
    <s v="Above Average"/>
    <n v="1144"/>
  </r>
  <r>
    <s v="Kelci Walkden"/>
    <s v="UK"/>
    <x v="1"/>
    <s v="23/06/2022"/>
    <s v="23/06/2022"/>
    <s v="2022"/>
    <s v="23/06/2022"/>
    <n v="3997"/>
    <n v="228"/>
    <m/>
    <m/>
    <s v="Below Average"/>
    <n v="1988"/>
  </r>
  <r>
    <s v="Kelci Walkden"/>
    <s v="USA"/>
    <x v="16"/>
    <s v="27/01/2022"/>
    <s v="27/01/2022"/>
    <s v="2022"/>
    <s v="27/01/2022"/>
    <n v="5180"/>
    <n v="233"/>
    <m/>
    <m/>
    <s v="Below Average"/>
    <n v="1655"/>
  </r>
  <r>
    <s v="Marney O'Breen"/>
    <s v="Canada"/>
    <x v="7"/>
    <s v="14/01/2022"/>
    <s v="14/01/2022"/>
    <s v="2022"/>
    <s v="14/01/2022"/>
    <n v="2723"/>
    <n v="425"/>
    <m/>
    <m/>
    <s v="Below Average"/>
    <n v="2396"/>
  </r>
  <r>
    <s v="Dennison Crosswaite"/>
    <s v="India"/>
    <x v="13"/>
    <s v="29/07/2022"/>
    <s v="29/07/2022"/>
    <s v="2022"/>
    <s v="29/07/2022"/>
    <n v="952"/>
    <n v="24"/>
    <m/>
    <m/>
    <s v="Below Average"/>
    <n v="2988"/>
  </r>
  <r>
    <s v="Brien Boise"/>
    <s v="Canada"/>
    <x v="3"/>
    <s v="13/05/2022"/>
    <s v="13/05/2022"/>
    <s v="2022"/>
    <s v="13/05/2022"/>
    <n v="5691"/>
    <n v="495"/>
    <m/>
    <m/>
    <s v="Below Average"/>
    <n v="1518"/>
  </r>
  <r>
    <s v="Barr Faughny"/>
    <s v="Canada"/>
    <x v="19"/>
    <d v="2022-03-02T00:00:00"/>
    <s v="02/03/2022"/>
    <s v="2022"/>
    <s v="02"/>
    <n v="10969"/>
    <n v="170"/>
    <m/>
    <m/>
    <s v="Above Average"/>
    <n v="443"/>
  </r>
  <r>
    <s v="Brien Boise"/>
    <s v="India"/>
    <x v="3"/>
    <s v="27/05/2022"/>
    <s v="27/05/2022"/>
    <s v="2022"/>
    <s v="27/05/2022"/>
    <n v="5964"/>
    <n v="26"/>
    <m/>
    <m/>
    <s v="Below Average"/>
    <n v="1441"/>
  </r>
  <r>
    <s v="Jan Morforth"/>
    <s v="Australia"/>
    <x v="9"/>
    <s v="18/02/2022"/>
    <s v="18/02/2022"/>
    <s v="2022"/>
    <s v="18/02/2022"/>
    <n v="2821"/>
    <n v="24"/>
    <m/>
    <m/>
    <s v="Below Average"/>
    <n v="2363"/>
  </r>
  <r>
    <s v="Brien Boise"/>
    <s v="India"/>
    <x v="12"/>
    <s v="28/01/2022"/>
    <s v="28/01/2022"/>
    <s v="2022"/>
    <s v="28/01/2022"/>
    <n v="1302"/>
    <n v="33"/>
    <m/>
    <m/>
    <s v="Below Average"/>
    <n v="2875"/>
  </r>
  <r>
    <s v="Van Tuxwell"/>
    <s v="UK"/>
    <x v="8"/>
    <s v="29/06/2022"/>
    <s v="29/06/2022"/>
    <s v="2022"/>
    <s v="29/06/2022"/>
    <n v="5474"/>
    <n v="109"/>
    <m/>
    <m/>
    <s v="Below Average"/>
    <n v="1575"/>
  </r>
  <r>
    <s v="Wilone O'Kielt"/>
    <s v="India"/>
    <x v="20"/>
    <s v="13/01/2022"/>
    <s v="13/01/2022"/>
    <s v="2022"/>
    <s v="13/01/2022"/>
    <n v="4179"/>
    <n v="276"/>
    <m/>
    <m/>
    <s v="Below Average"/>
    <n v="1936"/>
  </r>
  <r>
    <s v="Jehu Rudeforth"/>
    <s v="UK"/>
    <x v="5"/>
    <s v="27/06/2022"/>
    <s v="27/06/2022"/>
    <s v="2022"/>
    <s v="27/06/2022"/>
    <n v="1946"/>
    <n v="164"/>
    <m/>
    <m/>
    <s v="Below Average"/>
    <n v="2649"/>
  </r>
  <r>
    <s v="Barr Faughny"/>
    <s v="Canada"/>
    <x v="14"/>
    <s v="29/03/2022"/>
    <s v="29/03/2022"/>
    <s v="2022"/>
    <s v="29/03/2022"/>
    <n v="4291"/>
    <n v="1"/>
    <m/>
    <m/>
    <s v="Below Average"/>
    <n v="1904"/>
  </r>
  <r>
    <s v="Gunar Cockshoot"/>
    <s v="India"/>
    <x v="10"/>
    <d v="2022-03-06T00:00:00"/>
    <s v="06/03/2022"/>
    <s v="2022"/>
    <s v="06"/>
    <n v="7196"/>
    <n v="160"/>
    <m/>
    <m/>
    <s v="Above Average"/>
    <n v="1132"/>
  </r>
  <r>
    <s v="Mallorie Waber"/>
    <s v="Canada"/>
    <x v="3"/>
    <s v="21/03/2022"/>
    <s v="21/03/2022"/>
    <s v="2022"/>
    <s v="21/03/2022"/>
    <n v="1939"/>
    <n v="98"/>
    <m/>
    <m/>
    <s v="Below Average"/>
    <n v="2653"/>
  </r>
  <r>
    <s v="Mallorie Waber"/>
    <s v="India"/>
    <x v="8"/>
    <d v="2022-12-04T00:00:00"/>
    <s v="04/12/2022"/>
    <s v="2022"/>
    <s v="04"/>
    <n v="10437"/>
    <n v="46"/>
    <m/>
    <m/>
    <s v="Above Average"/>
    <n v="518"/>
  </r>
  <r>
    <s v="Rafaelita Blaksland"/>
    <s v="Australia"/>
    <x v="17"/>
    <s v="19/01/2022"/>
    <s v="19/01/2022"/>
    <s v="2022"/>
    <s v="19/01/2022"/>
    <n v="6916"/>
    <n v="259"/>
    <m/>
    <m/>
    <s v="Above Average"/>
    <n v="1201"/>
  </r>
  <r>
    <s v="Karlen McCaffrey"/>
    <s v="UK"/>
    <x v="6"/>
    <d v="2022-06-04T00:00:00"/>
    <s v="04/06/2022"/>
    <s v="2022"/>
    <s v="04"/>
    <n v="3647"/>
    <n v="310"/>
    <m/>
    <m/>
    <s v="Below Average"/>
    <n v="2089"/>
  </r>
  <r>
    <s v="Kaine Padly"/>
    <s v="Australia"/>
    <x v="6"/>
    <d v="2022-02-08T00:00:00"/>
    <s v="08/02/2022"/>
    <s v="2022"/>
    <s v="08"/>
    <n v="8995"/>
    <n v="78"/>
    <m/>
    <m/>
    <s v="Above Average"/>
    <n v="739"/>
  </r>
  <r>
    <s v="Gigi Bohling"/>
    <s v="Australia"/>
    <x v="8"/>
    <d v="2022-12-04T00:00:00"/>
    <s v="04/12/2022"/>
    <s v="2022"/>
    <s v="04"/>
    <n v="7252"/>
    <n v="136"/>
    <m/>
    <m/>
    <s v="Above Average"/>
    <n v="1118"/>
  </r>
  <r>
    <s v="Oby Sorrel"/>
    <s v="India"/>
    <x v="9"/>
    <s v="21/07/2022"/>
    <s v="21/07/2022"/>
    <s v="2022"/>
    <s v="21/07/2022"/>
    <n v="16380"/>
    <n v="130"/>
    <m/>
    <m/>
    <s v="Above Average"/>
    <n v="90"/>
  </r>
  <r>
    <s v="Van Tuxwell"/>
    <s v="New Zealand"/>
    <x v="19"/>
    <s v="22/03/2022"/>
    <s v="22/03/2022"/>
    <s v="2022"/>
    <s v="22/03/2022"/>
    <n v="9660"/>
    <n v="24"/>
    <m/>
    <m/>
    <s v="Above Average"/>
    <n v="634"/>
  </r>
  <r>
    <s v="Husein Augar"/>
    <s v="India"/>
    <x v="2"/>
    <d v="2022-09-05T00:00:00"/>
    <s v="05/09/2022"/>
    <s v="2022"/>
    <s v="05"/>
    <n v="4522"/>
    <n v="5"/>
    <m/>
    <m/>
    <s v="Below Average"/>
    <n v="1841"/>
  </r>
  <r>
    <s v="Andria Kimpton"/>
    <s v="Australia"/>
    <x v="19"/>
    <d v="2022-09-08T00:00:00"/>
    <s v="08/09/2022"/>
    <s v="2022"/>
    <s v="08"/>
    <n v="329"/>
    <n v="109"/>
    <m/>
    <m/>
    <s v="Below Average"/>
    <n v="3179"/>
  </r>
  <r>
    <s v="Madelene Upcott"/>
    <s v="Canada"/>
    <x v="18"/>
    <s v="20/07/2022"/>
    <s v="20/07/2022"/>
    <s v="2022"/>
    <s v="20/07/2022"/>
    <n v="3458"/>
    <n v="294"/>
    <m/>
    <m/>
    <s v="Below Average"/>
    <n v="2153"/>
  </r>
  <r>
    <s v="Brien Boise"/>
    <s v="India"/>
    <x v="21"/>
    <s v="14/04/2022"/>
    <s v="14/04/2022"/>
    <s v="2022"/>
    <s v="14/04/2022"/>
    <n v="4641"/>
    <n v="413"/>
    <m/>
    <m/>
    <s v="Below Average"/>
    <n v="1814"/>
  </r>
  <r>
    <s v="Jehu Rudeforth"/>
    <s v="Canada"/>
    <x v="14"/>
    <s v="25/01/2022"/>
    <s v="25/01/2022"/>
    <s v="2022"/>
    <s v="25/01/2022"/>
    <n v="4627"/>
    <n v="136"/>
    <m/>
    <m/>
    <s v="Below Average"/>
    <n v="1815"/>
  </r>
  <r>
    <s v="Andria Kimpton"/>
    <s v="Australia"/>
    <x v="16"/>
    <s v="25/04/2022"/>
    <s v="25/04/2022"/>
    <s v="2022"/>
    <s v="25/04/2022"/>
    <n v="3192"/>
    <n v="175"/>
    <m/>
    <m/>
    <s v="Below Average"/>
    <n v="2235"/>
  </r>
  <r>
    <s v="Dotty Strutley"/>
    <s v="Canada"/>
    <x v="5"/>
    <s v="17/01/2022"/>
    <s v="17/01/2022"/>
    <s v="2022"/>
    <s v="17/01/2022"/>
    <n v="252"/>
    <n v="237"/>
    <m/>
    <m/>
    <s v="Below Average"/>
    <n v="3207"/>
  </r>
  <r>
    <s v="Karlen McCaffrey"/>
    <s v="USA"/>
    <x v="8"/>
    <s v="15/08/2022"/>
    <s v="15/08/2022"/>
    <s v="2022"/>
    <s v="15/08/2022"/>
    <n v="868"/>
    <n v="125"/>
    <m/>
    <m/>
    <s v="Below Average"/>
    <n v="3011"/>
  </r>
  <r>
    <s v="Karlen McCaffrey"/>
    <s v="Canada"/>
    <x v="13"/>
    <d v="2022-02-06T00:00:00"/>
    <s v="06/02/2022"/>
    <s v="2022"/>
    <s v="06"/>
    <n v="210"/>
    <n v="16"/>
    <m/>
    <m/>
    <s v="Below Average"/>
    <n v="3214"/>
  </r>
  <r>
    <s v="Gunar Cockshoot"/>
    <s v="USA"/>
    <x v="1"/>
    <s v="30/06/2022"/>
    <s v="30/06/2022"/>
    <s v="2022"/>
    <s v="30/06/2022"/>
    <n v="7007"/>
    <n v="135"/>
    <m/>
    <m/>
    <s v="Above Average"/>
    <n v="1178"/>
  </r>
  <r>
    <s v="Dotty Strutley"/>
    <s v="New Zealand"/>
    <x v="17"/>
    <d v="2022-10-02T00:00:00"/>
    <s v="02/10/2022"/>
    <s v="2022"/>
    <s v="02"/>
    <n v="5845"/>
    <n v="91"/>
    <m/>
    <m/>
    <s v="Below Average"/>
    <n v="1474"/>
  </r>
  <r>
    <s v="Marney O'Breen"/>
    <s v="Canada"/>
    <x v="20"/>
    <s v="23/02/2022"/>
    <s v="23/02/2022"/>
    <s v="2022"/>
    <s v="23/02/2022"/>
    <n v="1372"/>
    <n v="614"/>
    <m/>
    <m/>
    <s v="Below Average"/>
    <n v="2850"/>
  </r>
  <r>
    <s v="Dennison Crosswaite"/>
    <s v="India"/>
    <x v="10"/>
    <s v="27/01/2022"/>
    <s v="27/01/2022"/>
    <s v="2022"/>
    <s v="27/01/2022"/>
    <n v="8428"/>
    <n v="216"/>
    <m/>
    <m/>
    <s v="Above Average"/>
    <n v="849"/>
  </r>
  <r>
    <s v="Camilla Castle"/>
    <s v="UK"/>
    <x v="0"/>
    <s v="26/05/2022"/>
    <s v="26/05/2022"/>
    <s v="2022"/>
    <s v="26/05/2022"/>
    <n v="4977"/>
    <n v="317"/>
    <m/>
    <m/>
    <s v="Below Average"/>
    <n v="1713"/>
  </r>
  <r>
    <s v="Brien Boise"/>
    <s v="USA"/>
    <x v="21"/>
    <s v="14/04/2022"/>
    <s v="14/04/2022"/>
    <s v="2022"/>
    <s v="14/04/2022"/>
    <n v="1694"/>
    <n v="21"/>
    <m/>
    <m/>
    <s v="Below Average"/>
    <n v="2732"/>
  </r>
  <r>
    <s v="Madelene Upcott"/>
    <s v="Australia"/>
    <x v="4"/>
    <d v="2022-01-08T00:00:00"/>
    <s v="08/01/2022"/>
    <s v="2022"/>
    <s v="08"/>
    <n v="4326"/>
    <n v="154"/>
    <m/>
    <m/>
    <s v="Below Average"/>
    <n v="1899"/>
  </r>
  <r>
    <s v="Mallorie Waber"/>
    <s v="Australia"/>
    <x v="8"/>
    <s v="22/08/2022"/>
    <s v="22/08/2022"/>
    <s v="2022"/>
    <s v="22/08/2022"/>
    <n v="9527"/>
    <n v="222"/>
    <m/>
    <m/>
    <s v="Above Average"/>
    <n v="652"/>
  </r>
  <r>
    <s v="Marney O'Breen"/>
    <s v="India"/>
    <x v="4"/>
    <s v="22/07/2022"/>
    <s v="22/07/2022"/>
    <s v="2022"/>
    <s v="22/07/2022"/>
    <n v="10766"/>
    <n v="157"/>
    <m/>
    <m/>
    <s v="Above Average"/>
    <n v="481"/>
  </r>
  <r>
    <s v="Husein Augar"/>
    <s v="USA"/>
    <x v="13"/>
    <s v="28/04/2022"/>
    <s v="28/04/2022"/>
    <s v="2022"/>
    <s v="28/04/2022"/>
    <n v="1288"/>
    <n v="27"/>
    <m/>
    <m/>
    <s v="Below Average"/>
    <n v="2878"/>
  </r>
  <r>
    <s v="Kelci Walkden"/>
    <s v="Australia"/>
    <x v="16"/>
    <s v="30/05/2022"/>
    <s v="30/05/2022"/>
    <s v="2022"/>
    <s v="30/05/2022"/>
    <n v="4879"/>
    <n v="350"/>
    <m/>
    <m/>
    <s v="Below Average"/>
    <n v="1740"/>
  </r>
  <r>
    <s v="Ches Bonnell"/>
    <s v="USA"/>
    <x v="11"/>
    <s v="21/07/2022"/>
    <s v="21/07/2022"/>
    <s v="2022"/>
    <s v="21/07/2022"/>
    <n v="2408"/>
    <n v="157"/>
    <m/>
    <m/>
    <s v="Below Average"/>
    <n v="2514"/>
  </r>
  <r>
    <s v="Jan Morforth"/>
    <s v="UK"/>
    <x v="20"/>
    <d v="2022-02-08T00:00:00"/>
    <s v="08/02/2022"/>
    <s v="2022"/>
    <s v="08"/>
    <n v="3094"/>
    <n v="468"/>
    <m/>
    <m/>
    <s v="Below Average"/>
    <n v="2271"/>
  </r>
  <r>
    <s v="Brien Boise"/>
    <s v="New Zealand"/>
    <x v="21"/>
    <s v="15/06/2022"/>
    <s v="15/06/2022"/>
    <s v="2022"/>
    <s v="15/06/2022"/>
    <n v="7231"/>
    <n v="130"/>
    <m/>
    <m/>
    <s v="Above Average"/>
    <n v="1122"/>
  </r>
  <r>
    <s v="Oby Sorrel"/>
    <s v="India"/>
    <x v="1"/>
    <d v="2022-05-07T00:00:00"/>
    <s v="07/05/2022"/>
    <s v="2022"/>
    <s v="07"/>
    <n v="8981"/>
    <n v="130"/>
    <m/>
    <m/>
    <s v="Above Average"/>
    <n v="741"/>
  </r>
  <r>
    <s v="Kaine Padly"/>
    <s v="New Zealand"/>
    <x v="3"/>
    <d v="2022-12-04T00:00:00"/>
    <s v="04/12/2022"/>
    <s v="2022"/>
    <s v="04"/>
    <n v="7"/>
    <n v="518"/>
    <m/>
    <m/>
    <s v="Below Average"/>
    <n v="3281"/>
  </r>
  <r>
    <s v="Gigi Bohling"/>
    <s v="Australia"/>
    <x v="21"/>
    <s v="18/08/2022"/>
    <s v="18/08/2022"/>
    <s v="2022"/>
    <s v="18/08/2022"/>
    <n v="1372"/>
    <n v="105"/>
    <m/>
    <m/>
    <s v="Below Average"/>
    <n v="2850"/>
  </r>
  <r>
    <s v="Jan Morforth"/>
    <s v="UK"/>
    <x v="6"/>
    <d v="2022-12-01T00:00:00"/>
    <s v="01/12/2022"/>
    <s v="2022"/>
    <s v="01"/>
    <n v="5250"/>
    <n v="293"/>
    <m/>
    <m/>
    <s v="Below Average"/>
    <n v="1632"/>
  </r>
  <r>
    <s v="Gunar Cockshoot"/>
    <s v="Canada"/>
    <x v="14"/>
    <d v="2022-11-08T00:00:00"/>
    <s v="08/11/2022"/>
    <s v="2022"/>
    <s v="08"/>
    <n v="7560"/>
    <n v="15"/>
    <m/>
    <m/>
    <s v="Above Average"/>
    <n v="1053"/>
  </r>
  <r>
    <s v="Jehu Rudeforth"/>
    <s v="Australia"/>
    <x v="12"/>
    <s v="13/01/2022"/>
    <s v="13/01/2022"/>
    <s v="2022"/>
    <s v="13/01/2022"/>
    <n v="5012"/>
    <n v="384"/>
    <m/>
    <m/>
    <s v="Below Average"/>
    <n v="1701"/>
  </r>
  <r>
    <s v="Husein Augar"/>
    <s v="UK"/>
    <x v="19"/>
    <s v="29/04/2022"/>
    <s v="29/04/2022"/>
    <s v="2022"/>
    <s v="29/04/2022"/>
    <n v="3038"/>
    <n v="135"/>
    <m/>
    <m/>
    <s v="Below Average"/>
    <n v="2292"/>
  </r>
  <r>
    <s v="Rafaelita Blaksland"/>
    <s v="New Zealand"/>
    <x v="5"/>
    <d v="2022-07-07T00:00:00"/>
    <s v="07/07/2022"/>
    <s v="2022"/>
    <s v="07"/>
    <n v="1099"/>
    <n v="92"/>
    <m/>
    <m/>
    <s v="Below Average"/>
    <n v="2941"/>
  </r>
  <r>
    <s v="Madelene Upcott"/>
    <s v="New Zealand"/>
    <x v="0"/>
    <d v="2022-11-03T00:00:00"/>
    <s v="03/11/2022"/>
    <s v="2022"/>
    <s v="03"/>
    <n v="7413"/>
    <n v="4"/>
    <m/>
    <m/>
    <s v="Above Average"/>
    <n v="1086"/>
  </r>
  <r>
    <s v="Madelene Upcott"/>
    <s v="UK"/>
    <x v="21"/>
    <s v="16/02/2022"/>
    <s v="16/02/2022"/>
    <s v="2022"/>
    <s v="16/02/2022"/>
    <n v="5397"/>
    <n v="239"/>
    <m/>
    <m/>
    <s v="Below Average"/>
    <n v="1594"/>
  </r>
  <r>
    <s v="Barr Faughny"/>
    <s v="Australia"/>
    <x v="10"/>
    <d v="2022-07-01T00:00:00"/>
    <s v="01/07/2022"/>
    <s v="2022"/>
    <s v="01"/>
    <n v="2303"/>
    <n v="33"/>
    <m/>
    <m/>
    <s v="Below Average"/>
    <n v="2550"/>
  </r>
  <r>
    <s v="Beverie Moffet"/>
    <s v="New Zealand"/>
    <x v="9"/>
    <d v="2022-12-01T00:00:00"/>
    <s v="01/12/2022"/>
    <s v="2022"/>
    <s v="01"/>
    <n v="1141"/>
    <n v="518"/>
    <m/>
    <m/>
    <s v="Below Average"/>
    <n v="2922"/>
  </r>
  <r>
    <s v="Beverie Moffet"/>
    <s v="India"/>
    <x v="8"/>
    <d v="2022-09-06T00:00:00"/>
    <s v="06/09/2022"/>
    <s v="2022"/>
    <s v="06"/>
    <n v="10325"/>
    <n v="147"/>
    <m/>
    <m/>
    <s v="Above Average"/>
    <n v="531"/>
  </r>
  <r>
    <s v="Andria Kimpton"/>
    <s v="India"/>
    <x v="8"/>
    <s v="16/05/2022"/>
    <s v="16/05/2022"/>
    <s v="2022"/>
    <s v="16/05/2022"/>
    <n v="2149"/>
    <n v="84"/>
    <m/>
    <m/>
    <s v="Below Average"/>
    <n v="2593"/>
  </r>
  <r>
    <s v="Gigi Bohling"/>
    <s v="UK"/>
    <x v="1"/>
    <s v="23/06/2022"/>
    <s v="23/06/2022"/>
    <s v="2022"/>
    <s v="23/06/2022"/>
    <n v="12362"/>
    <n v="94"/>
    <m/>
    <m/>
    <s v="Above Average"/>
    <n v="314"/>
  </r>
  <r>
    <s v="Roddy Speechley"/>
    <s v="UK"/>
    <x v="17"/>
    <s v="28/01/2022"/>
    <s v="28/01/2022"/>
    <s v="2022"/>
    <s v="28/01/2022"/>
    <n v="12635"/>
    <n v="194"/>
    <m/>
    <m/>
    <s v="Above Average"/>
    <n v="287"/>
  </r>
  <r>
    <s v="Dotty Strutley"/>
    <s v="UK"/>
    <x v="0"/>
    <s v="14/07/2022"/>
    <s v="14/07/2022"/>
    <s v="2022"/>
    <s v="14/07/2022"/>
    <n v="2443"/>
    <n v="216"/>
    <m/>
    <m/>
    <s v="Below Average"/>
    <n v="2499"/>
  </r>
  <r>
    <s v="Barr Faughny"/>
    <s v="Canada"/>
    <x v="9"/>
    <s v="18/04/2022"/>
    <s v="18/04/2022"/>
    <s v="2022"/>
    <s v="18/04/2022"/>
    <n v="6237"/>
    <n v="247"/>
    <m/>
    <m/>
    <s v="Above Average"/>
    <n v="1370"/>
  </r>
  <r>
    <s v="Oby Sorrel"/>
    <s v="USA"/>
    <x v="11"/>
    <s v="14/06/2022"/>
    <s v="14/06/2022"/>
    <s v="2022"/>
    <s v="14/06/2022"/>
    <n v="1736"/>
    <n v="79"/>
    <m/>
    <m/>
    <s v="Below Average"/>
    <n v="2720"/>
  </r>
  <r>
    <s v="Oby Sorrel"/>
    <s v="UK"/>
    <x v="7"/>
    <s v="15/04/2022"/>
    <s v="15/04/2022"/>
    <s v="2022"/>
    <s v="15/04/2022"/>
    <n v="7315"/>
    <n v="237"/>
    <m/>
    <m/>
    <s v="Above Average"/>
    <n v="1105"/>
  </r>
  <r>
    <s v="Curtice Advani"/>
    <s v="Canada"/>
    <x v="2"/>
    <s v="19/05/2022"/>
    <s v="19/05/2022"/>
    <s v="2022"/>
    <s v="19/05/2022"/>
    <n v="4935"/>
    <n v="63"/>
    <m/>
    <m/>
    <s v="Below Average"/>
    <n v="1719"/>
  </r>
  <r>
    <s v="Gigi Bohling"/>
    <s v="India"/>
    <x v="14"/>
    <s v="13/04/2022"/>
    <s v="13/04/2022"/>
    <s v="2022"/>
    <s v="13/04/2022"/>
    <n v="1393"/>
    <n v="172"/>
    <m/>
    <m/>
    <s v="Below Average"/>
    <n v="2841"/>
  </r>
  <r>
    <s v="Husein Augar"/>
    <s v="Canada"/>
    <x v="18"/>
    <s v="15/08/2022"/>
    <s v="15/08/2022"/>
    <s v="2022"/>
    <s v="15/08/2022"/>
    <n v="3381"/>
    <n v="408"/>
    <m/>
    <m/>
    <s v="Below Average"/>
    <n v="2183"/>
  </r>
  <r>
    <s v="Wilone O'Kielt"/>
    <s v="India"/>
    <x v="18"/>
    <s v="22/08/2022"/>
    <s v="22/08/2022"/>
    <s v="2022"/>
    <s v="22/08/2022"/>
    <n v="2933"/>
    <n v="233"/>
    <m/>
    <m/>
    <s v="Below Average"/>
    <n v="2330"/>
  </r>
  <r>
    <s v="Wilone O'Kielt"/>
    <s v="New Zealand"/>
    <x v="19"/>
    <s v="22/04/2022"/>
    <s v="22/04/2022"/>
    <s v="2022"/>
    <s v="22/04/2022"/>
    <n v="3836"/>
    <n v="59"/>
    <m/>
    <m/>
    <s v="Below Average"/>
    <n v="2029"/>
  </r>
  <r>
    <s v="Kaine Padly"/>
    <s v="UK"/>
    <x v="18"/>
    <d v="2022-03-08T00:00:00"/>
    <s v="08/03/2022"/>
    <s v="2022"/>
    <s v="08"/>
    <n v="8022"/>
    <n v="123"/>
    <m/>
    <m/>
    <s v="Above Average"/>
    <n v="933"/>
  </r>
  <r>
    <s v="Dennison Crosswaite"/>
    <s v="New Zealand"/>
    <x v="10"/>
    <d v="2022-04-01T00:00:00"/>
    <s v="01/04/2022"/>
    <s v="2022"/>
    <s v="01"/>
    <n v="371"/>
    <n v="229"/>
    <m/>
    <m/>
    <s v="Below Average"/>
    <n v="3170"/>
  </r>
  <r>
    <s v="Kelci Walkden"/>
    <s v="Canada"/>
    <x v="5"/>
    <s v="13/01/2022"/>
    <s v="13/01/2022"/>
    <s v="2022"/>
    <s v="13/01/2022"/>
    <n v="16702"/>
    <n v="198"/>
    <m/>
    <m/>
    <s v="Above Average"/>
    <n v="78"/>
  </r>
  <r>
    <s v="Van Tuxwell"/>
    <s v="Australia"/>
    <x v="19"/>
    <d v="2022-11-05T00:00:00"/>
    <s v="05/11/2022"/>
    <s v="2022"/>
    <s v="05"/>
    <n v="13258"/>
    <n v="32"/>
    <m/>
    <m/>
    <s v="Above Average"/>
    <n v="250"/>
  </r>
  <r>
    <s v="Husein Augar"/>
    <s v="New Zealand"/>
    <x v="2"/>
    <s v="16/02/2022"/>
    <s v="16/02/2022"/>
    <s v="2022"/>
    <s v="16/02/2022"/>
    <n v="2058"/>
    <n v="236"/>
    <m/>
    <m/>
    <s v="Below Average"/>
    <n v="2613"/>
  </r>
  <r>
    <s v="Kaine Padly"/>
    <s v="UK"/>
    <x v="20"/>
    <s v="20/05/2022"/>
    <s v="20/05/2022"/>
    <s v="2022"/>
    <s v="20/05/2022"/>
    <n v="10192"/>
    <n v="67"/>
    <m/>
    <m/>
    <s v="Above Average"/>
    <n v="553"/>
  </r>
  <r>
    <s v="Jehu Rudeforth"/>
    <s v="UK"/>
    <x v="9"/>
    <d v="2022-03-02T00:00:00"/>
    <s v="02/03/2022"/>
    <s v="2022"/>
    <s v="02"/>
    <n v="7140"/>
    <n v="438"/>
    <m/>
    <m/>
    <s v="Above Average"/>
    <n v="1150"/>
  </r>
  <r>
    <s v="Beverie Moffet"/>
    <s v="India"/>
    <x v="15"/>
    <d v="2022-06-05T00:00:00"/>
    <s v="05/06/2022"/>
    <s v="2022"/>
    <s v="05"/>
    <n v="9835"/>
    <n v="167"/>
    <m/>
    <m/>
    <s v="Above Average"/>
    <n v="608"/>
  </r>
  <r>
    <s v="Gunar Cockshoot"/>
    <s v="UK"/>
    <x v="18"/>
    <s v="30/06/2022"/>
    <s v="30/06/2022"/>
    <s v="2022"/>
    <s v="30/06/2022"/>
    <n v="5775"/>
    <n v="135"/>
    <m/>
    <m/>
    <s v="Below Average"/>
    <n v="1494"/>
  </r>
  <r>
    <s v="Gunar Cockshoot"/>
    <s v="UK"/>
    <x v="3"/>
    <s v="22/03/2022"/>
    <s v="22/03/2022"/>
    <s v="2022"/>
    <s v="22/03/2022"/>
    <n v="749"/>
    <n v="148"/>
    <m/>
    <m/>
    <s v="Below Average"/>
    <n v="3045"/>
  </r>
  <r>
    <s v="Camilla Castle"/>
    <s v="Canada"/>
    <x v="7"/>
    <s v="17/02/2022"/>
    <s v="17/02/2022"/>
    <s v="2022"/>
    <s v="17/02/2022"/>
    <n v="7770"/>
    <n v="54"/>
    <m/>
    <m/>
    <s v="Above Average"/>
    <n v="996"/>
  </r>
  <r>
    <s v="Jehu Rudeforth"/>
    <s v="UK"/>
    <x v="1"/>
    <d v="2022-07-07T00:00:00"/>
    <s v="07/07/2022"/>
    <s v="2022"/>
    <s v="07"/>
    <n v="5502"/>
    <n v="64"/>
    <m/>
    <m/>
    <s v="Below Average"/>
    <n v="1567"/>
  </r>
  <r>
    <s v="Oby Sorrel"/>
    <s v="UK"/>
    <x v="21"/>
    <s v="16/03/2022"/>
    <s v="16/03/2022"/>
    <s v="2022"/>
    <s v="16/03/2022"/>
    <n v="6223"/>
    <n v="181"/>
    <m/>
    <m/>
    <s v="Above Average"/>
    <n v="1374"/>
  </r>
  <r>
    <s v="Kelci Walkden"/>
    <s v="UK"/>
    <x v="4"/>
    <d v="2022-12-08T00:00:00"/>
    <s v="08/12/2022"/>
    <s v="2022"/>
    <s v="08"/>
    <n v="3507"/>
    <n v="114"/>
    <m/>
    <m/>
    <s v="Below Average"/>
    <n v="2135"/>
  </r>
  <r>
    <s v="Gigi Bohling"/>
    <s v="New Zealand"/>
    <x v="5"/>
    <s v="21/01/2022"/>
    <s v="21/01/2022"/>
    <s v="2022"/>
    <s v="21/01/2022"/>
    <n v="5600"/>
    <n v="181"/>
    <m/>
    <m/>
    <s v="Below Average"/>
    <n v="1542"/>
  </r>
  <r>
    <s v="Oby Sorrel"/>
    <s v="Australia"/>
    <x v="6"/>
    <d v="2022-06-05T00:00:00"/>
    <s v="05/06/2022"/>
    <s v="2022"/>
    <s v="05"/>
    <n v="721"/>
    <n v="151"/>
    <m/>
    <m/>
    <s v="Below Average"/>
    <n v="3057"/>
  </r>
  <r>
    <s v="Oby Sorrel"/>
    <s v="Canada"/>
    <x v="6"/>
    <s v="24/06/2022"/>
    <s v="24/06/2022"/>
    <s v="2022"/>
    <s v="24/06/2022"/>
    <n v="6615"/>
    <n v="137"/>
    <m/>
    <m/>
    <s v="Above Average"/>
    <n v="1280"/>
  </r>
  <r>
    <s v="Barr Faughny"/>
    <s v="USA"/>
    <x v="14"/>
    <d v="2022-05-05T00:00:00"/>
    <s v="05/05/2022"/>
    <s v="2022"/>
    <s v="05"/>
    <n v="7420"/>
    <n v="163"/>
    <m/>
    <m/>
    <s v="Above Average"/>
    <n v="1084"/>
  </r>
  <r>
    <s v="Rafaelita Blaksland"/>
    <s v="New Zealand"/>
    <x v="4"/>
    <s v="25/03/2022"/>
    <s v="25/03/2022"/>
    <s v="2022"/>
    <s v="25/03/2022"/>
    <n v="3164"/>
    <n v="84"/>
    <m/>
    <m/>
    <s v="Below Average"/>
    <n v="2250"/>
  </r>
  <r>
    <s v="Curtice Advani"/>
    <s v="Australia"/>
    <x v="20"/>
    <s v="14/02/2022"/>
    <s v="14/02/2022"/>
    <s v="2022"/>
    <s v="14/02/2022"/>
    <n v="9114"/>
    <n v="140"/>
    <m/>
    <m/>
    <s v="Above Average"/>
    <n v="716"/>
  </r>
  <r>
    <s v="Curtice Advani"/>
    <s v="New Zealand"/>
    <x v="1"/>
    <d v="2022-12-05T00:00:00"/>
    <s v="05/12/2022"/>
    <s v="2022"/>
    <s v="05"/>
    <n v="5404"/>
    <n v="187"/>
    <m/>
    <m/>
    <s v="Below Average"/>
    <n v="1592"/>
  </r>
  <r>
    <s v="Barr Faughny"/>
    <s v="New Zealand"/>
    <x v="3"/>
    <s v="25/01/2022"/>
    <s v="25/01/2022"/>
    <s v="2022"/>
    <s v="25/01/2022"/>
    <n v="3990"/>
    <n v="169"/>
    <m/>
    <m/>
    <s v="Below Average"/>
    <n v="1989"/>
  </r>
  <r>
    <s v="Ches Bonnell"/>
    <s v="UK"/>
    <x v="1"/>
    <s v="28/06/2022"/>
    <s v="28/06/2022"/>
    <s v="2022"/>
    <s v="28/06/2022"/>
    <n v="14924"/>
    <n v="12"/>
    <m/>
    <m/>
    <s v="Above Average"/>
    <n v="153"/>
  </r>
  <r>
    <s v="Dennison Crosswaite"/>
    <s v="Australia"/>
    <x v="9"/>
    <s v="13/07/2022"/>
    <s v="13/07/2022"/>
    <s v="2022"/>
    <s v="13/07/2022"/>
    <n v="7091"/>
    <n v="194"/>
    <m/>
    <m/>
    <s v="Above Average"/>
    <n v="1161"/>
  </r>
  <r>
    <s v="Roddy Speechley"/>
    <s v="USA"/>
    <x v="11"/>
    <s v="16/05/2022"/>
    <s v="16/05/2022"/>
    <s v="2022"/>
    <s v="16/05/2022"/>
    <n v="2807"/>
    <n v="252"/>
    <m/>
    <m/>
    <s v="Below Average"/>
    <n v="2369"/>
  </r>
  <r>
    <s v="Jan Morforth"/>
    <s v="India"/>
    <x v="5"/>
    <s v="14/03/2022"/>
    <s v="14/03/2022"/>
    <s v="2022"/>
    <s v="14/03/2022"/>
    <n v="6496"/>
    <n v="168"/>
    <m/>
    <m/>
    <s v="Above Average"/>
    <n v="1309"/>
  </r>
  <r>
    <s v="Gunar Cockshoot"/>
    <s v="USA"/>
    <x v="5"/>
    <s v="15/08/2022"/>
    <s v="15/08/2022"/>
    <s v="2022"/>
    <s v="15/08/2022"/>
    <n v="3738"/>
    <n v="261"/>
    <m/>
    <m/>
    <s v="Below Average"/>
    <n v="2059"/>
  </r>
  <r>
    <s v="Ches Bonnell"/>
    <s v="India"/>
    <x v="7"/>
    <s v="16/02/2022"/>
    <s v="16/02/2022"/>
    <s v="2022"/>
    <s v="16/02/2022"/>
    <n v="1190"/>
    <n v="256"/>
    <m/>
    <m/>
    <s v="Below Average"/>
    <n v="2908"/>
  </r>
  <r>
    <s v="Mallorie Waber"/>
    <s v="UK"/>
    <x v="15"/>
    <s v="15/06/2022"/>
    <s v="15/06/2022"/>
    <s v="2022"/>
    <s v="15/06/2022"/>
    <n v="8379"/>
    <n v="43"/>
    <m/>
    <m/>
    <s v="Above Average"/>
    <n v="857"/>
  </r>
  <r>
    <s v="Barr Faughny"/>
    <s v="Australia"/>
    <x v="17"/>
    <s v="27/05/2022"/>
    <s v="27/05/2022"/>
    <s v="2022"/>
    <s v="27/05/2022"/>
    <n v="9268"/>
    <n v="100"/>
    <m/>
    <m/>
    <s v="Above Average"/>
    <n v="696"/>
  </r>
  <r>
    <s v="Wilone O'Kielt"/>
    <s v="USA"/>
    <x v="9"/>
    <s v="14/06/2022"/>
    <s v="14/06/2022"/>
    <s v="2022"/>
    <s v="14/06/2022"/>
    <n v="1029"/>
    <n v="98"/>
    <m/>
    <m/>
    <s v="Below Average"/>
    <n v="2964"/>
  </r>
  <r>
    <s v="Wilone O'Kielt"/>
    <s v="India"/>
    <x v="8"/>
    <s v="25/02/2022"/>
    <s v="25/02/2022"/>
    <s v="2022"/>
    <s v="25/02/2022"/>
    <n v="3549"/>
    <n v="76"/>
    <m/>
    <m/>
    <s v="Below Average"/>
    <n v="2126"/>
  </r>
  <r>
    <s v="Wilone O'Kielt"/>
    <s v="India"/>
    <x v="5"/>
    <d v="2022-04-08T00:00:00"/>
    <s v="08/04/2022"/>
    <s v="2022"/>
    <s v="08"/>
    <n v="12026"/>
    <n v="262"/>
    <m/>
    <m/>
    <s v="Above Average"/>
    <n v="346"/>
  </r>
  <r>
    <s v="Kelci Walkden"/>
    <s v="India"/>
    <x v="4"/>
    <s v="28/06/2022"/>
    <s v="28/06/2022"/>
    <s v="2022"/>
    <s v="28/06/2022"/>
    <n v="2303"/>
    <n v="244"/>
    <m/>
    <m/>
    <s v="Below Average"/>
    <n v="2550"/>
  </r>
  <r>
    <s v="Gunar Cockshoot"/>
    <s v="Canada"/>
    <x v="12"/>
    <d v="2022-05-04T00:00:00"/>
    <s v="04/05/2022"/>
    <s v="2022"/>
    <s v="04"/>
    <n v="13405"/>
    <n v="12"/>
    <m/>
    <m/>
    <s v="Above Average"/>
    <n v="242"/>
  </r>
  <r>
    <s v="Madelene Upcott"/>
    <s v="Canada"/>
    <x v="2"/>
    <d v="2022-05-07T00:00:00"/>
    <s v="07/05/2022"/>
    <s v="2022"/>
    <s v="07"/>
    <n v="14763"/>
    <n v="113"/>
    <m/>
    <m/>
    <s v="Above Average"/>
    <n v="160"/>
  </r>
  <r>
    <s v="Kaine Padly"/>
    <s v="New Zealand"/>
    <x v="8"/>
    <s v="20/01/2022"/>
    <s v="20/01/2022"/>
    <s v="2022"/>
    <s v="20/01/2022"/>
    <n v="12894"/>
    <n v="48"/>
    <m/>
    <m/>
    <s v="Above Average"/>
    <n v="273"/>
  </r>
  <r>
    <s v="Ches Bonnell"/>
    <s v="New Zealand"/>
    <x v="9"/>
    <s v="16/02/2022"/>
    <s v="16/02/2022"/>
    <s v="2022"/>
    <s v="16/02/2022"/>
    <n v="8302"/>
    <n v="131"/>
    <m/>
    <m/>
    <s v="Above Average"/>
    <n v="871"/>
  </r>
  <r>
    <s v="Curtice Advani"/>
    <s v="UK"/>
    <x v="9"/>
    <d v="2022-12-07T00:00:00"/>
    <s v="07/12/2022"/>
    <s v="2022"/>
    <s v="07"/>
    <n v="455"/>
    <n v="174"/>
    <m/>
    <m/>
    <s v="Below Average"/>
    <n v="3149"/>
  </r>
  <r>
    <s v="Kelci Walkden"/>
    <s v="India"/>
    <x v="17"/>
    <s v="16/06/2022"/>
    <s v="16/06/2022"/>
    <s v="2022"/>
    <s v="16/06/2022"/>
    <n v="8183"/>
    <n v="254"/>
    <m/>
    <m/>
    <s v="Above Average"/>
    <n v="898"/>
  </r>
  <r>
    <s v="Dotty Strutley"/>
    <s v="Australia"/>
    <x v="18"/>
    <s v="13/04/2022"/>
    <s v="13/04/2022"/>
    <s v="2022"/>
    <s v="13/04/2022"/>
    <n v="1645"/>
    <n v="284"/>
    <m/>
    <m/>
    <s v="Below Average"/>
    <n v="2753"/>
  </r>
  <r>
    <s v="Kaine Padly"/>
    <s v="UK"/>
    <x v="6"/>
    <s v="21/02/2022"/>
    <s v="21/02/2022"/>
    <s v="2022"/>
    <s v="21/02/2022"/>
    <n v="3143"/>
    <n v="67"/>
    <m/>
    <m/>
    <s v="Below Average"/>
    <n v="2254"/>
  </r>
  <r>
    <s v="Roddy Speechley"/>
    <s v="Canada"/>
    <x v="18"/>
    <d v="2022-11-05T00:00:00"/>
    <s v="05/11/2022"/>
    <s v="2022"/>
    <s v="05"/>
    <n v="5873"/>
    <n v="249"/>
    <m/>
    <m/>
    <s v="Below Average"/>
    <n v="1466"/>
  </r>
  <r>
    <s v="Ches Bonnell"/>
    <s v="India"/>
    <x v="6"/>
    <s v="15/04/2022"/>
    <s v="15/04/2022"/>
    <s v="2022"/>
    <s v="15/04/2022"/>
    <n v="11298"/>
    <n v="313"/>
    <m/>
    <m/>
    <s v="Above Average"/>
    <n v="415"/>
  </r>
  <r>
    <s v="Oby Sorrel"/>
    <s v="Canada"/>
    <x v="2"/>
    <d v="2022-07-06T00:00:00"/>
    <s v="06/07/2022"/>
    <s v="2022"/>
    <s v="06"/>
    <n v="12425"/>
    <n v="167"/>
    <m/>
    <m/>
    <s v="Above Average"/>
    <n v="308"/>
  </r>
  <r>
    <s v="Oby Sorrel"/>
    <s v="UK"/>
    <x v="14"/>
    <s v="27/06/2022"/>
    <s v="27/06/2022"/>
    <s v="2022"/>
    <s v="27/06/2022"/>
    <n v="1715"/>
    <n v="286"/>
    <m/>
    <m/>
    <s v="Below Average"/>
    <n v="2729"/>
  </r>
  <r>
    <s v="Barr Faughny"/>
    <s v="India"/>
    <x v="5"/>
    <s v="29/07/2022"/>
    <s v="29/07/2022"/>
    <s v="2022"/>
    <s v="29/07/2022"/>
    <n v="8190"/>
    <n v="109"/>
    <m/>
    <m/>
    <s v="Above Average"/>
    <n v="896"/>
  </r>
  <r>
    <s v="Wilone O'Kielt"/>
    <s v="Canada"/>
    <x v="3"/>
    <d v="2022-02-06T00:00:00"/>
    <s v="06/02/2022"/>
    <s v="2022"/>
    <s v="06"/>
    <n v="4991"/>
    <n v="166"/>
    <m/>
    <m/>
    <s v="Below Average"/>
    <n v="1709"/>
  </r>
  <r>
    <s v="Rafaelita Blaksland"/>
    <s v="India"/>
    <x v="0"/>
    <s v="26/01/2022"/>
    <s v="26/01/2022"/>
    <s v="2022"/>
    <s v="26/01/2022"/>
    <n v="15491"/>
    <n v="85"/>
    <m/>
    <m/>
    <s v="Above Average"/>
    <n v="127"/>
  </r>
  <r>
    <s v="Rafaelita Blaksland"/>
    <s v="Canada"/>
    <x v="4"/>
    <d v="2022-02-03T00:00:00"/>
    <s v="03/02/2022"/>
    <s v="2022"/>
    <s v="03"/>
    <n v="5096"/>
    <n v="142"/>
    <m/>
    <m/>
    <s v="Below Average"/>
    <n v="1673"/>
  </r>
  <r>
    <s v="Van Tuxwell"/>
    <s v="Australia"/>
    <x v="21"/>
    <d v="2022-10-01T00:00:00"/>
    <s v="01/10/2022"/>
    <s v="2022"/>
    <s v="01"/>
    <n v="7063"/>
    <n v="104"/>
    <m/>
    <m/>
    <s v="Above Average"/>
    <n v="1164"/>
  </r>
  <r>
    <s v="Beverie Moffet"/>
    <s v="USA"/>
    <x v="21"/>
    <s v="27/06/2022"/>
    <s v="27/06/2022"/>
    <s v="2022"/>
    <s v="27/06/2022"/>
    <n v="2275"/>
    <n v="115"/>
    <m/>
    <m/>
    <s v="Below Average"/>
    <n v="2561"/>
  </r>
  <r>
    <s v="Barr Faughny"/>
    <s v="Canada"/>
    <x v="7"/>
    <s v="30/06/2022"/>
    <s v="30/06/2022"/>
    <s v="2022"/>
    <s v="30/06/2022"/>
    <n v="7602"/>
    <n v="18"/>
    <m/>
    <m/>
    <s v="Above Average"/>
    <n v="1044"/>
  </r>
  <r>
    <s v="Roddy Speechley"/>
    <s v="Australia"/>
    <x v="1"/>
    <d v="2022-08-07T00:00:00"/>
    <s v="07/08/2022"/>
    <s v="2022"/>
    <s v="07"/>
    <n v="4200"/>
    <n v="80"/>
    <m/>
    <m/>
    <s v="Below Average"/>
    <n v="1926"/>
  </r>
  <r>
    <s v="Oby Sorrel"/>
    <s v="India"/>
    <x v="12"/>
    <d v="2022-08-06T00:00:00"/>
    <s v="06/08/2022"/>
    <s v="2022"/>
    <s v="06"/>
    <n v="11137"/>
    <n v="88"/>
    <m/>
    <m/>
    <s v="Above Average"/>
    <n v="428"/>
  </r>
  <r>
    <s v="Jan Morforth"/>
    <s v="UK"/>
    <x v="15"/>
    <s v="18/08/2022"/>
    <s v="18/08/2022"/>
    <s v="2022"/>
    <s v="18/08/2022"/>
    <n v="3388"/>
    <n v="212"/>
    <m/>
    <m/>
    <s v="Below Average"/>
    <n v="2180"/>
  </r>
  <r>
    <s v="Kaine Padly"/>
    <s v="Australia"/>
    <x v="5"/>
    <d v="2022-08-04T00:00:00"/>
    <s v="04/08/2022"/>
    <s v="2022"/>
    <s v="04"/>
    <n v="6832"/>
    <n v="306"/>
    <m/>
    <m/>
    <s v="Above Average"/>
    <n v="1225"/>
  </r>
  <r>
    <s v="Wilone O'Kielt"/>
    <s v="Canada"/>
    <x v="13"/>
    <d v="2022-08-08T00:00:00"/>
    <s v="08/08/2022"/>
    <s v="2022"/>
    <s v="08"/>
    <n v="3437"/>
    <n v="181"/>
    <m/>
    <m/>
    <s v="Below Average"/>
    <n v="2158"/>
  </r>
  <r>
    <s v="Wilone O'Kielt"/>
    <s v="UK"/>
    <x v="11"/>
    <s v="26/08/2022"/>
    <s v="26/08/2022"/>
    <s v="2022"/>
    <s v="26/08/2022"/>
    <n v="301"/>
    <n v="65"/>
    <m/>
    <m/>
    <s v="Below Average"/>
    <n v="3192"/>
  </r>
  <r>
    <s v="Oby Sorrel"/>
    <s v="Canada"/>
    <x v="13"/>
    <s v="14/01/2022"/>
    <s v="14/01/2022"/>
    <s v="2022"/>
    <s v="14/01/2022"/>
    <n v="1869"/>
    <n v="158"/>
    <m/>
    <m/>
    <s v="Below Average"/>
    <n v="2674"/>
  </r>
  <r>
    <s v="Dennison Crosswaite"/>
    <s v="USA"/>
    <x v="19"/>
    <d v="2022-11-08T00:00:00"/>
    <s v="08/11/2022"/>
    <s v="2022"/>
    <s v="08"/>
    <n v="17465"/>
    <n v="271"/>
    <m/>
    <m/>
    <s v="Above Average"/>
    <n v="54"/>
  </r>
  <r>
    <s v="Madelene Upcott"/>
    <s v="USA"/>
    <x v="16"/>
    <s v="31/05/2022"/>
    <s v="31/05/2022"/>
    <s v="2022"/>
    <s v="31/05/2022"/>
    <n v="10143"/>
    <n v="24"/>
    <m/>
    <m/>
    <s v="Above Average"/>
    <n v="560"/>
  </r>
  <r>
    <s v="Van Tuxwell"/>
    <s v="New Zealand"/>
    <x v="6"/>
    <d v="2022-11-07T00:00:00"/>
    <s v="07/11/2022"/>
    <s v="2022"/>
    <s v="07"/>
    <n v="3626"/>
    <n v="10"/>
    <m/>
    <m/>
    <s v="Below Average"/>
    <n v="2097"/>
  </r>
  <r>
    <s v="Karlen McCaffrey"/>
    <s v="Canada"/>
    <x v="20"/>
    <d v="2022-02-03T00:00:00"/>
    <s v="03/02/2022"/>
    <s v="2022"/>
    <s v="03"/>
    <n v="3346"/>
    <n v="304"/>
    <m/>
    <m/>
    <s v="Below Average"/>
    <n v="2200"/>
  </r>
  <r>
    <s v="Madelene Upcott"/>
    <s v="Australia"/>
    <x v="17"/>
    <s v="13/07/2022"/>
    <s v="13/07/2022"/>
    <s v="2022"/>
    <s v="13/07/2022"/>
    <n v="6321"/>
    <n v="88"/>
    <m/>
    <m/>
    <s v="Above Average"/>
    <n v="1351"/>
  </r>
  <r>
    <s v="Rafaelita Blaksland"/>
    <s v="UK"/>
    <x v="12"/>
    <d v="2022-03-08T00:00:00"/>
    <s v="08/03/2022"/>
    <s v="2022"/>
    <s v="08"/>
    <n v="9345"/>
    <n v="133"/>
    <m/>
    <m/>
    <s v="Above Average"/>
    <n v="679"/>
  </r>
  <r>
    <s v="Curtice Advani"/>
    <s v="UK"/>
    <x v="2"/>
    <d v="2022-01-03T00:00:00"/>
    <s v="03/01/2022"/>
    <s v="2022"/>
    <s v="03"/>
    <n v="15008"/>
    <n v="165"/>
    <m/>
    <m/>
    <s v="Above Average"/>
    <n v="145"/>
  </r>
  <r>
    <s v="Kelci Walkden"/>
    <s v="New Zealand"/>
    <x v="14"/>
    <s v="13/04/2022"/>
    <s v="13/04/2022"/>
    <s v="2022"/>
    <s v="13/04/2022"/>
    <n v="7609"/>
    <n v="150"/>
    <m/>
    <m/>
    <s v="Above Average"/>
    <n v="1042"/>
  </r>
  <r>
    <s v="Beverie Moffet"/>
    <s v="Canada"/>
    <x v="13"/>
    <s v="14/02/2022"/>
    <s v="14/02/2022"/>
    <s v="2022"/>
    <s v="14/02/2022"/>
    <n v="10332"/>
    <n v="180"/>
    <m/>
    <m/>
    <s v="Above Average"/>
    <n v="530"/>
  </r>
  <r>
    <s v="Mallorie Waber"/>
    <s v="India"/>
    <x v="14"/>
    <s v="26/07/2022"/>
    <s v="26/07/2022"/>
    <s v="2022"/>
    <s v="26/07/2022"/>
    <n v="819"/>
    <n v="213"/>
    <m/>
    <m/>
    <s v="Below Average"/>
    <n v="3022"/>
  </r>
  <r>
    <s v="Brien Boise"/>
    <s v="UK"/>
    <x v="9"/>
    <s v="27/01/2022"/>
    <s v="27/01/2022"/>
    <s v="2022"/>
    <s v="27/01/2022"/>
    <n v="5754"/>
    <n v="133"/>
    <m/>
    <m/>
    <s v="Below Average"/>
    <n v="1503"/>
  </r>
  <r>
    <s v="Jehu Rudeforth"/>
    <s v="India"/>
    <x v="2"/>
    <s v="14/04/2022"/>
    <s v="14/04/2022"/>
    <s v="2022"/>
    <s v="14/04/2022"/>
    <n v="28"/>
    <n v="446"/>
    <m/>
    <m/>
    <s v="Below Average"/>
    <n v="3276"/>
  </r>
  <r>
    <s v="Oby Sorrel"/>
    <s v="USA"/>
    <x v="16"/>
    <s v="19/05/2022"/>
    <s v="19/05/2022"/>
    <s v="2022"/>
    <s v="19/05/2022"/>
    <n v="6440"/>
    <n v="141"/>
    <m/>
    <m/>
    <s v="Above Average"/>
    <n v="1322"/>
  </r>
  <r>
    <s v="Husein Augar"/>
    <s v="India"/>
    <x v="8"/>
    <d v="2022-09-02T00:00:00"/>
    <s v="02/09/2022"/>
    <s v="2022"/>
    <s v="02"/>
    <n v="4956"/>
    <n v="58"/>
    <m/>
    <m/>
    <s v="Below Average"/>
    <n v="1715"/>
  </r>
  <r>
    <s v="Brien Boise"/>
    <s v="UK"/>
    <x v="12"/>
    <s v="25/05/2022"/>
    <s v="25/05/2022"/>
    <s v="2022"/>
    <s v="25/05/2022"/>
    <n v="2352"/>
    <n v="58"/>
    <m/>
    <m/>
    <s v="Below Average"/>
    <n v="2529"/>
  </r>
  <r>
    <s v="Oby Sorrel"/>
    <s v="Australia"/>
    <x v="15"/>
    <s v="26/01/2022"/>
    <s v="26/01/2022"/>
    <s v="2022"/>
    <s v="26/01/2022"/>
    <n v="3906"/>
    <n v="76"/>
    <m/>
    <m/>
    <s v="Below Average"/>
    <n v="2012"/>
  </r>
  <r>
    <s v="Beverie Moffet"/>
    <s v="India"/>
    <x v="14"/>
    <d v="2022-04-07T00:00:00"/>
    <s v="07/04/2022"/>
    <s v="2022"/>
    <s v="07"/>
    <n v="1813"/>
    <n v="296"/>
    <m/>
    <m/>
    <s v="Below Average"/>
    <n v="2698"/>
  </r>
  <r>
    <s v="Ches Bonnell"/>
    <s v="India"/>
    <x v="16"/>
    <s v="13/04/2022"/>
    <s v="13/04/2022"/>
    <s v="2022"/>
    <s v="13/04/2022"/>
    <n v="11788"/>
    <n v="73"/>
    <m/>
    <m/>
    <s v="Above Average"/>
    <n v="362"/>
  </r>
  <r>
    <s v="Gigi Bohling"/>
    <s v="Australia"/>
    <x v="3"/>
    <s v="25/01/2022"/>
    <s v="25/01/2022"/>
    <s v="2022"/>
    <s v="25/01/2022"/>
    <n v="5768"/>
    <n v="119"/>
    <m/>
    <m/>
    <s v="Below Average"/>
    <n v="1500"/>
  </r>
  <r>
    <s v="Camilla Castle"/>
    <s v="USA"/>
    <x v="1"/>
    <s v="25/04/2022"/>
    <s v="25/04/2022"/>
    <s v="2022"/>
    <s v="25/04/2022"/>
    <n v="2401"/>
    <n v="78"/>
    <m/>
    <m/>
    <s v="Below Average"/>
    <n v="2515"/>
  </r>
  <r>
    <s v="Camilla Castle"/>
    <s v="USA"/>
    <x v="8"/>
    <d v="2022-10-06T00:00:00"/>
    <s v="06/10/2022"/>
    <s v="2022"/>
    <s v="06"/>
    <n v="4515"/>
    <n v="392"/>
    <m/>
    <m/>
    <s v="Below Average"/>
    <n v="1843"/>
  </r>
  <r>
    <s v="Madelene Upcott"/>
    <s v="New Zealand"/>
    <x v="14"/>
    <s v="22/08/2022"/>
    <s v="22/08/2022"/>
    <s v="2022"/>
    <s v="22/08/2022"/>
    <n v="10794"/>
    <n v="51"/>
    <m/>
    <m/>
    <s v="Above Average"/>
    <n v="473"/>
  </r>
  <r>
    <s v="Van Tuxwell"/>
    <s v="India"/>
    <x v="5"/>
    <s v="27/06/2022"/>
    <s v="27/06/2022"/>
    <s v="2022"/>
    <s v="27/06/2022"/>
    <n v="13706"/>
    <n v="207"/>
    <m/>
    <m/>
    <s v="Above Average"/>
    <n v="220"/>
  </r>
  <r>
    <s v="Husein Augar"/>
    <s v="India"/>
    <x v="7"/>
    <s v="30/06/2022"/>
    <s v="30/06/2022"/>
    <s v="2022"/>
    <s v="30/06/2022"/>
    <n v="4361"/>
    <n v="40"/>
    <m/>
    <m/>
    <s v="Below Average"/>
    <n v="1887"/>
  </r>
  <r>
    <s v="Jehu Rudeforth"/>
    <s v="India"/>
    <x v="16"/>
    <s v="30/08/2022"/>
    <s v="30/08/2022"/>
    <s v="2022"/>
    <s v="30/08/2022"/>
    <n v="10122"/>
    <n v="100"/>
    <m/>
    <m/>
    <s v="Above Average"/>
    <n v="564"/>
  </r>
  <r>
    <s v="Karlen McCaffrey"/>
    <s v="Australia"/>
    <x v="17"/>
    <s v="23/08/2022"/>
    <s v="23/08/2022"/>
    <s v="2022"/>
    <s v="23/08/2022"/>
    <n v="994"/>
    <n v="57"/>
    <m/>
    <m/>
    <s v="Below Average"/>
    <n v="2974"/>
  </r>
  <r>
    <s v="Camilla Castle"/>
    <s v="New Zealand"/>
    <x v="4"/>
    <s v="26/08/2022"/>
    <s v="26/08/2022"/>
    <s v="2022"/>
    <s v="26/08/2022"/>
    <n v="2268"/>
    <n v="42"/>
    <m/>
    <m/>
    <s v="Below Average"/>
    <n v="2563"/>
  </r>
  <r>
    <s v="Gigi Bohling"/>
    <s v="Australia"/>
    <x v="7"/>
    <d v="2022-09-03T00:00:00"/>
    <s v="03/09/2022"/>
    <s v="2022"/>
    <s v="03"/>
    <n v="574"/>
    <n v="156"/>
    <m/>
    <m/>
    <s v="Below Average"/>
    <n v="3104"/>
  </r>
  <r>
    <s v="Kelci Walkden"/>
    <s v="UK"/>
    <x v="9"/>
    <s v="20/04/2022"/>
    <s v="20/04/2022"/>
    <s v="2022"/>
    <s v="20/04/2022"/>
    <n v="1792"/>
    <n v="23"/>
    <m/>
    <m/>
    <s v="Below Average"/>
    <n v="2704"/>
  </r>
  <r>
    <s v="Mallorie Waber"/>
    <s v="Canada"/>
    <x v="20"/>
    <d v="2022-10-06T00:00:00"/>
    <s v="06/10/2022"/>
    <s v="2022"/>
    <s v="06"/>
    <n v="4844"/>
    <n v="539"/>
    <m/>
    <m/>
    <s v="Below Average"/>
    <n v="1754"/>
  </r>
  <r>
    <s v="Husein Augar"/>
    <s v="Australia"/>
    <x v="10"/>
    <d v="2022-08-02T00:00:00"/>
    <s v="02/08/2022"/>
    <s v="2022"/>
    <s v="02"/>
    <n v="938"/>
    <n v="158"/>
    <m/>
    <m/>
    <s v="Below Average"/>
    <n v="2993"/>
  </r>
  <r>
    <s v="Brien Boise"/>
    <s v="Australia"/>
    <x v="14"/>
    <s v="25/08/2022"/>
    <s v="25/08/2022"/>
    <s v="2022"/>
    <s v="25/08/2022"/>
    <n v="4879"/>
    <n v="22"/>
    <m/>
    <m/>
    <s v="Below Average"/>
    <n v="1740"/>
  </r>
  <r>
    <s v="Dotty Strutley"/>
    <s v="India"/>
    <x v="2"/>
    <s v="16/02/2022"/>
    <s v="16/02/2022"/>
    <s v="2022"/>
    <s v="16/02/2022"/>
    <n v="9107"/>
    <n v="73"/>
    <m/>
    <m/>
    <s v="Above Average"/>
    <n v="719"/>
  </r>
  <r>
    <s v="Dennison Crosswaite"/>
    <s v="UK"/>
    <x v="4"/>
    <s v="30/05/2022"/>
    <s v="30/05/2022"/>
    <s v="2022"/>
    <s v="30/05/2022"/>
    <n v="12187"/>
    <n v="27"/>
    <m/>
    <m/>
    <s v="Above Average"/>
    <n v="330"/>
  </r>
  <r>
    <s v="Gigi Bohling"/>
    <s v="New Zealand"/>
    <x v="6"/>
    <s v="29/06/2022"/>
    <s v="29/06/2022"/>
    <s v="2022"/>
    <s v="29/06/2022"/>
    <n v="5670"/>
    <n v="64"/>
    <m/>
    <m/>
    <s v="Below Average"/>
    <n v="1526"/>
  </r>
  <r>
    <s v="Gigi Bohling"/>
    <s v="USA"/>
    <x v="11"/>
    <s v="16/06/2022"/>
    <s v="16/06/2022"/>
    <s v="2022"/>
    <s v="16/06/2022"/>
    <n v="476"/>
    <n v="133"/>
    <m/>
    <m/>
    <s v="Below Average"/>
    <n v="3140"/>
  </r>
  <r>
    <s v="Brien Boise"/>
    <s v="UK"/>
    <x v="20"/>
    <d v="2022-04-03T00:00:00"/>
    <s v="03/04/2022"/>
    <s v="2022"/>
    <s v="03"/>
    <n v="2681"/>
    <n v="149"/>
    <m/>
    <m/>
    <s v="Below Average"/>
    <n v="2410"/>
  </r>
  <r>
    <s v="Curtice Advani"/>
    <s v="New Zealand"/>
    <x v="2"/>
    <s v="15/03/2022"/>
    <s v="15/03/2022"/>
    <s v="2022"/>
    <s v="15/03/2022"/>
    <n v="1533"/>
    <n v="434"/>
    <m/>
    <m/>
    <s v="Below Average"/>
    <n v="2797"/>
  </r>
  <r>
    <s v="Curtice Advani"/>
    <s v="New Zealand"/>
    <x v="6"/>
    <s v="27/01/2022"/>
    <s v="27/01/2022"/>
    <s v="2022"/>
    <s v="27/01/2022"/>
    <n v="9765"/>
    <n v="85"/>
    <m/>
    <m/>
    <s v="Above Average"/>
    <n v="620"/>
  </r>
  <r>
    <s v="Beverie Moffet"/>
    <s v="Canada"/>
    <x v="9"/>
    <d v="2022-05-07T00:00:00"/>
    <s v="07/05/2022"/>
    <s v="2022"/>
    <s v="07"/>
    <n v="994"/>
    <n v="118"/>
    <m/>
    <m/>
    <s v="Below Average"/>
    <n v="2974"/>
  </r>
  <r>
    <s v="Barr Faughny"/>
    <s v="USA"/>
    <x v="20"/>
    <s v="29/03/2022"/>
    <s v="29/03/2022"/>
    <s v="2022"/>
    <s v="29/03/2022"/>
    <n v="3318"/>
    <n v="299"/>
    <m/>
    <m/>
    <s v="Below Average"/>
    <n v="2206"/>
  </r>
  <r>
    <s v="Mallorie Waber"/>
    <s v="Canada"/>
    <x v="16"/>
    <d v="2022-12-05T00:00:00"/>
    <s v="05/12/2022"/>
    <s v="2022"/>
    <s v="05"/>
    <n v="4214"/>
    <n v="35"/>
    <m/>
    <m/>
    <s v="Below Average"/>
    <n v="1924"/>
  </r>
  <r>
    <s v="Oby Sorrel"/>
    <s v="USA"/>
    <x v="9"/>
    <d v="2022-11-03T00:00:00"/>
    <s v="03/11/2022"/>
    <s v="2022"/>
    <s v="03"/>
    <n v="7714"/>
    <n v="44"/>
    <m/>
    <m/>
    <s v="Above Average"/>
    <n v="1010"/>
  </r>
  <r>
    <s v="Brien Boise"/>
    <s v="New Zealand"/>
    <x v="8"/>
    <d v="2022-11-07T00:00:00"/>
    <s v="07/11/2022"/>
    <s v="2022"/>
    <s v="07"/>
    <n v="4690"/>
    <n v="299"/>
    <m/>
    <m/>
    <s v="Below Average"/>
    <n v="1802"/>
  </r>
  <r>
    <s v="Gunar Cockshoot"/>
    <s v="New Zealand"/>
    <x v="18"/>
    <d v="2022-01-08T00:00:00"/>
    <s v="08/01/2022"/>
    <s v="2022"/>
    <s v="08"/>
    <n v="13062"/>
    <n v="62"/>
    <m/>
    <m/>
    <s v="Above Average"/>
    <n v="264"/>
  </r>
  <r>
    <s v="Gunar Cockshoot"/>
    <s v="UK"/>
    <x v="12"/>
    <s v="16/02/2022"/>
    <s v="16/02/2022"/>
    <s v="2022"/>
    <s v="16/02/2022"/>
    <n v="12488"/>
    <n v="200"/>
    <m/>
    <m/>
    <s v="Above Average"/>
    <n v="302"/>
  </r>
  <r>
    <s v="Curtice Advani"/>
    <s v="USA"/>
    <x v="5"/>
    <s v="13/04/2022"/>
    <s v="13/04/2022"/>
    <s v="2022"/>
    <s v="13/04/2022"/>
    <n v="14147"/>
    <n v="235"/>
    <m/>
    <m/>
    <s v="Above Average"/>
    <n v="201"/>
  </r>
  <r>
    <s v="Oby Sorrel"/>
    <s v="India"/>
    <x v="18"/>
    <s v="14/02/2022"/>
    <s v="14/02/2022"/>
    <s v="2022"/>
    <s v="14/02/2022"/>
    <n v="49"/>
    <n v="363"/>
    <m/>
    <m/>
    <s v="Below Average"/>
    <n v="3272"/>
  </r>
  <r>
    <s v="Ches Bonnell"/>
    <s v="Australia"/>
    <x v="2"/>
    <s v="14/03/2022"/>
    <s v="14/03/2022"/>
    <s v="2022"/>
    <s v="14/03/2022"/>
    <n v="10199"/>
    <n v="68"/>
    <m/>
    <m/>
    <s v="Above Average"/>
    <n v="551"/>
  </r>
  <r>
    <s v="Oby Sorrel"/>
    <s v="Australia"/>
    <x v="12"/>
    <s v="26/04/2022"/>
    <s v="26/04/2022"/>
    <s v="2022"/>
    <s v="26/04/2022"/>
    <n v="11389"/>
    <n v="26"/>
    <m/>
    <m/>
    <s v="Above Average"/>
    <n v="406"/>
  </r>
  <r>
    <s v="Jehu Rudeforth"/>
    <s v="Canada"/>
    <x v="15"/>
    <d v="2022-05-04T00:00:00"/>
    <s v="04/05/2022"/>
    <s v="2022"/>
    <s v="04"/>
    <n v="3584"/>
    <n v="200"/>
    <m/>
    <m/>
    <s v="Below Average"/>
    <n v="2111"/>
  </r>
  <r>
    <s v="Camilla Castle"/>
    <s v="Canada"/>
    <x v="9"/>
    <d v="2022-03-03T00:00:00"/>
    <s v="03/03/2022"/>
    <s v="2022"/>
    <s v="03"/>
    <n v="12481"/>
    <n v="264"/>
    <m/>
    <m/>
    <s v="Above Average"/>
    <n v="303"/>
  </r>
  <r>
    <s v="Kaine Padly"/>
    <s v="USA"/>
    <x v="12"/>
    <s v="13/06/2022"/>
    <s v="13/06/2022"/>
    <s v="2022"/>
    <s v="13/06/2022"/>
    <n v="2107"/>
    <n v="175"/>
    <m/>
    <m/>
    <s v="Below Average"/>
    <n v="2597"/>
  </r>
  <r>
    <s v="Marney O'Breen"/>
    <s v="New Zealand"/>
    <x v="21"/>
    <s v="14/02/2022"/>
    <s v="14/02/2022"/>
    <s v="2022"/>
    <s v="14/02/2022"/>
    <n v="8603"/>
    <n v="352"/>
    <m/>
    <m/>
    <s v="Above Average"/>
    <n v="813"/>
  </r>
  <r>
    <s v="Roddy Speechley"/>
    <s v="New Zealand"/>
    <x v="4"/>
    <s v="18/04/2022"/>
    <s v="18/04/2022"/>
    <s v="2022"/>
    <s v="18/04/2022"/>
    <n v="7483"/>
    <n v="183"/>
    <m/>
    <m/>
    <s v="Above Average"/>
    <n v="1068"/>
  </r>
  <r>
    <s v="Oby Sorrel"/>
    <s v="New Zealand"/>
    <x v="1"/>
    <d v="2022-01-02T00:00:00"/>
    <s v="02/01/2022"/>
    <s v="2022"/>
    <s v="02"/>
    <n v="3381"/>
    <n v="417"/>
    <m/>
    <m/>
    <s v="Below Average"/>
    <n v="2183"/>
  </r>
  <r>
    <s v="Dotty Strutley"/>
    <s v="New Zealand"/>
    <x v="7"/>
    <d v="2022-04-08T00:00:00"/>
    <s v="08/04/2022"/>
    <s v="2022"/>
    <s v="08"/>
    <n v="2030"/>
    <n v="146"/>
    <m/>
    <m/>
    <s v="Below Average"/>
    <n v="2626"/>
  </r>
  <r>
    <s v="Andria Kimpton"/>
    <s v="New Zealand"/>
    <x v="16"/>
    <d v="2022-05-04T00:00:00"/>
    <s v="04/05/2022"/>
    <s v="2022"/>
    <s v="04"/>
    <n v="6559"/>
    <n v="158"/>
    <m/>
    <m/>
    <s v="Above Average"/>
    <n v="1292"/>
  </r>
  <r>
    <s v="Karlen McCaffrey"/>
    <s v="Australia"/>
    <x v="4"/>
    <s v="26/01/2022"/>
    <s v="26/01/2022"/>
    <s v="2022"/>
    <s v="26/01/2022"/>
    <n v="10822"/>
    <n v="168"/>
    <m/>
    <m/>
    <s v="Above Average"/>
    <n v="467"/>
  </r>
  <r>
    <s v="Kaine Padly"/>
    <s v="UK"/>
    <x v="5"/>
    <s v="21/01/2022"/>
    <s v="21/01/2022"/>
    <s v="2022"/>
    <s v="21/01/2022"/>
    <n v="18697"/>
    <n v="176"/>
    <m/>
    <m/>
    <s v="Above Average"/>
    <n v="31"/>
  </r>
  <r>
    <s v="Kaine Padly"/>
    <s v="Canada"/>
    <x v="5"/>
    <s v="22/08/2022"/>
    <s v="22/08/2022"/>
    <s v="2022"/>
    <s v="22/08/2022"/>
    <n v="5845"/>
    <n v="172"/>
    <m/>
    <m/>
    <s v="Below Average"/>
    <n v="1474"/>
  </r>
  <r>
    <s v="Kaine Padly"/>
    <s v="UK"/>
    <x v="9"/>
    <s v="27/01/2022"/>
    <s v="27/01/2022"/>
    <s v="2022"/>
    <s v="27/01/2022"/>
    <n v="2317"/>
    <n v="224"/>
    <m/>
    <m/>
    <s v="Below Average"/>
    <n v="2542"/>
  </r>
  <r>
    <s v="Rafaelita Blaksland"/>
    <s v="UK"/>
    <x v="6"/>
    <s v="16/02/2022"/>
    <s v="16/02/2022"/>
    <s v="2022"/>
    <s v="16/02/2022"/>
    <n v="10150"/>
    <n v="68"/>
    <m/>
    <m/>
    <s v="Above Average"/>
    <n v="559"/>
  </r>
  <r>
    <s v="Dotty Strutley"/>
    <s v="USA"/>
    <x v="17"/>
    <d v="2022-03-01T00:00:00"/>
    <s v="01/03/2022"/>
    <s v="2022"/>
    <s v="01"/>
    <n v="3437"/>
    <n v="46"/>
    <m/>
    <m/>
    <s v="Below Average"/>
    <n v="2158"/>
  </r>
  <r>
    <s v="Karlen McCaffrey"/>
    <s v="USA"/>
    <x v="14"/>
    <s v="24/08/2022"/>
    <s v="24/08/2022"/>
    <s v="2022"/>
    <s v="24/08/2022"/>
    <n v="4592"/>
    <n v="2"/>
    <m/>
    <m/>
    <s v="Below Average"/>
    <n v="1823"/>
  </r>
  <r>
    <s v="Oby Sorrel"/>
    <s v="USA"/>
    <x v="12"/>
    <d v="2022-07-02T00:00:00"/>
    <s v="02/07/2022"/>
    <s v="2022"/>
    <s v="02"/>
    <n v="5691"/>
    <n v="417"/>
    <m/>
    <m/>
    <s v="Below Average"/>
    <n v="1518"/>
  </r>
  <r>
    <s v="Mallorie Waber"/>
    <s v="Australia"/>
    <x v="3"/>
    <d v="2022-11-02T00:00:00"/>
    <s v="02/11/2022"/>
    <s v="2022"/>
    <s v="02"/>
    <n v="4158"/>
    <n v="109"/>
    <m/>
    <m/>
    <s v="Below Average"/>
    <n v="1942"/>
  </r>
  <r>
    <s v="Kaine Padly"/>
    <s v="Canada"/>
    <x v="10"/>
    <s v="29/03/2022"/>
    <s v="29/03/2022"/>
    <s v="2022"/>
    <s v="29/03/2022"/>
    <n v="5684"/>
    <n v="81"/>
    <m/>
    <m/>
    <s v="Below Average"/>
    <n v="1522"/>
  </r>
  <r>
    <s v="Marney O'Breen"/>
    <s v="USA"/>
    <x v="2"/>
    <s v="15/06/2022"/>
    <s v="15/06/2022"/>
    <s v="2022"/>
    <s v="15/06/2022"/>
    <n v="693"/>
    <n v="350"/>
    <m/>
    <m/>
    <s v="Below Average"/>
    <n v="3068"/>
  </r>
  <r>
    <s v="Dennison Crosswaite"/>
    <s v="UK"/>
    <x v="3"/>
    <s v="26/04/2022"/>
    <s v="26/04/2022"/>
    <s v="2022"/>
    <s v="26/04/2022"/>
    <n v="546"/>
    <n v="142"/>
    <m/>
    <m/>
    <s v="Below Average"/>
    <n v="3113"/>
  </r>
  <r>
    <s v="Brien Boise"/>
    <s v="Australia"/>
    <x v="10"/>
    <s v="15/07/2022"/>
    <s v="15/07/2022"/>
    <s v="2022"/>
    <s v="15/07/2022"/>
    <n v="4263"/>
    <n v="264"/>
    <m/>
    <m/>
    <s v="Below Average"/>
    <n v="1912"/>
  </r>
  <r>
    <s v="Beverie Moffet"/>
    <s v="India"/>
    <x v="10"/>
    <s v="23/06/2022"/>
    <s v="23/06/2022"/>
    <s v="2022"/>
    <s v="23/06/2022"/>
    <n v="1036"/>
    <n v="20"/>
    <m/>
    <m/>
    <s v="Below Average"/>
    <n v="2962"/>
  </r>
  <r>
    <s v="Dennison Crosswaite"/>
    <s v="Australia"/>
    <x v="19"/>
    <d v="2022-11-01T00:00:00"/>
    <s v="01/11/2022"/>
    <s v="2022"/>
    <s v="01"/>
    <n v="13846"/>
    <n v="421"/>
    <m/>
    <m/>
    <s v="Above Average"/>
    <n v="215"/>
  </r>
  <r>
    <s v="Beverie Moffet"/>
    <s v="UK"/>
    <x v="6"/>
    <d v="2022-09-02T00:00:00"/>
    <s v="02/09/2022"/>
    <s v="2022"/>
    <s v="02"/>
    <n v="2499"/>
    <n v="271"/>
    <m/>
    <m/>
    <s v="Below Average"/>
    <n v="2473"/>
  </r>
  <r>
    <s v="Van Tuxwell"/>
    <s v="UK"/>
    <x v="16"/>
    <d v="2022-06-06T00:00:00"/>
    <s v="06/06/2022"/>
    <s v="2022"/>
    <s v="06"/>
    <n v="10689"/>
    <n v="204"/>
    <m/>
    <m/>
    <s v="Above Average"/>
    <n v="492"/>
  </r>
  <r>
    <s v="Dotty Strutley"/>
    <s v="UK"/>
    <x v="20"/>
    <d v="2022-10-08T00:00:00"/>
    <s v="08/10/2022"/>
    <s v="2022"/>
    <s v="08"/>
    <n v="5768"/>
    <n v="235"/>
    <m/>
    <m/>
    <s v="Below Average"/>
    <n v="1500"/>
  </r>
  <r>
    <s v="Wilone O'Kielt"/>
    <s v="Australia"/>
    <x v="3"/>
    <d v="2022-04-01T00:00:00"/>
    <s v="01/04/2022"/>
    <s v="2022"/>
    <s v="01"/>
    <n v="2226"/>
    <n v="46"/>
    <m/>
    <m/>
    <s v="Below Average"/>
    <n v="2571"/>
  </r>
  <r>
    <s v="Andria Kimpton"/>
    <s v="Canada"/>
    <x v="21"/>
    <d v="2022-08-04T00:00:00"/>
    <s v="04/08/2022"/>
    <s v="2022"/>
    <s v="04"/>
    <n v="10262"/>
    <n v="15"/>
    <m/>
    <m/>
    <s v="Above Average"/>
    <n v="541"/>
  </r>
  <r>
    <s v="Barr Faughny"/>
    <s v="UK"/>
    <x v="11"/>
    <d v="2022-02-03T00:00:00"/>
    <s v="03/02/2022"/>
    <s v="2022"/>
    <s v="03"/>
    <n v="3864"/>
    <n v="430"/>
    <m/>
    <m/>
    <s v="Below Average"/>
    <n v="2020"/>
  </r>
  <r>
    <s v="Van Tuxwell"/>
    <s v="Canada"/>
    <x v="9"/>
    <s v="15/06/2022"/>
    <s v="15/06/2022"/>
    <s v="2022"/>
    <s v="15/06/2022"/>
    <n v="4900"/>
    <n v="709"/>
    <m/>
    <m/>
    <s v="Below Average"/>
    <n v="1732"/>
  </r>
  <r>
    <s v="Jehu Rudeforth"/>
    <s v="Australia"/>
    <x v="5"/>
    <s v="14/02/2022"/>
    <s v="14/02/2022"/>
    <s v="2022"/>
    <s v="14/02/2022"/>
    <n v="5250"/>
    <n v="47"/>
    <m/>
    <m/>
    <s v="Below Average"/>
    <n v="1632"/>
  </r>
  <r>
    <s v="Husein Augar"/>
    <s v="UK"/>
    <x v="5"/>
    <d v="2022-05-07T00:00:00"/>
    <s v="07/05/2022"/>
    <s v="2022"/>
    <s v="07"/>
    <n v="3507"/>
    <n v="380"/>
    <m/>
    <m/>
    <s v="Below Average"/>
    <n v="2135"/>
  </r>
  <r>
    <s v="Barr Faughny"/>
    <s v="India"/>
    <x v="0"/>
    <d v="2022-12-01T00:00:00"/>
    <s v="01/12/2022"/>
    <s v="2022"/>
    <s v="01"/>
    <n v="7413"/>
    <n v="465"/>
    <m/>
    <m/>
    <s v="Above Average"/>
    <n v="1086"/>
  </r>
  <r>
    <s v="Curtice Advani"/>
    <s v="India"/>
    <x v="0"/>
    <d v="2022-03-03T00:00:00"/>
    <s v="03/03/2022"/>
    <s v="2022"/>
    <s v="03"/>
    <n v="8155"/>
    <n v="96"/>
    <m/>
    <m/>
    <s v="Above Average"/>
    <n v="903"/>
  </r>
  <r>
    <s v="Jehu Rudeforth"/>
    <s v="New Zealand"/>
    <x v="11"/>
    <s v="18/05/2022"/>
    <s v="18/05/2022"/>
    <s v="2022"/>
    <s v="18/05/2022"/>
    <n v="2478"/>
    <n v="188"/>
    <m/>
    <m/>
    <s v="Below Average"/>
    <n v="2485"/>
  </r>
  <r>
    <s v="Gunar Cockshoot"/>
    <s v="India"/>
    <x v="20"/>
    <s v="28/07/2022"/>
    <s v="28/07/2022"/>
    <s v="2022"/>
    <s v="28/07/2022"/>
    <n v="2471"/>
    <n v="202"/>
    <m/>
    <m/>
    <s v="Below Average"/>
    <n v="2486"/>
  </r>
  <r>
    <s v="Curtice Advani"/>
    <s v="UK"/>
    <x v="15"/>
    <d v="2022-07-02T00:00:00"/>
    <s v="02/07/2022"/>
    <s v="2022"/>
    <s v="02"/>
    <n v="1666"/>
    <n v="106"/>
    <m/>
    <m/>
    <s v="Below Average"/>
    <n v="2745"/>
  </r>
  <r>
    <s v="Andria Kimpton"/>
    <s v="India"/>
    <x v="7"/>
    <s v="30/05/2022"/>
    <s v="30/05/2022"/>
    <s v="2022"/>
    <s v="30/05/2022"/>
    <n v="301"/>
    <n v="421"/>
    <m/>
    <m/>
    <s v="Below Average"/>
    <n v="3192"/>
  </r>
  <r>
    <s v="Mallorie Waber"/>
    <s v="Australia"/>
    <x v="17"/>
    <s v="25/04/2022"/>
    <s v="25/04/2022"/>
    <s v="2022"/>
    <s v="25/04/2022"/>
    <n v="8400"/>
    <n v="27"/>
    <m/>
    <m/>
    <s v="Above Average"/>
    <n v="853"/>
  </r>
  <r>
    <s v="Beverie Moffet"/>
    <s v="Canada"/>
    <x v="1"/>
    <s v="16/02/2022"/>
    <s v="16/02/2022"/>
    <s v="2022"/>
    <s v="16/02/2022"/>
    <n v="6139"/>
    <n v="45"/>
    <m/>
    <m/>
    <s v="Above Average"/>
    <n v="1396"/>
  </r>
  <r>
    <s v="Kelci Walkden"/>
    <s v="Australia"/>
    <x v="9"/>
    <d v="2022-04-05T00:00:00"/>
    <s v="05/04/2022"/>
    <s v="2022"/>
    <s v="05"/>
    <n v="1288"/>
    <n v="60"/>
    <m/>
    <m/>
    <s v="Below Average"/>
    <n v="2878"/>
  </r>
  <r>
    <s v="Van Tuxwell"/>
    <s v="Canada"/>
    <x v="21"/>
    <d v="2022-02-06T00:00:00"/>
    <s v="06/02/2022"/>
    <s v="2022"/>
    <s v="06"/>
    <n v="7077"/>
    <n v="77"/>
    <m/>
    <m/>
    <s v="Above Average"/>
    <n v="1163"/>
  </r>
  <r>
    <s v="Dennison Crosswaite"/>
    <s v="USA"/>
    <x v="20"/>
    <d v="2022-11-07T00:00:00"/>
    <s v="07/11/2022"/>
    <s v="2022"/>
    <s v="07"/>
    <n v="2317"/>
    <n v="464"/>
    <m/>
    <m/>
    <s v="Below Average"/>
    <n v="2542"/>
  </r>
  <r>
    <s v="Beverie Moffet"/>
    <s v="New Zealand"/>
    <x v="12"/>
    <d v="2022-07-06T00:00:00"/>
    <s v="06/07/2022"/>
    <s v="2022"/>
    <s v="06"/>
    <n v="63"/>
    <n v="60"/>
    <m/>
    <m/>
    <s v="Below Average"/>
    <n v="3265"/>
  </r>
  <r>
    <s v="Jan Morforth"/>
    <s v="UK"/>
    <x v="16"/>
    <d v="2022-06-07T00:00:00"/>
    <s v="07/06/2022"/>
    <s v="2022"/>
    <s v="07"/>
    <n v="9744"/>
    <n v="157"/>
    <m/>
    <m/>
    <s v="Above Average"/>
    <n v="624"/>
  </r>
  <r>
    <s v="Husein Augar"/>
    <s v="India"/>
    <x v="17"/>
    <s v="15/06/2022"/>
    <s v="15/06/2022"/>
    <s v="2022"/>
    <s v="15/06/2022"/>
    <n v="9954"/>
    <n v="154"/>
    <m/>
    <m/>
    <s v="Above Average"/>
    <n v="590"/>
  </r>
  <r>
    <s v="Dotty Strutley"/>
    <s v="India"/>
    <x v="0"/>
    <s v="14/04/2022"/>
    <s v="14/04/2022"/>
    <s v="2022"/>
    <s v="14/04/2022"/>
    <n v="1260"/>
    <n v="239"/>
    <m/>
    <m/>
    <s v="Below Average"/>
    <n v="2891"/>
  </r>
  <r>
    <s v="Camilla Castle"/>
    <s v="India"/>
    <x v="9"/>
    <d v="2022-08-08T00:00:00"/>
    <s v="08/08/2022"/>
    <s v="2022"/>
    <s v="08"/>
    <n v="469"/>
    <n v="163"/>
    <m/>
    <m/>
    <s v="Below Average"/>
    <n v="3144"/>
  </r>
  <r>
    <s v="Marney O'Breen"/>
    <s v="UK"/>
    <x v="9"/>
    <s v="29/03/2022"/>
    <s v="29/03/2022"/>
    <s v="2022"/>
    <s v="29/03/2022"/>
    <n v="973"/>
    <n v="28"/>
    <m/>
    <m/>
    <s v="Below Average"/>
    <n v="2981"/>
  </r>
  <r>
    <s v="Roddy Speechley"/>
    <s v="Australia"/>
    <x v="10"/>
    <d v="2022-04-07T00:00:00"/>
    <s v="07/04/2022"/>
    <s v="2022"/>
    <s v="07"/>
    <n v="3647"/>
    <n v="76"/>
    <m/>
    <m/>
    <s v="Below Average"/>
    <n v="2089"/>
  </r>
  <r>
    <s v="Ches Bonnell"/>
    <s v="India"/>
    <x v="4"/>
    <s v="16/02/2022"/>
    <s v="16/02/2022"/>
    <s v="2022"/>
    <s v="16/02/2022"/>
    <n v="455"/>
    <n v="96"/>
    <m/>
    <m/>
    <s v="Below Average"/>
    <n v="3149"/>
  </r>
  <r>
    <s v="Rafaelita Blaksland"/>
    <s v="Canada"/>
    <x v="12"/>
    <d v="2022-02-05T00:00:00"/>
    <s v="05/02/2022"/>
    <s v="2022"/>
    <s v="05"/>
    <n v="2520"/>
    <n v="156"/>
    <m/>
    <m/>
    <s v="Below Average"/>
    <n v="2462"/>
  </r>
  <r>
    <s v="Van Tuxwell"/>
    <s v="India"/>
    <x v="8"/>
    <s v="21/07/2022"/>
    <s v="21/07/2022"/>
    <s v="2022"/>
    <s v="21/07/2022"/>
    <n v="10500"/>
    <n v="106"/>
    <m/>
    <m/>
    <s v="Above Average"/>
    <n v="510"/>
  </r>
  <r>
    <s v="Gunar Cockshoot"/>
    <s v="Australia"/>
    <x v="4"/>
    <s v="18/08/2022"/>
    <s v="18/08/2022"/>
    <s v="2022"/>
    <s v="18/08/2022"/>
    <n v="7952"/>
    <n v="235"/>
    <m/>
    <m/>
    <s v="Above Average"/>
    <n v="949"/>
  </r>
  <r>
    <s v="Kaine Padly"/>
    <s v="USA"/>
    <x v="1"/>
    <s v="22/06/2022"/>
    <s v="22/06/2022"/>
    <s v="2022"/>
    <s v="22/06/2022"/>
    <n v="483"/>
    <n v="259"/>
    <m/>
    <m/>
    <s v="Below Average"/>
    <n v="3136"/>
  </r>
  <r>
    <s v="Camilla Castle"/>
    <s v="UK"/>
    <x v="2"/>
    <s v="19/07/2022"/>
    <s v="19/07/2022"/>
    <s v="2022"/>
    <s v="19/07/2022"/>
    <n v="4872"/>
    <n v="126"/>
    <m/>
    <m/>
    <s v="Below Average"/>
    <n v="1743"/>
  </r>
  <r>
    <s v="Madelene Upcott"/>
    <s v="UK"/>
    <x v="2"/>
    <d v="2022-12-08T00:00:00"/>
    <s v="08/12/2022"/>
    <s v="2022"/>
    <s v="08"/>
    <n v="7756"/>
    <n v="85"/>
    <m/>
    <m/>
    <s v="Above Average"/>
    <n v="997"/>
  </r>
  <r>
    <s v="Madelene Upcott"/>
    <s v="USA"/>
    <x v="18"/>
    <d v="2022-07-06T00:00:00"/>
    <s v="06/07/2022"/>
    <s v="2022"/>
    <s v="06"/>
    <n v="5446"/>
    <n v="132"/>
    <m/>
    <m/>
    <s v="Below Average"/>
    <n v="1581"/>
  </r>
  <r>
    <s v="Marney O'Breen"/>
    <s v="Canada"/>
    <x v="2"/>
    <d v="2022-08-03T00:00:00"/>
    <s v="03/08/2022"/>
    <s v="2022"/>
    <s v="03"/>
    <n v="6594"/>
    <n v="91"/>
    <m/>
    <m/>
    <s v="Above Average"/>
    <n v="1282"/>
  </r>
  <r>
    <s v="Ches Bonnell"/>
    <s v="Australia"/>
    <x v="18"/>
    <d v="2022-08-04T00:00:00"/>
    <s v="04/08/2022"/>
    <s v="2022"/>
    <s v="04"/>
    <n v="1470"/>
    <n v="167"/>
    <m/>
    <m/>
    <s v="Below Average"/>
    <n v="2811"/>
  </r>
  <r>
    <s v="Curtice Advani"/>
    <s v="Canada"/>
    <x v="8"/>
    <d v="2022-06-05T00:00:00"/>
    <s v="05/06/2022"/>
    <s v="2022"/>
    <s v="05"/>
    <n v="721"/>
    <n v="203"/>
    <m/>
    <m/>
    <s v="Below Average"/>
    <n v="3057"/>
  </r>
  <r>
    <s v="Roddy Speechley"/>
    <s v="India"/>
    <x v="9"/>
    <s v="31/05/2022"/>
    <s v="31/05/2022"/>
    <s v="2022"/>
    <s v="31/05/2022"/>
    <n v="4494"/>
    <n v="11"/>
    <m/>
    <m/>
    <s v="Below Average"/>
    <n v="1852"/>
  </r>
  <r>
    <s v="Van Tuxwell"/>
    <s v="Australia"/>
    <x v="0"/>
    <s v="13/01/2022"/>
    <s v="13/01/2022"/>
    <s v="2022"/>
    <s v="13/01/2022"/>
    <n v="2674"/>
    <n v="295"/>
    <m/>
    <m/>
    <s v="Below Average"/>
    <n v="2412"/>
  </r>
  <r>
    <s v="Dennison Crosswaite"/>
    <s v="USA"/>
    <x v="21"/>
    <s v="15/03/2022"/>
    <s v="15/03/2022"/>
    <s v="2022"/>
    <s v="15/03/2022"/>
    <n v="658"/>
    <n v="77"/>
    <m/>
    <m/>
    <s v="Below Average"/>
    <n v="3080"/>
  </r>
  <r>
    <s v="Andria Kimpton"/>
    <s v="Canada"/>
    <x v="2"/>
    <s v="16/02/2022"/>
    <s v="16/02/2022"/>
    <s v="2022"/>
    <s v="16/02/2022"/>
    <n v="1127"/>
    <n v="319"/>
    <m/>
    <m/>
    <s v="Below Average"/>
    <n v="2927"/>
  </r>
  <r>
    <s v="Gigi Bohling"/>
    <s v="USA"/>
    <x v="21"/>
    <s v="14/01/2022"/>
    <s v="14/01/2022"/>
    <s v="2022"/>
    <s v="14/01/2022"/>
    <n v="7364"/>
    <n v="196"/>
    <m/>
    <m/>
    <s v="Above Average"/>
    <n v="1094"/>
  </r>
  <r>
    <s v="Rafaelita Blaksland"/>
    <s v="Australia"/>
    <x v="14"/>
    <s v="21/03/2022"/>
    <s v="21/03/2022"/>
    <s v="2022"/>
    <s v="21/03/2022"/>
    <n v="6818"/>
    <n v="102"/>
    <m/>
    <m/>
    <s v="Above Average"/>
    <n v="1232"/>
  </r>
  <r>
    <s v="Roddy Speechley"/>
    <s v="Canada"/>
    <x v="9"/>
    <s v="17/05/2022"/>
    <s v="17/05/2022"/>
    <s v="2022"/>
    <s v="17/05/2022"/>
    <n v="6776"/>
    <n v="312"/>
    <m/>
    <m/>
    <s v="Above Average"/>
    <n v="1246"/>
  </r>
  <r>
    <s v="Camilla Castle"/>
    <s v="New Zealand"/>
    <x v="1"/>
    <d v="2022-08-08T00:00:00"/>
    <s v="08/08/2022"/>
    <s v="2022"/>
    <s v="08"/>
    <n v="15099"/>
    <n v="55"/>
    <m/>
    <m/>
    <s v="Above Average"/>
    <n v="142"/>
  </r>
  <r>
    <s v="Madelene Upcott"/>
    <s v="Canada"/>
    <x v="11"/>
    <s v="26/04/2022"/>
    <s v="26/04/2022"/>
    <s v="2022"/>
    <s v="26/04/2022"/>
    <n v="3612"/>
    <n v="82"/>
    <m/>
    <m/>
    <s v="Below Average"/>
    <n v="2102"/>
  </r>
  <r>
    <s v="Madelene Upcott"/>
    <s v="Australia"/>
    <x v="21"/>
    <s v="15/04/2022"/>
    <s v="15/04/2022"/>
    <s v="2022"/>
    <s v="15/04/2022"/>
    <n v="3710"/>
    <n v="260"/>
    <m/>
    <m/>
    <s v="Below Average"/>
    <n v="2070"/>
  </r>
  <r>
    <s v="Oby Sorrel"/>
    <s v="Canada"/>
    <x v="8"/>
    <s v="19/05/2022"/>
    <s v="19/05/2022"/>
    <s v="2022"/>
    <s v="19/05/2022"/>
    <n v="6111"/>
    <n v="591"/>
    <m/>
    <m/>
    <s v="Above Average"/>
    <n v="1399"/>
  </r>
  <r>
    <s v="Dennison Crosswaite"/>
    <s v="Canada"/>
    <x v="9"/>
    <d v="2022-10-01T00:00:00"/>
    <s v="01/10/2022"/>
    <s v="2022"/>
    <s v="01"/>
    <n v="2702"/>
    <n v="24"/>
    <m/>
    <m/>
    <s v="Below Average"/>
    <n v="2404"/>
  </r>
  <r>
    <s v="Mallorie Waber"/>
    <s v="New Zealand"/>
    <x v="5"/>
    <d v="2022-04-05T00:00:00"/>
    <s v="05/04/2022"/>
    <s v="2022"/>
    <s v="05"/>
    <n v="483"/>
    <n v="228"/>
    <m/>
    <m/>
    <s v="Below Average"/>
    <n v="3136"/>
  </r>
  <r>
    <s v="Roddy Speechley"/>
    <s v="Canada"/>
    <x v="14"/>
    <d v="2022-05-04T00:00:00"/>
    <s v="04/05/2022"/>
    <s v="2022"/>
    <s v="04"/>
    <n v="5887"/>
    <n v="268"/>
    <m/>
    <m/>
    <s v="Below Average"/>
    <n v="1463"/>
  </r>
  <r>
    <s v="Andria Kimpton"/>
    <s v="India"/>
    <x v="5"/>
    <s v="17/01/2022"/>
    <s v="17/01/2022"/>
    <s v="2022"/>
    <s v="17/01/2022"/>
    <n v="952"/>
    <n v="68"/>
    <m/>
    <m/>
    <s v="Below Average"/>
    <n v="2988"/>
  </r>
  <r>
    <s v="Roddy Speechley"/>
    <s v="India"/>
    <x v="12"/>
    <s v="22/03/2022"/>
    <s v="22/03/2022"/>
    <s v="2022"/>
    <s v="22/03/2022"/>
    <n v="10647"/>
    <n v="173"/>
    <m/>
    <m/>
    <s v="Above Average"/>
    <n v="495"/>
  </r>
  <r>
    <s v="Dotty Strutley"/>
    <s v="Australia"/>
    <x v="14"/>
    <d v="2022-05-07T00:00:00"/>
    <s v="07/05/2022"/>
    <s v="2022"/>
    <s v="07"/>
    <n v="6055"/>
    <n v="93"/>
    <m/>
    <m/>
    <s v="Above Average"/>
    <n v="1417"/>
  </r>
  <r>
    <s v="Oby Sorrel"/>
    <s v="Canada"/>
    <x v="7"/>
    <s v="27/04/2022"/>
    <s v="27/04/2022"/>
    <s v="2022"/>
    <s v="27/04/2022"/>
    <n v="8757"/>
    <n v="338"/>
    <m/>
    <m/>
    <s v="Above Average"/>
    <n v="787"/>
  </r>
  <r>
    <s v="Kaine Padly"/>
    <s v="Canada"/>
    <x v="16"/>
    <d v="2022-12-08T00:00:00"/>
    <s v="08/12/2022"/>
    <s v="2022"/>
    <s v="08"/>
    <n v="6055"/>
    <n v="73"/>
    <m/>
    <m/>
    <s v="Above Average"/>
    <n v="1417"/>
  </r>
  <r>
    <s v="Jan Morforth"/>
    <s v="UK"/>
    <x v="19"/>
    <d v="2022-11-03T00:00:00"/>
    <s v="03/11/2022"/>
    <s v="2022"/>
    <s v="03"/>
    <n v="721"/>
    <n v="251"/>
    <m/>
    <m/>
    <s v="Below Average"/>
    <n v="3057"/>
  </r>
  <r>
    <s v="Jehu Rudeforth"/>
    <s v="UK"/>
    <x v="13"/>
    <s v="13/05/2022"/>
    <s v="13/05/2022"/>
    <s v="2022"/>
    <s v="13/05/2022"/>
    <n v="8589"/>
    <n v="229"/>
    <m/>
    <m/>
    <s v="Above Average"/>
    <n v="814"/>
  </r>
  <r>
    <s v="Dennison Crosswaite"/>
    <s v="USA"/>
    <x v="3"/>
    <d v="2022-12-05T00:00:00"/>
    <s v="05/12/2022"/>
    <s v="2022"/>
    <s v="05"/>
    <n v="11781"/>
    <n v="91"/>
    <m/>
    <m/>
    <s v="Above Average"/>
    <n v="364"/>
  </r>
  <r>
    <s v="Brien Boise"/>
    <s v="USA"/>
    <x v="17"/>
    <d v="2022-12-01T00:00:00"/>
    <s v="01/12/2022"/>
    <s v="2022"/>
    <s v="01"/>
    <n v="672"/>
    <n v="194"/>
    <m/>
    <m/>
    <s v="Below Average"/>
    <n v="3077"/>
  </r>
  <r>
    <s v="Madelene Upcott"/>
    <s v="New Zealand"/>
    <x v="11"/>
    <s v="29/03/2022"/>
    <s v="29/03/2022"/>
    <s v="2022"/>
    <s v="29/03/2022"/>
    <n v="12558"/>
    <n v="403"/>
    <m/>
    <m/>
    <s v="Above Average"/>
    <n v="296"/>
  </r>
  <r>
    <s v="Roddy Speechley"/>
    <s v="India"/>
    <x v="6"/>
    <s v="14/03/2022"/>
    <s v="14/03/2022"/>
    <s v="2022"/>
    <s v="14/03/2022"/>
    <n v="8337"/>
    <n v="12"/>
    <m/>
    <m/>
    <s v="Above Average"/>
    <n v="865"/>
  </r>
  <r>
    <s v="Barr Faughny"/>
    <s v="New Zealand"/>
    <x v="4"/>
    <s v="24/05/2022"/>
    <s v="24/05/2022"/>
    <s v="2022"/>
    <s v="24/05/2022"/>
    <n v="8134"/>
    <n v="195"/>
    <m/>
    <m/>
    <s v="Above Average"/>
    <n v="907"/>
  </r>
  <r>
    <s v="Dennison Crosswaite"/>
    <s v="Canada"/>
    <x v="10"/>
    <s v="28/01/2022"/>
    <s v="28/01/2022"/>
    <s v="2022"/>
    <s v="28/01/2022"/>
    <n v="8491"/>
    <n v="75"/>
    <m/>
    <m/>
    <s v="Above Average"/>
    <n v="837"/>
  </r>
  <r>
    <s v="Beverie Moffet"/>
    <s v="India"/>
    <x v="16"/>
    <s v="24/05/2022"/>
    <s v="24/05/2022"/>
    <s v="2022"/>
    <s v="24/05/2022"/>
    <n v="3066"/>
    <n v="96"/>
    <m/>
    <m/>
    <s v="Below Average"/>
    <n v="2283"/>
  </r>
  <r>
    <s v="Brien Boise"/>
    <s v="Australia"/>
    <x v="2"/>
    <s v="19/08/2022"/>
    <s v="19/08/2022"/>
    <s v="2022"/>
    <s v="19/08/2022"/>
    <n v="301"/>
    <n v="205"/>
    <m/>
    <m/>
    <s v="Below Average"/>
    <n v="3192"/>
  </r>
  <r>
    <s v="Karlen McCaffrey"/>
    <s v="Australia"/>
    <x v="12"/>
    <s v="17/05/2022"/>
    <s v="17/05/2022"/>
    <s v="2022"/>
    <s v="17/05/2022"/>
    <n v="4410"/>
    <n v="323"/>
    <m/>
    <m/>
    <s v="Below Average"/>
    <n v="1871"/>
  </r>
  <r>
    <s v="Jehu Rudeforth"/>
    <s v="USA"/>
    <x v="14"/>
    <d v="2022-07-06T00:00:00"/>
    <s v="06/07/2022"/>
    <s v="2022"/>
    <s v="06"/>
    <n v="6559"/>
    <n v="119"/>
    <m/>
    <m/>
    <s v="Above Average"/>
    <n v="1292"/>
  </r>
  <r>
    <s v="Ches Bonnell"/>
    <s v="Canada"/>
    <x v="10"/>
    <s v="26/07/2022"/>
    <s v="26/07/2022"/>
    <s v="2022"/>
    <s v="26/07/2022"/>
    <n v="574"/>
    <n v="217"/>
    <m/>
    <m/>
    <s v="Below Average"/>
    <n v="3104"/>
  </r>
  <r>
    <s v="Dotty Strutley"/>
    <s v="India"/>
    <x v="8"/>
    <s v="28/07/2022"/>
    <s v="28/07/2022"/>
    <s v="2022"/>
    <s v="28/07/2022"/>
    <n v="2086"/>
    <n v="384"/>
    <m/>
    <m/>
    <s v="Below Average"/>
    <n v="2606"/>
  </r>
  <r>
    <s v="Karlen McCaffrey"/>
    <s v="India"/>
    <x v="21"/>
    <s v="23/05/2022"/>
    <s v="23/05/2022"/>
    <s v="2022"/>
    <s v="23/05/2022"/>
    <n v="5075"/>
    <n v="344"/>
    <m/>
    <m/>
    <s v="Below Average"/>
    <n v="1681"/>
  </r>
  <r>
    <s v="Jehu Rudeforth"/>
    <s v="UK"/>
    <x v="0"/>
    <d v="2023-04-01T00:00:00"/>
    <s v="01/04/2023"/>
    <s v="2023"/>
    <s v="01"/>
    <n v="5902.13"/>
    <n v="178"/>
    <m/>
    <m/>
    <s v="Below Average"/>
    <n v="1459"/>
  </r>
  <r>
    <s v="Van Tuxwell"/>
    <s v="India"/>
    <x v="1"/>
    <d v="2023-01-08T00:00:00"/>
    <s v="08/01/2023"/>
    <s v="2023"/>
    <s v="08"/>
    <n v="8074.39"/>
    <n v="100"/>
    <m/>
    <m/>
    <s v="Above Average"/>
    <n v="924"/>
  </r>
  <r>
    <s v="Gigi Bohling"/>
    <s v="India"/>
    <x v="2"/>
    <d v="2023-07-07T00:00:00"/>
    <s v="07/07/2023"/>
    <s v="2023"/>
    <s v="07"/>
    <n v="4666.18"/>
    <n v="100"/>
    <m/>
    <m/>
    <s v="Below Average"/>
    <n v="1809"/>
  </r>
  <r>
    <s v="Jan Morforth"/>
    <s v="Australia"/>
    <x v="2"/>
    <s v="27/04/2023"/>
    <s v="27/04/2023"/>
    <s v="2023"/>
    <s v="27/04/2023"/>
    <n v="14103.4"/>
    <n v="350"/>
    <m/>
    <m/>
    <s v="Above Average"/>
    <n v="203"/>
  </r>
  <r>
    <s v="Jehu Rudeforth"/>
    <s v="UK"/>
    <x v="2"/>
    <s v="24/02/2023"/>
    <s v="24/02/2023"/>
    <s v="2023"/>
    <s v="24/02/2023"/>
    <n v="14167.84"/>
    <n v="178"/>
    <m/>
    <m/>
    <s v="Above Average"/>
    <n v="199"/>
  </r>
  <r>
    <s v="Van Tuxwell"/>
    <s v="India"/>
    <x v="3"/>
    <d v="2023-06-06T00:00:00"/>
    <s v="06/06/2023"/>
    <s v="2023"/>
    <s v="06"/>
    <n v="5768.75"/>
    <n v="37"/>
    <m/>
    <m/>
    <s v="Below Average"/>
    <n v="1499"/>
  </r>
  <r>
    <s v="Oby Sorrel"/>
    <s v="UK"/>
    <x v="4"/>
    <s v="25/01/2023"/>
    <s v="25/01/2023"/>
    <s v="2023"/>
    <s v="25/01/2023"/>
    <n v="14673.2"/>
    <n v="175"/>
    <m/>
    <m/>
    <s v="Above Average"/>
    <n v="166"/>
  </r>
  <r>
    <s v="Gunar Cockshoot"/>
    <s v="Australia"/>
    <x v="5"/>
    <s v="24/03/2023"/>
    <s v="24/03/2023"/>
    <s v="2023"/>
    <s v="24/03/2023"/>
    <n v="3249.23"/>
    <n v="78"/>
    <m/>
    <m/>
    <s v="Below Average"/>
    <n v="2224"/>
  </r>
  <r>
    <s v="Jehu Rudeforth"/>
    <s v="New Zealand"/>
    <x v="6"/>
    <s v="20/04/2023"/>
    <s v="20/04/2023"/>
    <s v="2023"/>
    <s v="20/04/2023"/>
    <n v="4526.24"/>
    <n v="64"/>
    <m/>
    <m/>
    <s v="Below Average"/>
    <n v="1839"/>
  </r>
  <r>
    <s v="Brien Boise"/>
    <s v="Australia"/>
    <x v="4"/>
    <d v="2023-04-07T00:00:00"/>
    <s v="07/04/2023"/>
    <s v="2023"/>
    <s v="07"/>
    <n v="3166.56"/>
    <n v="98"/>
    <m/>
    <m/>
    <s v="Below Average"/>
    <n v="2249"/>
  </r>
  <r>
    <s v="Rafaelita Blaksland"/>
    <s v="UK"/>
    <x v="3"/>
    <s v="13/01/2023"/>
    <s v="13/01/2023"/>
    <s v="2023"/>
    <s v="13/01/2023"/>
    <n v="4866.3900000000003"/>
    <n v="65"/>
    <m/>
    <m/>
    <s v="Below Average"/>
    <n v="1745"/>
  </r>
  <r>
    <s v="Barr Faughny"/>
    <s v="USA"/>
    <x v="7"/>
    <d v="2023-10-03T00:00:00"/>
    <s v="03/10/2023"/>
    <s v="2023"/>
    <s v="03"/>
    <n v="4254.37"/>
    <n v="12"/>
    <m/>
    <m/>
    <s v="Below Average"/>
    <n v="1915"/>
  </r>
  <r>
    <s v="Mallorie Waber"/>
    <s v="Canada"/>
    <x v="8"/>
    <s v="13/01/2023"/>
    <s v="13/01/2023"/>
    <s v="2023"/>
    <s v="13/01/2023"/>
    <n v="1652.61"/>
    <n v="277"/>
    <m/>
    <m/>
    <s v="Below Average"/>
    <n v="2749"/>
  </r>
  <r>
    <s v="Karlen McCaffrey"/>
    <s v="New Zealand"/>
    <x v="9"/>
    <s v="28/07/2023"/>
    <s v="28/07/2023"/>
    <s v="2023"/>
    <s v="28/07/2023"/>
    <n v="171.49"/>
    <n v="163"/>
    <m/>
    <m/>
    <s v="Below Average"/>
    <n v="3223"/>
  </r>
  <r>
    <s v="Marney O'Breen"/>
    <s v="New Zealand"/>
    <x v="2"/>
    <d v="2023-03-08T00:00:00"/>
    <s v="08/03/2023"/>
    <s v="2023"/>
    <s v="08"/>
    <n v="8549.84"/>
    <n v="169"/>
    <m/>
    <m/>
    <s v="Above Average"/>
    <n v="823"/>
  </r>
  <r>
    <s v="Beverie Moffet"/>
    <s v="Australia"/>
    <x v="10"/>
    <s v="26/01/2023"/>
    <s v="26/01/2023"/>
    <s v="2023"/>
    <s v="26/01/2023"/>
    <n v="7807.74"/>
    <n v="355"/>
    <m/>
    <m/>
    <s v="Above Average"/>
    <n v="984"/>
  </r>
  <r>
    <s v="Van Tuxwell"/>
    <s v="Canada"/>
    <x v="10"/>
    <s v="14/02/2023"/>
    <s v="14/02/2023"/>
    <s v="2023"/>
    <s v="14/02/2023"/>
    <n v="4561.43"/>
    <n v="44"/>
    <m/>
    <m/>
    <s v="Below Average"/>
    <n v="1832"/>
  </r>
  <r>
    <s v="Roddy Speechley"/>
    <s v="USA"/>
    <x v="3"/>
    <d v="2023-05-04T00:00:00"/>
    <s v="04/05/2023"/>
    <s v="2023"/>
    <s v="04"/>
    <n v="3041.12"/>
    <n v="148"/>
    <m/>
    <m/>
    <s v="Below Average"/>
    <n v="2289"/>
  </r>
  <r>
    <s v="Beverie Moffet"/>
    <s v="Canada"/>
    <x v="11"/>
    <s v="16/02/2023"/>
    <s v="16/02/2023"/>
    <s v="2023"/>
    <s v="16/02/2023"/>
    <n v="9786.09"/>
    <n v="248"/>
    <m/>
    <m/>
    <s v="Above Average"/>
    <n v="615"/>
  </r>
  <r>
    <s v="Curtice Advani"/>
    <s v="UK"/>
    <x v="1"/>
    <d v="2023-08-06T00:00:00"/>
    <s v="06/08/2023"/>
    <s v="2023"/>
    <s v="06"/>
    <n v="1131.25"/>
    <n v="175"/>
    <m/>
    <m/>
    <s v="Below Average"/>
    <n v="2925"/>
  </r>
  <r>
    <s v="Brien Boise"/>
    <s v="Australia"/>
    <x v="8"/>
    <s v="27/06/2023"/>
    <s v="27/06/2023"/>
    <s v="2023"/>
    <s v="27/06/2023"/>
    <n v="7484.07"/>
    <n v="94"/>
    <m/>
    <m/>
    <s v="Above Average"/>
    <n v="1067"/>
  </r>
  <r>
    <s v="Gunar Cockshoot"/>
    <s v="USA"/>
    <x v="12"/>
    <s v="17/02/2023"/>
    <s v="17/02/2023"/>
    <s v="2023"/>
    <s v="17/02/2023"/>
    <n v="1339.61"/>
    <n v="166"/>
    <m/>
    <m/>
    <s v="Below Average"/>
    <n v="2863"/>
  </r>
  <r>
    <s v="Marney O'Breen"/>
    <s v="USA"/>
    <x v="5"/>
    <s v="30/05/2023"/>
    <s v="30/05/2023"/>
    <s v="2023"/>
    <s v="30/05/2023"/>
    <n v="5481.18"/>
    <n v="159"/>
    <m/>
    <m/>
    <s v="Below Average"/>
    <n v="1571"/>
  </r>
  <r>
    <s v="Husein Augar"/>
    <s v="UK"/>
    <x v="9"/>
    <s v="14/03/2023"/>
    <s v="14/03/2023"/>
    <s v="2023"/>
    <s v="14/03/2023"/>
    <n v="3275.4"/>
    <n v="120"/>
    <m/>
    <m/>
    <s v="Below Average"/>
    <n v="2218"/>
  </r>
  <r>
    <s v="Kaine Padly"/>
    <s v="Australia"/>
    <x v="8"/>
    <s v="28/02/2023"/>
    <s v="28/02/2023"/>
    <s v="2023"/>
    <s v="28/02/2023"/>
    <n v="7677.78"/>
    <n v="118"/>
    <m/>
    <m/>
    <s v="Above Average"/>
    <n v="1022"/>
  </r>
  <r>
    <s v="Karlen McCaffrey"/>
    <s v="India"/>
    <x v="13"/>
    <s v="26/01/2023"/>
    <s v="26/01/2023"/>
    <s v="2023"/>
    <s v="26/01/2023"/>
    <n v="189.37"/>
    <n v="315"/>
    <m/>
    <m/>
    <s v="Below Average"/>
    <n v="3218"/>
  </r>
  <r>
    <s v="Roddy Speechley"/>
    <s v="Canada"/>
    <x v="12"/>
    <d v="2023-09-02T00:00:00"/>
    <s v="02/09/2023"/>
    <s v="2023"/>
    <s v="02"/>
    <n v="1658.79"/>
    <n v="193"/>
    <m/>
    <m/>
    <s v="Below Average"/>
    <n v="2747"/>
  </r>
  <r>
    <s v="Husein Augar"/>
    <s v="USA"/>
    <x v="8"/>
    <d v="2023-07-07T00:00:00"/>
    <s v="07/07/2023"/>
    <s v="2023"/>
    <s v="07"/>
    <n v="4168.93"/>
    <n v="122"/>
    <m/>
    <m/>
    <s v="Below Average"/>
    <n v="1939"/>
  </r>
  <r>
    <s v="Dennison Crosswaite"/>
    <s v="New Zealand"/>
    <x v="14"/>
    <d v="2023-05-07T00:00:00"/>
    <s v="07/05/2023"/>
    <s v="2023"/>
    <s v="07"/>
    <n v="10604.89"/>
    <n v="165"/>
    <m/>
    <m/>
    <s v="Above Average"/>
    <n v="500"/>
  </r>
  <r>
    <s v="Dennison Crosswaite"/>
    <s v="New Zealand"/>
    <x v="15"/>
    <s v="15/06/2023"/>
    <s v="15/06/2023"/>
    <s v="2023"/>
    <s v="15/06/2023"/>
    <n v="5773.51"/>
    <n v="325"/>
    <m/>
    <m/>
    <s v="Below Average"/>
    <n v="1498"/>
  </r>
  <r>
    <s v="Van Tuxwell"/>
    <s v="New Zealand"/>
    <x v="1"/>
    <s v="24/05/2023"/>
    <s v="24/05/2023"/>
    <s v="2023"/>
    <s v="24/05/2023"/>
    <n v="1838.78"/>
    <n v="121"/>
    <m/>
    <m/>
    <s v="Below Average"/>
    <n v="2688"/>
  </r>
  <r>
    <s v="Rafaelita Blaksland"/>
    <s v="UK"/>
    <x v="4"/>
    <s v="29/06/2023"/>
    <s v="29/06/2023"/>
    <s v="2023"/>
    <s v="29/06/2023"/>
    <n v="12643.1"/>
    <n v="150"/>
    <m/>
    <m/>
    <s v="Above Average"/>
    <n v="286"/>
  </r>
  <r>
    <s v="Wilone O'Kielt"/>
    <s v="Australia"/>
    <x v="15"/>
    <d v="2023-11-05T00:00:00"/>
    <s v="05/11/2023"/>
    <s v="2023"/>
    <s v="05"/>
    <n v="4439.5200000000004"/>
    <n v="95"/>
    <m/>
    <m/>
    <s v="Below Average"/>
    <n v="1867"/>
  </r>
  <r>
    <s v="Karlen McCaffrey"/>
    <s v="UK"/>
    <x v="16"/>
    <s v="30/06/2023"/>
    <s v="30/06/2023"/>
    <s v="2023"/>
    <s v="30/06/2023"/>
    <n v="7698.6"/>
    <n v="126"/>
    <m/>
    <m/>
    <s v="Above Average"/>
    <n v="1016"/>
  </r>
  <r>
    <s v="Andria Kimpton"/>
    <s v="Canada"/>
    <x v="5"/>
    <d v="2023-11-05T00:00:00"/>
    <s v="05/11/2023"/>
    <s v="2023"/>
    <s v="05"/>
    <n v="2222.3000000000002"/>
    <n v="77"/>
    <m/>
    <m/>
    <s v="Below Average"/>
    <n v="2573"/>
  </r>
  <r>
    <s v="Roddy Speechley"/>
    <s v="USA"/>
    <x v="15"/>
    <s v="22/07/2023"/>
    <s v="22/07/2023"/>
    <s v="2023"/>
    <s v="22/07/2023"/>
    <n v="10959.02"/>
    <n v="302"/>
    <m/>
    <m/>
    <s v="Above Average"/>
    <n v="447"/>
  </r>
  <r>
    <s v="Andria Kimpton"/>
    <s v="UK"/>
    <x v="6"/>
    <s v="24/08/2023"/>
    <s v="24/08/2023"/>
    <s v="2023"/>
    <s v="24/08/2023"/>
    <n v="2854.85"/>
    <n v="337"/>
    <m/>
    <m/>
    <s v="Below Average"/>
    <n v="2353"/>
  </r>
  <r>
    <s v="Kelci Walkden"/>
    <s v="New Zealand"/>
    <x v="5"/>
    <d v="2023-07-07T00:00:00"/>
    <s v="07/07/2023"/>
    <s v="2023"/>
    <s v="07"/>
    <n v="147.82"/>
    <n v="74"/>
    <m/>
    <m/>
    <s v="Below Average"/>
    <n v="3231"/>
  </r>
  <r>
    <s v="Camilla Castle"/>
    <s v="Australia"/>
    <x v="1"/>
    <s v="19/05/2023"/>
    <s v="19/05/2023"/>
    <s v="2023"/>
    <s v="19/05/2023"/>
    <n v="3790.51"/>
    <n v="14"/>
    <m/>
    <m/>
    <s v="Below Average"/>
    <n v="2041"/>
  </r>
  <r>
    <s v="Karlen McCaffrey"/>
    <s v="India"/>
    <x v="15"/>
    <d v="2023-04-07T00:00:00"/>
    <s v="07/04/2023"/>
    <s v="2023"/>
    <s v="07"/>
    <n v="2487.19"/>
    <n v="583"/>
    <m/>
    <m/>
    <s v="Below Average"/>
    <n v="2481"/>
  </r>
  <r>
    <s v="Kelci Walkden"/>
    <s v="USA"/>
    <x v="5"/>
    <d v="2023-02-06T00:00:00"/>
    <s v="06/02/2023"/>
    <s v="2023"/>
    <s v="06"/>
    <n v="1021.27"/>
    <n v="17"/>
    <m/>
    <m/>
    <s v="Below Average"/>
    <n v="2966"/>
  </r>
  <r>
    <s v="Karlen McCaffrey"/>
    <s v="USA"/>
    <x v="17"/>
    <s v="15/04/2023"/>
    <s v="15/04/2023"/>
    <s v="2023"/>
    <s v="15/04/2023"/>
    <n v="15370.06"/>
    <n v="353"/>
    <m/>
    <m/>
    <s v="Above Average"/>
    <n v="133"/>
  </r>
  <r>
    <s v="Mallorie Waber"/>
    <s v="Canada"/>
    <x v="18"/>
    <d v="2023-11-07T00:00:00"/>
    <s v="07/11/2023"/>
    <s v="2023"/>
    <s v="07"/>
    <n v="5345.58"/>
    <n v="250"/>
    <m/>
    <m/>
    <s v="Below Average"/>
    <n v="1603"/>
  </r>
  <r>
    <s v="Andria Kimpton"/>
    <s v="India"/>
    <x v="12"/>
    <s v="23/02/2023"/>
    <s v="23/02/2023"/>
    <s v="2023"/>
    <s v="23/02/2023"/>
    <n v="6559.44"/>
    <n v="154"/>
    <m/>
    <m/>
    <s v="Above Average"/>
    <n v="1291"/>
  </r>
  <r>
    <s v="Madelene Upcott"/>
    <s v="Canada"/>
    <x v="16"/>
    <s v="22/08/2023"/>
    <s v="22/08/2023"/>
    <s v="2023"/>
    <s v="22/08/2023"/>
    <n v="8282.93"/>
    <n v="107"/>
    <m/>
    <m/>
    <s v="Above Average"/>
    <n v="874"/>
  </r>
  <r>
    <s v="Kaine Padly"/>
    <s v="USA"/>
    <x v="2"/>
    <s v="16/02/2023"/>
    <s v="16/02/2023"/>
    <s v="2023"/>
    <s v="16/02/2023"/>
    <n v="6981.4"/>
    <n v="189"/>
    <m/>
    <m/>
    <s v="Above Average"/>
    <n v="1188"/>
  </r>
  <r>
    <s v="Van Tuxwell"/>
    <s v="USA"/>
    <x v="6"/>
    <s v="13/01/2023"/>
    <s v="13/01/2023"/>
    <s v="2023"/>
    <s v="13/01/2023"/>
    <n v="10280.17"/>
    <n v="155"/>
    <m/>
    <m/>
    <s v="Above Average"/>
    <n v="538"/>
  </r>
  <r>
    <s v="Curtice Advani"/>
    <s v="Australia"/>
    <x v="11"/>
    <s v="14/02/2023"/>
    <s v="14/02/2023"/>
    <s v="2023"/>
    <s v="14/02/2023"/>
    <n v="7703.62"/>
    <n v="20"/>
    <m/>
    <m/>
    <s v="Above Average"/>
    <n v="1015"/>
  </r>
  <r>
    <s v="Roddy Speechley"/>
    <s v="India"/>
    <x v="8"/>
    <d v="2023-10-06T00:00:00"/>
    <s v="06/10/2023"/>
    <s v="2023"/>
    <s v="06"/>
    <n v="4489.8100000000004"/>
    <n v="310"/>
    <m/>
    <m/>
    <s v="Below Average"/>
    <n v="1854"/>
  </r>
  <r>
    <s v="Curtice Advani"/>
    <s v="India"/>
    <x v="13"/>
    <d v="2023-07-07T00:00:00"/>
    <s v="07/07/2023"/>
    <s v="2023"/>
    <s v="07"/>
    <n v="5806.11"/>
    <n v="190"/>
    <m/>
    <m/>
    <s v="Below Average"/>
    <n v="1484"/>
  </r>
  <r>
    <s v="Curtice Advani"/>
    <s v="Canada"/>
    <x v="16"/>
    <s v="24/03/2023"/>
    <s v="24/03/2023"/>
    <s v="2023"/>
    <s v="24/03/2023"/>
    <n v="5148.7"/>
    <n v="76"/>
    <m/>
    <m/>
    <s v="Below Average"/>
    <n v="1660"/>
  </r>
  <r>
    <s v="Brien Boise"/>
    <s v="Australia"/>
    <x v="13"/>
    <d v="2023-06-06T00:00:00"/>
    <s v="06/06/2023"/>
    <s v="2023"/>
    <s v="06"/>
    <n v="8558.59"/>
    <n v="24"/>
    <m/>
    <m/>
    <s v="Above Average"/>
    <n v="821"/>
  </r>
  <r>
    <s v="Dotty Strutley"/>
    <s v="Australia"/>
    <x v="9"/>
    <s v="19/07/2023"/>
    <s v="19/07/2023"/>
    <s v="2023"/>
    <s v="19/07/2023"/>
    <n v="94.19"/>
    <n v="145"/>
    <m/>
    <m/>
    <s v="Below Average"/>
    <n v="3246"/>
  </r>
  <r>
    <s v="Beverie Moffet"/>
    <s v="USA"/>
    <x v="17"/>
    <s v="19/04/2023"/>
    <s v="19/04/2023"/>
    <s v="2023"/>
    <s v="19/04/2023"/>
    <n v="16223.83"/>
    <n v="87"/>
    <m/>
    <m/>
    <s v="Above Average"/>
    <n v="96"/>
  </r>
  <r>
    <s v="Marney O'Breen"/>
    <s v="India"/>
    <x v="1"/>
    <s v="19/07/2023"/>
    <s v="19/07/2023"/>
    <s v="2023"/>
    <s v="19/07/2023"/>
    <n v="2439.06"/>
    <n v="175"/>
    <m/>
    <m/>
    <s v="Below Average"/>
    <n v="2503"/>
  </r>
  <r>
    <s v="Jehu Rudeforth"/>
    <s v="Canada"/>
    <x v="9"/>
    <s v="15/07/2023"/>
    <s v="15/07/2023"/>
    <s v="2023"/>
    <s v="15/07/2023"/>
    <n v="466.65"/>
    <n v="23"/>
    <m/>
    <m/>
    <s v="Below Average"/>
    <n v="3147"/>
  </r>
  <r>
    <s v="Ches Bonnell"/>
    <s v="New Zealand"/>
    <x v="12"/>
    <s v="14/02/2023"/>
    <s v="14/02/2023"/>
    <s v="2023"/>
    <s v="14/02/2023"/>
    <n v="4044.24"/>
    <n v="18"/>
    <m/>
    <m/>
    <s v="Below Average"/>
    <n v="1973"/>
  </r>
  <r>
    <s v="Brien Boise"/>
    <s v="Canada"/>
    <x v="4"/>
    <s v="18/05/2023"/>
    <s v="18/05/2023"/>
    <s v="2023"/>
    <s v="18/05/2023"/>
    <n v="17675.28"/>
    <n v="446"/>
    <m/>
    <m/>
    <s v="Above Average"/>
    <n v="48"/>
  </r>
  <r>
    <s v="Barr Faughny"/>
    <s v="Australia"/>
    <x v="13"/>
    <s v="30/06/2023"/>
    <s v="30/06/2023"/>
    <s v="2023"/>
    <s v="30/06/2023"/>
    <n v="17280.98"/>
    <n v="58"/>
    <m/>
    <m/>
    <s v="Above Average"/>
    <n v="60"/>
  </r>
  <r>
    <s v="Andria Kimpton"/>
    <s v="Australia"/>
    <x v="6"/>
    <d v="2023-02-06T00:00:00"/>
    <s v="06/02/2023"/>
    <s v="2023"/>
    <s v="06"/>
    <n v="5091.78"/>
    <n v="219"/>
    <m/>
    <m/>
    <s v="Below Average"/>
    <n v="1676"/>
  </r>
  <r>
    <s v="Andria Kimpton"/>
    <s v="Australia"/>
    <x v="9"/>
    <s v="28/06/2023"/>
    <s v="28/06/2023"/>
    <s v="2023"/>
    <s v="28/06/2023"/>
    <n v="1657.2"/>
    <n v="49"/>
    <m/>
    <m/>
    <s v="Below Average"/>
    <n v="2748"/>
  </r>
  <r>
    <s v="Marney O'Breen"/>
    <s v="Australia"/>
    <x v="10"/>
    <s v="16/05/2023"/>
    <s v="16/05/2023"/>
    <s v="2023"/>
    <s v="16/05/2023"/>
    <n v="305.79000000000002"/>
    <n v="189"/>
    <m/>
    <m/>
    <s v="Below Average"/>
    <n v="3188"/>
  </r>
  <r>
    <s v="Kelci Walkden"/>
    <s v="Canada"/>
    <x v="19"/>
    <s v="26/05/2023"/>
    <s v="26/05/2023"/>
    <s v="2023"/>
    <s v="26/05/2023"/>
    <n v="3377.41"/>
    <n v="325"/>
    <m/>
    <m/>
    <s v="Below Average"/>
    <n v="2186"/>
  </r>
  <r>
    <s v="Karlen McCaffrey"/>
    <s v="India"/>
    <x v="16"/>
    <d v="2023-06-07T00:00:00"/>
    <s v="07/06/2023"/>
    <s v="2023"/>
    <s v="07"/>
    <n v="6188.62"/>
    <n v="157"/>
    <m/>
    <m/>
    <s v="Above Average"/>
    <n v="1381"/>
  </r>
  <r>
    <s v="Oby Sorrel"/>
    <s v="India"/>
    <x v="4"/>
    <s v="27/05/2023"/>
    <s v="27/05/2023"/>
    <s v="2023"/>
    <s v="27/05/2023"/>
    <n v="10914.36"/>
    <n v="11"/>
    <m/>
    <m/>
    <s v="Above Average"/>
    <n v="454"/>
  </r>
  <r>
    <s v="Wilone O'Kielt"/>
    <s v="Australia"/>
    <x v="20"/>
    <s v="14/04/2023"/>
    <s v="14/04/2023"/>
    <s v="2023"/>
    <s v="14/04/2023"/>
    <n v="2342.0700000000002"/>
    <n v="12"/>
    <m/>
    <m/>
    <s v="Below Average"/>
    <n v="2534"/>
  </r>
  <r>
    <s v="Van Tuxwell"/>
    <s v="Australia"/>
    <x v="10"/>
    <d v="2023-10-08T00:00:00"/>
    <s v="08/10/2023"/>
    <s v="2023"/>
    <s v="08"/>
    <n v="21762.799999999999"/>
    <n v="15"/>
    <m/>
    <m/>
    <s v="Above Average"/>
    <n v="10"/>
  </r>
  <r>
    <s v="Camilla Castle"/>
    <s v="India"/>
    <x v="6"/>
    <d v="2023-04-07T00:00:00"/>
    <s v="07/04/2023"/>
    <s v="2023"/>
    <s v="07"/>
    <n v="10539.54"/>
    <n v="398"/>
    <m/>
    <m/>
    <s v="Above Average"/>
    <n v="507"/>
  </r>
  <r>
    <s v="Oby Sorrel"/>
    <s v="India"/>
    <x v="10"/>
    <d v="2023-08-07T00:00:00"/>
    <s v="07/08/2023"/>
    <s v="2023"/>
    <s v="07"/>
    <n v="6665.87"/>
    <n v="60"/>
    <m/>
    <m/>
    <s v="Above Average"/>
    <n v="1269"/>
  </r>
  <r>
    <s v="Jan Morforth"/>
    <s v="USA"/>
    <x v="2"/>
    <s v="22/07/2023"/>
    <s v="22/07/2023"/>
    <s v="2023"/>
    <s v="22/07/2023"/>
    <n v="9605.11"/>
    <n v="98"/>
    <m/>
    <m/>
    <s v="Above Average"/>
    <n v="642"/>
  </r>
  <r>
    <s v="Gigi Bohling"/>
    <s v="USA"/>
    <x v="18"/>
    <d v="2023-02-03T00:00:00"/>
    <s v="03/02/2023"/>
    <s v="2023"/>
    <s v="03"/>
    <n v="13018"/>
    <n v="103"/>
    <m/>
    <m/>
    <s v="Above Average"/>
    <n v="267"/>
  </r>
  <r>
    <s v="Gigi Bohling"/>
    <s v="UK"/>
    <x v="16"/>
    <d v="2023-10-01T00:00:00"/>
    <s v="01/10/2023"/>
    <s v="2023"/>
    <s v="01"/>
    <n v="6046.4"/>
    <n v="10"/>
    <m/>
    <m/>
    <s v="Above Average"/>
    <n v="1425"/>
  </r>
  <r>
    <s v="Jehu Rudeforth"/>
    <s v="New Zealand"/>
    <x v="14"/>
    <d v="2023-11-03T00:00:00"/>
    <s v="03/11/2023"/>
    <s v="2023"/>
    <s v="03"/>
    <n v="3078.33"/>
    <n v="231"/>
    <m/>
    <m/>
    <s v="Below Average"/>
    <n v="2278"/>
  </r>
  <r>
    <s v="Andria Kimpton"/>
    <s v="New Zealand"/>
    <x v="2"/>
    <s v="20/06/2023"/>
    <s v="20/06/2023"/>
    <s v="2023"/>
    <s v="20/06/2023"/>
    <n v="970.96"/>
    <n v="291"/>
    <m/>
    <m/>
    <s v="Below Average"/>
    <n v="2982"/>
  </r>
  <r>
    <s v="Van Tuxwell"/>
    <s v="UK"/>
    <x v="10"/>
    <s v="26/08/2023"/>
    <s v="26/08/2023"/>
    <s v="2023"/>
    <s v="26/08/2023"/>
    <n v="2064.71"/>
    <n v="208"/>
    <m/>
    <m/>
    <s v="Below Average"/>
    <n v="2612"/>
  </r>
  <r>
    <s v="Roddy Speechley"/>
    <s v="Canada"/>
    <x v="11"/>
    <s v="13/07/2023"/>
    <s v="13/07/2023"/>
    <s v="2023"/>
    <s v="13/07/2023"/>
    <n v="679.94"/>
    <n v="34"/>
    <m/>
    <m/>
    <s v="Below Average"/>
    <n v="3072"/>
  </r>
  <r>
    <s v="Camilla Castle"/>
    <s v="USA"/>
    <x v="12"/>
    <d v="2023-11-02T00:00:00"/>
    <s v="02/11/2023"/>
    <s v="2023"/>
    <s v="02"/>
    <n v="1311.25"/>
    <n v="251"/>
    <m/>
    <m/>
    <s v="Below Average"/>
    <n v="2869"/>
  </r>
  <r>
    <s v="Marney O'Breen"/>
    <s v="USA"/>
    <x v="7"/>
    <s v="27/01/2023"/>
    <s v="27/01/2023"/>
    <s v="2023"/>
    <s v="27/01/2023"/>
    <n v="8692.64"/>
    <n v="184"/>
    <m/>
    <m/>
    <s v="Above Average"/>
    <n v="799"/>
  </r>
  <r>
    <s v="Van Tuxwell"/>
    <s v="UK"/>
    <x v="4"/>
    <s v="31/01/2023"/>
    <s v="31/01/2023"/>
    <s v="2023"/>
    <s v="31/01/2023"/>
    <n v="4993.21"/>
    <n v="145"/>
    <m/>
    <m/>
    <s v="Below Average"/>
    <n v="1707"/>
  </r>
  <r>
    <s v="Camilla Castle"/>
    <s v="USA"/>
    <x v="14"/>
    <s v="18/08/2023"/>
    <s v="18/08/2023"/>
    <s v="2023"/>
    <s v="18/08/2023"/>
    <n v="10898.19"/>
    <n v="24"/>
    <m/>
    <m/>
    <s v="Above Average"/>
    <n v="457"/>
  </r>
  <r>
    <s v="Andria Kimpton"/>
    <s v="USA"/>
    <x v="17"/>
    <s v="30/06/2023"/>
    <s v="30/06/2023"/>
    <s v="2023"/>
    <s v="30/06/2023"/>
    <n v="15565.91"/>
    <n v="21"/>
    <m/>
    <m/>
    <s v="Above Average"/>
    <n v="121"/>
  </r>
  <r>
    <s v="Dotty Strutley"/>
    <s v="Australia"/>
    <x v="13"/>
    <s v="23/08/2023"/>
    <s v="23/08/2023"/>
    <s v="2023"/>
    <s v="23/08/2023"/>
    <n v="280.58999999999997"/>
    <n v="328"/>
    <m/>
    <m/>
    <s v="Below Average"/>
    <n v="3198"/>
  </r>
  <r>
    <s v="Brien Boise"/>
    <s v="New Zealand"/>
    <x v="0"/>
    <d v="2023-01-08T00:00:00"/>
    <s v="08/01/2023"/>
    <s v="2023"/>
    <s v="08"/>
    <n v="66.349999999999994"/>
    <n v="197"/>
    <m/>
    <m/>
    <s v="Below Average"/>
    <n v="3262"/>
  </r>
  <r>
    <s v="Roddy Speechley"/>
    <s v="New Zealand"/>
    <x v="5"/>
    <s v="25/05/2023"/>
    <s v="25/05/2023"/>
    <s v="2023"/>
    <s v="25/05/2023"/>
    <n v="8766.4500000000007"/>
    <n v="10"/>
    <m/>
    <m/>
    <s v="Above Average"/>
    <n v="785"/>
  </r>
  <r>
    <s v="Roddy Speechley"/>
    <s v="Canada"/>
    <x v="10"/>
    <d v="2023-10-01T00:00:00"/>
    <s v="01/10/2023"/>
    <s v="2023"/>
    <s v="01"/>
    <n v="4265.4799999999996"/>
    <n v="85"/>
    <m/>
    <m/>
    <s v="Below Average"/>
    <n v="1909"/>
  </r>
  <r>
    <s v="Dennison Crosswaite"/>
    <s v="Australia"/>
    <x v="21"/>
    <d v="2023-07-02T00:00:00"/>
    <s v="02/07/2023"/>
    <s v="2023"/>
    <s v="02"/>
    <n v="6087.53"/>
    <n v="113"/>
    <m/>
    <m/>
    <s v="Above Average"/>
    <n v="1407"/>
  </r>
  <r>
    <s v="Karlen McCaffrey"/>
    <s v="USA"/>
    <x v="7"/>
    <d v="2023-12-05T00:00:00"/>
    <s v="05/12/2023"/>
    <s v="2023"/>
    <s v="05"/>
    <n v="11694.48"/>
    <n v="425"/>
    <m/>
    <m/>
    <s v="Above Average"/>
    <n v="375"/>
  </r>
  <r>
    <s v="Madelene Upcott"/>
    <s v="Australia"/>
    <x v="12"/>
    <d v="2023-07-03T00:00:00"/>
    <s v="03/07/2023"/>
    <s v="2023"/>
    <s v="03"/>
    <n v="7616.38"/>
    <n v="392"/>
    <m/>
    <m/>
    <s v="Above Average"/>
    <n v="1040"/>
  </r>
  <r>
    <s v="Dennison Crosswaite"/>
    <s v="Australia"/>
    <x v="1"/>
    <d v="2023-05-04T00:00:00"/>
    <s v="04/05/2023"/>
    <s v="2023"/>
    <s v="04"/>
    <n v="7807.02"/>
    <n v="419"/>
    <m/>
    <m/>
    <s v="Above Average"/>
    <n v="985"/>
  </r>
  <r>
    <s v="Andria Kimpton"/>
    <s v="Canada"/>
    <x v="20"/>
    <d v="2023-03-01T00:00:00"/>
    <s v="01/03/2023"/>
    <s v="2023"/>
    <s v="01"/>
    <n v="7990.91"/>
    <n v="343"/>
    <m/>
    <m/>
    <s v="Above Average"/>
    <n v="939"/>
  </r>
  <r>
    <s v="Dennison Crosswaite"/>
    <s v="UK"/>
    <x v="8"/>
    <s v="24/03/2023"/>
    <s v="24/03/2023"/>
    <s v="2023"/>
    <s v="24/03/2023"/>
    <n v="6757.17"/>
    <n v="276"/>
    <m/>
    <m/>
    <s v="Above Average"/>
    <n v="1253"/>
  </r>
  <r>
    <s v="Madelene Upcott"/>
    <s v="India"/>
    <x v="17"/>
    <d v="2023-07-07T00:00:00"/>
    <s v="07/07/2023"/>
    <s v="2023"/>
    <s v="07"/>
    <n v="4409.21"/>
    <n v="10"/>
    <m/>
    <m/>
    <s v="Below Average"/>
    <n v="1872"/>
  </r>
  <r>
    <s v="Van Tuxwell"/>
    <s v="USA"/>
    <x v="5"/>
    <s v="26/07/2023"/>
    <s v="26/07/2023"/>
    <s v="2023"/>
    <s v="26/07/2023"/>
    <n v="722.25"/>
    <n v="255"/>
    <m/>
    <m/>
    <s v="Below Average"/>
    <n v="3056"/>
  </r>
  <r>
    <s v="Wilone O'Kielt"/>
    <s v="Australia"/>
    <x v="10"/>
    <d v="2023-07-07T00:00:00"/>
    <s v="07/07/2023"/>
    <s v="2023"/>
    <s v="07"/>
    <n v="1896.24"/>
    <n v="115"/>
    <m/>
    <m/>
    <s v="Below Average"/>
    <n v="2667"/>
  </r>
  <r>
    <s v="Karlen McCaffrey"/>
    <s v="Canada"/>
    <x v="6"/>
    <s v="15/07/2023"/>
    <s v="15/07/2023"/>
    <s v="2023"/>
    <s v="15/07/2023"/>
    <n v="2966.83"/>
    <n v="65"/>
    <m/>
    <m/>
    <s v="Below Average"/>
    <n v="2320"/>
  </r>
  <r>
    <s v="Roddy Speechley"/>
    <s v="New Zealand"/>
    <x v="7"/>
    <d v="2023-01-04T00:00:00"/>
    <s v="04/01/2023"/>
    <s v="2023"/>
    <s v="04"/>
    <n v="51.29"/>
    <n v="100"/>
    <m/>
    <m/>
    <s v="Below Average"/>
    <n v="3271"/>
  </r>
  <r>
    <s v="Beverie Moffet"/>
    <s v="Australia"/>
    <x v="8"/>
    <s v="20/06/2023"/>
    <s v="20/06/2023"/>
    <s v="2023"/>
    <s v="20/06/2023"/>
    <n v="1835.42"/>
    <n v="6"/>
    <m/>
    <m/>
    <s v="Below Average"/>
    <n v="2690"/>
  </r>
  <r>
    <s v="Kelci Walkden"/>
    <s v="UK"/>
    <x v="13"/>
    <s v="29/06/2023"/>
    <s v="29/06/2023"/>
    <s v="2023"/>
    <s v="29/06/2023"/>
    <n v="14592.11"/>
    <n v="509"/>
    <m/>
    <m/>
    <s v="Above Average"/>
    <n v="174"/>
  </r>
  <r>
    <s v="Marney O'Breen"/>
    <s v="USA"/>
    <x v="6"/>
    <s v="15/06/2023"/>
    <s v="15/06/2023"/>
    <s v="2023"/>
    <s v="15/06/2023"/>
    <n v="1114.1300000000001"/>
    <n v="106"/>
    <m/>
    <m/>
    <s v="Below Average"/>
    <n v="2936"/>
  </r>
  <r>
    <s v="Husein Augar"/>
    <s v="USA"/>
    <x v="5"/>
    <d v="2023-08-04T00:00:00"/>
    <s v="04/08/2023"/>
    <s v="2023"/>
    <s v="04"/>
    <n v="13051.75"/>
    <n v="193"/>
    <m/>
    <m/>
    <s v="Above Average"/>
    <n v="265"/>
  </r>
  <r>
    <s v="Dennison Crosswaite"/>
    <s v="Australia"/>
    <x v="17"/>
    <s v="14/03/2023"/>
    <s v="14/03/2023"/>
    <s v="2023"/>
    <s v="14/03/2023"/>
    <n v="5997.71"/>
    <n v="31"/>
    <m/>
    <m/>
    <s v="Below Average"/>
    <n v="1436"/>
  </r>
  <r>
    <s v="Andria Kimpton"/>
    <s v="USA"/>
    <x v="13"/>
    <s v="15/07/2023"/>
    <s v="15/07/2023"/>
    <s v="2023"/>
    <s v="15/07/2023"/>
    <n v="1588.28"/>
    <n v="352"/>
    <m/>
    <m/>
    <s v="Below Average"/>
    <n v="2776"/>
  </r>
  <r>
    <s v="Kelci Walkden"/>
    <s v="India"/>
    <x v="8"/>
    <s v="19/04/2023"/>
    <s v="19/04/2023"/>
    <s v="2023"/>
    <s v="19/04/2023"/>
    <n v="5344.21"/>
    <n v="80"/>
    <m/>
    <m/>
    <s v="Below Average"/>
    <n v="1604"/>
  </r>
  <r>
    <s v="Marney O'Breen"/>
    <s v="USA"/>
    <x v="4"/>
    <s v="28/03/2023"/>
    <s v="28/03/2023"/>
    <s v="2023"/>
    <s v="28/03/2023"/>
    <n v="4646.91"/>
    <n v="317"/>
    <m/>
    <m/>
    <s v="Below Average"/>
    <n v="1812"/>
  </r>
  <r>
    <s v="Brien Boise"/>
    <s v="Canada"/>
    <x v="12"/>
    <d v="2023-04-03T00:00:00"/>
    <s v="03/04/2023"/>
    <s v="2023"/>
    <s v="03"/>
    <n v="8929.8799999999992"/>
    <n v="100"/>
    <m/>
    <m/>
    <s v="Above Average"/>
    <n v="751"/>
  </r>
  <r>
    <s v="Karlen McCaffrey"/>
    <s v="New Zealand"/>
    <x v="21"/>
    <d v="2023-02-08T00:00:00"/>
    <s v="08/02/2023"/>
    <s v="2023"/>
    <s v="08"/>
    <n v="141.22999999999999"/>
    <n v="38"/>
    <m/>
    <m/>
    <s v="Below Average"/>
    <n v="3233"/>
  </r>
  <r>
    <s v="Husein Augar"/>
    <s v="UK"/>
    <x v="12"/>
    <s v="25/08/2023"/>
    <s v="25/08/2023"/>
    <s v="2023"/>
    <s v="25/08/2023"/>
    <n v="5068.99"/>
    <n v="45"/>
    <m/>
    <m/>
    <s v="Below Average"/>
    <n v="1685"/>
  </r>
  <r>
    <s v="Marney O'Breen"/>
    <s v="USA"/>
    <x v="16"/>
    <s v="25/02/2023"/>
    <s v="25/02/2023"/>
    <s v="2023"/>
    <s v="25/02/2023"/>
    <n v="8012.72"/>
    <n v="163"/>
    <m/>
    <m/>
    <s v="Above Average"/>
    <n v="934"/>
  </r>
  <r>
    <s v="Kelci Walkden"/>
    <s v="India"/>
    <x v="7"/>
    <d v="2023-07-06T00:00:00"/>
    <s v="06/07/2023"/>
    <s v="2023"/>
    <s v="06"/>
    <n v="10587.71"/>
    <n v="134"/>
    <m/>
    <m/>
    <s v="Above Average"/>
    <n v="502"/>
  </r>
  <r>
    <s v="Jan Morforth"/>
    <s v="India"/>
    <x v="12"/>
    <d v="2023-12-04T00:00:00"/>
    <s v="04/12/2023"/>
    <s v="2023"/>
    <s v="04"/>
    <n v="2155.62"/>
    <n v="495"/>
    <m/>
    <m/>
    <s v="Below Average"/>
    <n v="2591"/>
  </r>
  <r>
    <s v="Ches Bonnell"/>
    <s v="India"/>
    <x v="12"/>
    <d v="2023-06-07T00:00:00"/>
    <s v="07/06/2023"/>
    <s v="2023"/>
    <s v="07"/>
    <n v="11010.43"/>
    <n v="103"/>
    <m/>
    <m/>
    <s v="Above Average"/>
    <n v="437"/>
  </r>
  <r>
    <s v="Kelci Walkden"/>
    <s v="UK"/>
    <x v="3"/>
    <s v="19/01/2023"/>
    <s v="19/01/2023"/>
    <s v="2023"/>
    <s v="19/01/2023"/>
    <n v="6787.72"/>
    <n v="192"/>
    <m/>
    <m/>
    <s v="Above Average"/>
    <n v="1244"/>
  </r>
  <r>
    <s v="Madelene Upcott"/>
    <s v="Australia"/>
    <x v="13"/>
    <d v="2023-05-01T00:00:00"/>
    <s v="01/05/2023"/>
    <s v="2023"/>
    <s v="01"/>
    <n v="5715.07"/>
    <n v="90"/>
    <m/>
    <m/>
    <s v="Below Average"/>
    <n v="1512"/>
  </r>
  <r>
    <s v="Madelene Upcott"/>
    <s v="Canada"/>
    <x v="21"/>
    <s v="24/01/2023"/>
    <s v="24/01/2023"/>
    <s v="2023"/>
    <s v="24/01/2023"/>
    <n v="12100.65"/>
    <n v="142"/>
    <m/>
    <m/>
    <s v="Above Average"/>
    <n v="338"/>
  </r>
  <r>
    <s v="Wilone O'Kielt"/>
    <s v="Australia"/>
    <x v="9"/>
    <d v="2023-06-04T00:00:00"/>
    <s v="04/06/2023"/>
    <s v="2023"/>
    <s v="04"/>
    <n v="623.75"/>
    <n v="285"/>
    <m/>
    <m/>
    <s v="Below Average"/>
    <n v="3092"/>
  </r>
  <r>
    <s v="Gunar Cockshoot"/>
    <s v="Australia"/>
    <x v="13"/>
    <s v="15/06/2023"/>
    <s v="15/06/2023"/>
    <s v="2023"/>
    <s v="15/06/2023"/>
    <n v="6528.42"/>
    <n v="22"/>
    <m/>
    <m/>
    <s v="Above Average"/>
    <n v="1299"/>
  </r>
  <r>
    <s v="Gigi Bohling"/>
    <s v="Canada"/>
    <x v="19"/>
    <s v="28/01/2023"/>
    <s v="28/01/2023"/>
    <s v="2023"/>
    <s v="28/01/2023"/>
    <n v="1540.55"/>
    <n v="47"/>
    <m/>
    <m/>
    <s v="Below Average"/>
    <n v="2791"/>
  </r>
  <r>
    <s v="Kelci Walkden"/>
    <s v="India"/>
    <x v="20"/>
    <s v="16/03/2023"/>
    <s v="16/03/2023"/>
    <s v="2023"/>
    <s v="16/03/2023"/>
    <n v="487.06"/>
    <n v="123"/>
    <m/>
    <m/>
    <s v="Below Average"/>
    <n v="3134"/>
  </r>
  <r>
    <s v="Rafaelita Blaksland"/>
    <s v="Australia"/>
    <x v="9"/>
    <s v="21/02/2023"/>
    <s v="21/02/2023"/>
    <s v="2023"/>
    <s v="21/02/2023"/>
    <n v="11630.38"/>
    <n v="431"/>
    <m/>
    <m/>
    <s v="Above Average"/>
    <n v="383"/>
  </r>
  <r>
    <s v="Kelci Walkden"/>
    <s v="USA"/>
    <x v="15"/>
    <s v="16/02/2023"/>
    <s v="16/02/2023"/>
    <s v="2023"/>
    <s v="16/02/2023"/>
    <n v="17297.66"/>
    <n v="96"/>
    <m/>
    <m/>
    <s v="Above Average"/>
    <n v="59"/>
  </r>
  <r>
    <s v="Jehu Rudeforth"/>
    <s v="Canada"/>
    <x v="12"/>
    <s v="13/01/2023"/>
    <s v="13/01/2023"/>
    <s v="2023"/>
    <s v="13/01/2023"/>
    <n v="2043.55"/>
    <n v="28"/>
    <m/>
    <m/>
    <s v="Below Average"/>
    <n v="2623"/>
  </r>
  <r>
    <s v="Kelci Walkden"/>
    <s v="Australia"/>
    <x v="8"/>
    <s v="23/03/2023"/>
    <s v="23/03/2023"/>
    <s v="2023"/>
    <s v="23/03/2023"/>
    <n v="8168.86"/>
    <n v="570"/>
    <m/>
    <m/>
    <s v="Above Average"/>
    <n v="901"/>
  </r>
  <r>
    <s v="Curtice Advani"/>
    <s v="Canada"/>
    <x v="12"/>
    <s v="16/06/2023"/>
    <s v="16/06/2023"/>
    <s v="2023"/>
    <s v="16/06/2023"/>
    <n v="933.45"/>
    <n v="122"/>
    <m/>
    <m/>
    <s v="Below Average"/>
    <n v="2996"/>
  </r>
  <r>
    <s v="Oby Sorrel"/>
    <s v="India"/>
    <x v="17"/>
    <s v="14/04/2023"/>
    <s v="14/04/2023"/>
    <s v="2023"/>
    <s v="14/04/2023"/>
    <n v="6826.32"/>
    <n v="44"/>
    <m/>
    <m/>
    <s v="Above Average"/>
    <n v="1231"/>
  </r>
  <r>
    <s v="Kelci Walkden"/>
    <s v="UK"/>
    <x v="8"/>
    <s v="25/01/2023"/>
    <s v="25/01/2023"/>
    <s v="2023"/>
    <s v="25/01/2023"/>
    <n v="5029.3500000000004"/>
    <n v="61"/>
    <m/>
    <m/>
    <s v="Below Average"/>
    <n v="1698"/>
  </r>
  <r>
    <s v="Jan Morforth"/>
    <s v="India"/>
    <x v="16"/>
    <d v="2023-11-03T00:00:00"/>
    <s v="03/11/2023"/>
    <s v="2023"/>
    <s v="03"/>
    <n v="5143.49"/>
    <n v="21"/>
    <m/>
    <m/>
    <s v="Below Average"/>
    <n v="1662"/>
  </r>
  <r>
    <s v="Dotty Strutley"/>
    <s v="UK"/>
    <x v="16"/>
    <s v="28/07/2023"/>
    <s v="28/07/2023"/>
    <s v="2023"/>
    <s v="28/07/2023"/>
    <n v="16707.88"/>
    <n v="102"/>
    <m/>
    <m/>
    <s v="Above Average"/>
    <n v="77"/>
  </r>
  <r>
    <s v="Marney O'Breen"/>
    <s v="New Zealand"/>
    <x v="5"/>
    <d v="2023-09-03T00:00:00"/>
    <s v="03/09/2023"/>
    <s v="2023"/>
    <s v="03"/>
    <n v="1558.87"/>
    <n v="46"/>
    <m/>
    <m/>
    <s v="Below Average"/>
    <n v="2785"/>
  </r>
  <r>
    <s v="Husein Augar"/>
    <s v="Australia"/>
    <x v="7"/>
    <s v="28/06/2023"/>
    <s v="28/06/2023"/>
    <s v="2023"/>
    <s v="28/06/2023"/>
    <n v="9332.76"/>
    <n v="196"/>
    <m/>
    <m/>
    <s v="Above Average"/>
    <n v="682"/>
  </r>
  <r>
    <s v="Marney O'Breen"/>
    <s v="Australia"/>
    <x v="11"/>
    <s v="28/07/2023"/>
    <s v="28/07/2023"/>
    <s v="2023"/>
    <s v="28/07/2023"/>
    <n v="2673.47"/>
    <n v="375"/>
    <m/>
    <m/>
    <s v="Below Average"/>
    <n v="2413"/>
  </r>
  <r>
    <s v="Kelci Walkden"/>
    <s v="Canada"/>
    <x v="4"/>
    <s v="15/08/2023"/>
    <s v="15/08/2023"/>
    <s v="2023"/>
    <s v="15/08/2023"/>
    <n v="4950.21"/>
    <n v="54"/>
    <m/>
    <m/>
    <s v="Below Average"/>
    <n v="1716"/>
  </r>
  <r>
    <s v="Kaine Padly"/>
    <s v="Australia"/>
    <x v="15"/>
    <d v="2023-12-01T00:00:00"/>
    <s v="01/12/2023"/>
    <s v="2023"/>
    <s v="01"/>
    <n v="2919.11"/>
    <n v="271"/>
    <m/>
    <m/>
    <s v="Below Average"/>
    <n v="2339"/>
  </r>
  <r>
    <s v="Beverie Moffet"/>
    <s v="New Zealand"/>
    <x v="14"/>
    <s v="24/03/2023"/>
    <s v="24/03/2023"/>
    <s v="2023"/>
    <s v="24/03/2023"/>
    <n v="8003.23"/>
    <n v="7"/>
    <m/>
    <m/>
    <s v="Above Average"/>
    <n v="935"/>
  </r>
  <r>
    <s v="Van Tuxwell"/>
    <s v="UK"/>
    <x v="11"/>
    <s v="25/07/2023"/>
    <s v="25/07/2023"/>
    <s v="2023"/>
    <s v="25/07/2023"/>
    <n v="4902.78"/>
    <n v="91"/>
    <m/>
    <m/>
    <s v="Below Average"/>
    <n v="1730"/>
  </r>
  <r>
    <s v="Oby Sorrel"/>
    <s v="Canada"/>
    <x v="4"/>
    <d v="2023-01-08T00:00:00"/>
    <s v="08/01/2023"/>
    <s v="2023"/>
    <s v="08"/>
    <n v="4033.53"/>
    <n v="430"/>
    <m/>
    <m/>
    <s v="Below Average"/>
    <n v="1975"/>
  </r>
  <r>
    <s v="Van Tuxwell"/>
    <s v="India"/>
    <x v="10"/>
    <s v="16/05/2023"/>
    <s v="16/05/2023"/>
    <s v="2023"/>
    <s v="16/05/2023"/>
    <n v="22751.18"/>
    <n v="182"/>
    <m/>
    <m/>
    <s v="Above Average"/>
    <n v="4"/>
  </r>
  <r>
    <s v="Roddy Speechley"/>
    <s v="India"/>
    <x v="3"/>
    <d v="2023-10-08T00:00:00"/>
    <s v="08/10/2023"/>
    <s v="2023"/>
    <s v="08"/>
    <n v="5118.1099999999997"/>
    <n v="137"/>
    <m/>
    <m/>
    <s v="Below Average"/>
    <n v="1667"/>
  </r>
  <r>
    <s v="Jan Morforth"/>
    <s v="India"/>
    <x v="8"/>
    <d v="2023-05-01T00:00:00"/>
    <s v="01/05/2023"/>
    <s v="2023"/>
    <s v="01"/>
    <n v="2835.9"/>
    <n v="26"/>
    <m/>
    <m/>
    <s v="Below Average"/>
    <n v="2358"/>
  </r>
  <r>
    <s v="Ches Bonnell"/>
    <s v="UK"/>
    <x v="3"/>
    <d v="2023-11-07T00:00:00"/>
    <s v="07/11/2023"/>
    <s v="2023"/>
    <s v="07"/>
    <n v="5828.22"/>
    <n v="121"/>
    <m/>
    <m/>
    <s v="Below Average"/>
    <n v="1479"/>
  </r>
  <r>
    <s v="Wilone O'Kielt"/>
    <s v="USA"/>
    <x v="5"/>
    <s v="25/04/2023"/>
    <s v="25/04/2023"/>
    <s v="2023"/>
    <s v="25/04/2023"/>
    <n v="396.19"/>
    <n v="32"/>
    <m/>
    <m/>
    <s v="Below Average"/>
    <n v="3164"/>
  </r>
  <r>
    <s v="Gigi Bohling"/>
    <s v="New Zealand"/>
    <x v="13"/>
    <d v="2023-04-04T00:00:00"/>
    <s v="04/04/2023"/>
    <s v="2023"/>
    <s v="04"/>
    <n v="11226.5"/>
    <n v="118"/>
    <m/>
    <m/>
    <s v="Above Average"/>
    <n v="424"/>
  </r>
  <r>
    <s v="Barr Faughny"/>
    <s v="USA"/>
    <x v="17"/>
    <d v="2023-12-04T00:00:00"/>
    <s v="04/12/2023"/>
    <s v="2023"/>
    <s v="04"/>
    <n v="10102.86"/>
    <n v="107"/>
    <m/>
    <m/>
    <s v="Above Average"/>
    <n v="566"/>
  </r>
  <r>
    <s v="Wilone O'Kielt"/>
    <s v="New Zealand"/>
    <x v="1"/>
    <d v="2023-02-08T00:00:00"/>
    <s v="08/02/2023"/>
    <s v="2023"/>
    <s v="08"/>
    <n v="2084.86"/>
    <n v="119"/>
    <m/>
    <m/>
    <s v="Below Average"/>
    <n v="2608"/>
  </r>
  <r>
    <s v="Gigi Bohling"/>
    <s v="New Zealand"/>
    <x v="15"/>
    <s v="28/06/2023"/>
    <s v="28/06/2023"/>
    <s v="2023"/>
    <s v="28/06/2023"/>
    <n v="8495.7900000000009"/>
    <n v="268"/>
    <m/>
    <m/>
    <s v="Above Average"/>
    <n v="836"/>
  </r>
  <r>
    <s v="Ches Bonnell"/>
    <s v="Australia"/>
    <x v="8"/>
    <d v="2023-05-07T00:00:00"/>
    <s v="07/05/2023"/>
    <s v="2023"/>
    <s v="07"/>
    <n v="4248.34"/>
    <n v="130"/>
    <m/>
    <m/>
    <s v="Below Average"/>
    <n v="1917"/>
  </r>
  <r>
    <s v="Rafaelita Blaksland"/>
    <s v="New Zealand"/>
    <x v="18"/>
    <d v="2023-07-06T00:00:00"/>
    <s v="06/07/2023"/>
    <s v="2023"/>
    <s v="06"/>
    <n v="2236.11"/>
    <n v="46"/>
    <m/>
    <m/>
    <s v="Below Average"/>
    <n v="2570"/>
  </r>
  <r>
    <s v="Brien Boise"/>
    <s v="New Zealand"/>
    <x v="3"/>
    <s v="18/01/2023"/>
    <s v="18/01/2023"/>
    <s v="2023"/>
    <s v="18/01/2023"/>
    <n v="1124.27"/>
    <n v="26"/>
    <m/>
    <m/>
    <s v="Below Average"/>
    <n v="2930"/>
  </r>
  <r>
    <s v="Brien Boise"/>
    <s v="Australia"/>
    <x v="19"/>
    <d v="2023-04-01T00:00:00"/>
    <s v="01/04/2023"/>
    <s v="2023"/>
    <s v="01"/>
    <n v="12870.47"/>
    <n v="227"/>
    <m/>
    <m/>
    <s v="Above Average"/>
    <n v="275"/>
  </r>
  <r>
    <s v="Dennison Crosswaite"/>
    <s v="Australia"/>
    <x v="4"/>
    <s v="31/01/2023"/>
    <s v="31/01/2023"/>
    <s v="2023"/>
    <s v="31/01/2023"/>
    <n v="3017.66"/>
    <n v="19"/>
    <m/>
    <m/>
    <s v="Below Average"/>
    <n v="2298"/>
  </r>
  <r>
    <s v="Kelci Walkden"/>
    <s v="India"/>
    <x v="16"/>
    <s v="14/03/2023"/>
    <s v="14/03/2023"/>
    <s v="2023"/>
    <s v="14/03/2023"/>
    <n v="3574.12"/>
    <n v="149"/>
    <m/>
    <m/>
    <s v="Below Average"/>
    <n v="2116"/>
  </r>
  <r>
    <s v="Camilla Castle"/>
    <s v="Australia"/>
    <x v="21"/>
    <s v="29/04/2023"/>
    <s v="29/04/2023"/>
    <s v="2023"/>
    <s v="29/04/2023"/>
    <n v="6249.31"/>
    <n v="509"/>
    <m/>
    <m/>
    <s v="Above Average"/>
    <n v="1369"/>
  </r>
  <r>
    <s v="Oby Sorrel"/>
    <s v="India"/>
    <x v="3"/>
    <d v="2023-07-02T00:00:00"/>
    <s v="02/07/2023"/>
    <s v="2023"/>
    <s v="02"/>
    <n v="10759.61"/>
    <n v="107"/>
    <m/>
    <m/>
    <s v="Above Average"/>
    <n v="482"/>
  </r>
  <r>
    <s v="Kaine Padly"/>
    <s v="UK"/>
    <x v="10"/>
    <s v="31/03/2023"/>
    <s v="31/03/2023"/>
    <s v="2023"/>
    <s v="31/03/2023"/>
    <n v="2508.0300000000002"/>
    <n v="175"/>
    <m/>
    <m/>
    <s v="Below Average"/>
    <n v="2468"/>
  </r>
  <r>
    <s v="Marney O'Breen"/>
    <s v="India"/>
    <x v="20"/>
    <s v="16/03/2023"/>
    <s v="16/03/2023"/>
    <s v="2023"/>
    <s v="16/03/2023"/>
    <n v="4997.82"/>
    <n v="83"/>
    <m/>
    <m/>
    <s v="Below Average"/>
    <n v="1705"/>
  </r>
  <r>
    <s v="Karlen McCaffrey"/>
    <s v="UK"/>
    <x v="8"/>
    <s v="25/01/2023"/>
    <s v="25/01/2023"/>
    <s v="2023"/>
    <s v="25/01/2023"/>
    <n v="7901.09"/>
    <n v="200"/>
    <m/>
    <m/>
    <s v="Above Average"/>
    <n v="966"/>
  </r>
  <r>
    <s v="Van Tuxwell"/>
    <s v="India"/>
    <x v="19"/>
    <s v="20/06/2023"/>
    <s v="20/06/2023"/>
    <s v="2023"/>
    <s v="20/06/2023"/>
    <n v="3133.42"/>
    <n v="479"/>
    <m/>
    <m/>
    <s v="Below Average"/>
    <n v="2258"/>
  </r>
  <r>
    <s v="Gigi Bohling"/>
    <s v="UK"/>
    <x v="5"/>
    <s v="29/03/2023"/>
    <s v="29/03/2023"/>
    <s v="2023"/>
    <s v="29/03/2023"/>
    <n v="8320.2900000000009"/>
    <n v="171"/>
    <m/>
    <m/>
    <s v="Above Average"/>
    <n v="868"/>
  </r>
  <r>
    <s v="Curtice Advani"/>
    <s v="Australia"/>
    <x v="7"/>
    <d v="2023-12-07T00:00:00"/>
    <s v="07/12/2023"/>
    <s v="2023"/>
    <s v="07"/>
    <n v="909.93"/>
    <n v="132"/>
    <m/>
    <m/>
    <s v="Below Average"/>
    <n v="3001"/>
  </r>
  <r>
    <s v="Jehu Rudeforth"/>
    <s v="Canada"/>
    <x v="3"/>
    <d v="2023-11-07T00:00:00"/>
    <s v="07/11/2023"/>
    <s v="2023"/>
    <s v="07"/>
    <n v="5631.26"/>
    <n v="142"/>
    <m/>
    <m/>
    <s v="Below Average"/>
    <n v="1534"/>
  </r>
  <r>
    <s v="Karlen McCaffrey"/>
    <s v="Canada"/>
    <x v="3"/>
    <s v="19/01/2023"/>
    <s v="19/01/2023"/>
    <s v="2023"/>
    <s v="19/01/2023"/>
    <n v="3283.44"/>
    <n v="186"/>
    <m/>
    <m/>
    <s v="Below Average"/>
    <n v="2215"/>
  </r>
  <r>
    <s v="Andria Kimpton"/>
    <s v="USA"/>
    <x v="1"/>
    <d v="2023-05-04T00:00:00"/>
    <s v="04/05/2023"/>
    <s v="2023"/>
    <s v="04"/>
    <n v="9458.0300000000007"/>
    <n v="87"/>
    <m/>
    <m/>
    <s v="Above Average"/>
    <n v="663"/>
  </r>
  <r>
    <s v="Jehu Rudeforth"/>
    <s v="Canada"/>
    <x v="11"/>
    <s v="21/02/2023"/>
    <s v="21/02/2023"/>
    <s v="2023"/>
    <s v="21/02/2023"/>
    <n v="7726.25"/>
    <n v="12"/>
    <m/>
    <m/>
    <s v="Above Average"/>
    <n v="1005"/>
  </r>
  <r>
    <s v="Rafaelita Blaksland"/>
    <s v="New Zealand"/>
    <x v="20"/>
    <s v="20/05/2023"/>
    <s v="20/05/2023"/>
    <s v="2023"/>
    <s v="20/05/2023"/>
    <n v="14369.4"/>
    <n v="15"/>
    <m/>
    <m/>
    <s v="Above Average"/>
    <n v="185"/>
  </r>
  <r>
    <s v="Mallorie Waber"/>
    <s v="Australia"/>
    <x v="11"/>
    <s v="29/07/2023"/>
    <s v="29/07/2023"/>
    <s v="2023"/>
    <s v="29/07/2023"/>
    <n v="2829.57"/>
    <n v="106"/>
    <m/>
    <m/>
    <s v="Below Average"/>
    <n v="2361"/>
  </r>
  <r>
    <s v="Barr Faughny"/>
    <s v="USA"/>
    <x v="13"/>
    <s v="28/01/2023"/>
    <s v="28/01/2023"/>
    <s v="2023"/>
    <s v="28/01/2023"/>
    <n v="9370.61"/>
    <n v="45"/>
    <m/>
    <m/>
    <s v="Above Average"/>
    <n v="678"/>
  </r>
  <r>
    <s v="Marney O'Breen"/>
    <s v="UK"/>
    <x v="20"/>
    <s v="19/07/2023"/>
    <s v="19/07/2023"/>
    <s v="2023"/>
    <s v="19/07/2023"/>
    <n v="3651.49"/>
    <n v="112"/>
    <m/>
    <m/>
    <s v="Below Average"/>
    <n v="2088"/>
  </r>
  <r>
    <s v="Mallorie Waber"/>
    <s v="New Zealand"/>
    <x v="15"/>
    <s v="13/04/2023"/>
    <s v="13/04/2023"/>
    <s v="2023"/>
    <s v="13/04/2023"/>
    <n v="10229.99"/>
    <n v="12"/>
    <m/>
    <m/>
    <s v="Above Average"/>
    <n v="546"/>
  </r>
  <r>
    <s v="Roddy Speechley"/>
    <s v="India"/>
    <x v="2"/>
    <d v="2023-11-02T00:00:00"/>
    <s v="02/11/2023"/>
    <s v="2023"/>
    <s v="02"/>
    <n v="11596.89"/>
    <n v="22"/>
    <m/>
    <m/>
    <s v="Above Average"/>
    <n v="386"/>
  </r>
  <r>
    <s v="Roddy Speechley"/>
    <s v="New Zealand"/>
    <x v="11"/>
    <d v="2023-02-03T00:00:00"/>
    <s v="03/02/2023"/>
    <s v="2023"/>
    <s v="03"/>
    <n v="5857.9"/>
    <n v="111"/>
    <m/>
    <m/>
    <s v="Below Average"/>
    <n v="1471"/>
  </r>
  <r>
    <s v="Ches Bonnell"/>
    <s v="Australia"/>
    <x v="14"/>
    <d v="2023-02-03T00:00:00"/>
    <s v="03/02/2023"/>
    <s v="2023"/>
    <s v="03"/>
    <n v="1177.6400000000001"/>
    <n v="206"/>
    <m/>
    <m/>
    <s v="Below Average"/>
    <n v="2911"/>
  </r>
  <r>
    <s v="Van Tuxwell"/>
    <s v="USA"/>
    <x v="4"/>
    <s v="28/07/2023"/>
    <s v="28/07/2023"/>
    <s v="2023"/>
    <s v="28/07/2023"/>
    <n v="12930.11"/>
    <n v="6"/>
    <m/>
    <m/>
    <s v="Above Average"/>
    <n v="271"/>
  </r>
  <r>
    <s v="Kelci Walkden"/>
    <s v="India"/>
    <x v="5"/>
    <d v="2023-07-01T00:00:00"/>
    <s v="01/07/2023"/>
    <s v="2023"/>
    <s v="01"/>
    <n v="1732.04"/>
    <n v="531"/>
    <m/>
    <m/>
    <s v="Below Average"/>
    <n v="2724"/>
  </r>
  <r>
    <s v="Brien Boise"/>
    <s v="UK"/>
    <x v="14"/>
    <d v="2023-12-04T00:00:00"/>
    <s v="04/12/2023"/>
    <s v="2023"/>
    <s v="04"/>
    <n v="5837.17"/>
    <n v="173"/>
    <m/>
    <m/>
    <s v="Below Average"/>
    <n v="1476"/>
  </r>
  <r>
    <s v="Van Tuxwell"/>
    <s v="Canada"/>
    <x v="16"/>
    <s v="27/06/2023"/>
    <s v="27/06/2023"/>
    <s v="2023"/>
    <s v="27/06/2023"/>
    <n v="3424.66"/>
    <n v="70"/>
    <m/>
    <m/>
    <s v="Below Average"/>
    <n v="2166"/>
  </r>
  <r>
    <s v="Jehu Rudeforth"/>
    <s v="Australia"/>
    <x v="6"/>
    <s v="14/01/2023"/>
    <s v="14/01/2023"/>
    <s v="2023"/>
    <s v="14/01/2023"/>
    <n v="5700.28"/>
    <n v="422"/>
    <m/>
    <m/>
    <s v="Below Average"/>
    <n v="1516"/>
  </r>
  <r>
    <s v="Karlen McCaffrey"/>
    <s v="UK"/>
    <x v="19"/>
    <d v="2023-07-02T00:00:00"/>
    <s v="02/07/2023"/>
    <s v="2023"/>
    <s v="02"/>
    <n v="5094.4799999999996"/>
    <n v="373"/>
    <m/>
    <m/>
    <s v="Below Average"/>
    <n v="1674"/>
  </r>
  <r>
    <s v="Jehu Rudeforth"/>
    <s v="Australia"/>
    <x v="7"/>
    <s v="23/03/2023"/>
    <s v="23/03/2023"/>
    <s v="2023"/>
    <s v="23/03/2023"/>
    <n v="14529.2"/>
    <n v="26"/>
    <m/>
    <m/>
    <s v="Above Average"/>
    <n v="178"/>
  </r>
  <r>
    <s v="Marney O'Breen"/>
    <s v="India"/>
    <x v="2"/>
    <d v="2023-10-01T00:00:00"/>
    <s v="01/10/2023"/>
    <s v="2023"/>
    <s v="01"/>
    <n v="6761.28"/>
    <n v="145"/>
    <m/>
    <m/>
    <s v="Above Average"/>
    <n v="1252"/>
  </r>
  <r>
    <s v="Oby Sorrel"/>
    <s v="UK"/>
    <x v="18"/>
    <s v="17/03/2023"/>
    <s v="17/03/2023"/>
    <s v="2023"/>
    <s v="17/03/2023"/>
    <n v="10370.44"/>
    <n v="44"/>
    <m/>
    <m/>
    <s v="Above Average"/>
    <n v="524"/>
  </r>
  <r>
    <s v="Gigi Bohling"/>
    <s v="USA"/>
    <x v="12"/>
    <s v="21/01/2023"/>
    <s v="21/01/2023"/>
    <s v="2023"/>
    <s v="21/01/2023"/>
    <n v="12450.24"/>
    <n v="57"/>
    <m/>
    <m/>
    <s v="Above Average"/>
    <n v="305"/>
  </r>
  <r>
    <s v="Barr Faughny"/>
    <s v="Australia"/>
    <x v="14"/>
    <d v="2023-04-07T00:00:00"/>
    <s v="07/04/2023"/>
    <s v="2023"/>
    <s v="07"/>
    <n v="8927.6299999999992"/>
    <n v="386"/>
    <m/>
    <m/>
    <s v="Above Average"/>
    <n v="753"/>
  </r>
  <r>
    <s v="Kaine Padly"/>
    <s v="Canada"/>
    <x v="2"/>
    <d v="2023-04-07T00:00:00"/>
    <s v="07/04/2023"/>
    <s v="2023"/>
    <s v="07"/>
    <n v="3438.7"/>
    <n v="191"/>
    <m/>
    <m/>
    <s v="Below Average"/>
    <n v="2157"/>
  </r>
  <r>
    <s v="Dotty Strutley"/>
    <s v="USA"/>
    <x v="15"/>
    <d v="2023-10-08T00:00:00"/>
    <s v="08/10/2023"/>
    <s v="2023"/>
    <s v="08"/>
    <n v="299.70999999999998"/>
    <n v="207"/>
    <m/>
    <m/>
    <s v="Below Average"/>
    <n v="3195"/>
  </r>
  <r>
    <s v="Dennison Crosswaite"/>
    <s v="Australia"/>
    <x v="6"/>
    <d v="2023-01-04T00:00:00"/>
    <s v="04/01/2023"/>
    <s v="2023"/>
    <s v="04"/>
    <n v="7374.26"/>
    <n v="12"/>
    <m/>
    <m/>
    <s v="Above Average"/>
    <n v="1091"/>
  </r>
  <r>
    <s v="Gigi Bohling"/>
    <s v="India"/>
    <x v="17"/>
    <s v="22/02/2023"/>
    <s v="22/02/2023"/>
    <s v="2023"/>
    <s v="22/02/2023"/>
    <n v="2775.87"/>
    <n v="174"/>
    <m/>
    <m/>
    <s v="Below Average"/>
    <n v="2382"/>
  </r>
  <r>
    <s v="Camilla Castle"/>
    <s v="UK"/>
    <x v="14"/>
    <d v="2023-03-01T00:00:00"/>
    <s v="01/03/2023"/>
    <s v="2023"/>
    <s v="01"/>
    <n v="9957.66"/>
    <n v="194"/>
    <m/>
    <m/>
    <s v="Above Average"/>
    <n v="588"/>
  </r>
  <r>
    <s v="Karlen McCaffrey"/>
    <s v="India"/>
    <x v="9"/>
    <s v="31/05/2023"/>
    <s v="31/05/2023"/>
    <s v="2023"/>
    <s v="31/05/2023"/>
    <n v="5064.88"/>
    <n v="251"/>
    <m/>
    <m/>
    <s v="Below Average"/>
    <n v="1686"/>
  </r>
  <r>
    <s v="Dotty Strutley"/>
    <s v="UK"/>
    <x v="4"/>
    <d v="2023-03-01T00:00:00"/>
    <s v="01/03/2023"/>
    <s v="2023"/>
    <s v="01"/>
    <n v="9865.0499999999993"/>
    <n v="273"/>
    <m/>
    <m/>
    <s v="Above Average"/>
    <n v="603"/>
  </r>
  <r>
    <s v="Husein Augar"/>
    <s v="New Zealand"/>
    <x v="20"/>
    <s v="27/01/2023"/>
    <s v="27/01/2023"/>
    <s v="2023"/>
    <s v="27/01/2023"/>
    <n v="571.52"/>
    <n v="489"/>
    <m/>
    <m/>
    <s v="Below Average"/>
    <n v="3106"/>
  </r>
  <r>
    <s v="Barr Faughny"/>
    <s v="UK"/>
    <x v="6"/>
    <s v="28/01/2023"/>
    <s v="28/01/2023"/>
    <s v="2023"/>
    <s v="28/01/2023"/>
    <n v="656.44"/>
    <n v="67"/>
    <m/>
    <m/>
    <s v="Below Average"/>
    <n v="3082"/>
  </r>
  <r>
    <s v="Curtice Advani"/>
    <s v="Australia"/>
    <x v="10"/>
    <s v="28/06/2023"/>
    <s v="28/06/2023"/>
    <s v="2023"/>
    <s v="28/06/2023"/>
    <n v="4008.93"/>
    <n v="301"/>
    <m/>
    <m/>
    <s v="Below Average"/>
    <n v="1985"/>
  </r>
  <r>
    <s v="Husein Augar"/>
    <s v="UK"/>
    <x v="18"/>
    <d v="2023-02-03T00:00:00"/>
    <s v="03/02/2023"/>
    <s v="2023"/>
    <s v="03"/>
    <n v="4679.0600000000004"/>
    <n v="43"/>
    <m/>
    <m/>
    <s v="Below Average"/>
    <n v="1803"/>
  </r>
  <r>
    <s v="Wilone O'Kielt"/>
    <s v="Australia"/>
    <x v="5"/>
    <s v="27/05/2023"/>
    <s v="27/05/2023"/>
    <s v="2023"/>
    <s v="27/05/2023"/>
    <n v="3446.84"/>
    <n v="28"/>
    <m/>
    <m/>
    <s v="Below Average"/>
    <n v="2155"/>
  </r>
  <r>
    <s v="Dennison Crosswaite"/>
    <s v="USA"/>
    <x v="16"/>
    <s v="30/06/2023"/>
    <s v="30/06/2023"/>
    <s v="2023"/>
    <s v="30/06/2023"/>
    <n v="11884.52"/>
    <n v="82"/>
    <m/>
    <m/>
    <s v="Above Average"/>
    <n v="351"/>
  </r>
  <r>
    <s v="Barr Faughny"/>
    <s v="Canada"/>
    <x v="2"/>
    <d v="2023-07-06T00:00:00"/>
    <s v="06/07/2023"/>
    <s v="2023"/>
    <s v="06"/>
    <n v="2167.19"/>
    <n v="85"/>
    <m/>
    <m/>
    <s v="Below Average"/>
    <n v="2587"/>
  </r>
  <r>
    <s v="Kaine Padly"/>
    <s v="USA"/>
    <x v="21"/>
    <d v="2023-12-05T00:00:00"/>
    <s v="05/12/2023"/>
    <s v="2023"/>
    <s v="05"/>
    <n v="4199.84"/>
    <n v="107"/>
    <m/>
    <m/>
    <s v="Below Average"/>
    <n v="1927"/>
  </r>
  <r>
    <s v="Barr Faughny"/>
    <s v="New Zealand"/>
    <x v="17"/>
    <s v="29/07/2023"/>
    <s v="29/07/2023"/>
    <s v="2023"/>
    <s v="29/07/2023"/>
    <n v="7358.7"/>
    <n v="68"/>
    <m/>
    <m/>
    <s v="Above Average"/>
    <n v="1097"/>
  </r>
  <r>
    <s v="Dennison Crosswaite"/>
    <s v="UK"/>
    <x v="14"/>
    <d v="2023-03-08T00:00:00"/>
    <s v="08/03/2023"/>
    <s v="2023"/>
    <s v="08"/>
    <n v="7870.09"/>
    <n v="274"/>
    <m/>
    <m/>
    <s v="Above Average"/>
    <n v="979"/>
  </r>
  <r>
    <s v="Barr Faughny"/>
    <s v="India"/>
    <x v="19"/>
    <s v="18/08/2023"/>
    <s v="18/08/2023"/>
    <s v="2023"/>
    <s v="18/08/2023"/>
    <n v="7454.25"/>
    <n v="148"/>
    <m/>
    <m/>
    <s v="Above Average"/>
    <n v="1078"/>
  </r>
  <r>
    <s v="Van Tuxwell"/>
    <s v="New Zealand"/>
    <x v="3"/>
    <s v="14/06/2023"/>
    <s v="14/06/2023"/>
    <s v="2023"/>
    <s v="14/06/2023"/>
    <n v="3112.3"/>
    <n v="41"/>
    <m/>
    <m/>
    <s v="Below Average"/>
    <n v="2264"/>
  </r>
  <r>
    <s v="Beverie Moffet"/>
    <s v="UK"/>
    <x v="14"/>
    <s v="30/06/2023"/>
    <s v="30/06/2023"/>
    <s v="2023"/>
    <s v="30/06/2023"/>
    <n v="6901.22"/>
    <n v="80"/>
    <m/>
    <m/>
    <s v="Above Average"/>
    <n v="1204"/>
  </r>
  <r>
    <s v="Camilla Castle"/>
    <s v="New Zealand"/>
    <x v="0"/>
    <s v="13/06/2023"/>
    <s v="13/06/2023"/>
    <s v="2023"/>
    <s v="13/06/2023"/>
    <n v="1178"/>
    <n v="199"/>
    <m/>
    <m/>
    <s v="Below Average"/>
    <n v="2910"/>
  </r>
  <r>
    <s v="Ches Bonnell"/>
    <s v="UK"/>
    <x v="7"/>
    <s v="27/04/2023"/>
    <s v="27/04/2023"/>
    <s v="2023"/>
    <s v="27/04/2023"/>
    <n v="14953.83"/>
    <n v="53"/>
    <m/>
    <m/>
    <s v="Above Average"/>
    <n v="149"/>
  </r>
  <r>
    <s v="Jan Morforth"/>
    <s v="Australia"/>
    <x v="14"/>
    <s v="27/07/2023"/>
    <s v="27/07/2023"/>
    <s v="2023"/>
    <s v="27/07/2023"/>
    <n v="3958.57"/>
    <n v="33"/>
    <m/>
    <m/>
    <s v="Below Average"/>
    <n v="1997"/>
  </r>
  <r>
    <s v="Mallorie Waber"/>
    <s v="Canada"/>
    <x v="1"/>
    <s v="20/04/2023"/>
    <s v="20/04/2023"/>
    <s v="2023"/>
    <s v="20/04/2023"/>
    <n v="1639.01"/>
    <n v="430"/>
    <m/>
    <m/>
    <s v="Below Average"/>
    <n v="2757"/>
  </r>
  <r>
    <s v="Rafaelita Blaksland"/>
    <s v="India"/>
    <x v="12"/>
    <d v="2023-04-01T00:00:00"/>
    <s v="01/04/2023"/>
    <s v="2023"/>
    <s v="01"/>
    <n v="8586.0400000000009"/>
    <n v="144"/>
    <m/>
    <m/>
    <s v="Above Average"/>
    <n v="815"/>
  </r>
  <r>
    <s v="Ches Bonnell"/>
    <s v="Australia"/>
    <x v="0"/>
    <s v="21/02/2023"/>
    <s v="21/02/2023"/>
    <s v="2023"/>
    <s v="21/02/2023"/>
    <n v="10000.219999999999"/>
    <n v="98"/>
    <m/>
    <m/>
    <s v="Above Average"/>
    <n v="581"/>
  </r>
  <r>
    <s v="Karlen McCaffrey"/>
    <s v="Australia"/>
    <x v="14"/>
    <d v="2023-05-01T00:00:00"/>
    <s v="01/05/2023"/>
    <s v="2023"/>
    <s v="01"/>
    <n v="8448.39"/>
    <n v="52"/>
    <m/>
    <m/>
    <s v="Above Average"/>
    <n v="845"/>
  </r>
  <r>
    <s v="Beverie Moffet"/>
    <s v="India"/>
    <x v="9"/>
    <s v="15/07/2023"/>
    <s v="15/07/2023"/>
    <s v="2023"/>
    <s v="15/07/2023"/>
    <n v="6984.74"/>
    <n v="51"/>
    <m/>
    <m/>
    <s v="Above Average"/>
    <n v="1186"/>
  </r>
  <r>
    <s v="Brien Boise"/>
    <s v="Australia"/>
    <x v="18"/>
    <s v="25/05/2023"/>
    <s v="25/05/2023"/>
    <s v="2023"/>
    <s v="25/05/2023"/>
    <n v="5641.54"/>
    <n v="61"/>
    <m/>
    <m/>
    <s v="Below Average"/>
    <n v="1532"/>
  </r>
  <r>
    <s v="Karlen McCaffrey"/>
    <s v="Canada"/>
    <x v="8"/>
    <s v="20/04/2023"/>
    <s v="20/04/2023"/>
    <s v="2023"/>
    <s v="20/04/2023"/>
    <n v="3850.87"/>
    <n v="372"/>
    <m/>
    <m/>
    <s v="Below Average"/>
    <n v="2026"/>
  </r>
  <r>
    <s v="Gigi Bohling"/>
    <s v="USA"/>
    <x v="4"/>
    <d v="2023-02-06T00:00:00"/>
    <s v="06/02/2023"/>
    <s v="2023"/>
    <s v="06"/>
    <n v="885.68"/>
    <n v="240"/>
    <m/>
    <m/>
    <s v="Below Average"/>
    <n v="3007"/>
  </r>
  <r>
    <s v="Marney O'Breen"/>
    <s v="UK"/>
    <x v="3"/>
    <s v="13/05/2023"/>
    <s v="13/05/2023"/>
    <s v="2023"/>
    <s v="13/05/2023"/>
    <n v="21251.67"/>
    <n v="91"/>
    <m/>
    <m/>
    <s v="Above Average"/>
    <n v="12"/>
  </r>
  <r>
    <s v="Beverie Moffet"/>
    <s v="New Zealand"/>
    <x v="19"/>
    <d v="2023-03-08T00:00:00"/>
    <s v="08/03/2023"/>
    <s v="2023"/>
    <s v="08"/>
    <n v="1452.61"/>
    <n v="142"/>
    <m/>
    <m/>
    <s v="Below Average"/>
    <n v="2819"/>
  </r>
  <r>
    <s v="Beverie Moffet"/>
    <s v="Australia"/>
    <x v="11"/>
    <s v="25/05/2023"/>
    <s v="25/05/2023"/>
    <s v="2023"/>
    <s v="25/05/2023"/>
    <n v="793.17"/>
    <n v="400"/>
    <m/>
    <m/>
    <s v="Below Average"/>
    <n v="3028"/>
  </r>
  <r>
    <s v="Van Tuxwell"/>
    <s v="UK"/>
    <x v="17"/>
    <s v="16/03/2023"/>
    <s v="16/03/2023"/>
    <s v="2023"/>
    <s v="16/03/2023"/>
    <n v="7152.22"/>
    <n v="83"/>
    <m/>
    <m/>
    <s v="Above Average"/>
    <n v="1147"/>
  </r>
  <r>
    <s v="Jan Morforth"/>
    <s v="Australia"/>
    <x v="7"/>
    <d v="2023-04-07T00:00:00"/>
    <s v="07/04/2023"/>
    <s v="2023"/>
    <s v="07"/>
    <n v="3364.44"/>
    <n v="126"/>
    <m/>
    <m/>
    <s v="Below Average"/>
    <n v="2192"/>
  </r>
  <r>
    <s v="Jehu Rudeforth"/>
    <s v="India"/>
    <x v="6"/>
    <d v="2023-05-07T00:00:00"/>
    <s v="07/05/2023"/>
    <s v="2023"/>
    <s v="07"/>
    <n v="3470.6"/>
    <n v="129"/>
    <m/>
    <m/>
    <s v="Below Average"/>
    <n v="2150"/>
  </r>
  <r>
    <s v="Madelene Upcott"/>
    <s v="USA"/>
    <x v="5"/>
    <s v="15/03/2023"/>
    <s v="15/03/2023"/>
    <s v="2023"/>
    <s v="15/03/2023"/>
    <n v="4676.32"/>
    <n v="440"/>
    <m/>
    <m/>
    <s v="Below Average"/>
    <n v="1804"/>
  </r>
  <r>
    <s v="Barr Faughny"/>
    <s v="UK"/>
    <x v="17"/>
    <s v="22/08/2023"/>
    <s v="22/08/2023"/>
    <s v="2023"/>
    <s v="22/08/2023"/>
    <n v="6323.45"/>
    <n v="70"/>
    <m/>
    <m/>
    <s v="Above Average"/>
    <n v="1348"/>
  </r>
  <r>
    <s v="Ches Bonnell"/>
    <s v="Australia"/>
    <x v="21"/>
    <d v="2023-12-01T00:00:00"/>
    <s v="01/12/2023"/>
    <s v="2023"/>
    <s v="01"/>
    <n v="3252.7"/>
    <n v="119"/>
    <m/>
    <m/>
    <s v="Below Average"/>
    <n v="2222"/>
  </r>
  <r>
    <s v="Marney O'Breen"/>
    <s v="UK"/>
    <x v="19"/>
    <d v="2023-10-06T00:00:00"/>
    <s v="06/10/2023"/>
    <s v="2023"/>
    <s v="06"/>
    <n v="254.16"/>
    <n v="161"/>
    <m/>
    <m/>
    <s v="Below Average"/>
    <n v="3206"/>
  </r>
  <r>
    <s v="Kaine Padly"/>
    <s v="Australia"/>
    <x v="2"/>
    <s v="25/03/2023"/>
    <s v="25/03/2023"/>
    <s v="2023"/>
    <s v="25/03/2023"/>
    <n v="6127.37"/>
    <n v="299"/>
    <m/>
    <m/>
    <s v="Above Average"/>
    <n v="1398"/>
  </r>
  <r>
    <s v="Rafaelita Blaksland"/>
    <s v="India"/>
    <x v="16"/>
    <s v="27/07/2023"/>
    <s v="27/07/2023"/>
    <s v="2023"/>
    <s v="27/07/2023"/>
    <n v="3791.66"/>
    <n v="100"/>
    <m/>
    <m/>
    <s v="Below Average"/>
    <n v="2040"/>
  </r>
  <r>
    <s v="Husein Augar"/>
    <s v="UK"/>
    <x v="20"/>
    <s v="15/04/2023"/>
    <s v="15/04/2023"/>
    <s v="2023"/>
    <s v="15/04/2023"/>
    <n v="17059.689999999999"/>
    <n v="456"/>
    <m/>
    <m/>
    <s v="Above Average"/>
    <n v="67"/>
  </r>
  <r>
    <s v="Roddy Speechley"/>
    <s v="India"/>
    <x v="7"/>
    <s v="27/06/2023"/>
    <s v="27/06/2023"/>
    <s v="2023"/>
    <s v="27/06/2023"/>
    <n v="4154.4399999999996"/>
    <n v="18"/>
    <m/>
    <m/>
    <s v="Below Average"/>
    <n v="1943"/>
  </r>
  <r>
    <s v="Jehu Rudeforth"/>
    <s v="UK"/>
    <x v="21"/>
    <s v="14/04/2023"/>
    <s v="14/04/2023"/>
    <s v="2023"/>
    <s v="14/04/2023"/>
    <n v="6168.51"/>
    <n v="280"/>
    <m/>
    <m/>
    <s v="Above Average"/>
    <n v="1389"/>
  </r>
  <r>
    <s v="Husein Augar"/>
    <s v="Australia"/>
    <x v="15"/>
    <s v="15/03/2023"/>
    <s v="15/03/2023"/>
    <s v="2023"/>
    <s v="15/03/2023"/>
    <n v="7984.45"/>
    <n v="95"/>
    <m/>
    <m/>
    <s v="Above Average"/>
    <n v="940"/>
  </r>
  <r>
    <s v="Madelene Upcott"/>
    <s v="USA"/>
    <x v="8"/>
    <s v="18/03/2023"/>
    <s v="18/03/2023"/>
    <s v="2023"/>
    <s v="18/03/2023"/>
    <n v="9108.33"/>
    <n v="213"/>
    <m/>
    <m/>
    <s v="Above Average"/>
    <n v="718"/>
  </r>
  <r>
    <s v="Brien Boise"/>
    <s v="India"/>
    <x v="8"/>
    <s v="29/04/2023"/>
    <s v="29/04/2023"/>
    <s v="2023"/>
    <s v="29/04/2023"/>
    <n v="1511.51"/>
    <n v="58"/>
    <m/>
    <m/>
    <s v="Below Average"/>
    <n v="2805"/>
  </r>
  <r>
    <s v="Mallorie Waber"/>
    <s v="New Zealand"/>
    <x v="14"/>
    <s v="25/02/2023"/>
    <s v="25/02/2023"/>
    <s v="2023"/>
    <s v="25/02/2023"/>
    <n v="3364.28"/>
    <n v="265"/>
    <m/>
    <m/>
    <s v="Below Average"/>
    <n v="2193"/>
  </r>
  <r>
    <s v="Husein Augar"/>
    <s v="USA"/>
    <x v="11"/>
    <d v="2023-02-03T00:00:00"/>
    <s v="03/02/2023"/>
    <s v="2023"/>
    <s v="03"/>
    <n v="934.49"/>
    <n v="54"/>
    <m/>
    <m/>
    <s v="Below Average"/>
    <n v="2995"/>
  </r>
  <r>
    <s v="Van Tuxwell"/>
    <s v="Australia"/>
    <x v="11"/>
    <s v="20/06/2023"/>
    <s v="20/06/2023"/>
    <s v="2023"/>
    <s v="20/06/2023"/>
    <n v="8895.7000000000007"/>
    <n v="91"/>
    <m/>
    <m/>
    <s v="Above Average"/>
    <n v="761"/>
  </r>
  <r>
    <s v="Beverie Moffet"/>
    <s v="Canada"/>
    <x v="14"/>
    <s v="15/07/2023"/>
    <s v="15/07/2023"/>
    <s v="2023"/>
    <s v="15/07/2023"/>
    <n v="9957.2000000000007"/>
    <n v="185"/>
    <m/>
    <m/>
    <s v="Above Average"/>
    <n v="589"/>
  </r>
  <r>
    <s v="Dotty Strutley"/>
    <s v="Australia"/>
    <x v="6"/>
    <d v="2023-12-05T00:00:00"/>
    <s v="05/12/2023"/>
    <s v="2023"/>
    <s v="05"/>
    <n v="3359.18"/>
    <n v="256"/>
    <m/>
    <m/>
    <s v="Below Average"/>
    <n v="2195"/>
  </r>
  <r>
    <s v="Mallorie Waber"/>
    <s v="New Zealand"/>
    <x v="10"/>
    <d v="2023-01-07T00:00:00"/>
    <s v="07/01/2023"/>
    <s v="2023"/>
    <s v="07"/>
    <n v="5098.29"/>
    <n v="276"/>
    <m/>
    <m/>
    <s v="Below Average"/>
    <n v="1671"/>
  </r>
  <r>
    <s v="Husein Augar"/>
    <s v="USA"/>
    <x v="1"/>
    <d v="2023-08-08T00:00:00"/>
    <s v="08/08/2023"/>
    <s v="2023"/>
    <s v="08"/>
    <n v="398.28"/>
    <n v="52"/>
    <m/>
    <m/>
    <s v="Below Average"/>
    <n v="3163"/>
  </r>
  <r>
    <s v="Madelene Upcott"/>
    <s v="Australia"/>
    <x v="6"/>
    <s v="25/07/2023"/>
    <s v="25/07/2023"/>
    <s v="2023"/>
    <s v="25/07/2023"/>
    <n v="7473.14"/>
    <n v="6"/>
    <m/>
    <m/>
    <s v="Above Average"/>
    <n v="1072"/>
  </r>
  <r>
    <s v="Wilone O'Kielt"/>
    <s v="UK"/>
    <x v="9"/>
    <s v="18/05/2023"/>
    <s v="18/05/2023"/>
    <s v="2023"/>
    <s v="18/05/2023"/>
    <n v="3638.66"/>
    <n v="59"/>
    <m/>
    <m/>
    <s v="Below Average"/>
    <n v="2093"/>
  </r>
  <r>
    <s v="Camilla Castle"/>
    <s v="India"/>
    <x v="2"/>
    <s v="15/07/2023"/>
    <s v="15/07/2023"/>
    <s v="2023"/>
    <s v="15/07/2023"/>
    <n v="12507.08"/>
    <n v="284"/>
    <m/>
    <m/>
    <s v="Above Average"/>
    <n v="301"/>
  </r>
  <r>
    <s v="Curtice Advani"/>
    <s v="India"/>
    <x v="21"/>
    <d v="2023-05-07T00:00:00"/>
    <s v="07/05/2023"/>
    <s v="2023"/>
    <s v="07"/>
    <n v="2393.79"/>
    <n v="48"/>
    <m/>
    <m/>
    <s v="Below Average"/>
    <n v="2517"/>
  </r>
  <r>
    <s v="Mallorie Waber"/>
    <s v="USA"/>
    <x v="15"/>
    <d v="2023-04-07T00:00:00"/>
    <s v="07/04/2023"/>
    <s v="2023"/>
    <s v="07"/>
    <n v="6136.99"/>
    <n v="94"/>
    <m/>
    <m/>
    <s v="Above Average"/>
    <n v="1397"/>
  </r>
  <r>
    <s v="Dotty Strutley"/>
    <s v="UK"/>
    <x v="21"/>
    <s v="20/06/2023"/>
    <s v="20/06/2023"/>
    <s v="2023"/>
    <s v="20/06/2023"/>
    <n v="1264.43"/>
    <n v="232"/>
    <m/>
    <m/>
    <s v="Below Average"/>
    <n v="2888"/>
  </r>
  <r>
    <s v="Gunar Cockshoot"/>
    <s v="Australia"/>
    <x v="16"/>
    <s v="25/01/2023"/>
    <s v="25/01/2023"/>
    <s v="2023"/>
    <s v="25/01/2023"/>
    <n v="4101.26"/>
    <n v="425"/>
    <m/>
    <m/>
    <s v="Below Average"/>
    <n v="1958"/>
  </r>
  <r>
    <s v="Kaine Padly"/>
    <s v="New Zealand"/>
    <x v="12"/>
    <d v="2023-01-07T00:00:00"/>
    <s v="07/01/2023"/>
    <s v="2023"/>
    <s v="07"/>
    <n v="8106.88"/>
    <n v="40"/>
    <m/>
    <m/>
    <s v="Above Average"/>
    <n v="913"/>
  </r>
  <r>
    <s v="Gigi Bohling"/>
    <s v="USA"/>
    <x v="6"/>
    <s v="13/04/2023"/>
    <s v="13/04/2023"/>
    <s v="2023"/>
    <s v="13/04/2023"/>
    <n v="2456.1"/>
    <n v="58"/>
    <m/>
    <m/>
    <s v="Below Average"/>
    <n v="2492"/>
  </r>
  <r>
    <s v="Beverie Moffet"/>
    <s v="UK"/>
    <x v="3"/>
    <d v="2023-04-05T00:00:00"/>
    <s v="05/04/2023"/>
    <s v="2023"/>
    <s v="05"/>
    <n v="4726.6000000000004"/>
    <n v="75"/>
    <m/>
    <m/>
    <s v="Below Average"/>
    <n v="1793"/>
  </r>
  <r>
    <s v="Beverie Moffet"/>
    <s v="Australia"/>
    <x v="19"/>
    <d v="2023-04-08T00:00:00"/>
    <s v="08/04/2023"/>
    <s v="2023"/>
    <s v="08"/>
    <n v="3482.73"/>
    <n v="108"/>
    <m/>
    <m/>
    <s v="Below Average"/>
    <n v="2142"/>
  </r>
  <r>
    <s v="Beverie Moffet"/>
    <s v="India"/>
    <x v="21"/>
    <d v="2023-01-06T00:00:00"/>
    <s v="06/01/2023"/>
    <s v="2023"/>
    <s v="06"/>
    <n v="467.19"/>
    <n v="159"/>
    <m/>
    <m/>
    <s v="Below Average"/>
    <n v="3146"/>
  </r>
  <r>
    <s v="Jehu Rudeforth"/>
    <s v="UK"/>
    <x v="18"/>
    <s v="22/04/2023"/>
    <s v="22/04/2023"/>
    <s v="2023"/>
    <s v="22/04/2023"/>
    <n v="4875.38"/>
    <n v="185"/>
    <m/>
    <m/>
    <s v="Below Average"/>
    <n v="1742"/>
  </r>
  <r>
    <s v="Kaine Padly"/>
    <s v="USA"/>
    <x v="6"/>
    <d v="2023-03-08T00:00:00"/>
    <s v="08/03/2023"/>
    <s v="2023"/>
    <s v="08"/>
    <n v="70.599999999999994"/>
    <n v="27"/>
    <m/>
    <m/>
    <s v="Below Average"/>
    <n v="3258"/>
  </r>
  <r>
    <s v="Ches Bonnell"/>
    <s v="USA"/>
    <x v="7"/>
    <d v="2023-10-06T00:00:00"/>
    <s v="06/10/2023"/>
    <s v="2023"/>
    <s v="06"/>
    <n v="1835.22"/>
    <n v="73"/>
    <m/>
    <m/>
    <s v="Below Average"/>
    <n v="2691"/>
  </r>
  <r>
    <s v="Gunar Cockshoot"/>
    <s v="UK"/>
    <x v="15"/>
    <s v="27/06/2023"/>
    <s v="27/06/2023"/>
    <s v="2023"/>
    <s v="27/06/2023"/>
    <n v="7304.74"/>
    <n v="49"/>
    <m/>
    <m/>
    <s v="Above Average"/>
    <n v="1107"/>
  </r>
  <r>
    <s v="Marney O'Breen"/>
    <s v="Australia"/>
    <x v="3"/>
    <d v="2023-03-01T00:00:00"/>
    <s v="01/03/2023"/>
    <s v="2023"/>
    <s v="01"/>
    <n v="3967.85"/>
    <n v="163"/>
    <m/>
    <m/>
    <s v="Below Average"/>
    <n v="1995"/>
  </r>
  <r>
    <s v="Marney O'Breen"/>
    <s v="India"/>
    <x v="5"/>
    <d v="2023-11-07T00:00:00"/>
    <s v="07/11/2023"/>
    <s v="2023"/>
    <s v="07"/>
    <n v="2800.67"/>
    <n v="190"/>
    <m/>
    <m/>
    <s v="Below Average"/>
    <n v="2371"/>
  </r>
  <r>
    <s v="Ches Bonnell"/>
    <s v="New Zealand"/>
    <x v="11"/>
    <s v="17/08/2023"/>
    <s v="17/08/2023"/>
    <s v="2023"/>
    <s v="17/08/2023"/>
    <n v="4474.5200000000004"/>
    <n v="120"/>
    <m/>
    <m/>
    <s v="Below Average"/>
    <n v="1860"/>
  </r>
  <r>
    <s v="Rafaelita Blaksland"/>
    <s v="USA"/>
    <x v="13"/>
    <s v="18/01/2023"/>
    <s v="18/01/2023"/>
    <s v="2023"/>
    <s v="18/01/2023"/>
    <n v="2737.03"/>
    <n v="63"/>
    <m/>
    <m/>
    <s v="Below Average"/>
    <n v="2394"/>
  </r>
  <r>
    <s v="Ches Bonnell"/>
    <s v="India"/>
    <x v="10"/>
    <d v="2023-08-03T00:00:00"/>
    <s v="03/08/2023"/>
    <s v="2023"/>
    <s v="03"/>
    <n v="16717.259999999998"/>
    <n v="102"/>
    <m/>
    <m/>
    <s v="Above Average"/>
    <n v="76"/>
  </r>
  <r>
    <s v="Mallorie Waber"/>
    <s v="Australia"/>
    <x v="7"/>
    <d v="2023-07-03T00:00:00"/>
    <s v="03/07/2023"/>
    <s v="2023"/>
    <s v="03"/>
    <n v="16112.73"/>
    <n v="282"/>
    <m/>
    <m/>
    <s v="Above Average"/>
    <n v="98"/>
  </r>
  <r>
    <s v="Husein Augar"/>
    <s v="India"/>
    <x v="21"/>
    <d v="2023-09-05T00:00:00"/>
    <s v="05/09/2023"/>
    <s v="2023"/>
    <s v="05"/>
    <n v="6898"/>
    <n v="163"/>
    <m/>
    <m/>
    <s v="Above Average"/>
    <n v="1206"/>
  </r>
  <r>
    <s v="Barr Faughny"/>
    <s v="New Zealand"/>
    <x v="1"/>
    <s v="23/05/2023"/>
    <s v="23/05/2023"/>
    <s v="2023"/>
    <s v="23/05/2023"/>
    <n v="2151.04"/>
    <n v="170"/>
    <m/>
    <m/>
    <s v="Below Average"/>
    <n v="2592"/>
  </r>
  <r>
    <s v="Madelene Upcott"/>
    <s v="UK"/>
    <x v="20"/>
    <s v="15/04/2023"/>
    <s v="15/04/2023"/>
    <s v="2023"/>
    <s v="15/04/2023"/>
    <n v="172.51"/>
    <n v="152"/>
    <m/>
    <m/>
    <s v="Below Average"/>
    <n v="3222"/>
  </r>
  <r>
    <s v="Gigi Bohling"/>
    <s v="Australia"/>
    <x v="9"/>
    <s v="27/07/2023"/>
    <s v="27/07/2023"/>
    <s v="2023"/>
    <s v="27/07/2023"/>
    <n v="2949.02"/>
    <n v="153"/>
    <m/>
    <m/>
    <s v="Below Average"/>
    <n v="2325"/>
  </r>
  <r>
    <s v="Marney O'Breen"/>
    <s v="Canada"/>
    <x v="18"/>
    <s v="22/08/2023"/>
    <s v="22/08/2023"/>
    <s v="2023"/>
    <s v="22/08/2023"/>
    <n v="2790.72"/>
    <n v="435"/>
    <m/>
    <m/>
    <s v="Below Average"/>
    <n v="2377"/>
  </r>
  <r>
    <s v="Ches Bonnell"/>
    <s v="USA"/>
    <x v="21"/>
    <d v="2023-11-05T00:00:00"/>
    <s v="05/11/2023"/>
    <s v="2023"/>
    <s v="05"/>
    <n v="5054.42"/>
    <n v="127"/>
    <m/>
    <m/>
    <s v="Below Average"/>
    <n v="1692"/>
  </r>
  <r>
    <s v="Madelene Upcott"/>
    <s v="India"/>
    <x v="10"/>
    <s v="26/01/2023"/>
    <s v="26/01/2023"/>
    <s v="2023"/>
    <s v="26/01/2023"/>
    <n v="5418.75"/>
    <n v="37"/>
    <m/>
    <m/>
    <s v="Below Average"/>
    <n v="1590"/>
  </r>
  <r>
    <s v="Barr Faughny"/>
    <s v="USA"/>
    <x v="6"/>
    <s v="14/04/2023"/>
    <s v="14/04/2023"/>
    <s v="2023"/>
    <s v="14/04/2023"/>
    <n v="14604.67"/>
    <n v="128"/>
    <m/>
    <m/>
    <s v="Above Average"/>
    <n v="171"/>
  </r>
  <r>
    <s v="Dennison Crosswaite"/>
    <s v="New Zealand"/>
    <x v="0"/>
    <d v="2023-05-04T00:00:00"/>
    <s v="04/05/2023"/>
    <s v="2023"/>
    <s v="04"/>
    <n v="6668.93"/>
    <n v="419"/>
    <m/>
    <m/>
    <s v="Above Average"/>
    <n v="1268"/>
  </r>
  <r>
    <s v="Marney O'Breen"/>
    <s v="New Zealand"/>
    <x v="3"/>
    <s v="14/06/2023"/>
    <s v="14/06/2023"/>
    <s v="2023"/>
    <s v="14/06/2023"/>
    <n v="9689.7000000000007"/>
    <n v="58"/>
    <m/>
    <m/>
    <s v="Above Average"/>
    <n v="631"/>
  </r>
  <r>
    <s v="Brien Boise"/>
    <s v="Canada"/>
    <x v="16"/>
    <s v="13/04/2023"/>
    <s v="13/04/2023"/>
    <s v="2023"/>
    <s v="13/04/2023"/>
    <n v="5026.8100000000004"/>
    <n v="123"/>
    <m/>
    <m/>
    <s v="Below Average"/>
    <n v="1699"/>
  </r>
  <r>
    <s v="Beverie Moffet"/>
    <s v="Australia"/>
    <x v="14"/>
    <s v="27/06/2023"/>
    <s v="27/06/2023"/>
    <s v="2023"/>
    <s v="27/06/2023"/>
    <n v="2379.0100000000002"/>
    <n v="178"/>
    <m/>
    <m/>
    <s v="Below Average"/>
    <n v="2522"/>
  </r>
  <r>
    <s v="Dotty Strutley"/>
    <s v="Australia"/>
    <x v="8"/>
    <s v="26/01/2023"/>
    <s v="26/01/2023"/>
    <s v="2023"/>
    <s v="26/01/2023"/>
    <n v="7770.55"/>
    <n v="3"/>
    <m/>
    <m/>
    <s v="Above Average"/>
    <n v="995"/>
  </r>
  <r>
    <s v="Barr Faughny"/>
    <s v="UK"/>
    <x v="14"/>
    <d v="2023-05-07T00:00:00"/>
    <s v="07/05/2023"/>
    <s v="2023"/>
    <s v="07"/>
    <n v="1837.47"/>
    <n v="77"/>
    <m/>
    <m/>
    <s v="Below Average"/>
    <n v="2689"/>
  </r>
  <r>
    <s v="Beverie Moffet"/>
    <s v="Canada"/>
    <x v="19"/>
    <d v="2023-11-01T00:00:00"/>
    <s v="01/11/2023"/>
    <s v="2023"/>
    <s v="01"/>
    <n v="14625.75"/>
    <n v="90"/>
    <m/>
    <m/>
    <s v="Above Average"/>
    <n v="168"/>
  </r>
  <r>
    <s v="Kelci Walkden"/>
    <s v="USA"/>
    <x v="14"/>
    <d v="2023-07-03T00:00:00"/>
    <s v="03/07/2023"/>
    <s v="2023"/>
    <s v="03"/>
    <n v="10305.4"/>
    <n v="22"/>
    <m/>
    <m/>
    <s v="Above Average"/>
    <n v="534"/>
  </r>
  <r>
    <s v="Kaine Padly"/>
    <s v="Canada"/>
    <x v="6"/>
    <d v="2023-04-03T00:00:00"/>
    <s v="03/04/2023"/>
    <s v="2023"/>
    <s v="03"/>
    <n v="8798.99"/>
    <n v="99"/>
    <m/>
    <m/>
    <s v="Above Average"/>
    <n v="782"/>
  </r>
  <r>
    <s v="Karlen McCaffrey"/>
    <s v="Canada"/>
    <x v="10"/>
    <s v="15/07/2023"/>
    <s v="15/07/2023"/>
    <s v="2023"/>
    <s v="15/07/2023"/>
    <n v="2466.59"/>
    <n v="309"/>
    <m/>
    <m/>
    <s v="Below Average"/>
    <n v="2487"/>
  </r>
  <r>
    <s v="Kaine Padly"/>
    <s v="UK"/>
    <x v="2"/>
    <d v="2023-11-05T00:00:00"/>
    <s v="05/11/2023"/>
    <s v="2023"/>
    <s v="05"/>
    <n v="6564.2"/>
    <n v="92"/>
    <m/>
    <m/>
    <s v="Above Average"/>
    <n v="1290"/>
  </r>
  <r>
    <s v="Karlen McCaffrey"/>
    <s v="USA"/>
    <x v="11"/>
    <s v="27/01/2023"/>
    <s v="27/01/2023"/>
    <s v="2023"/>
    <s v="27/01/2023"/>
    <n v="4764.5600000000004"/>
    <n v="7"/>
    <m/>
    <m/>
    <s v="Below Average"/>
    <n v="1778"/>
  </r>
  <r>
    <s v="Karlen McCaffrey"/>
    <s v="India"/>
    <x v="7"/>
    <s v="27/06/2023"/>
    <s v="27/06/2023"/>
    <s v="2023"/>
    <s v="27/06/2023"/>
    <n v="3172.08"/>
    <n v="153"/>
    <m/>
    <m/>
    <s v="Below Average"/>
    <n v="2243"/>
  </r>
  <r>
    <s v="Ches Bonnell"/>
    <s v="India"/>
    <x v="3"/>
    <d v="2023-03-08T00:00:00"/>
    <s v="08/03/2023"/>
    <s v="2023"/>
    <s v="08"/>
    <n v="8062"/>
    <n v="20"/>
    <m/>
    <m/>
    <s v="Above Average"/>
    <n v="926"/>
  </r>
  <r>
    <s v="Wilone O'Kielt"/>
    <s v="New Zealand"/>
    <x v="0"/>
    <s v="19/08/2023"/>
    <s v="19/08/2023"/>
    <s v="2023"/>
    <s v="19/08/2023"/>
    <n v="12382.41"/>
    <n v="245"/>
    <m/>
    <m/>
    <s v="Above Average"/>
    <n v="313"/>
  </r>
  <r>
    <s v="Wilone O'Kielt"/>
    <s v="Australia"/>
    <x v="13"/>
    <s v="15/06/2023"/>
    <s v="15/06/2023"/>
    <s v="2023"/>
    <s v="15/06/2023"/>
    <n v="413.6"/>
    <n v="111"/>
    <m/>
    <m/>
    <s v="Below Average"/>
    <n v="3162"/>
  </r>
  <r>
    <s v="Dennison Crosswaite"/>
    <s v="UK"/>
    <x v="2"/>
    <d v="2023-07-02T00:00:00"/>
    <s v="02/07/2023"/>
    <s v="2023"/>
    <s v="02"/>
    <n v="10186.18"/>
    <n v="154"/>
    <m/>
    <m/>
    <s v="Above Average"/>
    <n v="554"/>
  </r>
  <r>
    <s v="Karlen McCaffrey"/>
    <s v="Australia"/>
    <x v="16"/>
    <d v="2023-08-07T00:00:00"/>
    <s v="07/08/2023"/>
    <s v="2023"/>
    <s v="07"/>
    <n v="7936.84"/>
    <n v="138"/>
    <m/>
    <m/>
    <s v="Above Average"/>
    <n v="955"/>
  </r>
  <r>
    <s v="Dennison Crosswaite"/>
    <s v="India"/>
    <x v="11"/>
    <s v="21/04/2023"/>
    <s v="21/04/2023"/>
    <s v="2023"/>
    <s v="21/04/2023"/>
    <n v="1712.72"/>
    <n v="93"/>
    <m/>
    <m/>
    <s v="Below Average"/>
    <n v="2730"/>
  </r>
  <r>
    <s v="Ches Bonnell"/>
    <s v="UK"/>
    <x v="0"/>
    <d v="2023-08-04T00:00:00"/>
    <s v="04/08/2023"/>
    <s v="2023"/>
    <s v="04"/>
    <n v="3088.98"/>
    <n v="226"/>
    <m/>
    <m/>
    <s v="Below Average"/>
    <n v="2273"/>
  </r>
  <r>
    <s v="Husein Augar"/>
    <s v="Australia"/>
    <x v="6"/>
    <s v="19/08/2023"/>
    <s v="19/08/2023"/>
    <s v="2023"/>
    <s v="19/08/2023"/>
    <n v="14953.43"/>
    <n v="51"/>
    <m/>
    <m/>
    <s v="Above Average"/>
    <n v="150"/>
  </r>
  <r>
    <s v="Jan Morforth"/>
    <s v="India"/>
    <x v="13"/>
    <d v="2023-04-05T00:00:00"/>
    <s v="05/04/2023"/>
    <s v="2023"/>
    <s v="05"/>
    <n v="3219.13"/>
    <n v="54"/>
    <m/>
    <m/>
    <s v="Below Average"/>
    <n v="2229"/>
  </r>
  <r>
    <s v="Mallorie Waber"/>
    <s v="USA"/>
    <x v="1"/>
    <d v="2023-11-05T00:00:00"/>
    <s v="05/11/2023"/>
    <s v="2023"/>
    <s v="05"/>
    <n v="2700.61"/>
    <n v="112"/>
    <m/>
    <m/>
    <s v="Below Average"/>
    <n v="2405"/>
  </r>
  <r>
    <s v="Mallorie Waber"/>
    <s v="USA"/>
    <x v="8"/>
    <s v="22/03/2023"/>
    <s v="22/03/2023"/>
    <s v="2023"/>
    <s v="22/03/2023"/>
    <n v="7219.96"/>
    <n v="53"/>
    <m/>
    <m/>
    <s v="Above Average"/>
    <n v="1127"/>
  </r>
  <r>
    <s v="Dennison Crosswaite"/>
    <s v="Canada"/>
    <x v="12"/>
    <d v="2023-10-08T00:00:00"/>
    <s v="08/10/2023"/>
    <s v="2023"/>
    <s v="08"/>
    <n v="2634.13"/>
    <n v="234"/>
    <m/>
    <m/>
    <s v="Below Average"/>
    <n v="2430"/>
  </r>
  <r>
    <s v="Dennison Crosswaite"/>
    <s v="USA"/>
    <x v="13"/>
    <d v="2023-04-05T00:00:00"/>
    <s v="05/04/2023"/>
    <s v="2023"/>
    <s v="05"/>
    <n v="1630.95"/>
    <n v="321"/>
    <m/>
    <m/>
    <s v="Below Average"/>
    <n v="2761"/>
  </r>
  <r>
    <s v="Kelci Walkden"/>
    <s v="USA"/>
    <x v="4"/>
    <s v="18/08/2023"/>
    <s v="18/08/2023"/>
    <s v="2023"/>
    <s v="18/08/2023"/>
    <n v="8250.66"/>
    <n v="258"/>
    <m/>
    <m/>
    <s v="Above Average"/>
    <n v="884"/>
  </r>
  <r>
    <s v="Dotty Strutley"/>
    <s v="Canada"/>
    <x v="17"/>
    <d v="2023-03-08T00:00:00"/>
    <s v="08/03/2023"/>
    <s v="2023"/>
    <s v="08"/>
    <n v="4849.3"/>
    <n v="248"/>
    <m/>
    <m/>
    <s v="Below Average"/>
    <n v="1753"/>
  </r>
  <r>
    <s v="Marney O'Breen"/>
    <s v="New Zealand"/>
    <x v="11"/>
    <s v="14/01/2023"/>
    <s v="14/01/2023"/>
    <s v="2023"/>
    <s v="14/01/2023"/>
    <n v="7940.49"/>
    <n v="328"/>
    <m/>
    <m/>
    <s v="Above Average"/>
    <n v="954"/>
  </r>
  <r>
    <s v="Madelene Upcott"/>
    <s v="Australia"/>
    <x v="18"/>
    <d v="2023-08-04T00:00:00"/>
    <s v="04/08/2023"/>
    <s v="2023"/>
    <s v="04"/>
    <n v="2106.9299999999998"/>
    <n v="69"/>
    <m/>
    <m/>
    <s v="Below Average"/>
    <n v="2599"/>
  </r>
  <r>
    <s v="Kelci Walkden"/>
    <s v="UK"/>
    <x v="7"/>
    <d v="2023-01-08T00:00:00"/>
    <s v="08/01/2023"/>
    <s v="2023"/>
    <s v="08"/>
    <n v="3911.85"/>
    <n v="3"/>
    <m/>
    <m/>
    <s v="Below Average"/>
    <n v="2009"/>
  </r>
  <r>
    <s v="Dennison Crosswaite"/>
    <s v="Canada"/>
    <x v="8"/>
    <s v="15/03/2023"/>
    <s v="15/03/2023"/>
    <s v="2023"/>
    <s v="15/03/2023"/>
    <n v="483.04"/>
    <n v="45"/>
    <m/>
    <m/>
    <s v="Below Average"/>
    <n v="3135"/>
  </r>
  <r>
    <s v="Karlen McCaffrey"/>
    <s v="India"/>
    <x v="0"/>
    <s v="15/07/2023"/>
    <s v="15/07/2023"/>
    <s v="2023"/>
    <s v="15/07/2023"/>
    <n v="11380.7"/>
    <n v="192"/>
    <m/>
    <m/>
    <s v="Above Average"/>
    <n v="407"/>
  </r>
  <r>
    <s v="Barr Faughny"/>
    <s v="New Zealand"/>
    <x v="16"/>
    <s v="13/01/2023"/>
    <s v="13/01/2023"/>
    <s v="2023"/>
    <s v="13/01/2023"/>
    <n v="6372.68"/>
    <n v="131"/>
    <m/>
    <m/>
    <s v="Above Average"/>
    <n v="1337"/>
  </r>
  <r>
    <s v="Mallorie Waber"/>
    <s v="Australia"/>
    <x v="1"/>
    <s v="26/08/2023"/>
    <s v="26/08/2023"/>
    <s v="2023"/>
    <s v="26/08/2023"/>
    <n v="2714.76"/>
    <n v="52"/>
    <m/>
    <m/>
    <s v="Below Average"/>
    <n v="2400"/>
  </r>
  <r>
    <s v="Ches Bonnell"/>
    <s v="Canada"/>
    <x v="8"/>
    <d v="2023-10-01T00:00:00"/>
    <s v="01/10/2023"/>
    <s v="2023"/>
    <s v="01"/>
    <n v="2106.17"/>
    <n v="172"/>
    <m/>
    <m/>
    <s v="Below Average"/>
    <n v="2600"/>
  </r>
  <r>
    <s v="Gigi Bohling"/>
    <s v="Australia"/>
    <x v="14"/>
    <d v="2023-11-05T00:00:00"/>
    <s v="05/11/2023"/>
    <s v="2023"/>
    <s v="05"/>
    <n v="5805.24"/>
    <n v="83"/>
    <m/>
    <m/>
    <s v="Below Average"/>
    <n v="1485"/>
  </r>
  <r>
    <s v="Beverie Moffet"/>
    <s v="New Zealand"/>
    <x v="1"/>
    <s v="30/08/2023"/>
    <s v="30/08/2023"/>
    <s v="2023"/>
    <s v="30/08/2023"/>
    <n v="12205.52"/>
    <n v="23"/>
    <m/>
    <m/>
    <s v="Above Average"/>
    <n v="326"/>
  </r>
  <r>
    <s v="Kaine Padly"/>
    <s v="USA"/>
    <x v="20"/>
    <s v="21/07/2023"/>
    <s v="21/07/2023"/>
    <s v="2023"/>
    <s v="21/07/2023"/>
    <n v="6318.7"/>
    <n v="124"/>
    <m/>
    <m/>
    <s v="Above Average"/>
    <n v="1352"/>
  </r>
  <r>
    <s v="Mallorie Waber"/>
    <s v="Australia"/>
    <x v="16"/>
    <d v="2023-01-08T00:00:00"/>
    <s v="08/01/2023"/>
    <s v="2023"/>
    <s v="08"/>
    <n v="8522.7999999999993"/>
    <n v="137"/>
    <m/>
    <m/>
    <s v="Above Average"/>
    <n v="828"/>
  </r>
  <r>
    <s v="Brien Boise"/>
    <s v="Canada"/>
    <x v="1"/>
    <s v="17/02/2023"/>
    <s v="17/02/2023"/>
    <s v="2023"/>
    <s v="17/02/2023"/>
    <n v="10315.879999999999"/>
    <n v="268"/>
    <m/>
    <m/>
    <s v="Above Average"/>
    <n v="533"/>
  </r>
  <r>
    <s v="Brien Boise"/>
    <s v="Australia"/>
    <x v="9"/>
    <s v="27/07/2023"/>
    <s v="27/07/2023"/>
    <s v="2023"/>
    <s v="27/07/2023"/>
    <n v="7262.12"/>
    <n v="158"/>
    <m/>
    <m/>
    <s v="Above Average"/>
    <n v="1117"/>
  </r>
  <r>
    <s v="Dotty Strutley"/>
    <s v="USA"/>
    <x v="7"/>
    <s v="23/02/2023"/>
    <s v="23/02/2023"/>
    <s v="2023"/>
    <s v="23/02/2023"/>
    <n v="1414.84"/>
    <n v="112"/>
    <m/>
    <m/>
    <s v="Below Average"/>
    <n v="2833"/>
  </r>
  <r>
    <s v="Rafaelita Blaksland"/>
    <s v="Australia"/>
    <x v="6"/>
    <s v="22/03/2023"/>
    <s v="22/03/2023"/>
    <s v="2023"/>
    <s v="22/03/2023"/>
    <n v="3067.9"/>
    <n v="42"/>
    <m/>
    <m/>
    <s v="Below Average"/>
    <n v="2282"/>
  </r>
  <r>
    <s v="Dennison Crosswaite"/>
    <s v="India"/>
    <x v="4"/>
    <s v="23/06/2023"/>
    <s v="23/06/2023"/>
    <s v="2023"/>
    <s v="23/06/2023"/>
    <n v="7369.69"/>
    <n v="325"/>
    <m/>
    <m/>
    <s v="Above Average"/>
    <n v="1092"/>
  </r>
  <r>
    <s v="Curtice Advani"/>
    <s v="UK"/>
    <x v="14"/>
    <d v="2023-01-02T00:00:00"/>
    <s v="02/01/2023"/>
    <s v="2023"/>
    <s v="02"/>
    <n v="1775.18"/>
    <n v="73"/>
    <m/>
    <m/>
    <s v="Below Average"/>
    <n v="2706"/>
  </r>
  <r>
    <s v="Kelci Walkden"/>
    <s v="Australia"/>
    <x v="5"/>
    <d v="2023-02-03T00:00:00"/>
    <s v="03/02/2023"/>
    <s v="2023"/>
    <s v="03"/>
    <n v="7683.78"/>
    <n v="279"/>
    <m/>
    <m/>
    <s v="Above Average"/>
    <n v="1021"/>
  </r>
  <r>
    <s v="Gigi Bohling"/>
    <s v="UK"/>
    <x v="13"/>
    <d v="2023-06-04T00:00:00"/>
    <s v="04/06/2023"/>
    <s v="2023"/>
    <s v="04"/>
    <n v="1412.22"/>
    <n v="90"/>
    <m/>
    <m/>
    <s v="Below Average"/>
    <n v="2837"/>
  </r>
  <r>
    <s v="Gunar Cockshoot"/>
    <s v="Australia"/>
    <x v="17"/>
    <s v="17/03/2023"/>
    <s v="17/03/2023"/>
    <s v="2023"/>
    <s v="17/03/2023"/>
    <n v="607.08000000000004"/>
    <n v="76"/>
    <m/>
    <m/>
    <s v="Below Average"/>
    <n v="3096"/>
  </r>
  <r>
    <s v="Curtice Advani"/>
    <s v="UK"/>
    <x v="13"/>
    <s v="24/06/2023"/>
    <s v="24/06/2023"/>
    <s v="2023"/>
    <s v="24/06/2023"/>
    <n v="11688.75"/>
    <n v="136"/>
    <m/>
    <m/>
    <s v="Above Average"/>
    <n v="377"/>
  </r>
  <r>
    <s v="Barr Faughny"/>
    <s v="Canada"/>
    <x v="6"/>
    <s v="19/07/2023"/>
    <s v="19/07/2023"/>
    <s v="2023"/>
    <s v="19/07/2023"/>
    <n v="10275.549999999999"/>
    <n v="301"/>
    <m/>
    <m/>
    <s v="Above Average"/>
    <n v="539"/>
  </r>
  <r>
    <s v="Curtice Advani"/>
    <s v="USA"/>
    <x v="12"/>
    <d v="2023-11-07T00:00:00"/>
    <s v="07/11/2023"/>
    <s v="2023"/>
    <s v="07"/>
    <n v="1788.1"/>
    <n v="271"/>
    <m/>
    <m/>
    <s v="Below Average"/>
    <n v="2705"/>
  </r>
  <r>
    <s v="Brien Boise"/>
    <s v="India"/>
    <x v="16"/>
    <s v="13/01/2023"/>
    <s v="13/01/2023"/>
    <s v="2023"/>
    <s v="13/01/2023"/>
    <n v="2378.08"/>
    <n v="222"/>
    <m/>
    <m/>
    <s v="Below Average"/>
    <n v="2523"/>
  </r>
  <r>
    <s v="Oby Sorrel"/>
    <s v="New Zealand"/>
    <x v="3"/>
    <d v="2023-07-07T00:00:00"/>
    <s v="07/07/2023"/>
    <s v="2023"/>
    <s v="07"/>
    <n v="9545.0300000000007"/>
    <n v="64"/>
    <m/>
    <m/>
    <s v="Above Average"/>
    <n v="648"/>
  </r>
  <r>
    <s v="Jan Morforth"/>
    <s v="India"/>
    <x v="1"/>
    <s v="25/05/2023"/>
    <s v="25/05/2023"/>
    <s v="2023"/>
    <s v="25/05/2023"/>
    <n v="4999.5200000000004"/>
    <n v="446"/>
    <m/>
    <m/>
    <s v="Below Average"/>
    <n v="1704"/>
  </r>
  <r>
    <s v="Marney O'Breen"/>
    <s v="India"/>
    <x v="13"/>
    <s v="13/04/2023"/>
    <s v="13/04/2023"/>
    <s v="2023"/>
    <s v="13/04/2023"/>
    <n v="5312.5"/>
    <n v="160"/>
    <m/>
    <m/>
    <s v="Below Average"/>
    <n v="1613"/>
  </r>
  <r>
    <s v="Andria Kimpton"/>
    <s v="New Zealand"/>
    <x v="6"/>
    <d v="2023-02-03T00:00:00"/>
    <s v="03/02/2023"/>
    <s v="2023"/>
    <s v="03"/>
    <n v="3750.88"/>
    <n v="208"/>
    <m/>
    <m/>
    <s v="Below Average"/>
    <n v="2054"/>
  </r>
  <r>
    <s v="Gunar Cockshoot"/>
    <s v="Canada"/>
    <x v="17"/>
    <s v="23/06/2023"/>
    <s v="23/06/2023"/>
    <s v="2023"/>
    <s v="23/06/2023"/>
    <n v="2375.7399999999998"/>
    <n v="129"/>
    <m/>
    <m/>
    <s v="Below Average"/>
    <n v="2524"/>
  </r>
  <r>
    <s v="Kelci Walkden"/>
    <s v="USA"/>
    <x v="9"/>
    <s v="26/07/2023"/>
    <s v="26/07/2023"/>
    <s v="2023"/>
    <s v="26/07/2023"/>
    <n v="7013.61"/>
    <n v="170"/>
    <m/>
    <m/>
    <s v="Above Average"/>
    <n v="1176"/>
  </r>
  <r>
    <s v="Van Tuxwell"/>
    <s v="Canada"/>
    <x v="14"/>
    <s v="22/03/2023"/>
    <s v="22/03/2023"/>
    <s v="2023"/>
    <s v="22/03/2023"/>
    <n v="481.52"/>
    <n v="3"/>
    <m/>
    <m/>
    <s v="Below Average"/>
    <n v="3139"/>
  </r>
  <r>
    <s v="Rafaelita Blaksland"/>
    <s v="USA"/>
    <x v="19"/>
    <d v="2023-09-06T00:00:00"/>
    <s v="06/09/2023"/>
    <s v="2023"/>
    <s v="06"/>
    <n v="3136.92"/>
    <n v="64"/>
    <m/>
    <m/>
    <s v="Below Average"/>
    <n v="2255"/>
  </r>
  <r>
    <s v="Van Tuxwell"/>
    <s v="Australia"/>
    <x v="20"/>
    <s v="17/05/2023"/>
    <s v="17/05/2023"/>
    <s v="2023"/>
    <s v="17/05/2023"/>
    <n v="6584.26"/>
    <n v="62"/>
    <m/>
    <m/>
    <s v="Above Average"/>
    <n v="1284"/>
  </r>
  <r>
    <s v="Ches Bonnell"/>
    <s v="New Zealand"/>
    <x v="2"/>
    <d v="2023-04-03T00:00:00"/>
    <s v="03/04/2023"/>
    <s v="2023"/>
    <s v="03"/>
    <n v="1024.77"/>
    <n v="260"/>
    <m/>
    <m/>
    <s v="Below Average"/>
    <n v="2965"/>
  </r>
  <r>
    <s v="Kelci Walkden"/>
    <s v="Canada"/>
    <x v="11"/>
    <d v="2023-07-07T00:00:00"/>
    <s v="07/07/2023"/>
    <s v="2023"/>
    <s v="07"/>
    <n v="17680.189999999999"/>
    <n v="27"/>
    <m/>
    <m/>
    <s v="Above Average"/>
    <n v="47"/>
  </r>
  <r>
    <s v="Dennison Crosswaite"/>
    <s v="Canada"/>
    <x v="18"/>
    <s v="13/01/2023"/>
    <s v="13/01/2023"/>
    <s v="2023"/>
    <s v="13/01/2023"/>
    <n v="10707.82"/>
    <n v="124"/>
    <m/>
    <m/>
    <s v="Above Average"/>
    <n v="490"/>
  </r>
  <r>
    <s v="Curtice Advani"/>
    <s v="Australia"/>
    <x v="16"/>
    <s v="13/07/2023"/>
    <s v="13/07/2023"/>
    <s v="2023"/>
    <s v="13/07/2023"/>
    <n v="3019.09"/>
    <n v="78"/>
    <m/>
    <m/>
    <s v="Below Average"/>
    <n v="2297"/>
  </r>
  <r>
    <s v="Madelene Upcott"/>
    <s v="Australia"/>
    <x v="1"/>
    <s v="16/06/2023"/>
    <s v="16/06/2023"/>
    <s v="2023"/>
    <s v="16/06/2023"/>
    <n v="1758.62"/>
    <n v="329"/>
    <m/>
    <m/>
    <s v="Below Average"/>
    <n v="2707"/>
  </r>
  <r>
    <s v="Gigi Bohling"/>
    <s v="UK"/>
    <x v="6"/>
    <s v="18/07/2023"/>
    <s v="18/07/2023"/>
    <s v="2023"/>
    <s v="18/07/2023"/>
    <n v="8385.3799999999992"/>
    <n v="73"/>
    <m/>
    <m/>
    <s v="Above Average"/>
    <n v="855"/>
  </r>
  <r>
    <s v="Ches Bonnell"/>
    <s v="UK"/>
    <x v="15"/>
    <s v="30/05/2023"/>
    <s v="30/05/2023"/>
    <s v="2023"/>
    <s v="30/05/2023"/>
    <n v="4854.12"/>
    <n v="411"/>
    <m/>
    <m/>
    <s v="Below Average"/>
    <n v="1752"/>
  </r>
  <r>
    <s v="Gigi Bohling"/>
    <s v="UK"/>
    <x v="21"/>
    <s v="21/06/2023"/>
    <s v="21/06/2023"/>
    <s v="2023"/>
    <s v="21/06/2023"/>
    <n v="949.18"/>
    <n v="83"/>
    <m/>
    <m/>
    <s v="Below Average"/>
    <n v="2990"/>
  </r>
  <r>
    <s v="Jehu Rudeforth"/>
    <s v="Australia"/>
    <x v="2"/>
    <s v="24/06/2023"/>
    <s v="24/06/2023"/>
    <s v="2023"/>
    <s v="24/06/2023"/>
    <n v="6047.05"/>
    <n v="40"/>
    <m/>
    <m/>
    <s v="Above Average"/>
    <n v="1424"/>
  </r>
  <r>
    <s v="Marney O'Breen"/>
    <s v="India"/>
    <x v="8"/>
    <s v="13/01/2023"/>
    <s v="13/01/2023"/>
    <s v="2023"/>
    <s v="13/01/2023"/>
    <n v="3883.32"/>
    <n v="94"/>
    <m/>
    <m/>
    <s v="Below Average"/>
    <n v="2016"/>
  </r>
  <r>
    <s v="Curtice Advani"/>
    <s v="Canada"/>
    <x v="13"/>
    <d v="2023-04-04T00:00:00"/>
    <s v="04/04/2023"/>
    <s v="2023"/>
    <s v="04"/>
    <n v="4382.07"/>
    <n v="210"/>
    <m/>
    <m/>
    <s v="Below Average"/>
    <n v="1880"/>
  </r>
  <r>
    <s v="Kaine Padly"/>
    <s v="UK"/>
    <x v="3"/>
    <d v="2023-08-06T00:00:00"/>
    <s v="06/08/2023"/>
    <s v="2023"/>
    <s v="06"/>
    <n v="9928.1"/>
    <n v="599"/>
    <m/>
    <m/>
    <s v="Above Average"/>
    <n v="593"/>
  </r>
  <r>
    <s v="Karlen McCaffrey"/>
    <s v="Canada"/>
    <x v="12"/>
    <d v="2023-02-08T00:00:00"/>
    <s v="08/02/2023"/>
    <s v="2023"/>
    <s v="08"/>
    <n v="6315.53"/>
    <n v="51"/>
    <m/>
    <m/>
    <s v="Above Average"/>
    <n v="1353"/>
  </r>
  <r>
    <s v="Kelci Walkden"/>
    <s v="USA"/>
    <x v="10"/>
    <s v="21/07/2023"/>
    <s v="21/07/2023"/>
    <s v="2023"/>
    <s v="21/07/2023"/>
    <n v="10630.08"/>
    <n v="155"/>
    <m/>
    <m/>
    <s v="Above Average"/>
    <n v="498"/>
  </r>
  <r>
    <s v="Curtice Advani"/>
    <s v="India"/>
    <x v="12"/>
    <s v="20/06/2023"/>
    <s v="20/06/2023"/>
    <s v="2023"/>
    <s v="20/06/2023"/>
    <n v="167.33"/>
    <n v="143"/>
    <m/>
    <m/>
    <s v="Below Average"/>
    <n v="3227"/>
  </r>
  <r>
    <s v="Roddy Speechley"/>
    <s v="India"/>
    <x v="5"/>
    <s v="22/06/2023"/>
    <s v="22/06/2023"/>
    <s v="2023"/>
    <s v="22/06/2023"/>
    <n v="2690.14"/>
    <n v="117"/>
    <m/>
    <m/>
    <s v="Below Average"/>
    <n v="2407"/>
  </r>
  <r>
    <s v="Camilla Castle"/>
    <s v="Australia"/>
    <x v="20"/>
    <d v="2023-02-05T00:00:00"/>
    <s v="05/02/2023"/>
    <s v="2023"/>
    <s v="05"/>
    <n v="3242.04"/>
    <n v="15"/>
    <m/>
    <m/>
    <s v="Below Average"/>
    <n v="2226"/>
  </r>
  <r>
    <s v="Curtice Advani"/>
    <s v="Australia"/>
    <x v="4"/>
    <d v="2023-07-01T00:00:00"/>
    <s v="01/07/2023"/>
    <s v="2023"/>
    <s v="01"/>
    <n v="5363.69"/>
    <n v="87"/>
    <m/>
    <m/>
    <s v="Below Average"/>
    <n v="1599"/>
  </r>
  <r>
    <s v="Mallorie Waber"/>
    <s v="UK"/>
    <x v="6"/>
    <s v="21/02/2023"/>
    <s v="21/02/2023"/>
    <s v="2023"/>
    <s v="21/02/2023"/>
    <n v="6160.89"/>
    <n v="95"/>
    <m/>
    <m/>
    <s v="Above Average"/>
    <n v="1392"/>
  </r>
  <r>
    <s v="Ches Bonnell"/>
    <s v="Canada"/>
    <x v="19"/>
    <s v="21/03/2023"/>
    <s v="21/03/2023"/>
    <s v="2023"/>
    <s v="21/03/2023"/>
    <n v="7968.23"/>
    <n v="373"/>
    <m/>
    <m/>
    <s v="Above Average"/>
    <n v="944"/>
  </r>
  <r>
    <s v="Van Tuxwell"/>
    <s v="UK"/>
    <x v="9"/>
    <d v="2023-04-04T00:00:00"/>
    <s v="04/04/2023"/>
    <s v="2023"/>
    <s v="04"/>
    <n v="6388.95"/>
    <n v="131"/>
    <m/>
    <m/>
    <s v="Above Average"/>
    <n v="1334"/>
  </r>
  <r>
    <s v="Gunar Cockshoot"/>
    <s v="Canada"/>
    <x v="13"/>
    <s v="24/03/2023"/>
    <s v="24/03/2023"/>
    <s v="2023"/>
    <s v="24/03/2023"/>
    <n v="15840.74"/>
    <n v="216"/>
    <m/>
    <m/>
    <s v="Above Average"/>
    <n v="108"/>
  </r>
  <r>
    <s v="Gunar Cockshoot"/>
    <s v="New Zealand"/>
    <x v="12"/>
    <s v="28/06/2023"/>
    <s v="28/06/2023"/>
    <s v="2023"/>
    <s v="28/06/2023"/>
    <n v="7265.05"/>
    <n v="194"/>
    <m/>
    <m/>
    <s v="Above Average"/>
    <n v="1116"/>
  </r>
  <r>
    <s v="Gunar Cockshoot"/>
    <s v="Australia"/>
    <x v="9"/>
    <s v="14/01/2023"/>
    <s v="14/01/2023"/>
    <s v="2023"/>
    <s v="14/01/2023"/>
    <n v="2342.4899999999998"/>
    <n v="192"/>
    <m/>
    <m/>
    <s v="Below Average"/>
    <n v="2533"/>
  </r>
  <r>
    <s v="Karlen McCaffrey"/>
    <s v="New Zealand"/>
    <x v="13"/>
    <d v="2023-07-02T00:00:00"/>
    <s v="02/07/2023"/>
    <s v="2023"/>
    <s v="02"/>
    <n v="1365.88"/>
    <n v="147"/>
    <m/>
    <m/>
    <s v="Below Average"/>
    <n v="2856"/>
  </r>
  <r>
    <s v="Dennison Crosswaite"/>
    <s v="New Zealand"/>
    <x v="9"/>
    <d v="2023-11-01T00:00:00"/>
    <s v="01/11/2023"/>
    <s v="2023"/>
    <s v="01"/>
    <n v="4437.46"/>
    <n v="196"/>
    <m/>
    <m/>
    <s v="Below Average"/>
    <n v="1869"/>
  </r>
  <r>
    <s v="Jehu Rudeforth"/>
    <s v="India"/>
    <x v="4"/>
    <s v="25/02/2023"/>
    <s v="25/02/2023"/>
    <s v="2023"/>
    <s v="25/02/2023"/>
    <n v="2072.2399999999998"/>
    <n v="232"/>
    <m/>
    <m/>
    <s v="Below Average"/>
    <n v="2609"/>
  </r>
  <r>
    <s v="Dotty Strutley"/>
    <s v="Australia"/>
    <x v="0"/>
    <d v="2023-01-08T00:00:00"/>
    <s v="08/01/2023"/>
    <s v="2023"/>
    <s v="08"/>
    <n v="7091.81"/>
    <n v="27"/>
    <m/>
    <m/>
    <s v="Above Average"/>
    <n v="1159"/>
  </r>
  <r>
    <s v="Roddy Speechley"/>
    <s v="Australia"/>
    <x v="0"/>
    <d v="2023-05-05T00:00:00"/>
    <s v="05/05/2023"/>
    <s v="2023"/>
    <s v="05"/>
    <n v="7213.16"/>
    <n v="277"/>
    <m/>
    <m/>
    <s v="Above Average"/>
    <n v="1128"/>
  </r>
  <r>
    <s v="Madelene Upcott"/>
    <s v="New Zealand"/>
    <x v="17"/>
    <s v="18/05/2023"/>
    <s v="18/05/2023"/>
    <s v="2023"/>
    <s v="18/05/2023"/>
    <n v="9672.76"/>
    <n v="411"/>
    <m/>
    <m/>
    <s v="Above Average"/>
    <n v="633"/>
  </r>
  <r>
    <s v="Dotty Strutley"/>
    <s v="New Zealand"/>
    <x v="18"/>
    <d v="2023-04-01T00:00:00"/>
    <s v="01/04/2023"/>
    <s v="2023"/>
    <s v="01"/>
    <n v="5750.05"/>
    <n v="350"/>
    <m/>
    <m/>
    <s v="Below Average"/>
    <n v="1505"/>
  </r>
  <r>
    <s v="Roddy Speechley"/>
    <s v="New Zealand"/>
    <x v="6"/>
    <d v="2023-09-05T00:00:00"/>
    <s v="05/09/2023"/>
    <s v="2023"/>
    <s v="05"/>
    <n v="4641.29"/>
    <n v="220"/>
    <m/>
    <m/>
    <s v="Below Average"/>
    <n v="1813"/>
  </r>
  <r>
    <s v="Rafaelita Blaksland"/>
    <s v="India"/>
    <x v="3"/>
    <d v="2023-06-05T00:00:00"/>
    <s v="05/06/2023"/>
    <s v="2023"/>
    <s v="05"/>
    <n v="1871.33"/>
    <n v="88"/>
    <m/>
    <m/>
    <s v="Below Average"/>
    <n v="2673"/>
  </r>
  <r>
    <s v="Husein Augar"/>
    <s v="UK"/>
    <x v="14"/>
    <s v="13/01/2023"/>
    <s v="13/01/2023"/>
    <s v="2023"/>
    <s v="13/01/2023"/>
    <n v="10843.46"/>
    <n v="142"/>
    <m/>
    <m/>
    <s v="Above Average"/>
    <n v="465"/>
  </r>
  <r>
    <s v="Roddy Speechley"/>
    <s v="Australia"/>
    <x v="16"/>
    <s v="24/06/2023"/>
    <s v="24/06/2023"/>
    <s v="2023"/>
    <s v="24/06/2023"/>
    <n v="5032.45"/>
    <n v="79"/>
    <m/>
    <m/>
    <s v="Below Average"/>
    <n v="1695"/>
  </r>
  <r>
    <s v="Van Tuxwell"/>
    <s v="USA"/>
    <x v="20"/>
    <s v="14/02/2023"/>
    <s v="14/02/2023"/>
    <s v="2023"/>
    <s v="14/02/2023"/>
    <n v="1106.3800000000001"/>
    <n v="21"/>
    <m/>
    <m/>
    <s v="Below Average"/>
    <n v="2939"/>
  </r>
  <r>
    <s v="Camilla Castle"/>
    <s v="Australia"/>
    <x v="4"/>
    <s v="18/01/2023"/>
    <s v="18/01/2023"/>
    <s v="2023"/>
    <s v="18/01/2023"/>
    <n v="4977.55"/>
    <n v="97"/>
    <m/>
    <m/>
    <s v="Below Average"/>
    <n v="1712"/>
  </r>
  <r>
    <s v="Kaine Padly"/>
    <s v="India"/>
    <x v="11"/>
    <d v="2023-02-05T00:00:00"/>
    <s v="05/02/2023"/>
    <s v="2023"/>
    <s v="05"/>
    <n v="3210.14"/>
    <n v="92"/>
    <m/>
    <m/>
    <s v="Below Average"/>
    <n v="2232"/>
  </r>
  <r>
    <s v="Ches Bonnell"/>
    <s v="Australia"/>
    <x v="3"/>
    <s v="16/05/2023"/>
    <s v="16/05/2023"/>
    <s v="2023"/>
    <s v="16/05/2023"/>
    <n v="7794.8"/>
    <n v="54"/>
    <m/>
    <m/>
    <s v="Above Average"/>
    <n v="992"/>
  </r>
  <r>
    <s v="Mallorie Waber"/>
    <s v="USA"/>
    <x v="16"/>
    <s v="28/01/2023"/>
    <s v="28/01/2023"/>
    <s v="2023"/>
    <s v="28/01/2023"/>
    <n v="7613.37"/>
    <n v="370"/>
    <m/>
    <m/>
    <s v="Above Average"/>
    <n v="1041"/>
  </r>
  <r>
    <s v="Kaine Padly"/>
    <s v="Canada"/>
    <x v="4"/>
    <s v="24/06/2023"/>
    <s v="24/06/2023"/>
    <s v="2023"/>
    <s v="24/06/2023"/>
    <n v="1332.76"/>
    <n v="409"/>
    <m/>
    <m/>
    <s v="Below Average"/>
    <n v="2865"/>
  </r>
  <r>
    <s v="Oby Sorrel"/>
    <s v="UK"/>
    <x v="5"/>
    <s v="18/07/2023"/>
    <s v="18/07/2023"/>
    <s v="2023"/>
    <s v="18/07/2023"/>
    <n v="2587.7600000000002"/>
    <n v="108"/>
    <m/>
    <m/>
    <s v="Below Average"/>
    <n v="2442"/>
  </r>
  <r>
    <s v="Gunar Cockshoot"/>
    <s v="UK"/>
    <x v="8"/>
    <s v="13/04/2023"/>
    <s v="13/04/2023"/>
    <s v="2023"/>
    <s v="13/04/2023"/>
    <n v="3826.22"/>
    <n v="169"/>
    <m/>
    <m/>
    <s v="Below Average"/>
    <n v="2031"/>
  </r>
  <r>
    <s v="Dotty Strutley"/>
    <s v="USA"/>
    <x v="20"/>
    <s v="15/04/2023"/>
    <s v="15/04/2023"/>
    <s v="2023"/>
    <s v="15/04/2023"/>
    <n v="18687.87"/>
    <n v="80"/>
    <m/>
    <m/>
    <s v="Above Average"/>
    <n v="32"/>
  </r>
  <r>
    <s v="Jan Morforth"/>
    <s v="India"/>
    <x v="2"/>
    <d v="2023-04-01T00:00:00"/>
    <s v="01/04/2023"/>
    <s v="2023"/>
    <s v="01"/>
    <n v="8859.6299999999992"/>
    <n v="184"/>
    <m/>
    <m/>
    <s v="Above Average"/>
    <n v="767"/>
  </r>
  <r>
    <s v="Husein Augar"/>
    <s v="Australia"/>
    <x v="8"/>
    <d v="2023-04-07T00:00:00"/>
    <s v="07/04/2023"/>
    <s v="2023"/>
    <s v="07"/>
    <n v="7299.4"/>
    <n v="34"/>
    <m/>
    <m/>
    <s v="Above Average"/>
    <n v="1111"/>
  </r>
  <r>
    <s v="Beverie Moffet"/>
    <s v="USA"/>
    <x v="3"/>
    <s v="24/03/2023"/>
    <s v="24/03/2023"/>
    <s v="2023"/>
    <s v="24/03/2023"/>
    <n v="2556.2600000000002"/>
    <n v="354"/>
    <m/>
    <m/>
    <s v="Below Average"/>
    <n v="2450"/>
  </r>
  <r>
    <s v="Camilla Castle"/>
    <s v="Australia"/>
    <x v="15"/>
    <s v="17/03/2023"/>
    <s v="17/03/2023"/>
    <s v="2023"/>
    <s v="17/03/2023"/>
    <n v="703.4"/>
    <n v="181"/>
    <m/>
    <m/>
    <s v="Below Average"/>
    <n v="3063"/>
  </r>
  <r>
    <s v="Oby Sorrel"/>
    <s v="Australia"/>
    <x v="16"/>
    <s v="15/02/2023"/>
    <s v="15/02/2023"/>
    <s v="2023"/>
    <s v="15/02/2023"/>
    <n v="6421.18"/>
    <n v="242"/>
    <m/>
    <m/>
    <s v="Above Average"/>
    <n v="1329"/>
  </r>
  <r>
    <s v="Jan Morforth"/>
    <s v="USA"/>
    <x v="7"/>
    <s v="29/06/2023"/>
    <s v="29/06/2023"/>
    <s v="2023"/>
    <s v="29/06/2023"/>
    <n v="1048.26"/>
    <n v="149"/>
    <m/>
    <m/>
    <s v="Below Average"/>
    <n v="2956"/>
  </r>
  <r>
    <s v="Gigi Bohling"/>
    <s v="USA"/>
    <x v="13"/>
    <s v="24/05/2023"/>
    <s v="24/05/2023"/>
    <s v="2023"/>
    <s v="24/05/2023"/>
    <n v="3099.14"/>
    <n v="115"/>
    <m/>
    <m/>
    <s v="Below Average"/>
    <n v="2270"/>
  </r>
  <r>
    <s v="Mallorie Waber"/>
    <s v="UK"/>
    <x v="11"/>
    <d v="2023-10-01T00:00:00"/>
    <s v="01/10/2023"/>
    <s v="2023"/>
    <s v="01"/>
    <n v="3737.68"/>
    <n v="282"/>
    <m/>
    <m/>
    <s v="Below Average"/>
    <n v="2060"/>
  </r>
  <r>
    <s v="Curtice Advani"/>
    <s v="USA"/>
    <x v="17"/>
    <s v="15/03/2023"/>
    <s v="15/03/2023"/>
    <s v="2023"/>
    <s v="15/03/2023"/>
    <n v="3086.89"/>
    <n v="153"/>
    <m/>
    <m/>
    <s v="Below Average"/>
    <n v="2275"/>
  </r>
  <r>
    <s v="Marney O'Breen"/>
    <s v="Canada"/>
    <x v="11"/>
    <d v="2023-08-02T00:00:00"/>
    <s v="02/08/2023"/>
    <s v="2023"/>
    <s v="02"/>
    <n v="2618.15"/>
    <n v="312"/>
    <m/>
    <m/>
    <s v="Below Average"/>
    <n v="2436"/>
  </r>
  <r>
    <s v="Brien Boise"/>
    <s v="India"/>
    <x v="20"/>
    <s v="25/02/2023"/>
    <s v="25/02/2023"/>
    <s v="2023"/>
    <s v="25/02/2023"/>
    <n v="1643.45"/>
    <n v="110"/>
    <m/>
    <m/>
    <s v="Below Average"/>
    <n v="2754"/>
  </r>
  <r>
    <s v="Gunar Cockshoot"/>
    <s v="USA"/>
    <x v="8"/>
    <d v="2023-03-05T00:00:00"/>
    <s v="05/03/2023"/>
    <s v="2023"/>
    <s v="05"/>
    <n v="7368.94"/>
    <n v="45"/>
    <m/>
    <m/>
    <s v="Above Average"/>
    <n v="1093"/>
  </r>
  <r>
    <s v="Roddy Speechley"/>
    <s v="USA"/>
    <x v="13"/>
    <s v="14/06/2023"/>
    <s v="14/06/2023"/>
    <s v="2023"/>
    <s v="14/06/2023"/>
    <n v="6082.19"/>
    <n v="23"/>
    <m/>
    <m/>
    <s v="Above Average"/>
    <n v="1408"/>
  </r>
  <r>
    <s v="Gunar Cockshoot"/>
    <s v="India"/>
    <x v="6"/>
    <d v="2023-09-08T00:00:00"/>
    <s v="08/09/2023"/>
    <s v="2023"/>
    <s v="08"/>
    <n v="14456.14"/>
    <n v="79"/>
    <m/>
    <m/>
    <s v="Above Average"/>
    <n v="184"/>
  </r>
  <r>
    <s v="Wilone O'Kielt"/>
    <s v="New Zealand"/>
    <x v="15"/>
    <d v="2023-11-07T00:00:00"/>
    <s v="07/11/2023"/>
    <s v="2023"/>
    <s v="07"/>
    <n v="4173.3999999999996"/>
    <n v="254"/>
    <m/>
    <m/>
    <s v="Below Average"/>
    <n v="1938"/>
  </r>
  <r>
    <s v="Kaine Padly"/>
    <s v="UK"/>
    <x v="15"/>
    <s v="14/01/2023"/>
    <s v="14/01/2023"/>
    <s v="2023"/>
    <s v="14/01/2023"/>
    <n v="7189.18"/>
    <n v="113"/>
    <m/>
    <m/>
    <s v="Above Average"/>
    <n v="1136"/>
  </r>
  <r>
    <s v="Van Tuxwell"/>
    <s v="Canada"/>
    <x v="15"/>
    <s v="24/02/2023"/>
    <s v="24/02/2023"/>
    <s v="2023"/>
    <s v="24/02/2023"/>
    <n v="8962.9599999999991"/>
    <n v="48"/>
    <m/>
    <m/>
    <s v="Above Average"/>
    <n v="745"/>
  </r>
  <r>
    <s v="Wilone O'Kielt"/>
    <s v="New Zealand"/>
    <x v="16"/>
    <s v="15/03/2023"/>
    <s v="15/03/2023"/>
    <s v="2023"/>
    <s v="15/03/2023"/>
    <n v="10085.02"/>
    <n v="146"/>
    <m/>
    <m/>
    <s v="Above Average"/>
    <n v="572"/>
  </r>
  <r>
    <s v="Oby Sorrel"/>
    <s v="New Zealand"/>
    <x v="19"/>
    <s v="25/04/2023"/>
    <s v="25/04/2023"/>
    <s v="2023"/>
    <s v="25/04/2023"/>
    <n v="12073.18"/>
    <n v="51"/>
    <m/>
    <m/>
    <s v="Above Average"/>
    <n v="341"/>
  </r>
  <r>
    <s v="Dennison Crosswaite"/>
    <s v="Australia"/>
    <x v="10"/>
    <d v="2023-10-05T00:00:00"/>
    <s v="05/10/2023"/>
    <s v="2023"/>
    <s v="05"/>
    <n v="6655.62"/>
    <n v="39"/>
    <m/>
    <m/>
    <s v="Above Average"/>
    <n v="1272"/>
  </r>
  <r>
    <s v="Marney O'Breen"/>
    <s v="Australia"/>
    <x v="12"/>
    <s v="23/06/2023"/>
    <s v="23/06/2023"/>
    <s v="2023"/>
    <s v="23/06/2023"/>
    <n v="14193.67"/>
    <n v="302"/>
    <m/>
    <m/>
    <s v="Above Average"/>
    <n v="196"/>
  </r>
  <r>
    <s v="Beverie Moffet"/>
    <s v="Canada"/>
    <x v="3"/>
    <s v="28/02/2023"/>
    <s v="28/02/2023"/>
    <s v="2023"/>
    <s v="28/02/2023"/>
    <n v="15507.29"/>
    <n v="352"/>
    <m/>
    <m/>
    <s v="Above Average"/>
    <n v="125"/>
  </r>
  <r>
    <s v="Brien Boise"/>
    <s v="USA"/>
    <x v="10"/>
    <s v="25/05/2023"/>
    <s v="25/05/2023"/>
    <s v="2023"/>
    <s v="25/05/2023"/>
    <n v="17383.080000000002"/>
    <n v="145"/>
    <m/>
    <m/>
    <s v="Above Average"/>
    <n v="56"/>
  </r>
  <r>
    <s v="Roddy Speechley"/>
    <s v="New Zealand"/>
    <x v="19"/>
    <s v="22/02/2023"/>
    <s v="22/02/2023"/>
    <s v="2023"/>
    <s v="22/02/2023"/>
    <n v="5912.59"/>
    <n v="232"/>
    <m/>
    <m/>
    <s v="Below Average"/>
    <n v="1455"/>
  </r>
  <r>
    <s v="Van Tuxwell"/>
    <s v="UK"/>
    <x v="1"/>
    <d v="2023-11-07T00:00:00"/>
    <s v="07/11/2023"/>
    <s v="2023"/>
    <s v="07"/>
    <n v="4029.28"/>
    <n v="128"/>
    <m/>
    <m/>
    <s v="Below Average"/>
    <n v="1977"/>
  </r>
  <r>
    <s v="Marney O'Breen"/>
    <s v="Canada"/>
    <x v="12"/>
    <d v="2023-03-01T00:00:00"/>
    <s v="01/03/2023"/>
    <s v="2023"/>
    <s v="01"/>
    <n v="3563.09"/>
    <n v="344"/>
    <m/>
    <m/>
    <s v="Below Average"/>
    <n v="2120"/>
  </r>
  <r>
    <s v="Rafaelita Blaksland"/>
    <s v="New Zealand"/>
    <x v="21"/>
    <s v="24/08/2023"/>
    <s v="24/08/2023"/>
    <s v="2023"/>
    <s v="24/08/2023"/>
    <n v="773.73"/>
    <n v="280"/>
    <m/>
    <m/>
    <s v="Below Average"/>
    <n v="3039"/>
  </r>
  <r>
    <s v="Beverie Moffet"/>
    <s v="USA"/>
    <x v="6"/>
    <s v="28/07/2023"/>
    <s v="28/07/2023"/>
    <s v="2023"/>
    <s v="28/07/2023"/>
    <n v="2620.19"/>
    <n v="340"/>
    <m/>
    <m/>
    <s v="Below Average"/>
    <n v="2435"/>
  </r>
  <r>
    <s v="Brien Boise"/>
    <s v="USA"/>
    <x v="0"/>
    <s v="25/05/2023"/>
    <s v="25/05/2023"/>
    <s v="2023"/>
    <s v="25/05/2023"/>
    <n v="11426.56"/>
    <n v="151"/>
    <m/>
    <m/>
    <s v="Above Average"/>
    <n v="403"/>
  </r>
  <r>
    <s v="Karlen McCaffrey"/>
    <s v="New Zealand"/>
    <x v="8"/>
    <d v="2023-06-05T00:00:00"/>
    <s v="05/06/2023"/>
    <s v="2023"/>
    <s v="05"/>
    <n v="2935.8"/>
    <n v="171"/>
    <m/>
    <m/>
    <s v="Below Average"/>
    <n v="2329"/>
  </r>
  <r>
    <s v="Barr Faughny"/>
    <s v="India"/>
    <x v="9"/>
    <s v="28/01/2023"/>
    <s v="28/01/2023"/>
    <s v="2023"/>
    <s v="28/01/2023"/>
    <n v="2431.5300000000002"/>
    <n v="148"/>
    <m/>
    <m/>
    <s v="Below Average"/>
    <n v="2507"/>
  </r>
  <r>
    <s v="Marney O'Breen"/>
    <s v="UK"/>
    <x v="7"/>
    <d v="2023-06-06T00:00:00"/>
    <s v="06/06/2023"/>
    <s v="2023"/>
    <s v="06"/>
    <n v="11882.82"/>
    <n v="13"/>
    <m/>
    <m/>
    <s v="Above Average"/>
    <n v="352"/>
  </r>
  <r>
    <s v="Brien Boise"/>
    <s v="New Zealand"/>
    <x v="19"/>
    <d v="2023-12-07T00:00:00"/>
    <s v="07/12/2023"/>
    <s v="2023"/>
    <s v="07"/>
    <n v="6297.06"/>
    <n v="26"/>
    <m/>
    <m/>
    <s v="Above Average"/>
    <n v="1359"/>
  </r>
  <r>
    <s v="Ches Bonnell"/>
    <s v="Canada"/>
    <x v="12"/>
    <d v="2023-05-08T00:00:00"/>
    <s v="08/05/2023"/>
    <s v="2023"/>
    <s v="08"/>
    <n v="5859.21"/>
    <n v="193"/>
    <m/>
    <m/>
    <s v="Below Average"/>
    <n v="1468"/>
  </r>
  <r>
    <s v="Brien Boise"/>
    <s v="USA"/>
    <x v="7"/>
    <s v="28/01/2023"/>
    <s v="28/01/2023"/>
    <s v="2023"/>
    <s v="28/01/2023"/>
    <n v="6276.91"/>
    <n v="157"/>
    <m/>
    <m/>
    <s v="Above Average"/>
    <n v="1364"/>
  </r>
  <r>
    <s v="Kaine Padly"/>
    <s v="India"/>
    <x v="12"/>
    <s v="31/08/2023"/>
    <s v="31/08/2023"/>
    <s v="2023"/>
    <s v="31/08/2023"/>
    <n v="5674.7"/>
    <n v="147"/>
    <m/>
    <m/>
    <s v="Below Average"/>
    <n v="1525"/>
  </r>
  <r>
    <s v="Mallorie Waber"/>
    <s v="USA"/>
    <x v="6"/>
    <s v="19/04/2023"/>
    <s v="19/04/2023"/>
    <s v="2023"/>
    <s v="19/04/2023"/>
    <n v="1960.1"/>
    <n v="14"/>
    <m/>
    <m/>
    <s v="Below Average"/>
    <n v="2644"/>
  </r>
  <r>
    <s v="Mallorie Waber"/>
    <s v="UK"/>
    <x v="0"/>
    <s v="29/06/2023"/>
    <s v="29/06/2023"/>
    <s v="2023"/>
    <s v="29/06/2023"/>
    <n v="6540.3"/>
    <n v="2"/>
    <m/>
    <m/>
    <s v="Above Average"/>
    <n v="1297"/>
  </r>
  <r>
    <s v="Beverie Moffet"/>
    <s v="India"/>
    <x v="18"/>
    <s v="24/02/2023"/>
    <s v="24/02/2023"/>
    <s v="2023"/>
    <s v="24/02/2023"/>
    <n v="3818.21"/>
    <n v="287"/>
    <m/>
    <m/>
    <s v="Below Average"/>
    <n v="2036"/>
  </r>
  <r>
    <s v="Madelene Upcott"/>
    <s v="UK"/>
    <x v="3"/>
    <d v="2023-04-03T00:00:00"/>
    <s v="03/04/2023"/>
    <s v="2023"/>
    <s v="03"/>
    <n v="14769.97"/>
    <n v="87"/>
    <m/>
    <m/>
    <s v="Above Average"/>
    <n v="159"/>
  </r>
  <r>
    <s v="Gigi Bohling"/>
    <s v="India"/>
    <x v="8"/>
    <s v="21/06/2023"/>
    <s v="21/06/2023"/>
    <s v="2023"/>
    <s v="21/06/2023"/>
    <n v="3687.44"/>
    <n v="73"/>
    <m/>
    <m/>
    <s v="Below Average"/>
    <n v="2078"/>
  </r>
  <r>
    <s v="Rafaelita Blaksland"/>
    <s v="Australia"/>
    <x v="10"/>
    <s v="26/01/2023"/>
    <s v="26/01/2023"/>
    <s v="2023"/>
    <s v="26/01/2023"/>
    <n v="1123.58"/>
    <n v="114"/>
    <m/>
    <m/>
    <s v="Below Average"/>
    <n v="2931"/>
  </r>
  <r>
    <s v="Oby Sorrel"/>
    <s v="New Zealand"/>
    <x v="14"/>
    <d v="2023-10-06T00:00:00"/>
    <s v="06/10/2023"/>
    <s v="2023"/>
    <s v="06"/>
    <n v="4612.08"/>
    <n v="38"/>
    <m/>
    <m/>
    <s v="Below Average"/>
    <n v="1818"/>
  </r>
  <r>
    <s v="Andria Kimpton"/>
    <s v="UK"/>
    <x v="9"/>
    <s v="23/05/2023"/>
    <s v="23/05/2023"/>
    <s v="2023"/>
    <s v="23/05/2023"/>
    <n v="1600.11"/>
    <n v="70"/>
    <m/>
    <m/>
    <s v="Below Average"/>
    <n v="2772"/>
  </r>
  <r>
    <s v="Kelci Walkden"/>
    <s v="India"/>
    <x v="11"/>
    <s v="15/04/2023"/>
    <s v="15/04/2023"/>
    <s v="2023"/>
    <s v="15/04/2023"/>
    <n v="975.67"/>
    <n v="105"/>
    <m/>
    <m/>
    <s v="Below Average"/>
    <n v="2980"/>
  </r>
  <r>
    <s v="Karlen McCaffrey"/>
    <s v="New Zealand"/>
    <x v="20"/>
    <s v="31/01/2023"/>
    <s v="31/01/2023"/>
    <s v="2023"/>
    <s v="31/01/2023"/>
    <n v="5487.3"/>
    <n v="219"/>
    <m/>
    <m/>
    <s v="Below Average"/>
    <n v="1570"/>
  </r>
  <r>
    <s v="Andria Kimpton"/>
    <s v="New Zealand"/>
    <x v="10"/>
    <d v="2023-04-03T00:00:00"/>
    <s v="03/04/2023"/>
    <s v="2023"/>
    <s v="03"/>
    <n v="4948.1499999999996"/>
    <n v="39"/>
    <m/>
    <m/>
    <s v="Below Average"/>
    <n v="1717"/>
  </r>
  <r>
    <s v="Barr Faughny"/>
    <s v="New Zealand"/>
    <x v="5"/>
    <s v="19/04/2023"/>
    <s v="19/04/2023"/>
    <s v="2023"/>
    <s v="19/04/2023"/>
    <n v="11460.08"/>
    <n v="81"/>
    <m/>
    <m/>
    <s v="Above Average"/>
    <n v="402"/>
  </r>
  <r>
    <s v="Beverie Moffet"/>
    <s v="UK"/>
    <x v="16"/>
    <s v="16/05/2023"/>
    <s v="16/05/2023"/>
    <s v="2023"/>
    <s v="16/05/2023"/>
    <n v="2628.33"/>
    <n v="101"/>
    <m/>
    <m/>
    <s v="Below Average"/>
    <n v="2433"/>
  </r>
  <r>
    <s v="Oby Sorrel"/>
    <s v="Australia"/>
    <x v="17"/>
    <s v="17/02/2023"/>
    <s v="17/02/2023"/>
    <s v="2023"/>
    <s v="17/02/2023"/>
    <n v="1044.3499999999999"/>
    <n v="126"/>
    <m/>
    <m/>
    <s v="Below Average"/>
    <n v="2957"/>
  </r>
  <r>
    <s v="Dennison Crosswaite"/>
    <s v="USA"/>
    <x v="17"/>
    <s v="18/01/2023"/>
    <s v="18/01/2023"/>
    <s v="2023"/>
    <s v="18/01/2023"/>
    <n v="7449.7"/>
    <n v="264"/>
    <m/>
    <m/>
    <s v="Above Average"/>
    <n v="1079"/>
  </r>
  <r>
    <s v="Roddy Speechley"/>
    <s v="Canada"/>
    <x v="7"/>
    <d v="2023-09-02T00:00:00"/>
    <s v="02/09/2023"/>
    <s v="2023"/>
    <s v="02"/>
    <n v="9315.64"/>
    <n v="88"/>
    <m/>
    <m/>
    <s v="Above Average"/>
    <n v="688"/>
  </r>
  <r>
    <s v="Mallorie Waber"/>
    <s v="Canada"/>
    <x v="7"/>
    <s v="23/03/2023"/>
    <s v="23/03/2023"/>
    <s v="2023"/>
    <s v="23/03/2023"/>
    <n v="3820.94"/>
    <n v="179"/>
    <m/>
    <m/>
    <s v="Below Average"/>
    <n v="2035"/>
  </r>
  <r>
    <s v="Madelene Upcott"/>
    <s v="New Zealand"/>
    <x v="20"/>
    <d v="2023-01-02T00:00:00"/>
    <s v="02/01/2023"/>
    <s v="2023"/>
    <s v="02"/>
    <n v="3782.83"/>
    <n v="150"/>
    <m/>
    <m/>
    <s v="Below Average"/>
    <n v="2043"/>
  </r>
  <r>
    <s v="Mallorie Waber"/>
    <s v="India"/>
    <x v="9"/>
    <d v="2023-07-03T00:00:00"/>
    <s v="03/07/2023"/>
    <s v="2023"/>
    <s v="03"/>
    <n v="4525.72"/>
    <n v="146"/>
    <m/>
    <m/>
    <s v="Below Average"/>
    <n v="1840"/>
  </r>
  <r>
    <s v="Ches Bonnell"/>
    <s v="UK"/>
    <x v="14"/>
    <d v="2023-03-01T00:00:00"/>
    <s v="01/03/2023"/>
    <s v="2023"/>
    <s v="01"/>
    <n v="3730.79"/>
    <n v="237"/>
    <m/>
    <m/>
    <s v="Below Average"/>
    <n v="2062"/>
  </r>
  <r>
    <s v="Ches Bonnell"/>
    <s v="USA"/>
    <x v="14"/>
    <d v="2023-11-02T00:00:00"/>
    <s v="02/11/2023"/>
    <s v="2023"/>
    <s v="02"/>
    <n v="6068.19"/>
    <n v="349"/>
    <m/>
    <m/>
    <s v="Above Average"/>
    <n v="1413"/>
  </r>
  <r>
    <s v="Dennison Crosswaite"/>
    <s v="New Zealand"/>
    <x v="7"/>
    <s v="16/03/2023"/>
    <s v="16/03/2023"/>
    <s v="2023"/>
    <s v="16/03/2023"/>
    <n v="4944.46"/>
    <n v="144"/>
    <m/>
    <m/>
    <s v="Below Average"/>
    <n v="1718"/>
  </r>
  <r>
    <s v="Dotty Strutley"/>
    <s v="India"/>
    <x v="14"/>
    <s v="15/08/2023"/>
    <s v="15/08/2023"/>
    <s v="2023"/>
    <s v="15/08/2023"/>
    <n v="12331.35"/>
    <n v="337"/>
    <m/>
    <m/>
    <s v="Above Average"/>
    <n v="315"/>
  </r>
  <r>
    <s v="Gigi Bohling"/>
    <s v="India"/>
    <x v="15"/>
    <d v="2023-12-05T00:00:00"/>
    <s v="05/12/2023"/>
    <s v="2023"/>
    <s v="05"/>
    <n v="5290.76"/>
    <n v="76"/>
    <m/>
    <m/>
    <s v="Below Average"/>
    <n v="1622"/>
  </r>
  <r>
    <s v="Van Tuxwell"/>
    <s v="India"/>
    <x v="12"/>
    <d v="2023-11-04T00:00:00"/>
    <s v="04/11/2023"/>
    <s v="2023"/>
    <s v="04"/>
    <n v="6874.06"/>
    <n v="4"/>
    <m/>
    <m/>
    <s v="Above Average"/>
    <n v="1213"/>
  </r>
  <r>
    <s v="Jan Morforth"/>
    <s v="New Zealand"/>
    <x v="0"/>
    <s v="30/06/2023"/>
    <s v="30/06/2023"/>
    <s v="2023"/>
    <s v="30/06/2023"/>
    <n v="20402.169999999998"/>
    <n v="297"/>
    <m/>
    <m/>
    <s v="Above Average"/>
    <n v="16"/>
  </r>
  <r>
    <s v="Dotty Strutley"/>
    <s v="New Zealand"/>
    <x v="14"/>
    <s v="15/06/2023"/>
    <s v="15/06/2023"/>
    <s v="2023"/>
    <s v="15/06/2023"/>
    <n v="7923.1"/>
    <n v="62"/>
    <m/>
    <m/>
    <s v="Above Average"/>
    <n v="958"/>
  </r>
  <r>
    <s v="Rafaelita Blaksland"/>
    <s v="Canada"/>
    <x v="20"/>
    <d v="2023-01-08T00:00:00"/>
    <s v="08/01/2023"/>
    <s v="2023"/>
    <s v="08"/>
    <n v="8145.99"/>
    <n v="100"/>
    <m/>
    <m/>
    <s v="Above Average"/>
    <n v="905"/>
  </r>
  <r>
    <s v="Kaine Padly"/>
    <s v="USA"/>
    <x v="11"/>
    <s v="15/06/2023"/>
    <s v="15/06/2023"/>
    <s v="2023"/>
    <s v="15/06/2023"/>
    <n v="16253.25"/>
    <n v="58"/>
    <m/>
    <m/>
    <s v="Above Average"/>
    <n v="92"/>
  </r>
  <r>
    <s v="Brien Boise"/>
    <s v="India"/>
    <x v="5"/>
    <s v="16/06/2023"/>
    <s v="16/06/2023"/>
    <s v="2023"/>
    <s v="16/06/2023"/>
    <n v="5744.07"/>
    <n v="49"/>
    <m/>
    <m/>
    <s v="Below Average"/>
    <n v="1508"/>
  </r>
  <r>
    <s v="Oby Sorrel"/>
    <s v="New Zealand"/>
    <x v="17"/>
    <s v="13/05/2023"/>
    <s v="13/05/2023"/>
    <s v="2023"/>
    <s v="13/05/2023"/>
    <n v="4908.71"/>
    <n v="288"/>
    <m/>
    <m/>
    <s v="Below Average"/>
    <n v="1728"/>
  </r>
  <r>
    <s v="Dennison Crosswaite"/>
    <s v="USA"/>
    <x v="9"/>
    <d v="2023-10-05T00:00:00"/>
    <s v="05/10/2023"/>
    <s v="2023"/>
    <s v="05"/>
    <n v="2369.87"/>
    <n v="139"/>
    <m/>
    <m/>
    <s v="Below Average"/>
    <n v="2525"/>
  </r>
  <r>
    <s v="Oby Sorrel"/>
    <s v="India"/>
    <x v="8"/>
    <s v="25/08/2023"/>
    <s v="25/08/2023"/>
    <s v="2023"/>
    <s v="25/08/2023"/>
    <n v="5973.24"/>
    <n v="337"/>
    <m/>
    <m/>
    <s v="Below Average"/>
    <n v="1438"/>
  </r>
  <r>
    <s v="Ches Bonnell"/>
    <s v="New Zealand"/>
    <x v="10"/>
    <s v="15/07/2023"/>
    <s v="15/07/2023"/>
    <s v="2023"/>
    <s v="15/07/2023"/>
    <n v="8047.16"/>
    <n v="86"/>
    <m/>
    <m/>
    <s v="Above Average"/>
    <n v="928"/>
  </r>
  <r>
    <s v="Gigi Bohling"/>
    <s v="UK"/>
    <x v="19"/>
    <s v="16/05/2023"/>
    <s v="16/05/2023"/>
    <s v="2023"/>
    <s v="16/05/2023"/>
    <n v="9656.56"/>
    <n v="400"/>
    <m/>
    <m/>
    <s v="Above Average"/>
    <n v="636"/>
  </r>
  <r>
    <s v="Jan Morforth"/>
    <s v="Australia"/>
    <x v="6"/>
    <s v="14/06/2023"/>
    <s v="14/06/2023"/>
    <s v="2023"/>
    <s v="14/06/2023"/>
    <n v="3925.06"/>
    <n v="186"/>
    <m/>
    <m/>
    <s v="Below Average"/>
    <n v="2006"/>
  </r>
  <r>
    <s v="Beverie Moffet"/>
    <s v="Australia"/>
    <x v="3"/>
    <s v="25/01/2023"/>
    <s v="25/01/2023"/>
    <s v="2023"/>
    <s v="25/01/2023"/>
    <n v="11682.62"/>
    <n v="506"/>
    <m/>
    <m/>
    <s v="Above Average"/>
    <n v="378"/>
  </r>
  <r>
    <s v="Ches Bonnell"/>
    <s v="USA"/>
    <x v="10"/>
    <s v="28/07/2023"/>
    <s v="28/07/2023"/>
    <s v="2023"/>
    <s v="28/07/2023"/>
    <n v="7874.15"/>
    <n v="13"/>
    <m/>
    <m/>
    <s v="Above Average"/>
    <n v="978"/>
  </r>
  <r>
    <s v="Brien Boise"/>
    <s v="Canada"/>
    <x v="0"/>
    <s v="28/01/2023"/>
    <s v="28/01/2023"/>
    <s v="2023"/>
    <s v="28/01/2023"/>
    <n v="5061.37"/>
    <n v="179"/>
    <m/>
    <m/>
    <s v="Below Average"/>
    <n v="1687"/>
  </r>
  <r>
    <s v="Kaine Padly"/>
    <s v="UK"/>
    <x v="7"/>
    <s v="29/06/2023"/>
    <s v="29/06/2023"/>
    <s v="2023"/>
    <s v="29/06/2023"/>
    <n v="2099.2399999999998"/>
    <n v="186"/>
    <m/>
    <m/>
    <s v="Below Average"/>
    <n v="2603"/>
  </r>
  <r>
    <s v="Karlen McCaffrey"/>
    <s v="Australia"/>
    <x v="21"/>
    <s v="24/06/2023"/>
    <s v="24/06/2023"/>
    <s v="2023"/>
    <s v="24/06/2023"/>
    <n v="237.57"/>
    <n v="311"/>
    <m/>
    <m/>
    <s v="Below Average"/>
    <n v="3211"/>
  </r>
  <r>
    <s v="Gunar Cockshoot"/>
    <s v="Canada"/>
    <x v="0"/>
    <d v="2023-01-07T00:00:00"/>
    <s v="07/01/2023"/>
    <s v="2023"/>
    <s v="07"/>
    <n v="8829.77"/>
    <n v="445"/>
    <m/>
    <m/>
    <s v="Above Average"/>
    <n v="776"/>
  </r>
  <r>
    <s v="Roddy Speechley"/>
    <s v="USA"/>
    <x v="2"/>
    <s v="25/02/2023"/>
    <s v="25/02/2023"/>
    <s v="2023"/>
    <s v="25/02/2023"/>
    <n v="1733.09"/>
    <n v="135"/>
    <m/>
    <m/>
    <s v="Below Average"/>
    <n v="2723"/>
  </r>
  <r>
    <s v="Curtice Advani"/>
    <s v="Canada"/>
    <x v="3"/>
    <d v="2023-01-08T00:00:00"/>
    <s v="08/01/2023"/>
    <s v="2023"/>
    <s v="08"/>
    <n v="3047.18"/>
    <n v="12"/>
    <m/>
    <m/>
    <s v="Below Average"/>
    <n v="2287"/>
  </r>
  <r>
    <s v="Oby Sorrel"/>
    <s v="Australia"/>
    <x v="11"/>
    <s v="21/06/2023"/>
    <s v="21/06/2023"/>
    <s v="2023"/>
    <s v="21/06/2023"/>
    <n v="8497.7199999999993"/>
    <n v="276"/>
    <m/>
    <m/>
    <s v="Above Average"/>
    <n v="835"/>
  </r>
  <r>
    <s v="Camilla Castle"/>
    <s v="New Zealand"/>
    <x v="12"/>
    <s v="25/01/2023"/>
    <s v="25/01/2023"/>
    <s v="2023"/>
    <s v="25/01/2023"/>
    <n v="12557.56"/>
    <n v="26"/>
    <m/>
    <m/>
    <s v="Above Average"/>
    <n v="297"/>
  </r>
  <r>
    <s v="Gigi Bohling"/>
    <s v="UK"/>
    <x v="11"/>
    <s v="17/05/2023"/>
    <s v="17/05/2023"/>
    <s v="2023"/>
    <s v="17/05/2023"/>
    <n v="1406.91"/>
    <n v="231"/>
    <m/>
    <m/>
    <s v="Below Average"/>
    <n v="2839"/>
  </r>
  <r>
    <s v="Andria Kimpton"/>
    <s v="Australia"/>
    <x v="1"/>
    <s v="23/08/2023"/>
    <s v="23/08/2023"/>
    <s v="2023"/>
    <s v="23/08/2023"/>
    <n v="4496.32"/>
    <n v="240"/>
    <m/>
    <m/>
    <s v="Below Average"/>
    <n v="1851"/>
  </r>
  <r>
    <s v="Camilla Castle"/>
    <s v="Australia"/>
    <x v="3"/>
    <d v="2023-03-03T00:00:00"/>
    <s v="03/03/2023"/>
    <s v="2023"/>
    <s v="03"/>
    <n v="8220.25"/>
    <n v="125"/>
    <m/>
    <m/>
    <s v="Above Average"/>
    <n v="889"/>
  </r>
  <r>
    <s v="Roddy Speechley"/>
    <s v="India"/>
    <x v="20"/>
    <s v="30/05/2023"/>
    <s v="30/05/2023"/>
    <s v="2023"/>
    <s v="30/05/2023"/>
    <n v="9588.0300000000007"/>
    <n v="562"/>
    <m/>
    <m/>
    <s v="Above Average"/>
    <n v="643"/>
  </r>
  <r>
    <s v="Karlen McCaffrey"/>
    <s v="USA"/>
    <x v="9"/>
    <s v="29/06/2023"/>
    <s v="29/06/2023"/>
    <s v="2023"/>
    <s v="29/06/2023"/>
    <n v="114.82"/>
    <n v="231"/>
    <m/>
    <m/>
    <s v="Below Average"/>
    <n v="3239"/>
  </r>
  <r>
    <s v="Andria Kimpton"/>
    <s v="Canada"/>
    <x v="10"/>
    <d v="2023-04-01T00:00:00"/>
    <s v="01/04/2023"/>
    <s v="2023"/>
    <s v="01"/>
    <n v="8804.98"/>
    <n v="214"/>
    <m/>
    <m/>
    <s v="Above Average"/>
    <n v="779"/>
  </r>
  <r>
    <s v="Jehu Rudeforth"/>
    <s v="Australia"/>
    <x v="9"/>
    <s v="14/01/2023"/>
    <s v="14/01/2023"/>
    <s v="2023"/>
    <s v="14/01/2023"/>
    <n v="2900.61"/>
    <n v="68"/>
    <m/>
    <m/>
    <s v="Below Average"/>
    <n v="2346"/>
  </r>
  <r>
    <s v="Karlen McCaffrey"/>
    <s v="USA"/>
    <x v="0"/>
    <s v="15/02/2023"/>
    <s v="15/02/2023"/>
    <s v="2023"/>
    <s v="15/02/2023"/>
    <n v="16773.080000000002"/>
    <n v="58"/>
    <m/>
    <m/>
    <s v="Above Average"/>
    <n v="73"/>
  </r>
  <r>
    <s v="Curtice Advani"/>
    <s v="New Zealand"/>
    <x v="12"/>
    <d v="2023-10-01T00:00:00"/>
    <s v="01/10/2023"/>
    <s v="2023"/>
    <s v="01"/>
    <n v="4153.59"/>
    <n v="513"/>
    <m/>
    <m/>
    <s v="Below Average"/>
    <n v="1944"/>
  </r>
  <r>
    <s v="Madelene Upcott"/>
    <s v="USA"/>
    <x v="14"/>
    <d v="2023-04-05T00:00:00"/>
    <s v="05/04/2023"/>
    <s v="2023"/>
    <s v="05"/>
    <n v="12571.07"/>
    <n v="226"/>
    <m/>
    <m/>
    <s v="Above Average"/>
    <n v="293"/>
  </r>
  <r>
    <s v="Andria Kimpton"/>
    <s v="USA"/>
    <x v="12"/>
    <s v="23/05/2023"/>
    <s v="23/05/2023"/>
    <s v="2023"/>
    <s v="23/05/2023"/>
    <n v="2553.46"/>
    <n v="5"/>
    <m/>
    <m/>
    <s v="Below Average"/>
    <n v="2452"/>
  </r>
  <r>
    <s v="Barr Faughny"/>
    <s v="New Zealand"/>
    <x v="13"/>
    <s v="26/04/2023"/>
    <s v="26/04/2023"/>
    <s v="2023"/>
    <s v="26/04/2023"/>
    <n v="1888.94"/>
    <n v="159"/>
    <m/>
    <m/>
    <s v="Below Average"/>
    <n v="2669"/>
  </r>
  <r>
    <s v="Oby Sorrel"/>
    <s v="Canada"/>
    <x v="10"/>
    <d v="2023-05-07T00:00:00"/>
    <s v="07/05/2023"/>
    <s v="2023"/>
    <s v="07"/>
    <n v="1310.04"/>
    <n v="71"/>
    <m/>
    <m/>
    <s v="Below Average"/>
    <n v="2871"/>
  </r>
  <r>
    <s v="Madelene Upcott"/>
    <s v="UK"/>
    <x v="10"/>
    <s v="21/07/2023"/>
    <s v="21/07/2023"/>
    <s v="2023"/>
    <s v="21/07/2023"/>
    <n v="7805.9"/>
    <n v="179"/>
    <m/>
    <m/>
    <s v="Above Average"/>
    <n v="986"/>
  </r>
  <r>
    <s v="Dotty Strutley"/>
    <s v="USA"/>
    <x v="0"/>
    <s v="21/02/2023"/>
    <s v="21/02/2023"/>
    <s v="2023"/>
    <s v="21/02/2023"/>
    <n v="6101.12"/>
    <n v="261"/>
    <m/>
    <m/>
    <s v="Above Average"/>
    <n v="1401"/>
  </r>
  <r>
    <s v="Kelci Walkden"/>
    <s v="USA"/>
    <x v="7"/>
    <d v="2023-03-02T00:00:00"/>
    <s v="02/03/2023"/>
    <s v="2023"/>
    <s v="02"/>
    <n v="1425.81"/>
    <n v="133"/>
    <m/>
    <m/>
    <s v="Below Average"/>
    <n v="2830"/>
  </r>
  <r>
    <s v="Gigi Bohling"/>
    <s v="Australia"/>
    <x v="20"/>
    <d v="2023-08-07T00:00:00"/>
    <s v="07/08/2023"/>
    <s v="2023"/>
    <s v="07"/>
    <n v="8724.4"/>
    <n v="147"/>
    <m/>
    <m/>
    <s v="Above Average"/>
    <n v="794"/>
  </r>
  <r>
    <s v="Mallorie Waber"/>
    <s v="India"/>
    <x v="6"/>
    <s v="31/05/2023"/>
    <s v="31/05/2023"/>
    <s v="2023"/>
    <s v="31/05/2023"/>
    <n v="664.82"/>
    <n v="147"/>
    <m/>
    <m/>
    <s v="Below Average"/>
    <n v="3078"/>
  </r>
  <r>
    <s v="Van Tuxwell"/>
    <s v="New Zealand"/>
    <x v="0"/>
    <s v="27/06/2023"/>
    <s v="27/06/2023"/>
    <s v="2023"/>
    <s v="27/06/2023"/>
    <n v="4351.3100000000004"/>
    <n v="103"/>
    <m/>
    <m/>
    <s v="Below Average"/>
    <n v="1892"/>
  </r>
  <r>
    <s v="Van Tuxwell"/>
    <s v="India"/>
    <x v="6"/>
    <s v="13/05/2023"/>
    <s v="13/05/2023"/>
    <s v="2023"/>
    <s v="13/05/2023"/>
    <n v="5825.09"/>
    <n v="123"/>
    <m/>
    <m/>
    <s v="Below Average"/>
    <n v="1480"/>
  </r>
  <r>
    <s v="Van Tuxwell"/>
    <s v="USA"/>
    <x v="15"/>
    <s v="31/05/2023"/>
    <s v="31/05/2023"/>
    <s v="2023"/>
    <s v="31/05/2023"/>
    <n v="2418.9299999999998"/>
    <n v="110"/>
    <m/>
    <m/>
    <s v="Below Average"/>
    <n v="2508"/>
  </r>
  <r>
    <s v="Wilone O'Kielt"/>
    <s v="USA"/>
    <x v="7"/>
    <s v="28/02/2023"/>
    <s v="28/02/2023"/>
    <s v="2023"/>
    <s v="28/02/2023"/>
    <n v="7725.52"/>
    <n v="38"/>
    <m/>
    <m/>
    <s v="Above Average"/>
    <n v="1006"/>
  </r>
  <r>
    <s v="Barr Faughny"/>
    <s v="New Zealand"/>
    <x v="8"/>
    <s v="28/03/2023"/>
    <s v="28/03/2023"/>
    <s v="2023"/>
    <s v="28/03/2023"/>
    <n v="7144.08"/>
    <n v="32"/>
    <m/>
    <m/>
    <s v="Above Average"/>
    <n v="1149"/>
  </r>
  <r>
    <s v="Gigi Bohling"/>
    <s v="USA"/>
    <x v="5"/>
    <s v="14/01/2023"/>
    <s v="14/01/2023"/>
    <s v="2023"/>
    <s v="14/01/2023"/>
    <n v="2043.13"/>
    <n v="243"/>
    <m/>
    <m/>
    <s v="Below Average"/>
    <n v="2624"/>
  </r>
  <r>
    <s v="Barr Faughny"/>
    <s v="New Zealand"/>
    <x v="0"/>
    <s v="21/02/2023"/>
    <s v="21/02/2023"/>
    <s v="2023"/>
    <s v="21/02/2023"/>
    <n v="6526.01"/>
    <n v="147"/>
    <m/>
    <m/>
    <s v="Above Average"/>
    <n v="1300"/>
  </r>
  <r>
    <s v="Dennison Crosswaite"/>
    <s v="Canada"/>
    <x v="1"/>
    <d v="2023-01-08T00:00:00"/>
    <s v="08/01/2023"/>
    <s v="2023"/>
    <s v="08"/>
    <n v="11334.77"/>
    <n v="89"/>
    <m/>
    <m/>
    <s v="Above Average"/>
    <n v="409"/>
  </r>
  <r>
    <s v="Beverie Moffet"/>
    <s v="New Zealand"/>
    <x v="3"/>
    <s v="19/05/2023"/>
    <s v="19/05/2023"/>
    <s v="2023"/>
    <s v="19/05/2023"/>
    <n v="2492.67"/>
    <n v="58"/>
    <m/>
    <m/>
    <s v="Below Average"/>
    <n v="2478"/>
  </r>
  <r>
    <s v="Husein Augar"/>
    <s v="USA"/>
    <x v="14"/>
    <s v="13/07/2023"/>
    <s v="13/07/2023"/>
    <s v="2023"/>
    <s v="13/07/2023"/>
    <n v="2066.48"/>
    <n v="59"/>
    <m/>
    <m/>
    <s v="Below Average"/>
    <n v="2611"/>
  </r>
  <r>
    <s v="Andria Kimpton"/>
    <s v="Australia"/>
    <x v="2"/>
    <s v="20/04/2023"/>
    <s v="20/04/2023"/>
    <s v="2023"/>
    <s v="20/04/2023"/>
    <n v="7009.01"/>
    <n v="150"/>
    <m/>
    <m/>
    <s v="Above Average"/>
    <n v="1177"/>
  </r>
  <r>
    <s v="Dennison Crosswaite"/>
    <s v="India"/>
    <x v="1"/>
    <s v="30/06/2023"/>
    <s v="30/06/2023"/>
    <s v="2023"/>
    <s v="30/06/2023"/>
    <n v="4562.97"/>
    <n v="21"/>
    <m/>
    <m/>
    <s v="Below Average"/>
    <n v="1831"/>
  </r>
  <r>
    <s v="Curtice Advani"/>
    <s v="UK"/>
    <x v="6"/>
    <d v="2023-08-03T00:00:00"/>
    <s v="03/08/2023"/>
    <s v="2023"/>
    <s v="03"/>
    <n v="3442.99"/>
    <n v="142"/>
    <m/>
    <m/>
    <s v="Below Average"/>
    <n v="2156"/>
  </r>
  <r>
    <s v="Gunar Cockshoot"/>
    <s v="USA"/>
    <x v="13"/>
    <d v="2023-09-03T00:00:00"/>
    <s v="03/09/2023"/>
    <s v="2023"/>
    <s v="03"/>
    <n v="6669.6"/>
    <n v="99"/>
    <m/>
    <m/>
    <s v="Above Average"/>
    <n v="1267"/>
  </r>
  <r>
    <s v="Oby Sorrel"/>
    <s v="Canada"/>
    <x v="17"/>
    <s v="16/06/2023"/>
    <s v="16/06/2023"/>
    <s v="2023"/>
    <s v="16/06/2023"/>
    <n v="1902.47"/>
    <n v="217"/>
    <m/>
    <m/>
    <s v="Below Average"/>
    <n v="2662"/>
  </r>
  <r>
    <s v="Gigi Bohling"/>
    <s v="UK"/>
    <x v="9"/>
    <s v="30/06/2023"/>
    <s v="30/06/2023"/>
    <s v="2023"/>
    <s v="30/06/2023"/>
    <n v="6157.17"/>
    <n v="43"/>
    <m/>
    <m/>
    <s v="Above Average"/>
    <n v="1393"/>
  </r>
  <r>
    <s v="Kelci Walkden"/>
    <s v="India"/>
    <x v="0"/>
    <s v="28/07/2023"/>
    <s v="28/07/2023"/>
    <s v="2023"/>
    <s v="28/07/2023"/>
    <n v="3012.68"/>
    <n v="129"/>
    <m/>
    <m/>
    <s v="Below Average"/>
    <n v="2302"/>
  </r>
  <r>
    <s v="Karlen McCaffrey"/>
    <s v="Canada"/>
    <x v="2"/>
    <d v="2023-12-08T00:00:00"/>
    <s v="08/12/2023"/>
    <s v="2023"/>
    <s v="08"/>
    <n v="3473.62"/>
    <n v="170"/>
    <m/>
    <m/>
    <s v="Below Average"/>
    <n v="2145"/>
  </r>
  <r>
    <s v="Barr Faughny"/>
    <s v="UK"/>
    <x v="0"/>
    <d v="2023-07-07T00:00:00"/>
    <s v="07/07/2023"/>
    <s v="2023"/>
    <s v="07"/>
    <n v="4129.9799999999996"/>
    <n v="332"/>
    <m/>
    <m/>
    <s v="Below Average"/>
    <n v="1951"/>
  </r>
  <r>
    <s v="Barr Faughny"/>
    <s v="USA"/>
    <x v="1"/>
    <s v="25/08/2023"/>
    <s v="25/08/2023"/>
    <s v="2023"/>
    <s v="25/08/2023"/>
    <n v="14566.22"/>
    <n v="45"/>
    <m/>
    <m/>
    <s v="Above Average"/>
    <n v="176"/>
  </r>
  <r>
    <s v="Husein Augar"/>
    <s v="Canada"/>
    <x v="8"/>
    <s v="17/01/2023"/>
    <s v="17/01/2023"/>
    <s v="2023"/>
    <s v="17/01/2023"/>
    <n v="4049.61"/>
    <n v="255"/>
    <m/>
    <m/>
    <s v="Below Average"/>
    <n v="1970"/>
  </r>
  <r>
    <s v="Jan Morforth"/>
    <s v="Australia"/>
    <x v="21"/>
    <d v="2023-04-03T00:00:00"/>
    <s v="03/04/2023"/>
    <s v="2023"/>
    <s v="03"/>
    <n v="5924.44"/>
    <n v="396"/>
    <m/>
    <m/>
    <s v="Below Average"/>
    <n v="1452"/>
  </r>
  <r>
    <s v="Marney O'Breen"/>
    <s v="New Zealand"/>
    <x v="13"/>
    <s v="25/08/2023"/>
    <s v="25/08/2023"/>
    <s v="2023"/>
    <s v="25/08/2023"/>
    <n v="10100.950000000001"/>
    <n v="4"/>
    <m/>
    <m/>
    <s v="Above Average"/>
    <n v="568"/>
  </r>
  <r>
    <s v="Ches Bonnell"/>
    <s v="UK"/>
    <x v="2"/>
    <s v="15/04/2023"/>
    <s v="15/04/2023"/>
    <s v="2023"/>
    <s v="15/04/2023"/>
    <n v="2362.0100000000002"/>
    <n v="272"/>
    <m/>
    <m/>
    <s v="Below Average"/>
    <n v="2527"/>
  </r>
  <r>
    <s v="Kaine Padly"/>
    <s v="USA"/>
    <x v="10"/>
    <d v="2023-11-03T00:00:00"/>
    <s v="03/11/2023"/>
    <s v="2023"/>
    <s v="03"/>
    <n v="2638.76"/>
    <n v="24"/>
    <m/>
    <m/>
    <s v="Below Average"/>
    <n v="2428"/>
  </r>
  <r>
    <s v="Camilla Castle"/>
    <s v="USA"/>
    <x v="17"/>
    <s v="20/05/2023"/>
    <s v="20/05/2023"/>
    <s v="2023"/>
    <s v="20/05/2023"/>
    <n v="3496.41"/>
    <n v="18"/>
    <m/>
    <m/>
    <s v="Below Average"/>
    <n v="2139"/>
  </r>
  <r>
    <s v="Brien Boise"/>
    <s v="New Zealand"/>
    <x v="15"/>
    <s v="14/06/2023"/>
    <s v="14/06/2023"/>
    <s v="2023"/>
    <s v="14/06/2023"/>
    <n v="17222.86"/>
    <n v="44"/>
    <m/>
    <m/>
    <s v="Above Average"/>
    <n v="62"/>
  </r>
  <r>
    <s v="Jehu Rudeforth"/>
    <s v="New Zealand"/>
    <x v="5"/>
    <s v="14/04/2023"/>
    <s v="14/04/2023"/>
    <s v="2023"/>
    <s v="14/04/2023"/>
    <n v="1604.87"/>
    <n v="71"/>
    <m/>
    <m/>
    <s v="Below Average"/>
    <n v="2769"/>
  </r>
  <r>
    <s v="Jehu Rudeforth"/>
    <s v="USA"/>
    <x v="3"/>
    <d v="2023-07-07T00:00:00"/>
    <s v="07/07/2023"/>
    <s v="2023"/>
    <s v="07"/>
    <n v="7170.21"/>
    <n v="151"/>
    <m/>
    <m/>
    <s v="Above Average"/>
    <n v="1140"/>
  </r>
  <r>
    <s v="Madelene Upcott"/>
    <s v="India"/>
    <x v="0"/>
    <s v="24/08/2023"/>
    <s v="24/08/2023"/>
    <s v="2023"/>
    <s v="24/08/2023"/>
    <n v="4090.16"/>
    <n v="75"/>
    <m/>
    <m/>
    <s v="Below Average"/>
    <n v="1959"/>
  </r>
  <r>
    <s v="Jehu Rudeforth"/>
    <s v="India"/>
    <x v="8"/>
    <s v="24/02/2023"/>
    <s v="24/02/2023"/>
    <s v="2023"/>
    <s v="24/02/2023"/>
    <n v="9574.3799999999992"/>
    <n v="134"/>
    <m/>
    <m/>
    <s v="Above Average"/>
    <n v="645"/>
  </r>
  <r>
    <s v="Karlen McCaffrey"/>
    <s v="Canada"/>
    <x v="17"/>
    <d v="2023-09-05T00:00:00"/>
    <s v="05/09/2023"/>
    <s v="2023"/>
    <s v="05"/>
    <n v="717.9"/>
    <n v="213"/>
    <m/>
    <m/>
    <s v="Below Average"/>
    <n v="3060"/>
  </r>
  <r>
    <s v="Kaine Padly"/>
    <s v="Australia"/>
    <x v="21"/>
    <d v="2023-08-02T00:00:00"/>
    <s v="02/08/2023"/>
    <s v="2023"/>
    <s v="02"/>
    <n v="7734.54"/>
    <n v="227"/>
    <m/>
    <m/>
    <s v="Above Average"/>
    <n v="1002"/>
  </r>
  <r>
    <s v="Roddy Speechley"/>
    <s v="UK"/>
    <x v="21"/>
    <s v="24/03/2023"/>
    <s v="24/03/2023"/>
    <s v="2023"/>
    <s v="24/03/2023"/>
    <n v="1606.49"/>
    <n v="305"/>
    <m/>
    <m/>
    <s v="Below Average"/>
    <n v="2768"/>
  </r>
  <r>
    <s v="Rafaelita Blaksland"/>
    <s v="USA"/>
    <x v="9"/>
    <s v="20/06/2023"/>
    <s v="20/06/2023"/>
    <s v="2023"/>
    <s v="20/06/2023"/>
    <n v="9170.09"/>
    <n v="79"/>
    <m/>
    <m/>
    <s v="Above Average"/>
    <n v="708"/>
  </r>
  <r>
    <s v="Mallorie Waber"/>
    <s v="Canada"/>
    <x v="15"/>
    <d v="2023-07-03T00:00:00"/>
    <s v="03/07/2023"/>
    <s v="2023"/>
    <s v="03"/>
    <n v="1583.57"/>
    <n v="122"/>
    <m/>
    <m/>
    <s v="Below Average"/>
    <n v="2777"/>
  </r>
  <r>
    <s v="Kaine Padly"/>
    <s v="Australia"/>
    <x v="13"/>
    <s v="20/06/2023"/>
    <s v="20/06/2023"/>
    <s v="2023"/>
    <s v="20/06/2023"/>
    <n v="7684.52"/>
    <n v="83"/>
    <m/>
    <m/>
    <s v="Above Average"/>
    <n v="1020"/>
  </r>
  <r>
    <s v="Oby Sorrel"/>
    <s v="New Zealand"/>
    <x v="10"/>
    <s v="17/02/2023"/>
    <s v="17/02/2023"/>
    <s v="2023"/>
    <s v="17/02/2023"/>
    <n v="16765.07"/>
    <n v="261"/>
    <m/>
    <m/>
    <s v="Above Average"/>
    <n v="74"/>
  </r>
  <r>
    <s v="Madelene Upcott"/>
    <s v="UK"/>
    <x v="4"/>
    <s v="26/01/2023"/>
    <s v="26/01/2023"/>
    <s v="2023"/>
    <s v="26/01/2023"/>
    <n v="11796.63"/>
    <n v="45"/>
    <m/>
    <m/>
    <s v="Above Average"/>
    <n v="360"/>
  </r>
  <r>
    <s v="Madelene Upcott"/>
    <s v="Australia"/>
    <x v="0"/>
    <d v="2023-02-05T00:00:00"/>
    <s v="05/02/2023"/>
    <s v="2023"/>
    <s v="05"/>
    <n v="2766.65"/>
    <n v="148"/>
    <m/>
    <m/>
    <s v="Below Average"/>
    <n v="2385"/>
  </r>
  <r>
    <s v="Curtice Advani"/>
    <s v="Canada"/>
    <x v="4"/>
    <d v="2023-07-07T00:00:00"/>
    <s v="07/07/2023"/>
    <s v="2023"/>
    <s v="07"/>
    <n v="13232.74"/>
    <n v="7"/>
    <m/>
    <m/>
    <s v="Above Average"/>
    <n v="251"/>
  </r>
  <r>
    <s v="Rafaelita Blaksland"/>
    <s v="Australia"/>
    <x v="19"/>
    <s v="22/08/2023"/>
    <s v="22/08/2023"/>
    <s v="2023"/>
    <s v="22/08/2023"/>
    <n v="2820.41"/>
    <n v="50"/>
    <m/>
    <m/>
    <s v="Below Average"/>
    <n v="2365"/>
  </r>
  <r>
    <s v="Karlen McCaffrey"/>
    <s v="Australia"/>
    <x v="5"/>
    <d v="2023-11-08T00:00:00"/>
    <s v="08/11/2023"/>
    <m/>
    <s v="08"/>
    <n v="2483.3200000000002"/>
    <n v="65"/>
    <m/>
    <m/>
    <s v="Below Average"/>
    <n v="2483"/>
  </r>
  <r>
    <s v="Marney O'Breen"/>
    <s v="UK"/>
    <x v="4"/>
    <s v="13/01/2023"/>
    <s v="13/01/2023"/>
    <m/>
    <s v="13/01/2023"/>
    <n v="9124.16"/>
    <n v="209"/>
    <m/>
    <m/>
    <s v="Above Average"/>
    <n v="713"/>
  </r>
  <r>
    <s v="Gunar Cockshoot"/>
    <s v="Australia"/>
    <x v="6"/>
    <d v="2023-02-03T00:00:00"/>
    <s v="03/02/2023"/>
    <m/>
    <s v="03"/>
    <n v="12728.16"/>
    <n v="111"/>
    <m/>
    <m/>
    <s v="Above Average"/>
    <n v="283"/>
  </r>
  <r>
    <s v="Marney O'Breen"/>
    <s v="Australia"/>
    <x v="18"/>
    <s v="27/07/2023"/>
    <s v="27/07/2023"/>
    <m/>
    <s v="27/07/2023"/>
    <n v="12624.64"/>
    <n v="41"/>
    <m/>
    <m/>
    <s v="Above Average"/>
    <n v="289"/>
  </r>
  <r>
    <s v="Kelci Walkden"/>
    <s v="New Zealand"/>
    <x v="9"/>
    <d v="2023-10-03T00:00:00"/>
    <s v="03/10/2023"/>
    <m/>
    <s v="03"/>
    <n v="17584.16"/>
    <n v="110"/>
    <m/>
    <m/>
    <s v="Above Average"/>
    <n v="51"/>
  </r>
  <r>
    <s v="Beverie Moffet"/>
    <s v="USA"/>
    <x v="1"/>
    <s v="23/08/2023"/>
    <s v="23/08/2023"/>
    <m/>
    <s v="23/08/2023"/>
    <n v="13156.49"/>
    <n v="360"/>
    <m/>
    <m/>
    <s v="Above Average"/>
    <n v="255"/>
  </r>
  <r>
    <s v="Roddy Speechley"/>
    <s v="USA"/>
    <x v="8"/>
    <s v="25/04/2023"/>
    <s v="25/04/2023"/>
    <m/>
    <s v="25/04/2023"/>
    <n v="4164.1000000000004"/>
    <n v="167"/>
    <m/>
    <m/>
    <s v="Below Average"/>
    <n v="1940"/>
  </r>
  <r>
    <s v="Dennison Crosswaite"/>
    <s v="UK"/>
    <x v="11"/>
    <d v="2023-07-03T00:00:00"/>
    <s v="03/07/2023"/>
    <m/>
    <s v="03"/>
    <n v="11698.98"/>
    <n v="436"/>
    <m/>
    <m/>
    <s v="Above Average"/>
    <n v="374"/>
  </r>
  <r>
    <s v="Wilone O'Kielt"/>
    <s v="UK"/>
    <x v="10"/>
    <d v="2023-12-07T00:00:00"/>
    <s v="07/12/2023"/>
    <m/>
    <s v="07"/>
    <n v="4964.25"/>
    <n v="56"/>
    <m/>
    <m/>
    <s v="Below Average"/>
    <n v="1714"/>
  </r>
  <r>
    <s v="Madelene Upcott"/>
    <s v="USA"/>
    <x v="7"/>
    <s v="16/05/2023"/>
    <s v="16/05/2023"/>
    <m/>
    <s v="16/05/2023"/>
    <n v="8258.3700000000008"/>
    <n v="132"/>
    <m/>
    <m/>
    <s v="Above Average"/>
    <n v="883"/>
  </r>
  <r>
    <s v="Gunar Cockshoot"/>
    <s v="India"/>
    <x v="3"/>
    <d v="2023-02-03T00:00:00"/>
    <s v="03/02/2023"/>
    <m/>
    <s v="03"/>
    <n v="3938.2"/>
    <n v="70"/>
    <m/>
    <m/>
    <s v="Below Average"/>
    <n v="2003"/>
  </r>
  <r>
    <s v="Marney O'Breen"/>
    <s v="New Zealand"/>
    <x v="1"/>
    <s v="30/05/2023"/>
    <s v="30/05/2023"/>
    <m/>
    <s v="30/05/2023"/>
    <n v="1368.27"/>
    <n v="163"/>
    <m/>
    <m/>
    <s v="Below Average"/>
    <n v="2854"/>
  </r>
  <r>
    <s v="Marney O'Breen"/>
    <s v="UK"/>
    <x v="15"/>
    <d v="2023-10-06T00:00:00"/>
    <s v="06/10/2023"/>
    <m/>
    <s v="06"/>
    <n v="12449.46"/>
    <n v="177"/>
    <m/>
    <m/>
    <s v="Above Average"/>
    <n v="306"/>
  </r>
  <r>
    <s v="Brien Boise"/>
    <s v="USA"/>
    <x v="4"/>
    <s v="25/07/2023"/>
    <s v="25/07/2023"/>
    <m/>
    <s v="25/07/2023"/>
    <n v="7323.82"/>
    <n v="339"/>
    <m/>
    <m/>
    <s v="Above Average"/>
    <n v="1104"/>
  </r>
  <r>
    <s v="Beverie Moffet"/>
    <s v="New Zealand"/>
    <x v="0"/>
    <d v="2023-09-06T00:00:00"/>
    <s v="06/09/2023"/>
    <m/>
    <s v="06"/>
    <n v="4560.8100000000004"/>
    <n v="102"/>
    <m/>
    <m/>
    <s v="Below Average"/>
    <n v="1833"/>
  </r>
  <r>
    <s v="Dennison Crosswaite"/>
    <s v="USA"/>
    <x v="11"/>
    <d v="2023-12-05T00:00:00"/>
    <s v="05/12/2023"/>
    <m/>
    <s v="05"/>
    <n v="777.46"/>
    <n v="58"/>
    <m/>
    <m/>
    <s v="Below Average"/>
    <n v="3037"/>
  </r>
  <r>
    <s v="Gunar Cockshoot"/>
    <s v="USA"/>
    <x v="9"/>
    <d v="2023-09-05T00:00:00"/>
    <s v="05/09/2023"/>
    <m/>
    <s v="05"/>
    <n v="3857.27"/>
    <n v="5"/>
    <m/>
    <m/>
    <s v="Below Average"/>
    <n v="2023"/>
  </r>
  <r>
    <s v="Brien Boise"/>
    <s v="Canada"/>
    <x v="15"/>
    <d v="2023-09-08T00:00:00"/>
    <s v="08/09/2023"/>
    <m/>
    <s v="08"/>
    <n v="7442.69"/>
    <n v="179"/>
    <m/>
    <m/>
    <s v="Above Average"/>
    <n v="1080"/>
  </r>
  <r>
    <s v="Van Tuxwell"/>
    <s v="India"/>
    <x v="18"/>
    <s v="13/04/2023"/>
    <s v="13/04/2023"/>
    <m/>
    <s v="13/04/2023"/>
    <n v="5799.3"/>
    <n v="125"/>
    <m/>
    <m/>
    <s v="Below Average"/>
    <n v="1487"/>
  </r>
  <r>
    <s v="Andria Kimpton"/>
    <s v="USA"/>
    <x v="20"/>
    <d v="2023-02-05T00:00:00"/>
    <s v="05/02/2023"/>
    <m/>
    <s v="05"/>
    <n v="8836.9"/>
    <n v="48"/>
    <m/>
    <m/>
    <s v="Above Average"/>
    <n v="773"/>
  </r>
  <r>
    <s v="Dotty Strutley"/>
    <s v="USA"/>
    <x v="4"/>
    <d v="2023-09-08T00:00:00"/>
    <s v="08/09/2023"/>
    <m/>
    <s v="08"/>
    <n v="4185"/>
    <n v="315"/>
    <m/>
    <m/>
    <s v="Below Average"/>
    <n v="1934"/>
  </r>
  <r>
    <s v="Camilla Castle"/>
    <s v="Australia"/>
    <x v="17"/>
    <s v="23/08/2023"/>
    <s v="23/08/2023"/>
    <m/>
    <s v="23/08/2023"/>
    <n v="6984.06"/>
    <n v="174"/>
    <m/>
    <m/>
    <s v="Above Average"/>
    <n v="1187"/>
  </r>
  <r>
    <s v="Gunar Cockshoot"/>
    <s v="India"/>
    <x v="12"/>
    <s v="13/05/2023"/>
    <s v="13/05/2023"/>
    <m/>
    <s v="13/05/2023"/>
    <n v="7362.7"/>
    <n v="179"/>
    <m/>
    <m/>
    <s v="Above Average"/>
    <n v="1095"/>
  </r>
  <r>
    <s v="Karlen McCaffrey"/>
    <s v="USA"/>
    <x v="15"/>
    <d v="2023-01-02T00:00:00"/>
    <s v="02/01/2023"/>
    <m/>
    <s v="02"/>
    <n v="10338.27"/>
    <n v="73"/>
    <m/>
    <m/>
    <s v="Above Average"/>
    <n v="527"/>
  </r>
  <r>
    <s v="Camilla Castle"/>
    <s v="USA"/>
    <x v="6"/>
    <s v="23/06/2023"/>
    <s v="23/06/2023"/>
    <m/>
    <s v="23/06/2023"/>
    <n v="6215.72"/>
    <n v="324"/>
    <m/>
    <m/>
    <s v="Above Average"/>
    <n v="1376"/>
  </r>
  <r>
    <s v="Madelene Upcott"/>
    <s v="UK"/>
    <x v="18"/>
    <s v="24/05/2023"/>
    <s v="24/05/2023"/>
    <m/>
    <s v="24/05/2023"/>
    <n v="10400.66"/>
    <n v="144"/>
    <m/>
    <m/>
    <s v="Above Average"/>
    <n v="522"/>
  </r>
  <r>
    <s v="Jan Morforth"/>
    <s v="Canada"/>
    <x v="0"/>
    <d v="2023-01-04T00:00:00"/>
    <s v="04/01/2023"/>
    <m/>
    <s v="04"/>
    <n v="1062.6099999999999"/>
    <n v="217"/>
    <m/>
    <m/>
    <s v="Below Average"/>
    <n v="2954"/>
  </r>
  <r>
    <s v="Camilla Castle"/>
    <s v="Canada"/>
    <x v="21"/>
    <s v="27/07/2023"/>
    <s v="27/07/2023"/>
    <m/>
    <s v="27/07/2023"/>
    <n v="10095.709999999999"/>
    <n v="151"/>
    <m/>
    <m/>
    <s v="Above Average"/>
    <n v="569"/>
  </r>
  <r>
    <s v="Ches Bonnell"/>
    <s v="India"/>
    <x v="2"/>
    <s v="27/01/2023"/>
    <s v="27/01/2023"/>
    <m/>
    <s v="27/01/2023"/>
    <n v="23251.68"/>
    <n v="210"/>
    <m/>
    <m/>
    <s v="Above Average"/>
    <n v="2"/>
  </r>
  <r>
    <s v="Jan Morforth"/>
    <s v="India"/>
    <x v="18"/>
    <d v="2023-12-08T00:00:00"/>
    <s v="08/12/2023"/>
    <m/>
    <s v="08"/>
    <n v="2669.61"/>
    <n v="143"/>
    <m/>
    <m/>
    <s v="Below Average"/>
    <n v="2415"/>
  </r>
  <r>
    <s v="Gigi Bohling"/>
    <s v="Canada"/>
    <x v="16"/>
    <d v="2023-01-02T00:00:00"/>
    <s v="02/01/2023"/>
    <m/>
    <s v="02"/>
    <n v="10265.969999999999"/>
    <n v="49"/>
    <m/>
    <m/>
    <s v="Above Average"/>
    <n v="540"/>
  </r>
  <r>
    <s v="Rafaelita Blaksland"/>
    <s v="India"/>
    <x v="5"/>
    <d v="2023-02-03T00:00:00"/>
    <s v="03/02/2023"/>
    <m/>
    <s v="03"/>
    <n v="5423.54"/>
    <n v="203"/>
    <m/>
    <m/>
    <s v="Below Average"/>
    <n v="1589"/>
  </r>
  <r>
    <s v="Kelci Walkden"/>
    <s v="Australia"/>
    <x v="4"/>
    <s v="30/06/2023"/>
    <s v="30/06/2023"/>
    <m/>
    <s v="30/06/2023"/>
    <n v="3272.68"/>
    <n v="32"/>
    <m/>
    <m/>
    <s v="Below Average"/>
    <n v="2219"/>
  </r>
  <r>
    <s v="Dotty Strutley"/>
    <s v="Australia"/>
    <x v="12"/>
    <s v="17/01/2023"/>
    <s v="17/01/2023"/>
    <m/>
    <s v="17/01/2023"/>
    <n v="8840.59"/>
    <n v="92"/>
    <m/>
    <m/>
    <s v="Above Average"/>
    <n v="771"/>
  </r>
  <r>
    <s v="Brien Boise"/>
    <s v="USA"/>
    <x v="11"/>
    <d v="2023-07-07T00:00:00"/>
    <s v="07/07/2023"/>
    <m/>
    <s v="07"/>
    <n v="14460.51"/>
    <n v="124"/>
    <m/>
    <m/>
    <s v="Above Average"/>
    <n v="183"/>
  </r>
  <r>
    <s v="Mallorie Waber"/>
    <s v="New Zealand"/>
    <x v="0"/>
    <s v="31/01/2023"/>
    <s v="31/01/2023"/>
    <m/>
    <s v="31/01/2023"/>
    <n v="1461.99"/>
    <n v="109"/>
    <m/>
    <m/>
    <s v="Below Average"/>
    <n v="2815"/>
  </r>
  <r>
    <s v="Beverie Moffet"/>
    <s v="UK"/>
    <x v="4"/>
    <d v="2023-10-08T00:00:00"/>
    <s v="08/10/2023"/>
    <m/>
    <s v="08"/>
    <n v="3701.6"/>
    <n v="131"/>
    <m/>
    <m/>
    <s v="Below Average"/>
    <n v="2074"/>
  </r>
  <r>
    <s v="Beverie Moffet"/>
    <s v="USA"/>
    <x v="2"/>
    <s v="18/08/2023"/>
    <s v="18/08/2023"/>
    <m/>
    <s v="18/08/2023"/>
    <n v="13951.32"/>
    <n v="329"/>
    <m/>
    <m/>
    <s v="Above Average"/>
    <n v="212"/>
  </r>
  <r>
    <s v="Brien Boise"/>
    <s v="New Zealand"/>
    <x v="14"/>
    <s v="15/06/2023"/>
    <s v="15/06/2023"/>
    <m/>
    <s v="15/06/2023"/>
    <n v="5774.92"/>
    <n v="325"/>
    <m/>
    <m/>
    <s v="Below Average"/>
    <n v="1496"/>
  </r>
  <r>
    <s v="Marney O'Breen"/>
    <s v="USA"/>
    <x v="19"/>
    <s v="26/01/2023"/>
    <s v="26/01/2023"/>
    <m/>
    <s v="26/01/2023"/>
    <n v="9718.8700000000008"/>
    <n v="10"/>
    <m/>
    <m/>
    <s v="Above Average"/>
    <n v="628"/>
  </r>
  <r>
    <s v="Kelci Walkden"/>
    <s v="USA"/>
    <x v="12"/>
    <s v="29/04/2023"/>
    <s v="29/04/2023"/>
    <m/>
    <s v="29/04/2023"/>
    <n v="87.52"/>
    <n v="69"/>
    <m/>
    <m/>
    <s v="Below Average"/>
    <n v="3250"/>
  </r>
  <r>
    <s v="Mallorie Waber"/>
    <s v="Canada"/>
    <x v="14"/>
    <d v="2023-03-03T00:00:00"/>
    <s v="03/03/2023"/>
    <m/>
    <s v="03"/>
    <n v="3398.51"/>
    <n v="74"/>
    <m/>
    <m/>
    <s v="Below Average"/>
    <n v="2175"/>
  </r>
  <r>
    <s v="Kaine Padly"/>
    <s v="Australia"/>
    <x v="16"/>
    <s v="22/02/2023"/>
    <s v="22/02/2023"/>
    <m/>
    <s v="22/02/2023"/>
    <n v="4371.7700000000004"/>
    <n v="375"/>
    <m/>
    <m/>
    <s v="Below Average"/>
    <n v="1884"/>
  </r>
  <r>
    <s v="Oby Sorrel"/>
    <s v="USA"/>
    <x v="3"/>
    <d v="2023-04-03T00:00:00"/>
    <s v="03/04/2023"/>
    <m/>
    <s v="03"/>
    <n v="3632.32"/>
    <n v="169"/>
    <m/>
    <m/>
    <s v="Below Average"/>
    <n v="2095"/>
  </r>
  <r>
    <s v="Dennison Crosswaite"/>
    <s v="India"/>
    <x v="3"/>
    <d v="2023-07-07T00:00:00"/>
    <s v="07/07/2023"/>
    <m/>
    <s v="07"/>
    <n v="3343.85"/>
    <n v="10"/>
    <m/>
    <m/>
    <s v="Below Average"/>
    <n v="2201"/>
  </r>
  <r>
    <s v="Camilla Castle"/>
    <s v="New Zealand"/>
    <x v="20"/>
    <s v="17/06/2023"/>
    <s v="17/06/2023"/>
    <m/>
    <s v="17/06/2023"/>
    <n v="4400.28"/>
    <n v="364"/>
    <m/>
    <m/>
    <s v="Below Average"/>
    <n v="1875"/>
  </r>
  <r>
    <s v="Jan Morforth"/>
    <s v="Canada"/>
    <x v="20"/>
    <d v="2023-02-08T00:00:00"/>
    <s v="08/02/2023"/>
    <m/>
    <s v="08"/>
    <n v="10802.13"/>
    <n v="124"/>
    <m/>
    <m/>
    <s v="Above Average"/>
    <n v="472"/>
  </r>
  <r>
    <s v="Oby Sorrel"/>
    <s v="USA"/>
    <x v="19"/>
    <d v="2023-12-08T00:00:00"/>
    <s v="08/12/2023"/>
    <m/>
    <s v="08"/>
    <n v="9154.17"/>
    <n v="123"/>
    <m/>
    <m/>
    <s v="Above Average"/>
    <n v="710"/>
  </r>
  <r>
    <s v="Madelene Upcott"/>
    <s v="New Zealand"/>
    <x v="2"/>
    <s v="28/01/2023"/>
    <s v="28/01/2023"/>
    <m/>
    <s v="28/01/2023"/>
    <n v="5360.89"/>
    <n v="340"/>
    <m/>
    <m/>
    <s v="Below Average"/>
    <n v="1600"/>
  </r>
  <r>
    <s v="Kelci Walkden"/>
    <s v="Australia"/>
    <x v="7"/>
    <s v="29/04/2023"/>
    <s v="29/04/2023"/>
    <m/>
    <s v="29/04/2023"/>
    <n v="11597.46"/>
    <n v="462"/>
    <m/>
    <m/>
    <s v="Above Average"/>
    <n v="385"/>
  </r>
  <r>
    <s v="Marney O'Breen"/>
    <s v="Australia"/>
    <x v="15"/>
    <d v="2023-05-04T00:00:00"/>
    <s v="04/05/2023"/>
    <m/>
    <s v="04"/>
    <n v="14939.24"/>
    <n v="238"/>
    <m/>
    <m/>
    <s v="Above Average"/>
    <n v="151"/>
  </r>
  <r>
    <s v="Kaine Padly"/>
    <s v="Canada"/>
    <x v="15"/>
    <s v="18/01/2023"/>
    <s v="18/01/2023"/>
    <m/>
    <s v="18/01/2023"/>
    <n v="10845.85"/>
    <n v="146"/>
    <m/>
    <m/>
    <s v="Above Average"/>
    <n v="464"/>
  </r>
  <r>
    <s v="Jehu Rudeforth"/>
    <s v="UK"/>
    <x v="19"/>
    <s v="16/05/2023"/>
    <s v="16/05/2023"/>
    <m/>
    <s v="16/05/2023"/>
    <n v="2832.78"/>
    <n v="104"/>
    <m/>
    <m/>
    <s v="Below Average"/>
    <n v="2360"/>
  </r>
  <r>
    <s v="Kelci Walkden"/>
    <s v="Australia"/>
    <x v="14"/>
    <s v="24/08/2023"/>
    <s v="24/08/2023"/>
    <m/>
    <s v="24/08/2023"/>
    <n v="8879.7199999999993"/>
    <n v="177"/>
    <m/>
    <m/>
    <s v="Above Average"/>
    <n v="764"/>
  </r>
  <r>
    <s v="Curtice Advani"/>
    <s v="India"/>
    <x v="1"/>
    <s v="18/01/2023"/>
    <s v="18/01/2023"/>
    <m/>
    <s v="18/01/2023"/>
    <n v="298.33999999999997"/>
    <n v="399"/>
    <m/>
    <m/>
    <s v="Below Average"/>
    <n v="3196"/>
  </r>
  <r>
    <s v="Kaine Padly"/>
    <s v="USA"/>
    <x v="8"/>
    <s v="22/08/2023"/>
    <s v="22/08/2023"/>
    <m/>
    <s v="22/08/2023"/>
    <n v="7799.51"/>
    <n v="10"/>
    <m/>
    <m/>
    <s v="Above Average"/>
    <n v="988"/>
  </r>
  <r>
    <s v="Gunar Cockshoot"/>
    <s v="UK"/>
    <x v="4"/>
    <d v="2023-07-03T00:00:00"/>
    <s v="03/07/2023"/>
    <m/>
    <s v="03"/>
    <n v="8.0399999999999991"/>
    <n v="85"/>
    <m/>
    <m/>
    <s v="Below Average"/>
    <n v="3279"/>
  </r>
  <r>
    <s v="Beverie Moffet"/>
    <s v="UK"/>
    <x v="18"/>
    <d v="2023-04-03T00:00:00"/>
    <s v="03/04/2023"/>
    <m/>
    <s v="03"/>
    <n v="3212.35"/>
    <n v="66"/>
    <m/>
    <m/>
    <s v="Below Average"/>
    <n v="2231"/>
  </r>
  <r>
    <s v="Dotty Strutley"/>
    <s v="Canada"/>
    <x v="15"/>
    <s v="22/04/2023"/>
    <s v="22/04/2023"/>
    <m/>
    <s v="22/04/2023"/>
    <n v="12048.56"/>
    <n v="113"/>
    <m/>
    <m/>
    <s v="Above Average"/>
    <n v="344"/>
  </r>
  <r>
    <s v="Kaine Padly"/>
    <s v="Australia"/>
    <x v="11"/>
    <d v="2023-09-06T00:00:00"/>
    <s v="06/09/2023"/>
    <m/>
    <s v="06"/>
    <n v="4499.6400000000003"/>
    <n v="91"/>
    <m/>
    <m/>
    <s v="Below Average"/>
    <n v="1849"/>
  </r>
  <r>
    <s v="Jan Morforth"/>
    <s v="Canada"/>
    <x v="13"/>
    <s v="25/07/2023"/>
    <s v="25/07/2023"/>
    <m/>
    <s v="25/07/2023"/>
    <n v="9984.16"/>
    <n v="207"/>
    <m/>
    <m/>
    <s v="Above Average"/>
    <n v="584"/>
  </r>
  <r>
    <s v="Jan Morforth"/>
    <s v="India"/>
    <x v="3"/>
    <d v="2023-03-08T00:00:00"/>
    <s v="08/03/2023"/>
    <m/>
    <s v="08"/>
    <n v="11867.83"/>
    <n v="95"/>
    <m/>
    <m/>
    <s v="Above Average"/>
    <n v="353"/>
  </r>
  <r>
    <s v="Rafaelita Blaksland"/>
    <s v="Australia"/>
    <x v="15"/>
    <d v="2023-03-08T00:00:00"/>
    <s v="08/03/2023"/>
    <m/>
    <s v="08"/>
    <n v="4806.6499999999996"/>
    <n v="132"/>
    <m/>
    <m/>
    <s v="Below Average"/>
    <n v="1765"/>
  </r>
  <r>
    <s v="Jehu Rudeforth"/>
    <s v="UK"/>
    <x v="11"/>
    <d v="2023-03-05T00:00:00"/>
    <s v="05/03/2023"/>
    <m/>
    <s v="05"/>
    <n v="13420.93"/>
    <n v="232"/>
    <m/>
    <m/>
    <s v="Above Average"/>
    <n v="241"/>
  </r>
  <r>
    <s v="Husein Augar"/>
    <s v="Canada"/>
    <x v="5"/>
    <s v="19/01/2023"/>
    <s v="19/01/2023"/>
    <m/>
    <s v="19/01/2023"/>
    <n v="10407.51"/>
    <n v="301"/>
    <m/>
    <m/>
    <s v="Above Average"/>
    <n v="521"/>
  </r>
  <r>
    <s v="Roddy Speechley"/>
    <s v="USA"/>
    <x v="6"/>
    <d v="2023-11-02T00:00:00"/>
    <s v="02/11/2023"/>
    <m/>
    <s v="02"/>
    <n v="10849.39"/>
    <n v="330"/>
    <m/>
    <m/>
    <s v="Above Average"/>
    <n v="463"/>
  </r>
  <r>
    <s v="Van Tuxwell"/>
    <s v="India"/>
    <x v="16"/>
    <s v="14/06/2023"/>
    <s v="14/06/2023"/>
    <m/>
    <s v="14/06/2023"/>
    <n v="7247.29"/>
    <n v="402"/>
    <m/>
    <m/>
    <s v="Above Average"/>
    <n v="1119"/>
  </r>
  <r>
    <s v="Kelci Walkden"/>
    <s v="USA"/>
    <x v="6"/>
    <s v="23/03/2023"/>
    <s v="23/03/2023"/>
    <m/>
    <s v="23/03/2023"/>
    <n v="6387.65"/>
    <n v="227"/>
    <m/>
    <m/>
    <s v="Above Average"/>
    <n v="1335"/>
  </r>
  <r>
    <s v="Madelene Upcott"/>
    <s v="Canada"/>
    <x v="1"/>
    <s v="17/02/2023"/>
    <s v="17/02/2023"/>
    <m/>
    <s v="17/02/2023"/>
    <n v="8373.42"/>
    <n v="108"/>
    <m/>
    <m/>
    <s v="Above Average"/>
    <n v="860"/>
  </r>
  <r>
    <s v="Dennison Crosswaite"/>
    <s v="Canada"/>
    <x v="3"/>
    <s v="17/03/2023"/>
    <s v="17/03/2023"/>
    <m/>
    <s v="17/03/2023"/>
    <n v="1887.19"/>
    <n v="488"/>
    <m/>
    <m/>
    <s v="Below Average"/>
    <n v="2670"/>
  </r>
  <r>
    <s v="Mallorie Waber"/>
    <s v="Australia"/>
    <x v="12"/>
    <s v="29/06/2023"/>
    <s v="29/06/2023"/>
    <m/>
    <s v="29/06/2023"/>
    <n v="6054.04"/>
    <n v="287"/>
    <m/>
    <m/>
    <s v="Above Average"/>
    <n v="1420"/>
  </r>
  <r>
    <s v="Ches Bonnell"/>
    <s v="Canada"/>
    <x v="18"/>
    <s v="24/08/2023"/>
    <s v="24/08/2023"/>
    <m/>
    <s v="24/08/2023"/>
    <n v="16254.61"/>
    <n v="268"/>
    <m/>
    <m/>
    <s v="Above Average"/>
    <n v="91"/>
  </r>
  <r>
    <s v="Gigi Bohling"/>
    <s v="Canada"/>
    <x v="12"/>
    <d v="2023-04-07T00:00:00"/>
    <s v="07/04/2023"/>
    <m/>
    <s v="07"/>
    <n v="13173.56"/>
    <n v="301"/>
    <m/>
    <m/>
    <s v="Above Average"/>
    <n v="254"/>
  </r>
  <r>
    <s v="Roddy Speechley"/>
    <s v="New Zealand"/>
    <x v="16"/>
    <s v="28/03/2023"/>
    <s v="28/03/2023"/>
    <m/>
    <s v="28/03/2023"/>
    <n v="2721.46"/>
    <n v="72"/>
    <m/>
    <m/>
    <s v="Below Average"/>
    <n v="2398"/>
  </r>
  <r>
    <s v="Curtice Advani"/>
    <s v="India"/>
    <x v="3"/>
    <s v="19/04/2023"/>
    <s v="19/04/2023"/>
    <m/>
    <s v="19/04/2023"/>
    <n v="19283.64"/>
    <n v="139"/>
    <m/>
    <m/>
    <s v="Above Average"/>
    <n v="25"/>
  </r>
  <r>
    <s v="Ches Bonnell"/>
    <s v="New Zealand"/>
    <x v="0"/>
    <s v="18/01/2023"/>
    <s v="18/01/2023"/>
    <m/>
    <s v="18/01/2023"/>
    <n v="9327.52"/>
    <n v="232"/>
    <m/>
    <m/>
    <s v="Above Average"/>
    <n v="683"/>
  </r>
  <r>
    <s v="Van Tuxwell"/>
    <s v="New Zealand"/>
    <x v="13"/>
    <s v="17/01/2023"/>
    <s v="17/01/2023"/>
    <m/>
    <s v="17/01/2023"/>
    <n v="3184.03"/>
    <n v="85"/>
    <m/>
    <m/>
    <s v="Below Average"/>
    <n v="2238"/>
  </r>
  <r>
    <s v="Andria Kimpton"/>
    <s v="New Zealand"/>
    <x v="0"/>
    <s v="15/02/2023"/>
    <s v="15/02/2023"/>
    <m/>
    <s v="15/02/2023"/>
    <n v="9738.74"/>
    <n v="209"/>
    <m/>
    <m/>
    <s v="Above Average"/>
    <n v="626"/>
  </r>
  <r>
    <s v="Andria Kimpton"/>
    <s v="UK"/>
    <x v="11"/>
    <d v="2023-11-02T00:00:00"/>
    <s v="02/11/2023"/>
    <m/>
    <s v="02"/>
    <n v="16486.650000000001"/>
    <n v="314"/>
    <m/>
    <m/>
    <s v="Above Average"/>
    <n v="84"/>
  </r>
  <r>
    <s v="Camilla Castle"/>
    <s v="USA"/>
    <x v="15"/>
    <s v="21/03/2023"/>
    <s v="21/03/2023"/>
    <m/>
    <s v="21/03/2023"/>
    <n v="16792.23"/>
    <n v="184"/>
    <m/>
    <m/>
    <s v="Above Average"/>
    <n v="72"/>
  </r>
  <r>
    <s v="Gunar Cockshoot"/>
    <s v="New Zealand"/>
    <x v="16"/>
    <d v="2023-05-01T00:00:00"/>
    <s v="01/05/2023"/>
    <m/>
    <s v="01"/>
    <n v="5752.62"/>
    <n v="125"/>
    <m/>
    <m/>
    <s v="Below Average"/>
    <n v="1504"/>
  </r>
  <r>
    <s v="Brien Boise"/>
    <s v="India"/>
    <x v="17"/>
    <s v="30/05/2023"/>
    <s v="30/05/2023"/>
    <m/>
    <s v="30/05/2023"/>
    <n v="6833.28"/>
    <n v="157"/>
    <m/>
    <m/>
    <s v="Above Average"/>
    <n v="1224"/>
  </r>
  <r>
    <s v="Jehu Rudeforth"/>
    <s v="USA"/>
    <x v="4"/>
    <d v="2023-04-01T00:00:00"/>
    <s v="01/04/2023"/>
    <m/>
    <s v="01"/>
    <n v="2815.72"/>
    <n v="222"/>
    <m/>
    <m/>
    <s v="Below Average"/>
    <n v="2368"/>
  </r>
  <r>
    <s v="Beverie Moffet"/>
    <s v="Australia"/>
    <x v="13"/>
    <s v="22/04/2023"/>
    <s v="22/04/2023"/>
    <m/>
    <s v="22/04/2023"/>
    <n v="1545.36"/>
    <n v="269"/>
    <m/>
    <m/>
    <s v="Below Average"/>
    <n v="2789"/>
  </r>
  <r>
    <s v="Gigi Bohling"/>
    <s v="Canada"/>
    <x v="11"/>
    <d v="2023-10-02T00:00:00"/>
    <s v="02/10/2023"/>
    <m/>
    <s v="02"/>
    <n v="3432.73"/>
    <n v="120"/>
    <m/>
    <m/>
    <s v="Below Average"/>
    <n v="2161"/>
  </r>
  <r>
    <s v="Dotty Strutley"/>
    <s v="India"/>
    <x v="12"/>
    <d v="2023-12-08T00:00:00"/>
    <s v="08/12/2023"/>
    <m/>
    <s v="08"/>
    <n v="1001.99"/>
    <n v="217"/>
    <m/>
    <m/>
    <s v="Below Average"/>
    <n v="2973"/>
  </r>
  <r>
    <s v="Gunar Cockshoot"/>
    <s v="USA"/>
    <x v="10"/>
    <d v="2023-10-08T00:00:00"/>
    <s v="08/10/2023"/>
    <m/>
    <s v="08"/>
    <n v="2494.19"/>
    <n v="315"/>
    <m/>
    <m/>
    <s v="Below Average"/>
    <n v="2477"/>
  </r>
  <r>
    <s v="Kelci Walkden"/>
    <s v="Australia"/>
    <x v="17"/>
    <d v="2023-07-06T00:00:00"/>
    <s v="06/07/2023"/>
    <m/>
    <s v="06"/>
    <n v="770.25"/>
    <n v="61"/>
    <m/>
    <m/>
    <s v="Below Average"/>
    <n v="3042"/>
  </r>
  <r>
    <s v="Jehu Rudeforth"/>
    <s v="India"/>
    <x v="19"/>
    <d v="2023-06-06T00:00:00"/>
    <s v="06/06/2023"/>
    <m/>
    <s v="06"/>
    <n v="2261.98"/>
    <n v="73"/>
    <m/>
    <m/>
    <s v="Below Average"/>
    <n v="2564"/>
  </r>
  <r>
    <s v="Karlen McCaffrey"/>
    <s v="New Zealand"/>
    <x v="19"/>
    <d v="2023-05-04T00:00:00"/>
    <s v="04/05/2023"/>
    <m/>
    <s v="04"/>
    <n v="5667.58"/>
    <n v="204"/>
    <m/>
    <m/>
    <s v="Below Average"/>
    <n v="1527"/>
  </r>
  <r>
    <s v="Wilone O'Kielt"/>
    <s v="USA"/>
    <x v="6"/>
    <s v="18/04/2023"/>
    <s v="18/04/2023"/>
    <m/>
    <s v="18/04/2023"/>
    <n v="4738.71"/>
    <n v="125"/>
    <m/>
    <m/>
    <s v="Below Average"/>
    <n v="1790"/>
  </r>
  <r>
    <s v="Andria Kimpton"/>
    <s v="India"/>
    <x v="6"/>
    <s v="31/01/2023"/>
    <s v="31/01/2023"/>
    <m/>
    <s v="31/01/2023"/>
    <n v="13661.89"/>
    <n v="15"/>
    <m/>
    <m/>
    <s v="Above Average"/>
    <n v="226"/>
  </r>
  <r>
    <s v="Madelene Upcott"/>
    <s v="USA"/>
    <x v="19"/>
    <s v="22/08/2023"/>
    <s v="22/08/2023"/>
    <m/>
    <s v="22/08/2023"/>
    <n v="6067.19"/>
    <n v="151"/>
    <m/>
    <m/>
    <s v="Above Average"/>
    <n v="1415"/>
  </r>
  <r>
    <s v="Jehu Rudeforth"/>
    <s v="Australia"/>
    <x v="4"/>
    <s v="25/02/2023"/>
    <s v="25/02/2023"/>
    <m/>
    <s v="25/02/2023"/>
    <n v="11720.99"/>
    <n v="204"/>
    <m/>
    <m/>
    <s v="Above Average"/>
    <n v="369"/>
  </r>
  <r>
    <s v="Jan Morforth"/>
    <s v="Australia"/>
    <x v="0"/>
    <s v="22/02/2023"/>
    <s v="22/02/2023"/>
    <m/>
    <s v="22/02/2023"/>
    <n v="19999.55"/>
    <n v="106"/>
    <m/>
    <m/>
    <s v="Above Average"/>
    <n v="17"/>
  </r>
  <r>
    <s v="Oby Sorrel"/>
    <s v="New Zealand"/>
    <x v="11"/>
    <d v="2023-12-01T00:00:00"/>
    <s v="01/12/2023"/>
    <m/>
    <s v="01"/>
    <n v="4484.03"/>
    <n v="201"/>
    <m/>
    <m/>
    <s v="Below Average"/>
    <n v="1857"/>
  </r>
  <r>
    <s v="Brien Boise"/>
    <s v="UK"/>
    <x v="16"/>
    <s v="25/05/2023"/>
    <s v="25/05/2023"/>
    <m/>
    <s v="25/05/2023"/>
    <n v="107.24"/>
    <n v="129"/>
    <m/>
    <m/>
    <s v="Below Average"/>
    <n v="3242"/>
  </r>
  <r>
    <s v="Kelci Walkden"/>
    <s v="India"/>
    <x v="3"/>
    <d v="2023-01-02T00:00:00"/>
    <s v="02/01/2023"/>
    <m/>
    <s v="02"/>
    <n v="2525.98"/>
    <n v="8"/>
    <m/>
    <m/>
    <s v="Below Average"/>
    <n v="2461"/>
  </r>
  <r>
    <s v="Rafaelita Blaksland"/>
    <s v="UK"/>
    <x v="8"/>
    <s v="27/04/2023"/>
    <s v="27/04/2023"/>
    <m/>
    <s v="27/04/2023"/>
    <n v="1577.84"/>
    <n v="67"/>
    <m/>
    <m/>
    <s v="Below Average"/>
    <n v="2780"/>
  </r>
  <r>
    <s v="Gigi Bohling"/>
    <s v="USA"/>
    <x v="3"/>
    <s v="22/07/2023"/>
    <s v="22/07/2023"/>
    <m/>
    <s v="22/07/2023"/>
    <n v="2972.07"/>
    <n v="129"/>
    <m/>
    <m/>
    <s v="Below Average"/>
    <n v="2318"/>
  </r>
  <r>
    <s v="Curtice Advani"/>
    <s v="New Zealand"/>
    <x v="0"/>
    <s v="26/01/2023"/>
    <s v="26/01/2023"/>
    <m/>
    <s v="26/01/2023"/>
    <n v="3691.63"/>
    <n v="284"/>
    <m/>
    <m/>
    <s v="Below Average"/>
    <n v="2076"/>
  </r>
  <r>
    <s v="Curtice Advani"/>
    <s v="USA"/>
    <x v="0"/>
    <s v="24/08/2023"/>
    <s v="24/08/2023"/>
    <m/>
    <s v="24/08/2023"/>
    <n v="5188.8900000000003"/>
    <n v="293"/>
    <m/>
    <m/>
    <s v="Below Average"/>
    <n v="1650"/>
  </r>
  <r>
    <s v="Madelene Upcott"/>
    <s v="New Zealand"/>
    <x v="13"/>
    <s v="18/01/2023"/>
    <s v="18/01/2023"/>
    <m/>
    <s v="18/01/2023"/>
    <n v="5766.51"/>
    <n v="21"/>
    <m/>
    <m/>
    <s v="Below Average"/>
    <n v="1502"/>
  </r>
  <r>
    <s v="Karlen McCaffrey"/>
    <s v="India"/>
    <x v="1"/>
    <s v="30/03/2023"/>
    <s v="30/03/2023"/>
    <m/>
    <s v="30/03/2023"/>
    <n v="1036.77"/>
    <n v="82"/>
    <m/>
    <m/>
    <s v="Below Average"/>
    <n v="2960"/>
  </r>
  <r>
    <s v="Ches Bonnell"/>
    <s v="Australia"/>
    <x v="20"/>
    <s v="17/01/2023"/>
    <s v="17/01/2023"/>
    <m/>
    <s v="17/01/2023"/>
    <n v="10033.52"/>
    <n v="163"/>
    <m/>
    <m/>
    <s v="Above Average"/>
    <n v="575"/>
  </r>
  <r>
    <s v="Kelci Walkden"/>
    <s v="USA"/>
    <x v="13"/>
    <s v="17/02/2023"/>
    <s v="17/02/2023"/>
    <m/>
    <s v="17/02/2023"/>
    <n v="5220.6899999999996"/>
    <n v="154"/>
    <m/>
    <m/>
    <s v="Below Average"/>
    <n v="1644"/>
  </r>
  <r>
    <s v="Kelci Walkden"/>
    <s v="Canada"/>
    <x v="2"/>
    <d v="2023-08-04T00:00:00"/>
    <s v="04/08/2023"/>
    <m/>
    <s v="04"/>
    <n v="8106.62"/>
    <n v="47"/>
    <m/>
    <m/>
    <s v="Above Average"/>
    <n v="914"/>
  </r>
  <r>
    <s v="Gigi Bohling"/>
    <s v="Canada"/>
    <x v="9"/>
    <d v="2023-06-07T00:00:00"/>
    <s v="07/06/2023"/>
    <m/>
    <s v="07"/>
    <n v="3934.09"/>
    <n v="86"/>
    <m/>
    <m/>
    <s v="Below Average"/>
    <n v="2004"/>
  </r>
  <r>
    <s v="Husein Augar"/>
    <s v="India"/>
    <x v="13"/>
    <d v="2023-04-04T00:00:00"/>
    <s v="04/04/2023"/>
    <m/>
    <s v="04"/>
    <n v="4508.93"/>
    <n v="231"/>
    <m/>
    <m/>
    <s v="Below Average"/>
    <n v="1846"/>
  </r>
  <r>
    <s v="Jan Morforth"/>
    <s v="New Zealand"/>
    <x v="10"/>
    <d v="2023-02-03T00:00:00"/>
    <s v="03/02/2023"/>
    <m/>
    <s v="03"/>
    <n v="1921.57"/>
    <n v="226"/>
    <m/>
    <m/>
    <s v="Below Average"/>
    <n v="2658"/>
  </r>
  <r>
    <s v="Gigi Bohling"/>
    <s v="New Zealand"/>
    <x v="17"/>
    <d v="2023-09-08T00:00:00"/>
    <s v="08/09/2023"/>
    <m/>
    <s v="08"/>
    <n v="1161.31"/>
    <n v="181"/>
    <m/>
    <m/>
    <s v="Below Average"/>
    <n v="2915"/>
  </r>
  <r>
    <s v="Dennison Crosswaite"/>
    <s v="Australia"/>
    <x v="11"/>
    <d v="2023-09-06T00:00:00"/>
    <s v="06/09/2023"/>
    <m/>
    <s v="06"/>
    <n v="11389.29"/>
    <n v="282"/>
    <m/>
    <m/>
    <s v="Above Average"/>
    <n v="405"/>
  </r>
  <r>
    <s v="Ches Bonnell"/>
    <s v="UK"/>
    <x v="20"/>
    <d v="2023-02-06T00:00:00"/>
    <s v="06/02/2023"/>
    <m/>
    <s v="06"/>
    <n v="3032.3"/>
    <n v="313"/>
    <m/>
    <m/>
    <s v="Below Average"/>
    <n v="2294"/>
  </r>
  <r>
    <s v="Van Tuxwell"/>
    <s v="USA"/>
    <x v="13"/>
    <d v="2023-05-07T00:00:00"/>
    <s v="07/05/2023"/>
    <m/>
    <s v="07"/>
    <n v="6871.55"/>
    <n v="238"/>
    <m/>
    <m/>
    <s v="Above Average"/>
    <n v="1215"/>
  </r>
  <r>
    <s v="Andria Kimpton"/>
    <s v="Canada"/>
    <x v="8"/>
    <d v="2023-11-08T00:00:00"/>
    <s v="08/11/2023"/>
    <m/>
    <s v="08"/>
    <n v="339.99"/>
    <n v="124"/>
    <m/>
    <m/>
    <s v="Below Average"/>
    <n v="3175"/>
  </r>
  <r>
    <s v="Madelene Upcott"/>
    <s v="India"/>
    <x v="18"/>
    <d v="2023-11-02T00:00:00"/>
    <s v="02/11/2023"/>
    <m/>
    <s v="02"/>
    <n v="3720.22"/>
    <n v="141"/>
    <m/>
    <m/>
    <s v="Below Average"/>
    <n v="2066"/>
  </r>
  <r>
    <s v="Kelci Walkden"/>
    <s v="New Zealand"/>
    <x v="12"/>
    <d v="2023-11-08T00:00:00"/>
    <s v="08/11/2023"/>
    <m/>
    <s v="08"/>
    <n v="731.19"/>
    <n v="69"/>
    <m/>
    <m/>
    <s v="Below Average"/>
    <n v="3050"/>
  </r>
  <r>
    <s v="Roddy Speechley"/>
    <s v="Australia"/>
    <x v="9"/>
    <d v="2023-12-05T00:00:00"/>
    <s v="05/12/2023"/>
    <m/>
    <s v="05"/>
    <n v="13288.65"/>
    <n v="112"/>
    <m/>
    <m/>
    <s v="Above Average"/>
    <n v="249"/>
  </r>
  <r>
    <s v="Wilone O'Kielt"/>
    <s v="USA"/>
    <x v="11"/>
    <s v="15/07/2023"/>
    <s v="15/07/2023"/>
    <m/>
    <s v="15/07/2023"/>
    <n v="5332.79"/>
    <n v="101"/>
    <m/>
    <m/>
    <s v="Below Average"/>
    <n v="1607"/>
  </r>
  <r>
    <s v="Andria Kimpton"/>
    <s v="India"/>
    <x v="10"/>
    <s v="18/01/2023"/>
    <s v="18/01/2023"/>
    <m/>
    <s v="18/01/2023"/>
    <n v="3971.78"/>
    <n v="131"/>
    <m/>
    <m/>
    <s v="Below Average"/>
    <n v="1992"/>
  </r>
  <r>
    <s v="Madelene Upcott"/>
    <s v="UK"/>
    <x v="13"/>
    <d v="2023-05-01T00:00:00"/>
    <s v="01/05/2023"/>
    <m/>
    <s v="01"/>
    <n v="9538.2099999999991"/>
    <n v="198"/>
    <m/>
    <m/>
    <s v="Above Average"/>
    <n v="650"/>
  </r>
  <r>
    <s v="Curtice Advani"/>
    <s v="Australia"/>
    <x v="6"/>
    <s v="29/06/2023"/>
    <s v="29/06/2023"/>
    <m/>
    <s v="29/06/2023"/>
    <n v="547.85"/>
    <n v="221"/>
    <m/>
    <m/>
    <s v="Below Average"/>
    <n v="3112"/>
  </r>
  <r>
    <s v="Brien Boise"/>
    <s v="Canada"/>
    <x v="17"/>
    <s v="14/06/2023"/>
    <s v="14/06/2023"/>
    <m/>
    <s v="14/06/2023"/>
    <n v="2994.76"/>
    <n v="47"/>
    <m/>
    <m/>
    <s v="Below Average"/>
    <n v="2313"/>
  </r>
  <r>
    <s v="Gunar Cockshoot"/>
    <s v="India"/>
    <x v="0"/>
    <d v="2023-08-08T00:00:00"/>
    <s v="08/08/2023"/>
    <m/>
    <s v="08"/>
    <n v="4451.38"/>
    <n v="71"/>
    <m/>
    <m/>
    <s v="Below Average"/>
    <n v="1864"/>
  </r>
  <r>
    <s v="Dennison Crosswaite"/>
    <s v="India"/>
    <x v="0"/>
    <s v="23/03/2023"/>
    <s v="23/03/2023"/>
    <m/>
    <s v="23/03/2023"/>
    <n v="14691.77"/>
    <n v="143"/>
    <m/>
    <m/>
    <s v="Above Average"/>
    <n v="164"/>
  </r>
  <r>
    <s v="Barr Faughny"/>
    <s v="India"/>
    <x v="20"/>
    <d v="2023-04-01T00:00:00"/>
    <s v="01/04/2023"/>
    <m/>
    <s v="01"/>
    <n v="7042.98"/>
    <n v="107"/>
    <m/>
    <m/>
    <s v="Above Average"/>
    <n v="1168"/>
  </r>
  <r>
    <s v="Brien Boise"/>
    <s v="India"/>
    <x v="11"/>
    <s v="22/02/2023"/>
    <s v="22/02/2023"/>
    <m/>
    <s v="22/02/2023"/>
    <n v="15583"/>
    <n v="248"/>
    <m/>
    <m/>
    <s v="Above Average"/>
    <n v="119"/>
  </r>
  <r>
    <s v="Beverie Moffet"/>
    <s v="UK"/>
    <x v="12"/>
    <s v="17/02/2023"/>
    <s v="17/02/2023"/>
    <m/>
    <s v="17/02/2023"/>
    <n v="9059.82"/>
    <n v="268"/>
    <m/>
    <m/>
    <s v="Above Average"/>
    <n v="724"/>
  </r>
  <r>
    <s v="Barr Faughny"/>
    <s v="USA"/>
    <x v="16"/>
    <d v="2023-03-02T00:00:00"/>
    <s v="02/03/2023"/>
    <m/>
    <s v="02"/>
    <n v="430.59"/>
    <n v="85"/>
    <m/>
    <m/>
    <s v="Below Average"/>
    <n v="3157"/>
  </r>
  <r>
    <s v="Van Tuxwell"/>
    <s v="Canada"/>
    <x v="17"/>
    <s v="17/03/2023"/>
    <s v="17/03/2023"/>
    <m/>
    <s v="17/03/2023"/>
    <n v="1264.25"/>
    <n v="137"/>
    <m/>
    <m/>
    <s v="Below Average"/>
    <n v="2889"/>
  </r>
  <r>
    <s v="Wilone O'Kielt"/>
    <s v="Australia"/>
    <x v="19"/>
    <s v="25/01/2023"/>
    <s v="25/01/2023"/>
    <m/>
    <s v="25/01/2023"/>
    <n v="2995.47"/>
    <n v="156"/>
    <m/>
    <m/>
    <s v="Below Average"/>
    <n v="2312"/>
  </r>
  <r>
    <s v="Brien Boise"/>
    <s v="Australia"/>
    <x v="11"/>
    <s v="27/07/2023"/>
    <s v="27/07/2023"/>
    <m/>
    <s v="27/07/2023"/>
    <n v="2117.8200000000002"/>
    <n v="56"/>
    <m/>
    <m/>
    <s v="Below Average"/>
    <n v="2596"/>
  </r>
  <r>
    <s v="Husein Augar"/>
    <s v="Australia"/>
    <x v="13"/>
    <s v="28/01/2023"/>
    <s v="28/01/2023"/>
    <m/>
    <s v="28/01/2023"/>
    <n v="8081.79"/>
    <n v="54"/>
    <m/>
    <m/>
    <s v="Above Average"/>
    <n v="920"/>
  </r>
  <r>
    <s v="Madelene Upcott"/>
    <s v="Australia"/>
    <x v="10"/>
    <d v="2023-05-07T00:00:00"/>
    <s v="07/05/2023"/>
    <m/>
    <s v="07"/>
    <n v="11542.54"/>
    <n v="49"/>
    <m/>
    <m/>
    <s v="Above Average"/>
    <n v="394"/>
  </r>
  <r>
    <s v="Van Tuxwell"/>
    <s v="India"/>
    <x v="14"/>
    <s v="15/03/2023"/>
    <s v="15/03/2023"/>
    <m/>
    <s v="15/03/2023"/>
    <n v="2183.6799999999998"/>
    <n v="46"/>
    <m/>
    <m/>
    <s v="Below Average"/>
    <n v="2585"/>
  </r>
  <r>
    <s v="Gunar Cockshoot"/>
    <s v="Canada"/>
    <x v="5"/>
    <d v="2023-04-08T00:00:00"/>
    <s v="08/04/2023"/>
    <m/>
    <s v="08"/>
    <n v="3125.34"/>
    <n v="191"/>
    <m/>
    <m/>
    <s v="Below Average"/>
    <n v="2259"/>
  </r>
  <r>
    <s v="Jan Morforth"/>
    <s v="USA"/>
    <x v="13"/>
    <s v="27/06/2023"/>
    <s v="27/06/2023"/>
    <m/>
    <s v="27/06/2023"/>
    <n v="4891.8599999999997"/>
    <n v="380"/>
    <m/>
    <m/>
    <s v="Below Average"/>
    <n v="1734"/>
  </r>
  <r>
    <s v="Jan Morforth"/>
    <s v="Canada"/>
    <x v="5"/>
    <s v="13/07/2023"/>
    <s v="13/07/2023"/>
    <m/>
    <s v="13/07/2023"/>
    <n v="4881.32"/>
    <n v="183"/>
    <m/>
    <m/>
    <s v="Below Average"/>
    <n v="1738"/>
  </r>
  <r>
    <s v="Barr Faughny"/>
    <s v="New Zealand"/>
    <x v="15"/>
    <s v="24/02/2023"/>
    <s v="24/02/2023"/>
    <m/>
    <s v="24/02/2023"/>
    <n v="5917.62"/>
    <n v="238"/>
    <m/>
    <m/>
    <s v="Below Average"/>
    <n v="1453"/>
  </r>
  <r>
    <s v="Karlen McCaffrey"/>
    <s v="New Zealand"/>
    <x v="1"/>
    <s v="28/06/2023"/>
    <s v="28/06/2023"/>
    <m/>
    <s v="28/06/2023"/>
    <n v="6312.53"/>
    <n v="60"/>
    <m/>
    <m/>
    <s v="Above Average"/>
    <n v="1355"/>
  </r>
  <r>
    <s v="Oby Sorrel"/>
    <s v="Australia"/>
    <x v="1"/>
    <s v="30/06/2023"/>
    <s v="30/06/2023"/>
    <m/>
    <s v="30/06/2023"/>
    <n v="7956.28"/>
    <n v="27"/>
    <m/>
    <m/>
    <s v="Above Average"/>
    <n v="948"/>
  </r>
  <r>
    <s v="Curtice Advani"/>
    <s v="Canada"/>
    <x v="18"/>
    <s v="18/08/2023"/>
    <s v="18/08/2023"/>
    <m/>
    <s v="18/08/2023"/>
    <n v="5895.88"/>
    <n v="7"/>
    <m/>
    <m/>
    <s v="Below Average"/>
    <n v="1460"/>
  </r>
  <r>
    <s v="Kaine Padly"/>
    <s v="India"/>
    <x v="21"/>
    <s v="24/01/2023"/>
    <s v="24/01/2023"/>
    <m/>
    <s v="24/01/2023"/>
    <n v="13535.7"/>
    <n v="296"/>
    <m/>
    <m/>
    <s v="Above Average"/>
    <n v="232"/>
  </r>
  <r>
    <s v="Beverie Moffet"/>
    <s v="USA"/>
    <x v="14"/>
    <d v="2023-11-03T00:00:00"/>
    <s v="03/11/2023"/>
    <m/>
    <s v="03"/>
    <n v="5639.9"/>
    <n v="129"/>
    <m/>
    <m/>
    <s v="Below Average"/>
    <n v="1533"/>
  </r>
  <r>
    <s v="Ches Bonnell"/>
    <s v="New Zealand"/>
    <x v="5"/>
    <s v="23/06/2023"/>
    <s v="23/06/2023"/>
    <m/>
    <s v="23/06/2023"/>
    <n v="5813.44"/>
    <n v="356"/>
    <m/>
    <m/>
    <s v="Below Average"/>
    <n v="1482"/>
  </r>
  <r>
    <s v="Husein Augar"/>
    <s v="India"/>
    <x v="12"/>
    <s v="22/08/2023"/>
    <s v="22/08/2023"/>
    <m/>
    <s v="22/08/2023"/>
    <n v="2514.8200000000002"/>
    <n v="32"/>
    <m/>
    <m/>
    <s v="Below Average"/>
    <n v="2466"/>
  </r>
  <r>
    <s v="Gunar Cockshoot"/>
    <s v="Canada"/>
    <x v="6"/>
    <d v="2023-04-01T00:00:00"/>
    <s v="01/04/2023"/>
    <m/>
    <s v="01"/>
    <n v="3044.01"/>
    <n v="22"/>
    <m/>
    <m/>
    <s v="Below Average"/>
    <n v="2288"/>
  </r>
  <r>
    <s v="Curtice Advani"/>
    <s v="India"/>
    <x v="11"/>
    <d v="2023-05-04T00:00:00"/>
    <s v="04/05/2023"/>
    <m/>
    <s v="04"/>
    <n v="3902.04"/>
    <n v="214"/>
    <m/>
    <m/>
    <s v="Below Average"/>
    <n v="2013"/>
  </r>
  <r>
    <s v="Beverie Moffet"/>
    <s v="India"/>
    <x v="11"/>
    <s v="15/04/2023"/>
    <s v="15/04/2023"/>
    <m/>
    <s v="15/04/2023"/>
    <n v="1928.74"/>
    <n v="354"/>
    <m/>
    <m/>
    <s v="Below Average"/>
    <n v="2656"/>
  </r>
  <r>
    <s v="Husein Augar"/>
    <s v="Australia"/>
    <x v="14"/>
    <d v="2023-11-05T00:00:00"/>
    <s v="05/11/2023"/>
    <m/>
    <s v="05"/>
    <n v="3251.53"/>
    <n v="241"/>
    <m/>
    <m/>
    <s v="Below Average"/>
    <n v="2223"/>
  </r>
  <r>
    <s v="Andria Kimpton"/>
    <s v="Canada"/>
    <x v="15"/>
    <s v="21/07/2023"/>
    <s v="21/07/2023"/>
    <m/>
    <s v="21/07/2023"/>
    <n v="5031.9399999999996"/>
    <n v="495"/>
    <m/>
    <m/>
    <s v="Below Average"/>
    <n v="1696"/>
  </r>
  <r>
    <s v="Jan Morforth"/>
    <s v="New Zealand"/>
    <x v="7"/>
    <d v="2023-11-02T00:00:00"/>
    <s v="02/11/2023"/>
    <m/>
    <s v="02"/>
    <n v="1350.26"/>
    <n v="89"/>
    <m/>
    <m/>
    <s v="Below Average"/>
    <n v="2861"/>
  </r>
  <r>
    <s v="Andria Kimpton"/>
    <s v="Canada"/>
    <x v="3"/>
    <d v="2023-08-07T00:00:00"/>
    <s v="07/08/2023"/>
    <m/>
    <s v="07"/>
    <n v="1187.71"/>
    <n v="75"/>
    <m/>
    <m/>
    <s v="Below Average"/>
    <n v="2909"/>
  </r>
  <r>
    <s v="Gunar Cockshoot"/>
    <s v="UK"/>
    <x v="17"/>
    <d v="2023-11-08T00:00:00"/>
    <s v="08/11/2023"/>
    <m/>
    <s v="08"/>
    <n v="7055.38"/>
    <n v="334"/>
    <m/>
    <m/>
    <s v="Above Average"/>
    <n v="1165"/>
  </r>
  <r>
    <s v="Husein Augar"/>
    <s v="New Zealand"/>
    <x v="5"/>
    <d v="2023-04-08T00:00:00"/>
    <s v="08/04/2023"/>
    <m/>
    <s v="08"/>
    <n v="7231.89"/>
    <n v="8"/>
    <m/>
    <m/>
    <s v="Above Average"/>
    <n v="1121"/>
  </r>
  <r>
    <s v="Andria Kimpton"/>
    <s v="New Zealand"/>
    <x v="7"/>
    <s v="14/06/2023"/>
    <s v="14/06/2023"/>
    <m/>
    <s v="14/06/2023"/>
    <n v="9295.83"/>
    <n v="93"/>
    <m/>
    <m/>
    <s v="Above Average"/>
    <n v="691"/>
  </r>
  <r>
    <s v="Dennison Crosswaite"/>
    <s v="UK"/>
    <x v="19"/>
    <s v="17/01/2023"/>
    <s v="17/01/2023"/>
    <m/>
    <s v="17/01/2023"/>
    <n v="2276.94"/>
    <n v="296"/>
    <m/>
    <m/>
    <s v="Below Average"/>
    <n v="2560"/>
  </r>
  <r>
    <s v="Jehu Rudeforth"/>
    <s v="Canada"/>
    <x v="7"/>
    <s v="23/06/2023"/>
    <s v="23/06/2023"/>
    <m/>
    <s v="23/06/2023"/>
    <n v="4229.79"/>
    <n v="548"/>
    <m/>
    <m/>
    <s v="Below Average"/>
    <n v="1920"/>
  </r>
  <r>
    <s v="Jehu Rudeforth"/>
    <s v="UK"/>
    <x v="3"/>
    <s v="24/08/2023"/>
    <s v="24/08/2023"/>
    <m/>
    <s v="24/08/2023"/>
    <n v="1640.53"/>
    <n v="119"/>
    <m/>
    <m/>
    <s v="Below Average"/>
    <n v="2756"/>
  </r>
  <r>
    <s v="Andria Kimpton"/>
    <s v="UK"/>
    <x v="20"/>
    <d v="2023-07-06T00:00:00"/>
    <s v="06/07/2023"/>
    <m/>
    <s v="06"/>
    <n v="8234.5"/>
    <n v="294"/>
    <m/>
    <m/>
    <s v="Above Average"/>
    <n v="886"/>
  </r>
  <r>
    <s v="Jan Morforth"/>
    <s v="UK"/>
    <x v="14"/>
    <s v="22/06/2023"/>
    <s v="22/06/2023"/>
    <m/>
    <s v="22/06/2023"/>
    <n v="10087.040000000001"/>
    <n v="46"/>
    <m/>
    <m/>
    <s v="Above Average"/>
    <n v="571"/>
  </r>
  <r>
    <s v="Dotty Strutley"/>
    <s v="USA"/>
    <x v="13"/>
    <s v="13/07/2023"/>
    <s v="13/07/2023"/>
    <m/>
    <s v="13/07/2023"/>
    <n v="3169.26"/>
    <n v="281"/>
    <m/>
    <m/>
    <s v="Below Average"/>
    <n v="2247"/>
  </r>
  <r>
    <s v="Kelci Walkden"/>
    <s v="UK"/>
    <x v="18"/>
    <s v="24/05/2023"/>
    <s v="24/05/2023"/>
    <m/>
    <s v="24/05/2023"/>
    <n v="10355.42"/>
    <n v="215"/>
    <m/>
    <m/>
    <s v="Above Average"/>
    <n v="526"/>
  </r>
  <r>
    <s v="Gunar Cockshoot"/>
    <s v="New Zealand"/>
    <x v="5"/>
    <d v="2023-09-08T00:00:00"/>
    <s v="08/09/2023"/>
    <m/>
    <s v="08"/>
    <n v="7772.63"/>
    <n v="140"/>
    <m/>
    <m/>
    <s v="Above Average"/>
    <n v="994"/>
  </r>
  <r>
    <s v="Kaine Padly"/>
    <s v="Canada"/>
    <x v="1"/>
    <d v="2023-06-04T00:00:00"/>
    <s v="04/06/2023"/>
    <m/>
    <s v="04"/>
    <n v="1992.77"/>
    <n v="31"/>
    <m/>
    <m/>
    <s v="Below Average"/>
    <n v="2639"/>
  </r>
  <r>
    <s v="Jan Morforth"/>
    <s v="New Zealand"/>
    <x v="15"/>
    <s v="28/07/2023"/>
    <s v="28/07/2023"/>
    <m/>
    <s v="28/07/2023"/>
    <n v="1815.56"/>
    <n v="266"/>
    <m/>
    <m/>
    <s v="Below Average"/>
    <n v="2696"/>
  </r>
  <r>
    <s v="Gunar Cockshoot"/>
    <s v="New Zealand"/>
    <x v="17"/>
    <s v="24/08/2023"/>
    <s v="24/08/2023"/>
    <m/>
    <s v="24/08/2023"/>
    <n v="727.11"/>
    <n v="50"/>
    <m/>
    <m/>
    <s v="Below Average"/>
    <n v="3052"/>
  </r>
  <r>
    <s v="Van Tuxwell"/>
    <s v="Australia"/>
    <x v="4"/>
    <s v="17/01/2023"/>
    <s v="17/01/2023"/>
    <m/>
    <s v="17/01/2023"/>
    <n v="114.96"/>
    <n v="132"/>
    <m/>
    <m/>
    <s v="Below Average"/>
    <n v="3238"/>
  </r>
  <r>
    <s v="Curtice Advani"/>
    <s v="USA"/>
    <x v="9"/>
    <d v="2023-07-02T00:00:00"/>
    <s v="02/07/2023"/>
    <m/>
    <s v="02"/>
    <n v="5378.09"/>
    <n v="142"/>
    <m/>
    <m/>
    <s v="Below Average"/>
    <n v="1597"/>
  </r>
  <r>
    <s v="Brien Boise"/>
    <s v="Australia"/>
    <x v="12"/>
    <d v="2023-09-05T00:00:00"/>
    <s v="05/09/2023"/>
    <m/>
    <s v="05"/>
    <n v="6707.63"/>
    <n v="269"/>
    <m/>
    <m/>
    <s v="Above Average"/>
    <n v="1260"/>
  </r>
  <r>
    <s v="Mallorie Waber"/>
    <s v="New Zealand"/>
    <x v="1"/>
    <d v="2023-06-06T00:00:00"/>
    <s v="06/06/2023"/>
    <m/>
    <s v="06"/>
    <n v="8167.18"/>
    <n v="102"/>
    <m/>
    <m/>
    <s v="Above Average"/>
    <n v="902"/>
  </r>
  <r>
    <s v="Wilone O'Kielt"/>
    <s v="USA"/>
    <x v="18"/>
    <d v="2023-06-06T00:00:00"/>
    <s v="06/06/2023"/>
    <m/>
    <s v="06"/>
    <n v="9950.14"/>
    <n v="6"/>
    <m/>
    <m/>
    <s v="Above Average"/>
    <n v="591"/>
  </r>
  <r>
    <s v="Beverie Moffet"/>
    <s v="New Zealand"/>
    <x v="10"/>
    <s v="24/05/2023"/>
    <s v="24/05/2023"/>
    <m/>
    <s v="24/05/2023"/>
    <n v="7229.26"/>
    <n v="215"/>
    <m/>
    <m/>
    <s v="Above Average"/>
    <n v="1124"/>
  </r>
  <r>
    <s v="Gunar Cockshoot"/>
    <s v="UK"/>
    <x v="6"/>
    <s v="13/01/2023"/>
    <s v="13/01/2023"/>
    <m/>
    <s v="13/01/2023"/>
    <n v="2260.21"/>
    <n v="128"/>
    <m/>
    <m/>
    <s v="Below Average"/>
    <n v="2565"/>
  </r>
  <r>
    <s v="Marney O'Breen"/>
    <s v="USA"/>
    <x v="17"/>
    <s v="23/05/2023"/>
    <s v="23/05/2023"/>
    <m/>
    <s v="23/05/2023"/>
    <n v="6206.9"/>
    <n v="149"/>
    <m/>
    <m/>
    <s v="Above Average"/>
    <n v="1378"/>
  </r>
  <r>
    <s v="Jehu Rudeforth"/>
    <s v="UK"/>
    <x v="14"/>
    <s v="29/06/2023"/>
    <s v="29/06/2023"/>
    <m/>
    <s v="29/06/2023"/>
    <n v="1889.83"/>
    <n v="286"/>
    <m/>
    <m/>
    <s v="Below Average"/>
    <n v="2668"/>
  </r>
  <r>
    <s v="Jehu Rudeforth"/>
    <s v="New Zealand"/>
    <x v="1"/>
    <d v="2023-11-03T00:00:00"/>
    <s v="03/11/2023"/>
    <m/>
    <s v="03"/>
    <n v="7797.24"/>
    <n v="88"/>
    <m/>
    <m/>
    <s v="Above Average"/>
    <n v="991"/>
  </r>
  <r>
    <s v="Dotty Strutley"/>
    <s v="USA"/>
    <x v="1"/>
    <s v="25/04/2023"/>
    <s v="25/04/2023"/>
    <m/>
    <s v="25/04/2023"/>
    <n v="11644.92"/>
    <n v="536"/>
    <m/>
    <m/>
    <s v="Above Average"/>
    <n v="382"/>
  </r>
  <r>
    <s v="Rafaelita Blaksland"/>
    <s v="Australia"/>
    <x v="3"/>
    <s v="30/05/2023"/>
    <s v="30/05/2023"/>
    <m/>
    <s v="30/05/2023"/>
    <n v="4207.22"/>
    <n v="255"/>
    <m/>
    <m/>
    <s v="Below Average"/>
    <n v="1925"/>
  </r>
  <r>
    <s v="Curtice Advani"/>
    <s v="India"/>
    <x v="15"/>
    <s v="23/05/2023"/>
    <s v="23/05/2023"/>
    <m/>
    <s v="23/05/2023"/>
    <n v="1683.88"/>
    <n v="169"/>
    <m/>
    <m/>
    <s v="Below Average"/>
    <n v="2738"/>
  </r>
  <r>
    <s v="Mallorie Waber"/>
    <s v="USA"/>
    <x v="2"/>
    <s v="23/05/2023"/>
    <s v="23/05/2023"/>
    <m/>
    <s v="23/05/2023"/>
    <n v="1337.36"/>
    <n v="18"/>
    <m/>
    <m/>
    <s v="Below Average"/>
    <n v="2864"/>
  </r>
  <r>
    <s v="Van Tuxwell"/>
    <s v="Canada"/>
    <x v="2"/>
    <s v="24/06/2023"/>
    <s v="24/06/2023"/>
    <m/>
    <s v="24/06/2023"/>
    <n v="7147.04"/>
    <n v="300"/>
    <m/>
    <m/>
    <s v="Above Average"/>
    <n v="1148"/>
  </r>
  <r>
    <s v="Kelci Walkden"/>
    <s v="New Zealand"/>
    <x v="3"/>
    <d v="2023-11-03T00:00:00"/>
    <s v="03/11/2023"/>
    <m/>
    <s v="03"/>
    <n v="12030.46"/>
    <n v="296"/>
    <m/>
    <m/>
    <s v="Above Average"/>
    <n v="345"/>
  </r>
  <r>
    <s v="Rafaelita Blaksland"/>
    <s v="USA"/>
    <x v="3"/>
    <s v="27/07/2023"/>
    <s v="27/07/2023"/>
    <m/>
    <s v="27/07/2023"/>
    <n v="15844.58"/>
    <n v="232"/>
    <m/>
    <m/>
    <s v="Above Average"/>
    <n v="107"/>
  </r>
  <r>
    <s v="Rafaelita Blaksland"/>
    <s v="USA"/>
    <x v="14"/>
    <s v="16/08/2023"/>
    <s v="16/08/2023"/>
    <m/>
    <s v="16/08/2023"/>
    <n v="5025.84"/>
    <n v="133"/>
    <m/>
    <m/>
    <s v="Below Average"/>
    <n v="1700"/>
  </r>
  <r>
    <s v="Roddy Speechley"/>
    <s v="Canada"/>
    <x v="3"/>
    <d v="2023-07-03T00:00:00"/>
    <s v="03/07/2023"/>
    <m/>
    <s v="03"/>
    <n v="9902.0300000000007"/>
    <n v="12"/>
    <m/>
    <m/>
    <s v="Above Average"/>
    <n v="594"/>
  </r>
  <r>
    <s v="Curtice Advani"/>
    <s v="New Zealand"/>
    <x v="5"/>
    <d v="2023-05-04T00:00:00"/>
    <s v="04/05/2023"/>
    <m/>
    <s v="04"/>
    <n v="7944.07"/>
    <n v="33"/>
    <m/>
    <m/>
    <s v="Above Average"/>
    <n v="952"/>
  </r>
  <r>
    <s v="Camilla Castle"/>
    <s v="India"/>
    <x v="1"/>
    <d v="2023-04-05T00:00:00"/>
    <s v="05/04/2023"/>
    <m/>
    <s v="05"/>
    <n v="9523.65"/>
    <n v="55"/>
    <m/>
    <m/>
    <s v="Above Average"/>
    <n v="653"/>
  </r>
  <r>
    <s v="Ches Bonnell"/>
    <s v="USA"/>
    <x v="18"/>
    <d v="2023-04-01T00:00:00"/>
    <s v="01/04/2023"/>
    <m/>
    <s v="01"/>
    <n v="16240.71"/>
    <n v="93"/>
    <m/>
    <m/>
    <s v="Above Average"/>
    <n v="93"/>
  </r>
  <r>
    <s v="Marney O'Breen"/>
    <s v="Australia"/>
    <x v="19"/>
    <s v="13/01/2023"/>
    <s v="13/01/2023"/>
    <m/>
    <s v="13/01/2023"/>
    <n v="5891.94"/>
    <n v="109"/>
    <m/>
    <m/>
    <s v="Below Average"/>
    <n v="1462"/>
  </r>
  <r>
    <s v="Wilone O'Kielt"/>
    <s v="New Zealand"/>
    <x v="13"/>
    <d v="2023-11-07T00:00:00"/>
    <s v="07/11/2023"/>
    <m/>
    <s v="07"/>
    <n v="6924.52"/>
    <n v="94"/>
    <m/>
    <m/>
    <s v="Above Average"/>
    <n v="1200"/>
  </r>
  <r>
    <s v="Kaine Padly"/>
    <s v="Australia"/>
    <x v="0"/>
    <s v="17/05/2023"/>
    <s v="17/05/2023"/>
    <m/>
    <s v="17/05/2023"/>
    <n v="4552.57"/>
    <n v="158"/>
    <m/>
    <m/>
    <s v="Below Average"/>
    <n v="1835"/>
  </r>
  <r>
    <s v="Camilla Castle"/>
    <s v="New Zealand"/>
    <x v="2"/>
    <s v="21/07/2023"/>
    <s v="21/07/2023"/>
    <m/>
    <s v="21/07/2023"/>
    <n v="1724.91"/>
    <n v="60"/>
    <m/>
    <m/>
    <s v="Below Average"/>
    <n v="2726"/>
  </r>
  <r>
    <s v="Curtice Advani"/>
    <s v="Canada"/>
    <x v="10"/>
    <s v="22/02/2023"/>
    <s v="22/02/2023"/>
    <m/>
    <s v="22/02/2023"/>
    <n v="897.3"/>
    <n v="21"/>
    <m/>
    <m/>
    <s v="Below Average"/>
    <n v="3003"/>
  </r>
  <r>
    <s v="Jan Morforth"/>
    <s v="India"/>
    <x v="4"/>
    <s v="23/05/2023"/>
    <s v="23/05/2023"/>
    <m/>
    <s v="23/05/2023"/>
    <n v="10283.9"/>
    <n v="178"/>
    <m/>
    <m/>
    <s v="Above Average"/>
    <n v="535"/>
  </r>
  <r>
    <s v="Rafaelita Blaksland"/>
    <s v="Canada"/>
    <x v="9"/>
    <d v="2023-12-07T00:00:00"/>
    <s v="07/12/2023"/>
    <m/>
    <s v="07"/>
    <n v="10415.77"/>
    <n v="200"/>
    <m/>
    <m/>
    <s v="Above Average"/>
    <n v="520"/>
  </r>
  <r>
    <s v="Jan Morforth"/>
    <s v="UK"/>
    <x v="7"/>
    <s v="15/06/2023"/>
    <s v="15/06/2023"/>
    <m/>
    <s v="15/06/2023"/>
    <n v="4220.83"/>
    <n v="193"/>
    <m/>
    <m/>
    <s v="Below Average"/>
    <n v="1923"/>
  </r>
  <r>
    <s v="Barr Faughny"/>
    <s v="New Zealand"/>
    <x v="6"/>
    <s v="23/06/2023"/>
    <s v="23/06/2023"/>
    <m/>
    <s v="23/06/2023"/>
    <n v="4909.8599999999997"/>
    <n v="304"/>
    <m/>
    <m/>
    <s v="Below Average"/>
    <n v="1727"/>
  </r>
  <r>
    <s v="Curtice Advani"/>
    <s v="Australia"/>
    <x v="8"/>
    <s v="25/03/2023"/>
    <s v="25/03/2023"/>
    <m/>
    <s v="25/03/2023"/>
    <n v="6549.62"/>
    <n v="53"/>
    <m/>
    <m/>
    <s v="Above Average"/>
    <n v="1295"/>
  </r>
  <r>
    <s v="Jan Morforth"/>
    <s v="India"/>
    <x v="20"/>
    <d v="2023-04-07T00:00:00"/>
    <s v="07/04/2023"/>
    <m/>
    <s v="07"/>
    <n v="88.72"/>
    <n v="165"/>
    <m/>
    <m/>
    <s v="Below Average"/>
    <n v="3249"/>
  </r>
  <r>
    <s v="Andria Kimpton"/>
    <s v="UK"/>
    <x v="14"/>
    <d v="2023-12-05T00:00:00"/>
    <s v="05/12/2023"/>
    <m/>
    <s v="05"/>
    <n v="9793.16"/>
    <n v="110"/>
    <m/>
    <m/>
    <s v="Above Average"/>
    <n v="614"/>
  </r>
  <r>
    <s v="Camilla Castle"/>
    <s v="New Zealand"/>
    <x v="17"/>
    <d v="2023-04-04T00:00:00"/>
    <s v="04/04/2023"/>
    <m/>
    <s v="04"/>
    <n v="4823.6499999999996"/>
    <n v="143"/>
    <m/>
    <m/>
    <s v="Below Average"/>
    <n v="1758"/>
  </r>
  <r>
    <s v="Madelene Upcott"/>
    <s v="Australia"/>
    <x v="7"/>
    <s v="15/04/2023"/>
    <s v="15/04/2023"/>
    <m/>
    <s v="15/04/2023"/>
    <n v="7556.55"/>
    <n v="404"/>
    <m/>
    <m/>
    <s v="Above Average"/>
    <n v="1054"/>
  </r>
  <r>
    <s v="Roddy Speechley"/>
    <s v="Canada"/>
    <x v="8"/>
    <d v="2023-08-03T00:00:00"/>
    <s v="03/08/2023"/>
    <m/>
    <s v="03"/>
    <n v="7082.03"/>
    <n v="95"/>
    <m/>
    <m/>
    <s v="Above Average"/>
    <n v="1162"/>
  </r>
  <r>
    <s v="Karlen McCaffrey"/>
    <s v="India"/>
    <x v="14"/>
    <s v="17/01/2023"/>
    <s v="17/01/2023"/>
    <m/>
    <s v="17/01/2023"/>
    <n v="8361.4699999999993"/>
    <n v="231"/>
    <m/>
    <m/>
    <s v="Above Average"/>
    <n v="861"/>
  </r>
  <r>
    <s v="Wilone O'Kielt"/>
    <s v="India"/>
    <x v="0"/>
    <s v="22/08/2023"/>
    <s v="22/08/2023"/>
    <m/>
    <s v="22/08/2023"/>
    <n v="1310.5"/>
    <n v="52"/>
    <m/>
    <m/>
    <s v="Below Average"/>
    <n v="2870"/>
  </r>
  <r>
    <s v="Andria Kimpton"/>
    <s v="UK"/>
    <x v="4"/>
    <s v="25/07/2023"/>
    <s v="25/07/2023"/>
    <m/>
    <s v="25/07/2023"/>
    <n v="1288.0999999999999"/>
    <n v="67"/>
    <m/>
    <m/>
    <s v="Below Average"/>
    <n v="2877"/>
  </r>
  <r>
    <s v="Marney O'Breen"/>
    <s v="UK"/>
    <x v="6"/>
    <s v="14/06/2023"/>
    <s v="14/06/2023"/>
    <m/>
    <s v="14/06/2023"/>
    <n v="3288.29"/>
    <n v="133"/>
    <m/>
    <m/>
    <s v="Below Average"/>
    <n v="2213"/>
  </r>
  <r>
    <s v="Ches Bonnell"/>
    <s v="India"/>
    <x v="18"/>
    <d v="2023-05-04T00:00:00"/>
    <s v="04/05/2023"/>
    <m/>
    <s v="04"/>
    <n v="10669.09"/>
    <n v="85"/>
    <m/>
    <m/>
    <s v="Above Average"/>
    <n v="493"/>
  </r>
  <r>
    <s v="Madelene Upcott"/>
    <s v="UK"/>
    <x v="17"/>
    <s v="26/08/2023"/>
    <s v="26/08/2023"/>
    <m/>
    <s v="26/08/2023"/>
    <n v="7361.93"/>
    <n v="344"/>
    <m/>
    <m/>
    <s v="Above Average"/>
    <n v="1096"/>
  </r>
  <r>
    <s v="Wilone O'Kielt"/>
    <s v="Australia"/>
    <x v="6"/>
    <d v="2023-03-08T00:00:00"/>
    <s v="08/03/2023"/>
    <m/>
    <s v="08"/>
    <n v="10336.219999999999"/>
    <n v="123"/>
    <m/>
    <m/>
    <s v="Above Average"/>
    <n v="529"/>
  </r>
  <r>
    <s v="Gigi Bohling"/>
    <s v="Canada"/>
    <x v="14"/>
    <d v="2023-11-07T00:00:00"/>
    <s v="07/11/2023"/>
    <m/>
    <s v="07"/>
    <n v="6985.95"/>
    <n v="4"/>
    <m/>
    <m/>
    <s v="Above Average"/>
    <n v="1185"/>
  </r>
  <r>
    <s v="Wilone O'Kielt"/>
    <s v="New Zealand"/>
    <x v="8"/>
    <d v="2023-11-03T00:00:00"/>
    <s v="03/11/2023"/>
    <m/>
    <s v="03"/>
    <n v="3394.46"/>
    <n v="21"/>
    <m/>
    <m/>
    <s v="Below Average"/>
    <n v="2177"/>
  </r>
  <r>
    <s v="Brien Boise"/>
    <s v="UK"/>
    <x v="2"/>
    <d v="2023-10-01T00:00:00"/>
    <s v="01/10/2023"/>
    <m/>
    <s v="01"/>
    <n v="15337.23"/>
    <n v="31"/>
    <m/>
    <m/>
    <s v="Above Average"/>
    <n v="135"/>
  </r>
  <r>
    <s v="Roddy Speechley"/>
    <s v="UK"/>
    <x v="19"/>
    <d v="2023-04-04T00:00:00"/>
    <s v="04/04/2023"/>
    <m/>
    <s v="04"/>
    <n v="15925.17"/>
    <n v="378"/>
    <m/>
    <m/>
    <s v="Above Average"/>
    <n v="103"/>
  </r>
  <r>
    <s v="Karlen McCaffrey"/>
    <s v="Australia"/>
    <x v="6"/>
    <s v="17/01/2023"/>
    <s v="17/01/2023"/>
    <m/>
    <s v="17/01/2023"/>
    <n v="7355.77"/>
    <n v="772"/>
    <m/>
    <m/>
    <s v="Above Average"/>
    <n v="1100"/>
  </r>
  <r>
    <s v="Marney O'Breen"/>
    <s v="New Zealand"/>
    <x v="10"/>
    <d v="2023-08-07T00:00:00"/>
    <s v="07/08/2023"/>
    <m/>
    <s v="07"/>
    <n v="9489.27"/>
    <n v="54"/>
    <m/>
    <m/>
    <s v="Above Average"/>
    <n v="656"/>
  </r>
  <r>
    <s v="Jan Morforth"/>
    <s v="UK"/>
    <x v="10"/>
    <d v="2023-12-04T00:00:00"/>
    <s v="04/12/2023"/>
    <m/>
    <s v="04"/>
    <n v="1281.32"/>
    <n v="354"/>
    <m/>
    <m/>
    <s v="Below Average"/>
    <n v="2882"/>
  </r>
  <r>
    <s v="Rafaelita Blaksland"/>
    <s v="Canada"/>
    <x v="13"/>
    <s v="24/08/2023"/>
    <s v="24/08/2023"/>
    <m/>
    <s v="24/08/2023"/>
    <n v="518.07000000000005"/>
    <n v="192"/>
    <m/>
    <m/>
    <s v="Below Average"/>
    <n v="3119"/>
  </r>
  <r>
    <s v="Ches Bonnell"/>
    <s v="UK"/>
    <x v="18"/>
    <d v="2023-07-06T00:00:00"/>
    <s v="06/07/2023"/>
    <m/>
    <s v="06"/>
    <n v="1933.56"/>
    <n v="239"/>
    <m/>
    <m/>
    <s v="Below Average"/>
    <n v="2655"/>
  </r>
  <r>
    <s v="Gunar Cockshoot"/>
    <s v="Canada"/>
    <x v="16"/>
    <s v="28/07/2023"/>
    <s v="28/07/2023"/>
    <m/>
    <s v="28/07/2023"/>
    <n v="1308.52"/>
    <n v="30"/>
    <m/>
    <m/>
    <s v="Below Average"/>
    <n v="2874"/>
  </r>
  <r>
    <s v="Husein Augar"/>
    <s v="USA"/>
    <x v="4"/>
    <s v="21/02/2023"/>
    <s v="21/02/2023"/>
    <m/>
    <s v="21/02/2023"/>
    <n v="9878.5"/>
    <n v="111"/>
    <m/>
    <m/>
    <s v="Above Average"/>
    <n v="598"/>
  </r>
  <r>
    <s v="Dennison Crosswaite"/>
    <s v="Canada"/>
    <x v="0"/>
    <d v="2023-08-04T00:00:00"/>
    <s v="04/08/2023"/>
    <m/>
    <s v="04"/>
    <n v="1943.7"/>
    <n v="297"/>
    <m/>
    <m/>
    <s v="Below Average"/>
    <n v="2651"/>
  </r>
  <r>
    <s v="Brien Boise"/>
    <s v="UK"/>
    <x v="15"/>
    <s v="28/06/2023"/>
    <s v="28/06/2023"/>
    <m/>
    <s v="28/06/2023"/>
    <n v="80.62"/>
    <n v="103"/>
    <m/>
    <m/>
    <s v="Below Average"/>
    <n v="3252"/>
  </r>
  <r>
    <s v="Van Tuxwell"/>
    <s v="UK"/>
    <x v="19"/>
    <s v="24/03/2023"/>
    <s v="24/03/2023"/>
    <m/>
    <s v="24/03/2023"/>
    <n v="2678.37"/>
    <n v="20"/>
    <m/>
    <m/>
    <s v="Below Average"/>
    <n v="2411"/>
  </r>
  <r>
    <s v="Barr Faughny"/>
    <s v="Australia"/>
    <x v="20"/>
    <s v="29/07/2023"/>
    <s v="29/07/2023"/>
    <m/>
    <s v="29/07/2023"/>
    <n v="2931.1"/>
    <n v="60"/>
    <m/>
    <m/>
    <s v="Below Average"/>
    <n v="2332"/>
  </r>
  <r>
    <s v="Dennison Crosswaite"/>
    <s v="USA"/>
    <x v="8"/>
    <s v="25/05/2023"/>
    <s v="25/05/2023"/>
    <m/>
    <s v="25/05/2023"/>
    <n v="2316.09"/>
    <n v="90"/>
    <m/>
    <m/>
    <s v="Below Average"/>
    <n v="2547"/>
  </r>
  <r>
    <s v="Gigi Bohling"/>
    <s v="Australia"/>
    <x v="17"/>
    <s v="30/03/2023"/>
    <s v="30/03/2023"/>
    <m/>
    <s v="30/03/2023"/>
    <n v="6722.22"/>
    <n v="330"/>
    <m/>
    <m/>
    <s v="Above Average"/>
    <n v="1256"/>
  </r>
  <r>
    <s v="Dennison Crosswaite"/>
    <s v="USA"/>
    <x v="10"/>
    <s v="18/07/2023"/>
    <s v="18/07/2023"/>
    <m/>
    <s v="18/07/2023"/>
    <n v="14528.51"/>
    <n v="134"/>
    <m/>
    <m/>
    <s v="Above Average"/>
    <n v="179"/>
  </r>
  <r>
    <s v="Beverie Moffet"/>
    <s v="Canada"/>
    <x v="7"/>
    <d v="2023-10-05T00:00:00"/>
    <s v="05/10/2023"/>
    <m/>
    <s v="05"/>
    <n v="9390.2800000000007"/>
    <n v="104"/>
    <m/>
    <m/>
    <s v="Above Average"/>
    <n v="676"/>
  </r>
  <r>
    <s v="Mallorie Waber"/>
    <s v="Australia"/>
    <x v="18"/>
    <s v="18/03/2023"/>
    <s v="18/03/2023"/>
    <m/>
    <s v="18/03/2023"/>
    <n v="16230.41"/>
    <n v="94"/>
    <m/>
    <m/>
    <s v="Above Average"/>
    <n v="95"/>
  </r>
  <r>
    <s v="Ches Bonnell"/>
    <s v="India"/>
    <x v="20"/>
    <s v="15/06/2023"/>
    <s v="15/06/2023"/>
    <m/>
    <s v="15/06/2023"/>
    <n v="7224.39"/>
    <n v="55"/>
    <m/>
    <m/>
    <s v="Above Average"/>
    <n v="1125"/>
  </r>
  <r>
    <s v="Van Tuxwell"/>
    <s v="Canada"/>
    <x v="6"/>
    <d v="2023-12-05T00:00:00"/>
    <s v="05/12/2023"/>
    <m/>
    <s v="05"/>
    <n v="15567.58"/>
    <n v="57"/>
    <m/>
    <m/>
    <s v="Above Average"/>
    <n v="120"/>
  </r>
  <r>
    <s v="Kelci Walkden"/>
    <s v="New Zealand"/>
    <x v="19"/>
    <s v="23/06/2023"/>
    <s v="23/06/2023"/>
    <m/>
    <s v="23/06/2023"/>
    <n v="2964.2"/>
    <n v="105"/>
    <m/>
    <m/>
    <s v="Below Average"/>
    <n v="2321"/>
  </r>
  <r>
    <s v="Beverie Moffet"/>
    <s v="India"/>
    <x v="12"/>
    <s v="21/04/2023"/>
    <s v="21/04/2023"/>
    <m/>
    <s v="21/04/2023"/>
    <n v="3357.08"/>
    <n v="186"/>
    <m/>
    <m/>
    <s v="Below Average"/>
    <n v="2197"/>
  </r>
  <r>
    <s v="Gigi Bohling"/>
    <s v="Australia"/>
    <x v="16"/>
    <s v="17/08/2023"/>
    <s v="17/08/2023"/>
    <m/>
    <s v="17/08/2023"/>
    <n v="1010.37"/>
    <n v="127"/>
    <m/>
    <m/>
    <s v="Below Average"/>
    <n v="2971"/>
  </r>
  <r>
    <s v="Rafaelita Blaksland"/>
    <s v="New Zealand"/>
    <x v="8"/>
    <d v="2023-07-02T00:00:00"/>
    <s v="02/07/2023"/>
    <m/>
    <s v="02"/>
    <n v="20470.43"/>
    <n v="54"/>
    <m/>
    <m/>
    <s v="Above Average"/>
    <n v="15"/>
  </r>
  <r>
    <s v="Kelci Walkden"/>
    <s v="Canada"/>
    <x v="3"/>
    <s v="17/03/2023"/>
    <s v="17/03/2023"/>
    <m/>
    <s v="17/03/2023"/>
    <n v="8762.75"/>
    <n v="115"/>
    <m/>
    <m/>
    <s v="Above Average"/>
    <n v="786"/>
  </r>
  <r>
    <s v="Jan Morforth"/>
    <s v="India"/>
    <x v="19"/>
    <d v="2023-01-08T00:00:00"/>
    <s v="08/01/2023"/>
    <m/>
    <s v="08"/>
    <n v="14613.52"/>
    <n v="85"/>
    <m/>
    <m/>
    <s v="Above Average"/>
    <n v="169"/>
  </r>
  <r>
    <s v="Jehu Rudeforth"/>
    <s v="Australia"/>
    <x v="11"/>
    <s v="18/03/2023"/>
    <s v="18/03/2023"/>
    <m/>
    <s v="18/03/2023"/>
    <n v="9839.4599999999991"/>
    <n v="31"/>
    <m/>
    <m/>
    <s v="Above Average"/>
    <n v="607"/>
  </r>
  <r>
    <s v="Gigi Bohling"/>
    <s v="Canada"/>
    <x v="13"/>
    <s v="14/06/2023"/>
    <s v="14/06/2023"/>
    <m/>
    <s v="14/06/2023"/>
    <n v="6633.23"/>
    <n v="103"/>
    <m/>
    <m/>
    <s v="Above Average"/>
    <n v="1278"/>
  </r>
  <r>
    <s v="Beverie Moffet"/>
    <s v="UK"/>
    <x v="8"/>
    <s v="22/04/2023"/>
    <s v="22/04/2023"/>
    <m/>
    <s v="22/04/2023"/>
    <n v="9749.07"/>
    <n v="169"/>
    <m/>
    <m/>
    <s v="Above Average"/>
    <n v="622"/>
  </r>
  <r>
    <s v="Marney O'Breen"/>
    <s v="New Zealand"/>
    <x v="8"/>
    <s v="18/01/2023"/>
    <s v="18/01/2023"/>
    <m/>
    <s v="18/01/2023"/>
    <n v="5254.38"/>
    <n v="31"/>
    <m/>
    <m/>
    <s v="Below Average"/>
    <n v="1630"/>
  </r>
  <r>
    <s v="Husein Augar"/>
    <s v="Australia"/>
    <x v="4"/>
    <s v="26/08/2023"/>
    <s v="26/08/2023"/>
    <m/>
    <s v="26/08/2023"/>
    <n v="3430.43"/>
    <n v="123"/>
    <m/>
    <m/>
    <s v="Below Average"/>
    <n v="2164"/>
  </r>
  <r>
    <s v="Gunar Cockshoot"/>
    <s v="New Zealand"/>
    <x v="13"/>
    <d v="2023-10-06T00:00:00"/>
    <s v="06/10/2023"/>
    <m/>
    <s v="06"/>
    <n v="10454.549999999999"/>
    <n v="434"/>
    <m/>
    <m/>
    <s v="Above Average"/>
    <n v="517"/>
  </r>
  <r>
    <s v="Curtice Advani"/>
    <s v="Canada"/>
    <x v="21"/>
    <s v="31/01/2023"/>
    <s v="31/01/2023"/>
    <m/>
    <s v="31/01/2023"/>
    <n v="2413.87"/>
    <n v="7"/>
    <m/>
    <m/>
    <s v="Below Average"/>
    <n v="2510"/>
  </r>
  <r>
    <s v="Kelci Walkden"/>
    <s v="New Zealand"/>
    <x v="15"/>
    <d v="2023-08-04T00:00:00"/>
    <s v="04/08/2023"/>
    <m/>
    <s v="04"/>
    <n v="1445.14"/>
    <n v="108"/>
    <m/>
    <m/>
    <s v="Below Average"/>
    <n v="2822"/>
  </r>
  <r>
    <s v="Dotty Strutley"/>
    <s v="Australia"/>
    <x v="19"/>
    <d v="2023-07-06T00:00:00"/>
    <s v="06/07/2023"/>
    <m/>
    <s v="06"/>
    <n v="4022.64"/>
    <n v="71"/>
    <m/>
    <m/>
    <s v="Below Average"/>
    <n v="1979"/>
  </r>
  <r>
    <s v="Barr Faughny"/>
    <s v="Australia"/>
    <x v="1"/>
    <d v="2023-10-02T00:00:00"/>
    <s v="02/10/2023"/>
    <m/>
    <s v="02"/>
    <n v="8651.2000000000007"/>
    <n v="43"/>
    <m/>
    <m/>
    <s v="Above Average"/>
    <n v="807"/>
  </r>
  <r>
    <s v="Beverie Moffet"/>
    <s v="Australia"/>
    <x v="6"/>
    <s v="16/05/2023"/>
    <s v="16/05/2023"/>
    <m/>
    <s v="16/05/2023"/>
    <n v="725.16"/>
    <n v="453"/>
    <m/>
    <m/>
    <s v="Below Average"/>
    <n v="3054"/>
  </r>
  <r>
    <s v="Gunar Cockshoot"/>
    <s v="India"/>
    <x v="19"/>
    <s v="18/03/2023"/>
    <s v="18/03/2023"/>
    <m/>
    <s v="18/03/2023"/>
    <n v="2385.4"/>
    <n v="540"/>
    <m/>
    <m/>
    <s v="Below Average"/>
    <n v="2520"/>
  </r>
  <r>
    <s v="Van Tuxwell"/>
    <s v="Australia"/>
    <x v="6"/>
    <s v="13/07/2023"/>
    <s v="13/07/2023"/>
    <m/>
    <s v="13/07/2023"/>
    <n v="726.04"/>
    <n v="131"/>
    <m/>
    <m/>
    <s v="Below Average"/>
    <n v="3053"/>
  </r>
  <r>
    <s v="Oby Sorrel"/>
    <s v="USA"/>
    <x v="15"/>
    <s v="25/07/2023"/>
    <s v="25/07/2023"/>
    <m/>
    <s v="25/07/2023"/>
    <n v="4742.3500000000004"/>
    <n v="83"/>
    <m/>
    <m/>
    <s v="Below Average"/>
    <n v="1787"/>
  </r>
  <r>
    <s v="Van Tuxwell"/>
    <s v="Canada"/>
    <x v="18"/>
    <s v="19/08/2023"/>
    <s v="19/08/2023"/>
    <m/>
    <s v="19/08/2023"/>
    <n v="2556.96"/>
    <n v="312"/>
    <m/>
    <m/>
    <s v="Below Average"/>
    <n v="2449"/>
  </r>
  <r>
    <s v="Karlen McCaffrey"/>
    <s v="Canada"/>
    <x v="21"/>
    <s v="24/06/2023"/>
    <s v="24/06/2023"/>
    <m/>
    <s v="24/06/2023"/>
    <n v="8376.69"/>
    <n v="646"/>
    <m/>
    <m/>
    <s v="Above Average"/>
    <n v="859"/>
  </r>
  <r>
    <s v="Kelci Walkden"/>
    <s v="Canada"/>
    <x v="13"/>
    <s v="20/06/2023"/>
    <s v="20/06/2023"/>
    <m/>
    <s v="20/06/2023"/>
    <n v="840.71"/>
    <n v="162"/>
    <m/>
    <m/>
    <s v="Below Average"/>
    <n v="3019"/>
  </r>
  <r>
    <s v="Camilla Castle"/>
    <s v="India"/>
    <x v="4"/>
    <d v="2023-02-08T00:00:00"/>
    <s v="08/02/2023"/>
    <m/>
    <s v="08"/>
    <n v="207.87"/>
    <n v="216"/>
    <m/>
    <m/>
    <s v="Below Average"/>
    <n v="3215"/>
  </r>
  <r>
    <s v="Madelene Upcott"/>
    <s v="New Zealand"/>
    <x v="21"/>
    <s v="22/02/2023"/>
    <s v="22/02/2023"/>
    <m/>
    <s v="22/02/2023"/>
    <n v="13370.34"/>
    <n v="94"/>
    <m/>
    <m/>
    <s v="Above Average"/>
    <n v="244"/>
  </r>
  <r>
    <s v="Mallorie Waber"/>
    <s v="New Zealand"/>
    <x v="7"/>
    <d v="2023-01-02T00:00:00"/>
    <s v="02/01/2023"/>
    <m/>
    <s v="02"/>
    <n v="6811.37"/>
    <n v="25"/>
    <m/>
    <m/>
    <s v="Above Average"/>
    <n v="1234"/>
  </r>
  <r>
    <s v="Jan Morforth"/>
    <s v="Canada"/>
    <x v="21"/>
    <s v="14/02/2023"/>
    <s v="14/02/2023"/>
    <m/>
    <s v="14/02/2023"/>
    <n v="6096.52"/>
    <n v="300"/>
    <m/>
    <m/>
    <s v="Above Average"/>
    <n v="1403"/>
  </r>
  <r>
    <s v="Kelci Walkden"/>
    <s v="Australia"/>
    <x v="11"/>
    <s v="24/02/2023"/>
    <s v="24/02/2023"/>
    <m/>
    <s v="24/02/2023"/>
    <n v="8684.58"/>
    <n v="120"/>
    <m/>
    <m/>
    <s v="Above Average"/>
    <n v="801"/>
  </r>
  <r>
    <s v="Dennison Crosswaite"/>
    <s v="India"/>
    <x v="7"/>
    <s v="18/03/2023"/>
    <s v="18/03/2023"/>
    <m/>
    <s v="18/03/2023"/>
    <n v="873.26"/>
    <n v="140"/>
    <m/>
    <m/>
    <s v="Below Average"/>
    <n v="3009"/>
  </r>
  <r>
    <s v="Husein Augar"/>
    <s v="UK"/>
    <x v="8"/>
    <s v="30/08/2023"/>
    <s v="30/08/2023"/>
    <m/>
    <s v="30/08/2023"/>
    <n v="1912.66"/>
    <n v="253"/>
    <m/>
    <m/>
    <s v="Below Average"/>
    <n v="2660"/>
  </r>
  <r>
    <s v="Gigi Bohling"/>
    <s v="USA"/>
    <x v="2"/>
    <d v="2023-09-05T00:00:00"/>
    <s v="05/09/2023"/>
    <m/>
    <s v="05"/>
    <n v="321.61"/>
    <n v="76"/>
    <m/>
    <m/>
    <s v="Below Average"/>
    <n v="3181"/>
  </r>
  <r>
    <s v="Wilone O'Kielt"/>
    <s v="USA"/>
    <x v="3"/>
    <s v="18/01/2023"/>
    <s v="18/01/2023"/>
    <m/>
    <s v="18/01/2023"/>
    <n v="511.12"/>
    <n v="96"/>
    <m/>
    <m/>
    <s v="Below Average"/>
    <n v="3122"/>
  </r>
  <r>
    <s v="Curtice Advani"/>
    <s v="India"/>
    <x v="14"/>
    <d v="2023-04-07T00:00:00"/>
    <s v="07/04/2023"/>
    <m/>
    <s v="07"/>
    <n v="7887.15"/>
    <n v="335"/>
    <m/>
    <m/>
    <s v="Above Average"/>
    <n v="975"/>
  </r>
  <r>
    <s v="Oby Sorrel"/>
    <s v="New Zealand"/>
    <x v="12"/>
    <d v="2023-03-06T00:00:00"/>
    <s v="06/03/2023"/>
    <m/>
    <s v="06"/>
    <n v="1793.67"/>
    <n v="13"/>
    <m/>
    <m/>
    <s v="Below Average"/>
    <n v="2703"/>
  </r>
  <r>
    <s v="Beverie Moffet"/>
    <s v="New Zealand"/>
    <x v="2"/>
    <s v="23/02/2023"/>
    <s v="23/02/2023"/>
    <m/>
    <s v="23/02/2023"/>
    <n v="12129.42"/>
    <n v="29"/>
    <m/>
    <m/>
    <s v="Above Average"/>
    <n v="334"/>
  </r>
  <r>
    <s v="Dotty Strutley"/>
    <s v="New Zealand"/>
    <x v="4"/>
    <d v="2023-09-05T00:00:00"/>
    <s v="05/09/2023"/>
    <m/>
    <s v="05"/>
    <n v="11749.75"/>
    <n v="213"/>
    <m/>
    <m/>
    <s v="Above Average"/>
    <n v="366"/>
  </r>
  <r>
    <s v="Kelci Walkden"/>
    <s v="India"/>
    <x v="21"/>
    <d v="2023-06-06T00:00:00"/>
    <s v="06/06/2023"/>
    <m/>
    <s v="06"/>
    <n v="3967.25"/>
    <n v="101"/>
    <m/>
    <m/>
    <s v="Below Average"/>
    <n v="1996"/>
  </r>
  <r>
    <s v="Kelci Walkden"/>
    <s v="India"/>
    <x v="9"/>
    <d v="2023-04-07T00:00:00"/>
    <s v="07/04/2023"/>
    <m/>
    <s v="07"/>
    <n v="8105.37"/>
    <n v="255"/>
    <m/>
    <m/>
    <s v="Above Average"/>
    <n v="916"/>
  </r>
  <r>
    <s v="Brien Boise"/>
    <s v="New Zealand"/>
    <x v="9"/>
    <d v="2023-06-06T00:00:00"/>
    <s v="06/06/2023"/>
    <m/>
    <s v="06"/>
    <n v="1614.17"/>
    <n v="106"/>
    <m/>
    <m/>
    <s v="Below Average"/>
    <n v="2765"/>
  </r>
  <r>
    <s v="Dotty Strutley"/>
    <s v="Australia"/>
    <x v="16"/>
    <s v="13/05/2023"/>
    <s v="13/05/2023"/>
    <m/>
    <s v="13/05/2023"/>
    <n v="1613.3"/>
    <n v="91"/>
    <m/>
    <m/>
    <s v="Below Average"/>
    <n v="2766"/>
  </r>
  <r>
    <s v="Wilone O'Kielt"/>
    <s v="New Zealand"/>
    <x v="10"/>
    <s v="31/01/2023"/>
    <s v="31/01/2023"/>
    <m/>
    <s v="31/01/2023"/>
    <n v="2155.64"/>
    <n v="281"/>
    <m/>
    <m/>
    <s v="Below Average"/>
    <n v="2590"/>
  </r>
  <r>
    <s v="Ches Bonnell"/>
    <s v="New Zealand"/>
    <x v="20"/>
    <s v="30/06/2023"/>
    <s v="30/06/2023"/>
    <m/>
    <s v="30/06/2023"/>
    <n v="8184.37"/>
    <n v="43"/>
    <m/>
    <m/>
    <s v="Above Average"/>
    <n v="897"/>
  </r>
  <r>
    <s v="Barr Faughny"/>
    <s v="Canada"/>
    <x v="15"/>
    <s v="25/08/2023"/>
    <s v="25/08/2023"/>
    <m/>
    <s v="25/08/2023"/>
    <n v="3613.32"/>
    <n v="251"/>
    <m/>
    <m/>
    <s v="Below Average"/>
    <n v="2101"/>
  </r>
  <r>
    <s v="Gigi Bohling"/>
    <s v="New Zealand"/>
    <x v="3"/>
    <d v="2023-10-01T00:00:00"/>
    <s v="01/10/2023"/>
    <m/>
    <s v="01"/>
    <n v="801.09"/>
    <n v="101"/>
    <m/>
    <m/>
    <s v="Below Average"/>
    <n v="3027"/>
  </r>
  <r>
    <s v="Brien Boise"/>
    <s v="USA"/>
    <x v="15"/>
    <s v="22/08/2023"/>
    <s v="22/08/2023"/>
    <m/>
    <s v="22/08/2023"/>
    <n v="2069.48"/>
    <n v="8"/>
    <m/>
    <m/>
    <s v="Below Average"/>
    <n v="2610"/>
  </r>
  <r>
    <s v="Roddy Speechley"/>
    <s v="New Zealand"/>
    <x v="1"/>
    <s v="14/04/2023"/>
    <s v="14/04/2023"/>
    <m/>
    <s v="14/04/2023"/>
    <n v="5096.21"/>
    <n v="284"/>
    <m/>
    <m/>
    <s v="Below Average"/>
    <n v="1672"/>
  </r>
  <r>
    <s v="Oby Sorrel"/>
    <s v="UK"/>
    <x v="3"/>
    <s v="31/05/2023"/>
    <s v="31/05/2023"/>
    <m/>
    <s v="31/05/2023"/>
    <n v="10573.5"/>
    <n v="338"/>
    <m/>
    <m/>
    <s v="Above Average"/>
    <n v="505"/>
  </r>
  <r>
    <s v="Oby Sorrel"/>
    <s v="UK"/>
    <x v="17"/>
    <d v="2023-08-04T00:00:00"/>
    <s v="04/08/2023"/>
    <m/>
    <s v="04"/>
    <n v="4611.37"/>
    <n v="322"/>
    <m/>
    <m/>
    <s v="Below Average"/>
    <n v="1819"/>
  </r>
  <r>
    <s v="Roddy Speechley"/>
    <s v="USA"/>
    <x v="9"/>
    <s v="21/02/2023"/>
    <s v="21/02/2023"/>
    <m/>
    <s v="21/02/2023"/>
    <n v="3288.77"/>
    <n v="148"/>
    <m/>
    <m/>
    <s v="Below Average"/>
    <n v="2212"/>
  </r>
  <r>
    <s v="Andria Kimpton"/>
    <s v="Australia"/>
    <x v="15"/>
    <s v="30/03/2023"/>
    <s v="30/03/2023"/>
    <m/>
    <s v="30/03/2023"/>
    <n v="10883.13"/>
    <n v="394"/>
    <m/>
    <m/>
    <s v="Above Average"/>
    <n v="459"/>
  </r>
  <r>
    <s v="Mallorie Waber"/>
    <s v="India"/>
    <x v="17"/>
    <d v="2023-02-03T00:00:00"/>
    <s v="03/02/2023"/>
    <m/>
    <s v="03"/>
    <n v="1516.56"/>
    <n v="2"/>
    <m/>
    <m/>
    <s v="Below Average"/>
    <n v="2801"/>
  </r>
  <r>
    <s v="Jehu Rudeforth"/>
    <s v="USA"/>
    <x v="7"/>
    <s v="28/07/2023"/>
    <s v="28/07/2023"/>
    <m/>
    <s v="28/07/2023"/>
    <n v="391.33"/>
    <n v="184"/>
    <m/>
    <m/>
    <s v="Below Average"/>
    <n v="3167"/>
  </r>
  <r>
    <s v="Kaine Padly"/>
    <s v="New Zealand"/>
    <x v="21"/>
    <s v="24/03/2023"/>
    <s v="24/03/2023"/>
    <m/>
    <s v="24/03/2023"/>
    <n v="7969.08"/>
    <n v="38"/>
    <m/>
    <m/>
    <s v="Above Average"/>
    <n v="943"/>
  </r>
  <r>
    <s v="Curtice Advani"/>
    <s v="Australia"/>
    <x v="5"/>
    <d v="2023-11-08T00:00:00"/>
    <s v="08/11/2023"/>
    <m/>
    <s v="08"/>
    <n v="63.71"/>
    <n v="109"/>
    <m/>
    <m/>
    <s v="Below Average"/>
    <n v="3264"/>
  </r>
  <r>
    <s v="Husein Augar"/>
    <s v="UK"/>
    <x v="16"/>
    <s v="17/05/2023"/>
    <s v="17/05/2023"/>
    <m/>
    <s v="17/05/2023"/>
    <n v="8832.33"/>
    <n v="175"/>
    <m/>
    <m/>
    <s v="Above Average"/>
    <n v="774"/>
  </r>
  <r>
    <s v="Kaine Padly"/>
    <s v="Canada"/>
    <x v="18"/>
    <s v="18/05/2023"/>
    <s v="18/05/2023"/>
    <m/>
    <s v="18/05/2023"/>
    <n v="3542.19"/>
    <n v="180"/>
    <m/>
    <m/>
    <s v="Below Average"/>
    <n v="2129"/>
  </r>
  <r>
    <s v="Roddy Speechley"/>
    <s v="UK"/>
    <x v="2"/>
    <s v="17/08/2023"/>
    <s v="17/08/2023"/>
    <m/>
    <s v="17/08/2023"/>
    <n v="6052.07"/>
    <n v="173"/>
    <m/>
    <m/>
    <s v="Above Average"/>
    <n v="1421"/>
  </r>
  <r>
    <s v="Ches Bonnell"/>
    <s v="New Zealand"/>
    <x v="8"/>
    <d v="2023-04-04T00:00:00"/>
    <s v="04/04/2023"/>
    <m/>
    <s v="04"/>
    <n v="543.20000000000005"/>
    <n v="54"/>
    <m/>
    <m/>
    <s v="Below Average"/>
    <n v="3114"/>
  </r>
  <r>
    <s v="Brien Boise"/>
    <s v="India"/>
    <x v="1"/>
    <d v="2023-09-08T00:00:00"/>
    <s v="08/09/2023"/>
    <m/>
    <s v="08"/>
    <n v="18894.919999999998"/>
    <n v="201"/>
    <m/>
    <m/>
    <s v="Above Average"/>
    <n v="30"/>
  </r>
  <r>
    <s v="Brien Boise"/>
    <s v="New Zealand"/>
    <x v="10"/>
    <s v="17/01/2023"/>
    <s v="17/01/2023"/>
    <m/>
    <s v="17/01/2023"/>
    <n v="689.4"/>
    <n v="331"/>
    <m/>
    <m/>
    <s v="Below Average"/>
    <n v="3069"/>
  </r>
  <r>
    <s v="Andria Kimpton"/>
    <s v="Canada"/>
    <x v="14"/>
    <s v="14/02/2023"/>
    <s v="14/02/2023"/>
    <m/>
    <s v="14/02/2023"/>
    <n v="4435.95"/>
    <n v="31"/>
    <m/>
    <m/>
    <s v="Below Average"/>
    <n v="1870"/>
  </r>
  <r>
    <s v="Gigi Bohling"/>
    <s v="New Zealand"/>
    <x v="7"/>
    <s v="16/05/2023"/>
    <s v="16/05/2023"/>
    <m/>
    <s v="16/05/2023"/>
    <n v="9111.34"/>
    <n v="324"/>
    <m/>
    <m/>
    <s v="Above Average"/>
    <n v="717"/>
  </r>
  <r>
    <s v="Ches Bonnell"/>
    <s v="Canada"/>
    <x v="3"/>
    <s v="16/03/2023"/>
    <s v="16/03/2023"/>
    <m/>
    <s v="16/03/2023"/>
    <n v="10369.709999999999"/>
    <n v="129"/>
    <m/>
    <m/>
    <s v="Above Average"/>
    <n v="525"/>
  </r>
  <r>
    <s v="Husein Augar"/>
    <s v="Canada"/>
    <x v="21"/>
    <s v="31/01/2023"/>
    <s v="31/01/2023"/>
    <m/>
    <s v="31/01/2023"/>
    <n v="5833.2"/>
    <n v="290"/>
    <m/>
    <m/>
    <s v="Below Average"/>
    <n v="1478"/>
  </r>
  <r>
    <s v="Barr Faughny"/>
    <s v="Canada"/>
    <x v="10"/>
    <d v="2023-10-03T00:00:00"/>
    <s v="03/10/2023"/>
    <m/>
    <s v="03"/>
    <n v="1229.96"/>
    <n v="219"/>
    <m/>
    <m/>
    <s v="Below Average"/>
    <n v="2897"/>
  </r>
  <r>
    <s v="Oby Sorrel"/>
    <s v="UK"/>
    <x v="10"/>
    <s v="30/06/2023"/>
    <s v="30/06/2023"/>
    <m/>
    <s v="30/06/2023"/>
    <n v="8839.7199999999993"/>
    <n v="170"/>
    <m/>
    <m/>
    <s v="Above Average"/>
    <n v="772"/>
  </r>
  <r>
    <s v="Van Tuxwell"/>
    <s v="New Zealand"/>
    <x v="8"/>
    <d v="2023-01-03T00:00:00"/>
    <s v="03/01/2023"/>
    <m/>
    <s v="03"/>
    <n v="5747.66"/>
    <n v="176"/>
    <m/>
    <m/>
    <s v="Below Average"/>
    <n v="1506"/>
  </r>
  <r>
    <s v="Mallorie Waber"/>
    <s v="UK"/>
    <x v="9"/>
    <s v="27/05/2023"/>
    <s v="27/05/2023"/>
    <m/>
    <s v="27/05/2023"/>
    <n v="3666.04"/>
    <n v="107"/>
    <m/>
    <m/>
    <s v="Below Average"/>
    <n v="2082"/>
  </r>
  <r>
    <s v="Oby Sorrel"/>
    <s v="UK"/>
    <x v="11"/>
    <d v="2023-11-07T00:00:00"/>
    <s v="07/11/2023"/>
    <m/>
    <s v="07"/>
    <n v="6853.82"/>
    <n v="220"/>
    <m/>
    <m/>
    <s v="Above Average"/>
    <n v="1219"/>
  </r>
  <r>
    <s v="Karlen McCaffrey"/>
    <s v="New Zealand"/>
    <x v="0"/>
    <d v="2023-02-03T00:00:00"/>
    <s v="03/02/2023"/>
    <m/>
    <s v="03"/>
    <n v="4361.01"/>
    <n v="59"/>
    <m/>
    <m/>
    <s v="Below Average"/>
    <n v="1886"/>
  </r>
  <r>
    <s v="Jehu Rudeforth"/>
    <s v="USA"/>
    <x v="17"/>
    <d v="2023-04-03T00:00:00"/>
    <s v="03/04/2023"/>
    <m/>
    <s v="03"/>
    <n v="7686.15"/>
    <n v="141"/>
    <m/>
    <m/>
    <s v="Above Average"/>
    <n v="1018"/>
  </r>
  <r>
    <s v="Kelci Walkden"/>
    <s v="UK"/>
    <x v="1"/>
    <s v="23/06/2023"/>
    <s v="23/06/2023"/>
    <m/>
    <s v="23/06/2023"/>
    <n v="4188.43"/>
    <n v="235"/>
    <m/>
    <m/>
    <s v="Below Average"/>
    <n v="1932"/>
  </r>
  <r>
    <s v="Kelci Walkden"/>
    <s v="USA"/>
    <x v="16"/>
    <s v="27/01/2023"/>
    <s v="27/01/2023"/>
    <m/>
    <s v="27/01/2023"/>
    <n v="5425.24"/>
    <n v="234"/>
    <m/>
    <m/>
    <s v="Below Average"/>
    <n v="1587"/>
  </r>
  <r>
    <s v="Marney O'Breen"/>
    <s v="Canada"/>
    <x v="7"/>
    <s v="14/01/2023"/>
    <s v="14/01/2023"/>
    <m/>
    <s v="14/01/2023"/>
    <n v="2896.97"/>
    <n v="456"/>
    <m/>
    <m/>
    <s v="Below Average"/>
    <n v="2348"/>
  </r>
  <r>
    <s v="Dennison Crosswaite"/>
    <s v="India"/>
    <x v="13"/>
    <s v="29/07/2023"/>
    <s v="29/07/2023"/>
    <m/>
    <s v="29/07/2023"/>
    <n v="1071.31"/>
    <n v="23"/>
    <m/>
    <m/>
    <s v="Below Average"/>
    <n v="2950"/>
  </r>
  <r>
    <s v="Brien Boise"/>
    <s v="Canada"/>
    <x v="3"/>
    <s v="13/05/2023"/>
    <s v="13/05/2023"/>
    <m/>
    <s v="13/05/2023"/>
    <n v="6417.05"/>
    <n v="497"/>
    <m/>
    <m/>
    <s v="Above Average"/>
    <n v="1330"/>
  </r>
  <r>
    <s v="Barr Faughny"/>
    <s v="Canada"/>
    <x v="19"/>
    <d v="2023-03-02T00:00:00"/>
    <s v="02/03/2023"/>
    <m/>
    <s v="02"/>
    <n v="10967.31"/>
    <n v="172"/>
    <m/>
    <m/>
    <s v="Above Average"/>
    <n v="445"/>
  </r>
  <r>
    <s v="Brien Boise"/>
    <s v="India"/>
    <x v="3"/>
    <s v="27/05/2023"/>
    <s v="27/05/2023"/>
    <m/>
    <s v="27/05/2023"/>
    <n v="6345.02"/>
    <n v="28"/>
    <m/>
    <m/>
    <s v="Above Average"/>
    <n v="1340"/>
  </r>
  <r>
    <s v="Jan Morforth"/>
    <s v="Australia"/>
    <x v="9"/>
    <s v="18/02/2023"/>
    <s v="18/02/2023"/>
    <m/>
    <s v="18/02/2023"/>
    <n v="2824.71"/>
    <n v="25"/>
    <m/>
    <m/>
    <s v="Below Average"/>
    <n v="2362"/>
  </r>
  <r>
    <s v="Brien Boise"/>
    <s v="India"/>
    <x v="12"/>
    <s v="28/01/2023"/>
    <s v="28/01/2023"/>
    <m/>
    <s v="28/01/2023"/>
    <n v="1463.67"/>
    <n v="34"/>
    <m/>
    <m/>
    <s v="Below Average"/>
    <n v="2813"/>
  </r>
  <r>
    <s v="Van Tuxwell"/>
    <s v="UK"/>
    <x v="8"/>
    <s v="29/06/2023"/>
    <s v="29/06/2023"/>
    <m/>
    <s v="29/06/2023"/>
    <n v="5856.52"/>
    <n v="115"/>
    <m/>
    <m/>
    <s v="Below Average"/>
    <n v="1472"/>
  </r>
  <r>
    <s v="Wilone O'Kielt"/>
    <s v="India"/>
    <x v="20"/>
    <s v="13/01/2023"/>
    <s v="13/01/2023"/>
    <m/>
    <s v="13/01/2023"/>
    <n v="4303.8599999999997"/>
    <n v="282"/>
    <m/>
    <m/>
    <s v="Below Average"/>
    <n v="1903"/>
  </r>
  <r>
    <s v="Jehu Rudeforth"/>
    <s v="UK"/>
    <x v="5"/>
    <s v="27/06/2023"/>
    <s v="27/06/2023"/>
    <m/>
    <s v="27/06/2023"/>
    <n v="2047.77"/>
    <n v="169"/>
    <m/>
    <m/>
    <s v="Below Average"/>
    <n v="2621"/>
  </r>
  <r>
    <s v="Barr Faughny"/>
    <s v="Canada"/>
    <x v="14"/>
    <s v="29/03/2023"/>
    <s v="29/03/2023"/>
    <m/>
    <s v="29/03/2023"/>
    <n v="4692.3599999999997"/>
    <n v="1"/>
    <m/>
    <m/>
    <s v="Below Average"/>
    <n v="1801"/>
  </r>
  <r>
    <s v="Gunar Cockshoot"/>
    <s v="India"/>
    <x v="10"/>
    <d v="2023-03-06T00:00:00"/>
    <s v="06/03/2023"/>
    <m/>
    <s v="06"/>
    <n v="7302.42"/>
    <n v="153"/>
    <m/>
    <m/>
    <s v="Above Average"/>
    <n v="1108"/>
  </r>
  <r>
    <s v="Mallorie Waber"/>
    <s v="Canada"/>
    <x v="3"/>
    <s v="21/03/2023"/>
    <s v="21/03/2023"/>
    <m/>
    <s v="21/03/2023"/>
    <n v="2056.92"/>
    <n v="103"/>
    <m/>
    <m/>
    <s v="Below Average"/>
    <n v="2616"/>
  </r>
  <r>
    <s v="Mallorie Waber"/>
    <s v="India"/>
    <x v="8"/>
    <d v="2023-12-04T00:00:00"/>
    <s v="04/12/2023"/>
    <m/>
    <s v="04"/>
    <n v="11032.79"/>
    <n v="49"/>
    <m/>
    <m/>
    <s v="Above Average"/>
    <n v="436"/>
  </r>
  <r>
    <s v="Rafaelita Blaksland"/>
    <s v="Australia"/>
    <x v="17"/>
    <s v="19/01/2023"/>
    <s v="19/01/2023"/>
    <m/>
    <s v="19/01/2023"/>
    <n v="7773.64"/>
    <n v="247"/>
    <m/>
    <m/>
    <s v="Above Average"/>
    <n v="993"/>
  </r>
  <r>
    <s v="Karlen McCaffrey"/>
    <s v="UK"/>
    <x v="6"/>
    <d v="2023-06-04T00:00:00"/>
    <s v="04/06/2023"/>
    <m/>
    <s v="04"/>
    <n v="3843.01"/>
    <n v="295"/>
    <m/>
    <m/>
    <s v="Below Average"/>
    <n v="2027"/>
  </r>
  <r>
    <s v="Kaine Padly"/>
    <s v="Australia"/>
    <x v="6"/>
    <d v="2023-02-08T00:00:00"/>
    <s v="08/02/2023"/>
    <m/>
    <s v="08"/>
    <n v="9163.7900000000009"/>
    <n v="81"/>
    <m/>
    <m/>
    <s v="Above Average"/>
    <n v="709"/>
  </r>
  <r>
    <s v="Gigi Bohling"/>
    <s v="Australia"/>
    <x v="8"/>
    <d v="2023-12-04T00:00:00"/>
    <s v="04/12/2023"/>
    <m/>
    <s v="04"/>
    <n v="7628.59"/>
    <n v="146"/>
    <m/>
    <m/>
    <s v="Above Average"/>
    <n v="1031"/>
  </r>
  <r>
    <s v="Oby Sorrel"/>
    <s v="India"/>
    <x v="9"/>
    <s v="21/07/2023"/>
    <s v="21/07/2023"/>
    <m/>
    <s v="21/07/2023"/>
    <n v="18220.59"/>
    <n v="139"/>
    <m/>
    <m/>
    <s v="Above Average"/>
    <n v="40"/>
  </r>
  <r>
    <s v="Van Tuxwell"/>
    <s v="New Zealand"/>
    <x v="19"/>
    <s v="22/03/2023"/>
    <s v="22/03/2023"/>
    <m/>
    <s v="22/03/2023"/>
    <n v="9828.94"/>
    <n v="24"/>
    <m/>
    <m/>
    <s v="Above Average"/>
    <n v="610"/>
  </r>
  <r>
    <s v="Husein Augar"/>
    <s v="India"/>
    <x v="2"/>
    <d v="2023-09-05T00:00:00"/>
    <s v="05/09/2023"/>
    <m/>
    <s v="05"/>
    <n v="4726.6499999999996"/>
    <n v="5"/>
    <m/>
    <m/>
    <s v="Below Average"/>
    <n v="1792"/>
  </r>
  <r>
    <s v="Andria Kimpton"/>
    <s v="Australia"/>
    <x v="19"/>
    <d v="2023-09-08T00:00:00"/>
    <s v="08/09/2023"/>
    <m/>
    <s v="08"/>
    <n v="344.82"/>
    <n v="118"/>
    <m/>
    <m/>
    <s v="Below Average"/>
    <n v="3174"/>
  </r>
  <r>
    <s v="Madelene Upcott"/>
    <s v="Canada"/>
    <x v="18"/>
    <s v="20/07/2023"/>
    <s v="20/07/2023"/>
    <m/>
    <s v="20/07/2023"/>
    <n v="3451.24"/>
    <n v="283"/>
    <m/>
    <m/>
    <s v="Below Average"/>
    <n v="2154"/>
  </r>
  <r>
    <s v="Brien Boise"/>
    <s v="India"/>
    <x v="21"/>
    <s v="14/04/2023"/>
    <s v="14/04/2023"/>
    <m/>
    <s v="14/04/2023"/>
    <n v="5071.49"/>
    <n v="439"/>
    <m/>
    <m/>
    <s v="Below Average"/>
    <n v="1684"/>
  </r>
  <r>
    <s v="Jehu Rudeforth"/>
    <s v="Canada"/>
    <x v="14"/>
    <s v="25/01/2023"/>
    <s v="25/01/2023"/>
    <m/>
    <s v="25/01/2023"/>
    <n v="4719.38"/>
    <n v="132"/>
    <m/>
    <m/>
    <s v="Below Average"/>
    <n v="1796"/>
  </r>
  <r>
    <s v="Andria Kimpton"/>
    <s v="Australia"/>
    <x v="16"/>
    <s v="25/04/2023"/>
    <s v="25/04/2023"/>
    <m/>
    <s v="25/04/2023"/>
    <n v="3430.58"/>
    <n v="174"/>
    <m/>
    <m/>
    <s v="Below Average"/>
    <n v="2163"/>
  </r>
  <r>
    <s v="Dotty Strutley"/>
    <s v="Canada"/>
    <x v="5"/>
    <s v="17/01/2023"/>
    <s v="17/01/2023"/>
    <m/>
    <s v="17/01/2023"/>
    <n v="268.3"/>
    <n v="239"/>
    <m/>
    <m/>
    <s v="Below Average"/>
    <n v="3205"/>
  </r>
  <r>
    <s v="Karlen McCaffrey"/>
    <s v="USA"/>
    <x v="8"/>
    <s v="15/08/2023"/>
    <s v="15/08/2023"/>
    <m/>
    <s v="15/08/2023"/>
    <n v="991.46"/>
    <n v="133"/>
    <m/>
    <m/>
    <s v="Below Average"/>
    <n v="2977"/>
  </r>
  <r>
    <s v="Karlen McCaffrey"/>
    <s v="Canada"/>
    <x v="13"/>
    <d v="2023-02-06T00:00:00"/>
    <s v="06/02/2023"/>
    <m/>
    <s v="06"/>
    <n v="213.45"/>
    <n v="17"/>
    <m/>
    <m/>
    <s v="Below Average"/>
    <n v="3213"/>
  </r>
  <r>
    <s v="Gunar Cockshoot"/>
    <s v="USA"/>
    <x v="1"/>
    <s v="30/06/2023"/>
    <s v="30/06/2023"/>
    <m/>
    <s v="30/06/2023"/>
    <n v="7586.38"/>
    <n v="131"/>
    <m/>
    <m/>
    <s v="Above Average"/>
    <n v="1049"/>
  </r>
  <r>
    <s v="Dotty Strutley"/>
    <s v="New Zealand"/>
    <x v="17"/>
    <d v="2023-10-02T00:00:00"/>
    <s v="02/10/2023"/>
    <m/>
    <s v="02"/>
    <n v="6192.19"/>
    <n v="99"/>
    <m/>
    <m/>
    <s v="Above Average"/>
    <n v="1380"/>
  </r>
  <r>
    <s v="Marney O'Breen"/>
    <s v="Canada"/>
    <x v="20"/>
    <s v="23/02/2023"/>
    <s v="23/02/2023"/>
    <m/>
    <s v="23/02/2023"/>
    <n v="1510.58"/>
    <n v="602"/>
    <m/>
    <m/>
    <s v="Below Average"/>
    <n v="2806"/>
  </r>
  <r>
    <s v="Dennison Crosswaite"/>
    <s v="India"/>
    <x v="10"/>
    <s v="27/01/2023"/>
    <s v="27/01/2023"/>
    <m/>
    <s v="27/01/2023"/>
    <n v="8693.31"/>
    <n v="209"/>
    <m/>
    <m/>
    <s v="Above Average"/>
    <n v="798"/>
  </r>
  <r>
    <s v="Camilla Castle"/>
    <s v="UK"/>
    <x v="0"/>
    <s v="26/05/2023"/>
    <s v="26/05/2023"/>
    <m/>
    <s v="26/05/2023"/>
    <n v="5509.77"/>
    <n v="307"/>
    <m/>
    <m/>
    <s v="Below Average"/>
    <n v="1563"/>
  </r>
  <r>
    <s v="Brien Boise"/>
    <s v="USA"/>
    <x v="21"/>
    <s v="14/04/2023"/>
    <s v="14/04/2023"/>
    <m/>
    <s v="14/04/2023"/>
    <n v="1863.2"/>
    <n v="22"/>
    <m/>
    <m/>
    <s v="Below Average"/>
    <n v="2678"/>
  </r>
  <r>
    <s v="Madelene Upcott"/>
    <s v="Australia"/>
    <x v="4"/>
    <d v="2023-01-08T00:00:00"/>
    <s v="08/01/2023"/>
    <m/>
    <s v="08"/>
    <n v="4822.5"/>
    <n v="159"/>
    <m/>
    <m/>
    <s v="Below Average"/>
    <n v="1759"/>
  </r>
  <r>
    <s v="Mallorie Waber"/>
    <s v="Australia"/>
    <x v="8"/>
    <s v="22/08/2023"/>
    <s v="22/08/2023"/>
    <m/>
    <s v="22/08/2023"/>
    <n v="10856.55"/>
    <n v="229"/>
    <m/>
    <m/>
    <s v="Above Average"/>
    <n v="462"/>
  </r>
  <r>
    <s v="Marney O'Breen"/>
    <s v="India"/>
    <x v="4"/>
    <s v="22/07/2023"/>
    <s v="22/07/2023"/>
    <m/>
    <s v="22/07/2023"/>
    <n v="11252.11"/>
    <n v="159"/>
    <m/>
    <m/>
    <s v="Above Average"/>
    <n v="422"/>
  </r>
  <r>
    <s v="Husein Augar"/>
    <s v="USA"/>
    <x v="13"/>
    <s v="28/04/2023"/>
    <s v="28/04/2023"/>
    <m/>
    <s v="28/04/2023"/>
    <n v="1387.72"/>
    <n v="27"/>
    <m/>
    <m/>
    <s v="Below Average"/>
    <n v="2843"/>
  </r>
  <r>
    <s v="Kelci Walkden"/>
    <s v="Australia"/>
    <x v="16"/>
    <s v="30/05/2023"/>
    <s v="30/05/2023"/>
    <m/>
    <s v="30/05/2023"/>
    <n v="5509.22"/>
    <n v="341"/>
    <m/>
    <m/>
    <s v="Below Average"/>
    <n v="1564"/>
  </r>
  <r>
    <s v="Ches Bonnell"/>
    <s v="USA"/>
    <x v="11"/>
    <s v="21/07/2023"/>
    <s v="21/07/2023"/>
    <m/>
    <s v="21/07/2023"/>
    <n v="2444.25"/>
    <n v="155"/>
    <m/>
    <m/>
    <s v="Below Average"/>
    <n v="2498"/>
  </r>
  <r>
    <s v="Jan Morforth"/>
    <s v="UK"/>
    <x v="20"/>
    <d v="2023-02-08T00:00:00"/>
    <s v="08/02/2023"/>
    <m/>
    <s v="08"/>
    <n v="3175.62"/>
    <n v="507"/>
    <m/>
    <m/>
    <s v="Below Average"/>
    <n v="2240"/>
  </r>
  <r>
    <s v="Brien Boise"/>
    <s v="New Zealand"/>
    <x v="21"/>
    <s v="15/06/2023"/>
    <s v="15/06/2023"/>
    <m/>
    <s v="15/06/2023"/>
    <n v="7900.42"/>
    <n v="143"/>
    <m/>
    <m/>
    <s v="Above Average"/>
    <n v="968"/>
  </r>
  <r>
    <s v="Oby Sorrel"/>
    <s v="India"/>
    <x v="1"/>
    <d v="2023-05-07T00:00:00"/>
    <s v="07/05/2023"/>
    <m/>
    <s v="07"/>
    <n v="9072.4599999999991"/>
    <n v="142"/>
    <m/>
    <m/>
    <s v="Above Average"/>
    <n v="723"/>
  </r>
  <r>
    <s v="Kaine Padly"/>
    <s v="New Zealand"/>
    <x v="3"/>
    <d v="2023-12-04T00:00:00"/>
    <s v="04/12/2023"/>
    <m/>
    <s v="04"/>
    <n v="8.06"/>
    <n v="513"/>
    <m/>
    <m/>
    <s v="Below Average"/>
    <n v="3278"/>
  </r>
  <r>
    <s v="Gigi Bohling"/>
    <s v="Australia"/>
    <x v="21"/>
    <s v="18/08/2023"/>
    <s v="18/08/2023"/>
    <m/>
    <s v="18/08/2023"/>
    <n v="1548.54"/>
    <n v="104"/>
    <m/>
    <m/>
    <s v="Below Average"/>
    <n v="2787"/>
  </r>
  <r>
    <s v="Jan Morforth"/>
    <s v="UK"/>
    <x v="6"/>
    <d v="2023-12-01T00:00:00"/>
    <s v="01/12/2023"/>
    <m/>
    <s v="01"/>
    <n v="5501.67"/>
    <n v="298"/>
    <m/>
    <m/>
    <s v="Below Average"/>
    <n v="1569"/>
  </r>
  <r>
    <s v="Gunar Cockshoot"/>
    <s v="Canada"/>
    <x v="14"/>
    <d v="2023-11-08T00:00:00"/>
    <s v="08/11/2023"/>
    <m/>
    <s v="08"/>
    <n v="7685.42"/>
    <n v="15"/>
    <m/>
    <m/>
    <s v="Above Average"/>
    <n v="1019"/>
  </r>
  <r>
    <s v="Jehu Rudeforth"/>
    <s v="Australia"/>
    <x v="12"/>
    <s v="13/01/2023"/>
    <s v="13/01/2023"/>
    <m/>
    <s v="13/01/2023"/>
    <n v="5147.7700000000004"/>
    <n v="402"/>
    <m/>
    <m/>
    <s v="Below Average"/>
    <n v="1661"/>
  </r>
  <r>
    <s v="Husein Augar"/>
    <s v="UK"/>
    <x v="19"/>
    <s v="29/04/2023"/>
    <s v="29/04/2023"/>
    <m/>
    <s v="29/04/2023"/>
    <n v="3070.43"/>
    <n v="143"/>
    <m/>
    <m/>
    <s v="Below Average"/>
    <n v="2281"/>
  </r>
  <r>
    <s v="Rafaelita Blaksland"/>
    <s v="New Zealand"/>
    <x v="5"/>
    <d v="2023-07-07T00:00:00"/>
    <s v="07/07/2023"/>
    <m/>
    <s v="07"/>
    <n v="1127.5"/>
    <n v="88"/>
    <m/>
    <m/>
    <s v="Below Average"/>
    <n v="2926"/>
  </r>
  <r>
    <s v="Madelene Upcott"/>
    <s v="New Zealand"/>
    <x v="0"/>
    <d v="2023-11-03T00:00:00"/>
    <s v="03/11/2023"/>
    <m/>
    <s v="03"/>
    <n v="8502.77"/>
    <n v="4"/>
    <m/>
    <m/>
    <s v="Above Average"/>
    <n v="833"/>
  </r>
  <r>
    <s v="Madelene Upcott"/>
    <s v="UK"/>
    <x v="21"/>
    <s v="16/02/2023"/>
    <s v="16/02/2023"/>
    <m/>
    <s v="16/02/2023"/>
    <n v="5961.02"/>
    <n v="241"/>
    <m/>
    <m/>
    <s v="Below Average"/>
    <n v="1442"/>
  </r>
  <r>
    <s v="Barr Faughny"/>
    <s v="Australia"/>
    <x v="10"/>
    <d v="2023-07-01T00:00:00"/>
    <s v="01/07/2023"/>
    <m/>
    <s v="01"/>
    <n v="2478.33"/>
    <n v="33"/>
    <m/>
    <m/>
    <s v="Below Average"/>
    <n v="2484"/>
  </r>
  <r>
    <s v="Beverie Moffet"/>
    <s v="New Zealand"/>
    <x v="9"/>
    <d v="2023-12-01T00:00:00"/>
    <s v="01/12/2023"/>
    <m/>
    <s v="01"/>
    <n v="1269.56"/>
    <n v="497"/>
    <m/>
    <m/>
    <s v="Below Average"/>
    <n v="2884"/>
  </r>
  <r>
    <s v="Beverie Moffet"/>
    <s v="India"/>
    <x v="8"/>
    <d v="2023-09-06T00:00:00"/>
    <s v="06/09/2023"/>
    <m/>
    <s v="06"/>
    <n v="11130.52"/>
    <n v="144"/>
    <m/>
    <m/>
    <s v="Above Average"/>
    <n v="429"/>
  </r>
  <r>
    <s v="Andria Kimpton"/>
    <s v="India"/>
    <x v="8"/>
    <s v="16/05/2023"/>
    <s v="16/05/2023"/>
    <m/>
    <s v="16/05/2023"/>
    <n v="2455.09"/>
    <n v="83"/>
    <m/>
    <m/>
    <s v="Below Average"/>
    <n v="2494"/>
  </r>
  <r>
    <s v="Gigi Bohling"/>
    <s v="UK"/>
    <x v="1"/>
    <s v="23/06/2023"/>
    <s v="23/06/2023"/>
    <m/>
    <s v="23/06/2023"/>
    <n v="12764.94"/>
    <n v="100"/>
    <m/>
    <m/>
    <s v="Above Average"/>
    <n v="279"/>
  </r>
  <r>
    <s v="Roddy Speechley"/>
    <s v="UK"/>
    <x v="17"/>
    <s v="28/01/2023"/>
    <s v="28/01/2023"/>
    <m/>
    <s v="28/01/2023"/>
    <n v="13351.42"/>
    <n v="198"/>
    <m/>
    <m/>
    <s v="Above Average"/>
    <n v="246"/>
  </r>
  <r>
    <s v="Dotty Strutley"/>
    <s v="UK"/>
    <x v="0"/>
    <s v="14/07/2023"/>
    <s v="14/07/2023"/>
    <m/>
    <s v="14/07/2023"/>
    <n v="2763.22"/>
    <n v="223"/>
    <m/>
    <m/>
    <s v="Below Average"/>
    <n v="2387"/>
  </r>
  <r>
    <s v="Barr Faughny"/>
    <s v="Canada"/>
    <x v="9"/>
    <s v="18/04/2023"/>
    <s v="18/04/2023"/>
    <m/>
    <s v="18/04/2023"/>
    <n v="6523.34"/>
    <n v="245"/>
    <m/>
    <m/>
    <s v="Above Average"/>
    <n v="1304"/>
  </r>
  <r>
    <s v="Oby Sorrel"/>
    <s v="USA"/>
    <x v="11"/>
    <s v="14/06/2023"/>
    <s v="14/06/2023"/>
    <m/>
    <s v="14/06/2023"/>
    <n v="1868.25"/>
    <n v="82"/>
    <m/>
    <m/>
    <s v="Below Average"/>
    <n v="2676"/>
  </r>
  <r>
    <s v="Oby Sorrel"/>
    <s v="UK"/>
    <x v="7"/>
    <s v="15/04/2023"/>
    <s v="15/04/2023"/>
    <m/>
    <s v="15/04/2023"/>
    <n v="8431.83"/>
    <n v="251"/>
    <m/>
    <m/>
    <s v="Above Average"/>
    <n v="848"/>
  </r>
  <r>
    <s v="Curtice Advani"/>
    <s v="Canada"/>
    <x v="2"/>
    <s v="19/05/2023"/>
    <s v="19/05/2023"/>
    <m/>
    <s v="19/05/2023"/>
    <n v="5646.99"/>
    <n v="64"/>
    <m/>
    <m/>
    <s v="Below Average"/>
    <n v="1530"/>
  </r>
  <r>
    <s v="Gigi Bohling"/>
    <s v="India"/>
    <x v="14"/>
    <s v="13/04/2023"/>
    <s v="13/04/2023"/>
    <m/>
    <s v="13/04/2023"/>
    <n v="1484.67"/>
    <n v="180"/>
    <m/>
    <m/>
    <s v="Below Average"/>
    <n v="2810"/>
  </r>
  <r>
    <s v="Husein Augar"/>
    <s v="Canada"/>
    <x v="18"/>
    <s v="15/08/2023"/>
    <s v="15/08/2023"/>
    <m/>
    <s v="15/08/2023"/>
    <n v="3859.95"/>
    <n v="395"/>
    <m/>
    <m/>
    <s v="Below Average"/>
    <n v="2021"/>
  </r>
  <r>
    <s v="Wilone O'Kielt"/>
    <s v="India"/>
    <x v="18"/>
    <s v="22/08/2023"/>
    <s v="22/08/2023"/>
    <m/>
    <s v="22/08/2023"/>
    <n v="3237.3"/>
    <n v="227"/>
    <m/>
    <m/>
    <s v="Below Average"/>
    <n v="2227"/>
  </r>
  <r>
    <s v="Wilone O'Kielt"/>
    <s v="New Zealand"/>
    <x v="19"/>
    <s v="22/04/2023"/>
    <s v="22/04/2023"/>
    <m/>
    <s v="22/04/2023"/>
    <n v="4072.43"/>
    <n v="64"/>
    <m/>
    <m/>
    <s v="Below Average"/>
    <n v="1961"/>
  </r>
  <r>
    <s v="Kaine Padly"/>
    <s v="UK"/>
    <x v="18"/>
    <d v="2023-03-08T00:00:00"/>
    <s v="08/03/2023"/>
    <m/>
    <s v="08"/>
    <n v="8054.87"/>
    <n v="118"/>
    <m/>
    <m/>
    <s v="Above Average"/>
    <n v="927"/>
  </r>
  <r>
    <s v="Dennison Crosswaite"/>
    <s v="New Zealand"/>
    <x v="10"/>
    <d v="2023-04-01T00:00:00"/>
    <s v="01/04/2023"/>
    <m/>
    <s v="01"/>
    <n v="420.3"/>
    <n v="224"/>
    <m/>
    <m/>
    <s v="Below Average"/>
    <n v="3159"/>
  </r>
  <r>
    <s v="Kelci Walkden"/>
    <s v="Canada"/>
    <x v="5"/>
    <s v="13/01/2023"/>
    <s v="13/01/2023"/>
    <m/>
    <s v="13/01/2023"/>
    <n v="17073.990000000002"/>
    <n v="218"/>
    <m/>
    <m/>
    <s v="Above Average"/>
    <n v="66"/>
  </r>
  <r>
    <s v="Van Tuxwell"/>
    <s v="Australia"/>
    <x v="19"/>
    <d v="2023-11-05T00:00:00"/>
    <s v="05/11/2023"/>
    <m/>
    <s v="05"/>
    <n v="13624.31"/>
    <n v="33"/>
    <m/>
    <m/>
    <s v="Above Average"/>
    <n v="228"/>
  </r>
  <r>
    <s v="Husein Augar"/>
    <s v="New Zealand"/>
    <x v="2"/>
    <s v="16/02/2023"/>
    <s v="16/02/2023"/>
    <m/>
    <s v="16/02/2023"/>
    <n v="2318.46"/>
    <n v="235"/>
    <m/>
    <m/>
    <s v="Below Average"/>
    <n v="2541"/>
  </r>
  <r>
    <s v="Kaine Padly"/>
    <s v="UK"/>
    <x v="20"/>
    <s v="20/05/2023"/>
    <s v="20/05/2023"/>
    <m/>
    <s v="20/05/2023"/>
    <n v="10740.05"/>
    <n v="67"/>
    <m/>
    <m/>
    <s v="Above Average"/>
    <n v="486"/>
  </r>
  <r>
    <s v="Jehu Rudeforth"/>
    <s v="UK"/>
    <x v="9"/>
    <d v="2023-03-02T00:00:00"/>
    <s v="02/03/2023"/>
    <m/>
    <s v="02"/>
    <n v="7624.67"/>
    <n v="422"/>
    <m/>
    <m/>
    <s v="Above Average"/>
    <n v="1032"/>
  </r>
  <r>
    <s v="Beverie Moffet"/>
    <s v="India"/>
    <x v="15"/>
    <d v="2023-06-05T00:00:00"/>
    <s v="05/06/2023"/>
    <m/>
    <s v="05"/>
    <n v="10168.32"/>
    <n v="159"/>
    <m/>
    <m/>
    <s v="Above Average"/>
    <n v="557"/>
  </r>
  <r>
    <s v="Gunar Cockshoot"/>
    <s v="UK"/>
    <x v="18"/>
    <s v="30/06/2023"/>
    <s v="30/06/2023"/>
    <m/>
    <s v="30/06/2023"/>
    <n v="6635.15"/>
    <n v="141"/>
    <m/>
    <m/>
    <s v="Above Average"/>
    <n v="1277"/>
  </r>
  <r>
    <s v="Gunar Cockshoot"/>
    <s v="UK"/>
    <x v="3"/>
    <s v="22/03/2023"/>
    <s v="22/03/2023"/>
    <m/>
    <s v="22/03/2023"/>
    <n v="860.12"/>
    <n v="158"/>
    <m/>
    <m/>
    <s v="Below Average"/>
    <n v="3013"/>
  </r>
  <r>
    <s v="Camilla Castle"/>
    <s v="Canada"/>
    <x v="7"/>
    <s v="17/02/2023"/>
    <s v="17/02/2023"/>
    <m/>
    <s v="17/02/2023"/>
    <n v="8671.2099999999991"/>
    <n v="52"/>
    <m/>
    <m/>
    <s v="Above Average"/>
    <n v="804"/>
  </r>
  <r>
    <s v="Jehu Rudeforth"/>
    <s v="UK"/>
    <x v="1"/>
    <d v="2023-07-07T00:00:00"/>
    <s v="07/07/2023"/>
    <m/>
    <s v="07"/>
    <n v="5534.11"/>
    <n v="63"/>
    <m/>
    <m/>
    <s v="Below Average"/>
    <n v="1558"/>
  </r>
  <r>
    <s v="Oby Sorrel"/>
    <s v="UK"/>
    <x v="21"/>
    <s v="16/03/2023"/>
    <s v="16/03/2023"/>
    <m/>
    <s v="16/03/2023"/>
    <n v="6800.26"/>
    <n v="187"/>
    <m/>
    <m/>
    <s v="Above Average"/>
    <n v="1236"/>
  </r>
  <r>
    <s v="Kelci Walkden"/>
    <s v="UK"/>
    <x v="4"/>
    <d v="2023-12-08T00:00:00"/>
    <s v="08/12/2023"/>
    <m/>
    <s v="08"/>
    <n v="3927.83"/>
    <n v="123"/>
    <m/>
    <m/>
    <s v="Below Average"/>
    <n v="2005"/>
  </r>
  <r>
    <s v="Gigi Bohling"/>
    <s v="New Zealand"/>
    <x v="5"/>
    <s v="21/01/2023"/>
    <s v="21/01/2023"/>
    <m/>
    <s v="21/01/2023"/>
    <n v="5833.8"/>
    <n v="196"/>
    <m/>
    <m/>
    <s v="Below Average"/>
    <n v="1477"/>
  </r>
  <r>
    <s v="Oby Sorrel"/>
    <s v="Australia"/>
    <x v="6"/>
    <d v="2023-06-05T00:00:00"/>
    <s v="05/06/2023"/>
    <m/>
    <s v="05"/>
    <n v="733.08"/>
    <n v="147"/>
    <m/>
    <m/>
    <s v="Below Average"/>
    <n v="3049"/>
  </r>
  <r>
    <s v="Oby Sorrel"/>
    <s v="Canada"/>
    <x v="6"/>
    <s v="24/06/2023"/>
    <s v="24/06/2023"/>
    <m/>
    <s v="24/06/2023"/>
    <n v="7164.51"/>
    <n v="140"/>
    <m/>
    <m/>
    <s v="Above Average"/>
    <n v="1142"/>
  </r>
  <r>
    <s v="Barr Faughny"/>
    <s v="USA"/>
    <x v="14"/>
    <d v="2023-05-05T00:00:00"/>
    <s v="05/05/2023"/>
    <m/>
    <s v="05"/>
    <n v="7900.52"/>
    <n v="175"/>
    <m/>
    <m/>
    <s v="Above Average"/>
    <n v="967"/>
  </r>
  <r>
    <s v="Rafaelita Blaksland"/>
    <s v="New Zealand"/>
    <x v="4"/>
    <s v="25/03/2023"/>
    <s v="25/03/2023"/>
    <m/>
    <s v="25/03/2023"/>
    <n v="3550.76"/>
    <n v="85"/>
    <m/>
    <m/>
    <s v="Below Average"/>
    <n v="2125"/>
  </r>
  <r>
    <s v="Curtice Advani"/>
    <s v="Australia"/>
    <x v="20"/>
    <s v="14/02/2023"/>
    <s v="14/02/2023"/>
    <m/>
    <s v="14/02/2023"/>
    <n v="10281.51"/>
    <n v="136"/>
    <m/>
    <m/>
    <s v="Above Average"/>
    <n v="537"/>
  </r>
  <r>
    <s v="Curtice Advani"/>
    <s v="New Zealand"/>
    <x v="1"/>
    <d v="2023-12-05T00:00:00"/>
    <s v="05/12/2023"/>
    <m/>
    <s v="05"/>
    <n v="5936.81"/>
    <n v="180"/>
    <m/>
    <m/>
    <s v="Below Average"/>
    <n v="1444"/>
  </r>
  <r>
    <s v="Barr Faughny"/>
    <s v="New Zealand"/>
    <x v="3"/>
    <s v="25/01/2023"/>
    <s v="25/01/2023"/>
    <m/>
    <s v="25/01/2023"/>
    <n v="4552.1499999999996"/>
    <n v="172"/>
    <m/>
    <m/>
    <s v="Below Average"/>
    <n v="1837"/>
  </r>
  <r>
    <s v="Ches Bonnell"/>
    <s v="UK"/>
    <x v="1"/>
    <s v="28/06/2023"/>
    <s v="28/06/2023"/>
    <m/>
    <s v="28/06/2023"/>
    <n v="15944.86"/>
    <n v="11"/>
    <m/>
    <m/>
    <s v="Above Average"/>
    <n v="102"/>
  </r>
  <r>
    <s v="Dennison Crosswaite"/>
    <s v="Australia"/>
    <x v="9"/>
    <s v="13/07/2023"/>
    <s v="13/07/2023"/>
    <m/>
    <s v="13/07/2023"/>
    <n v="7722.58"/>
    <n v="188"/>
    <m/>
    <m/>
    <s v="Above Average"/>
    <n v="1007"/>
  </r>
  <r>
    <s v="Roddy Speechley"/>
    <s v="USA"/>
    <x v="11"/>
    <s v="16/05/2023"/>
    <s v="16/05/2023"/>
    <m/>
    <s v="16/05/2023"/>
    <n v="3105.38"/>
    <n v="268"/>
    <m/>
    <m/>
    <s v="Below Average"/>
    <n v="2269"/>
  </r>
  <r>
    <s v="Jan Morforth"/>
    <s v="India"/>
    <x v="5"/>
    <s v="14/03/2023"/>
    <s v="14/03/2023"/>
    <m/>
    <s v="14/03/2023"/>
    <n v="6994.35"/>
    <n v="179"/>
    <m/>
    <m/>
    <s v="Above Average"/>
    <n v="1181"/>
  </r>
  <r>
    <s v="Gunar Cockshoot"/>
    <s v="USA"/>
    <x v="5"/>
    <s v="15/08/2023"/>
    <s v="15/08/2023"/>
    <m/>
    <s v="15/08/2023"/>
    <n v="4264.49"/>
    <n v="252"/>
    <m/>
    <m/>
    <s v="Below Average"/>
    <n v="1910"/>
  </r>
  <r>
    <s v="Ches Bonnell"/>
    <s v="India"/>
    <x v="7"/>
    <s v="16/02/2023"/>
    <s v="16/02/2023"/>
    <m/>
    <s v="16/02/2023"/>
    <n v="1215.3"/>
    <n v="271"/>
    <m/>
    <m/>
    <s v="Below Average"/>
    <n v="2903"/>
  </r>
  <r>
    <s v="Mallorie Waber"/>
    <s v="UK"/>
    <x v="15"/>
    <s v="15/06/2023"/>
    <s v="15/06/2023"/>
    <m/>
    <s v="15/06/2023"/>
    <n v="8519.3700000000008"/>
    <n v="45"/>
    <m/>
    <m/>
    <s v="Above Average"/>
    <n v="830"/>
  </r>
  <r>
    <s v="Barr Faughny"/>
    <s v="Australia"/>
    <x v="17"/>
    <s v="27/05/2023"/>
    <s v="27/05/2023"/>
    <m/>
    <s v="27/05/2023"/>
    <n v="9810.9500000000007"/>
    <n v="105"/>
    <m/>
    <m/>
    <s v="Above Average"/>
    <n v="612"/>
  </r>
  <r>
    <s v="Wilone O'Kielt"/>
    <s v="USA"/>
    <x v="9"/>
    <s v="14/06/2023"/>
    <s v="14/06/2023"/>
    <m/>
    <s v="14/06/2023"/>
    <n v="1065.6300000000001"/>
    <n v="107"/>
    <m/>
    <m/>
    <s v="Below Average"/>
    <n v="2951"/>
  </r>
  <r>
    <s v="Wilone O'Kielt"/>
    <s v="India"/>
    <x v="8"/>
    <s v="25/02/2023"/>
    <s v="25/02/2023"/>
    <m/>
    <s v="25/02/2023"/>
    <n v="3894.68"/>
    <n v="80"/>
    <m/>
    <m/>
    <s v="Below Average"/>
    <n v="2014"/>
  </r>
  <r>
    <s v="Wilone O'Kielt"/>
    <s v="India"/>
    <x v="5"/>
    <d v="2023-04-08T00:00:00"/>
    <s v="08/04/2023"/>
    <m/>
    <s v="08"/>
    <n v="12194.27"/>
    <n v="252"/>
    <m/>
    <m/>
    <s v="Above Average"/>
    <n v="328"/>
  </r>
  <r>
    <s v="Kelci Walkden"/>
    <s v="India"/>
    <x v="4"/>
    <s v="28/06/2023"/>
    <s v="28/06/2023"/>
    <m/>
    <s v="28/06/2023"/>
    <n v="2455.13"/>
    <n v="236"/>
    <m/>
    <m/>
    <s v="Below Average"/>
    <n v="2493"/>
  </r>
  <r>
    <s v="Gunar Cockshoot"/>
    <s v="Canada"/>
    <x v="12"/>
    <d v="2023-05-04T00:00:00"/>
    <s v="04/05/2023"/>
    <m/>
    <s v="04"/>
    <n v="14887.76"/>
    <n v="12"/>
    <m/>
    <m/>
    <s v="Above Average"/>
    <n v="155"/>
  </r>
  <r>
    <s v="Madelene Upcott"/>
    <s v="Canada"/>
    <x v="2"/>
    <d v="2023-05-07T00:00:00"/>
    <s v="07/05/2023"/>
    <m/>
    <s v="07"/>
    <n v="15276.46"/>
    <n v="121"/>
    <m/>
    <m/>
    <s v="Above Average"/>
    <n v="139"/>
  </r>
  <r>
    <s v="Kaine Padly"/>
    <s v="New Zealand"/>
    <x v="8"/>
    <s v="20/01/2023"/>
    <s v="20/01/2023"/>
    <m/>
    <s v="20/01/2023"/>
    <n v="13520.48"/>
    <n v="47"/>
    <m/>
    <m/>
    <s v="Above Average"/>
    <n v="234"/>
  </r>
  <r>
    <s v="Ches Bonnell"/>
    <s v="New Zealand"/>
    <x v="9"/>
    <s v="16/02/2023"/>
    <s v="16/02/2023"/>
    <m/>
    <s v="16/02/2023"/>
    <n v="9195.5300000000007"/>
    <n v="127"/>
    <m/>
    <m/>
    <s v="Above Average"/>
    <n v="705"/>
  </r>
  <r>
    <s v="Curtice Advani"/>
    <s v="UK"/>
    <x v="9"/>
    <d v="2023-12-07T00:00:00"/>
    <s v="07/12/2023"/>
    <m/>
    <s v="07"/>
    <n v="460.98"/>
    <n v="182"/>
    <m/>
    <m/>
    <s v="Below Average"/>
    <n v="3148"/>
  </r>
  <r>
    <s v="Kelci Walkden"/>
    <s v="India"/>
    <x v="17"/>
    <s v="16/06/2023"/>
    <s v="16/06/2023"/>
    <m/>
    <s v="16/06/2023"/>
    <n v="8216.56"/>
    <n v="257"/>
    <m/>
    <m/>
    <s v="Above Average"/>
    <n v="890"/>
  </r>
  <r>
    <s v="Dotty Strutley"/>
    <s v="Australia"/>
    <x v="18"/>
    <s v="13/04/2023"/>
    <s v="13/04/2023"/>
    <m/>
    <s v="13/04/2023"/>
    <n v="1863.54"/>
    <n v="277"/>
    <m/>
    <m/>
    <s v="Below Average"/>
    <n v="2677"/>
  </r>
  <r>
    <s v="Kaine Padly"/>
    <s v="UK"/>
    <x v="6"/>
    <s v="21/02/2023"/>
    <s v="21/02/2023"/>
    <m/>
    <s v="21/02/2023"/>
    <n v="3283"/>
    <n v="72"/>
    <m/>
    <m/>
    <s v="Below Average"/>
    <n v="2216"/>
  </r>
  <r>
    <s v="Roddy Speechley"/>
    <s v="Canada"/>
    <x v="18"/>
    <d v="2023-11-05T00:00:00"/>
    <s v="05/11/2023"/>
    <m/>
    <s v="05"/>
    <n v="5967.18"/>
    <n v="247"/>
    <m/>
    <m/>
    <s v="Below Average"/>
    <n v="1439"/>
  </r>
  <r>
    <s v="Ches Bonnell"/>
    <s v="India"/>
    <x v="6"/>
    <s v="15/04/2023"/>
    <s v="15/04/2023"/>
    <m/>
    <s v="15/04/2023"/>
    <n v="12083.5"/>
    <n v="334"/>
    <m/>
    <m/>
    <s v="Above Average"/>
    <n v="340"/>
  </r>
  <r>
    <s v="Oby Sorrel"/>
    <s v="Canada"/>
    <x v="2"/>
    <d v="2023-07-06T00:00:00"/>
    <s v="06/07/2023"/>
    <m/>
    <s v="06"/>
    <n v="12397.06"/>
    <n v="179"/>
    <m/>
    <m/>
    <s v="Above Average"/>
    <n v="312"/>
  </r>
  <r>
    <s v="Oby Sorrel"/>
    <s v="UK"/>
    <x v="14"/>
    <s v="27/06/2023"/>
    <s v="27/06/2023"/>
    <m/>
    <s v="27/06/2023"/>
    <n v="1746.01"/>
    <n v="280"/>
    <m/>
    <m/>
    <s v="Below Average"/>
    <n v="2714"/>
  </r>
  <r>
    <s v="Barr Faughny"/>
    <s v="India"/>
    <x v="5"/>
    <s v="29/07/2023"/>
    <s v="29/07/2023"/>
    <m/>
    <s v="29/07/2023"/>
    <n v="9021.65"/>
    <n v="104"/>
    <m/>
    <m/>
    <s v="Above Average"/>
    <n v="734"/>
  </r>
  <r>
    <s v="Wilone O'Kielt"/>
    <s v="Canada"/>
    <x v="3"/>
    <d v="2023-02-06T00:00:00"/>
    <s v="06/02/2023"/>
    <m/>
    <s v="06"/>
    <n v="5263.45"/>
    <n v="165"/>
    <m/>
    <m/>
    <s v="Below Average"/>
    <n v="1628"/>
  </r>
  <r>
    <s v="Rafaelita Blaksland"/>
    <s v="India"/>
    <x v="0"/>
    <s v="26/01/2023"/>
    <s v="26/01/2023"/>
    <m/>
    <s v="26/01/2023"/>
    <n v="15473"/>
    <n v="91"/>
    <m/>
    <m/>
    <s v="Above Average"/>
    <n v="129"/>
  </r>
  <r>
    <s v="Rafaelita Blaksland"/>
    <s v="Canada"/>
    <x v="4"/>
    <d v="2023-02-03T00:00:00"/>
    <s v="03/02/2023"/>
    <m/>
    <s v="03"/>
    <n v="5566.57"/>
    <n v="140"/>
    <m/>
    <m/>
    <s v="Below Average"/>
    <n v="1552"/>
  </r>
  <r>
    <s v="Van Tuxwell"/>
    <s v="Australia"/>
    <x v="21"/>
    <d v="2023-10-01T00:00:00"/>
    <s v="01/10/2023"/>
    <m/>
    <s v="01"/>
    <n v="8111.43"/>
    <n v="111"/>
    <m/>
    <m/>
    <s v="Above Average"/>
    <n v="912"/>
  </r>
  <r>
    <s v="Beverie Moffet"/>
    <s v="USA"/>
    <x v="21"/>
    <s v="27/06/2023"/>
    <s v="27/06/2023"/>
    <m/>
    <s v="27/06/2023"/>
    <n v="2341.8000000000002"/>
    <n v="117"/>
    <m/>
    <m/>
    <s v="Below Average"/>
    <n v="2535"/>
  </r>
  <r>
    <s v="Barr Faughny"/>
    <s v="Canada"/>
    <x v="7"/>
    <s v="30/06/2023"/>
    <s v="30/06/2023"/>
    <m/>
    <s v="30/06/2023"/>
    <n v="8650.42"/>
    <n v="19"/>
    <m/>
    <m/>
    <s v="Above Average"/>
    <n v="808"/>
  </r>
  <r>
    <s v="Roddy Speechley"/>
    <s v="Australia"/>
    <x v="1"/>
    <d v="2023-08-07T00:00:00"/>
    <s v="07/08/2023"/>
    <m/>
    <s v="07"/>
    <n v="4444.72"/>
    <n v="77"/>
    <m/>
    <m/>
    <s v="Below Average"/>
    <n v="1866"/>
  </r>
  <r>
    <s v="Oby Sorrel"/>
    <s v="India"/>
    <x v="12"/>
    <d v="2023-08-06T00:00:00"/>
    <s v="06/08/2023"/>
    <m/>
    <s v="06"/>
    <n v="12531.37"/>
    <n v="86"/>
    <m/>
    <m/>
    <s v="Above Average"/>
    <n v="298"/>
  </r>
  <r>
    <s v="Jan Morforth"/>
    <s v="UK"/>
    <x v="15"/>
    <s v="18/08/2023"/>
    <s v="18/08/2023"/>
    <m/>
    <s v="18/08/2023"/>
    <n v="3558.89"/>
    <n v="231"/>
    <m/>
    <m/>
    <s v="Below Average"/>
    <n v="2123"/>
  </r>
  <r>
    <s v="Kaine Padly"/>
    <s v="Australia"/>
    <x v="5"/>
    <d v="2023-08-04T00:00:00"/>
    <s v="04/08/2023"/>
    <m/>
    <s v="04"/>
    <n v="7889.9"/>
    <n v="300"/>
    <m/>
    <m/>
    <s v="Above Average"/>
    <n v="974"/>
  </r>
  <r>
    <s v="Wilone O'Kielt"/>
    <s v="Canada"/>
    <x v="13"/>
    <d v="2023-08-08T00:00:00"/>
    <s v="08/08/2023"/>
    <m/>
    <s v="08"/>
    <n v="3589.18"/>
    <n v="176"/>
    <m/>
    <m/>
    <s v="Below Average"/>
    <n v="2110"/>
  </r>
  <r>
    <s v="Wilone O'Kielt"/>
    <s v="UK"/>
    <x v="11"/>
    <s v="26/08/2023"/>
    <s v="26/08/2023"/>
    <m/>
    <s v="26/08/2023"/>
    <n v="305.39"/>
    <n v="62"/>
    <m/>
    <m/>
    <s v="Below Average"/>
    <n v="3189"/>
  </r>
  <r>
    <s v="Oby Sorrel"/>
    <s v="Canada"/>
    <x v="13"/>
    <s v="14/01/2023"/>
    <s v="14/01/2023"/>
    <m/>
    <s v="14/01/2023"/>
    <n v="1896.64"/>
    <n v="161"/>
    <m/>
    <m/>
    <s v="Below Average"/>
    <n v="2666"/>
  </r>
  <r>
    <s v="Dennison Crosswaite"/>
    <s v="USA"/>
    <x v="19"/>
    <d v="2023-11-08T00:00:00"/>
    <s v="08/11/2023"/>
    <m/>
    <s v="08"/>
    <n v="18494.72"/>
    <n v="298"/>
    <m/>
    <m/>
    <s v="Above Average"/>
    <n v="34"/>
  </r>
  <r>
    <s v="Madelene Upcott"/>
    <s v="USA"/>
    <x v="16"/>
    <s v="31/05/2023"/>
    <s v="31/05/2023"/>
    <m/>
    <s v="31/05/2023"/>
    <n v="11103.47"/>
    <n v="24"/>
    <m/>
    <m/>
    <s v="Above Average"/>
    <n v="431"/>
  </r>
  <r>
    <s v="Van Tuxwell"/>
    <s v="New Zealand"/>
    <x v="6"/>
    <d v="2023-11-07T00:00:00"/>
    <s v="07/11/2023"/>
    <m/>
    <s v="07"/>
    <n v="4162.28"/>
    <n v="11"/>
    <m/>
    <m/>
    <s v="Below Average"/>
    <n v="1941"/>
  </r>
  <r>
    <s v="Karlen McCaffrey"/>
    <s v="Canada"/>
    <x v="20"/>
    <d v="2023-02-03T00:00:00"/>
    <s v="03/02/2023"/>
    <m/>
    <s v="03"/>
    <n v="3357.3"/>
    <n v="308"/>
    <m/>
    <m/>
    <s v="Below Average"/>
    <n v="2196"/>
  </r>
  <r>
    <s v="Madelene Upcott"/>
    <s v="Australia"/>
    <x v="17"/>
    <s v="13/07/2023"/>
    <s v="13/07/2023"/>
    <m/>
    <s v="13/07/2023"/>
    <n v="7033.52"/>
    <n v="94"/>
    <m/>
    <m/>
    <s v="Above Average"/>
    <n v="1171"/>
  </r>
  <r>
    <s v="Rafaelita Blaksland"/>
    <s v="UK"/>
    <x v="12"/>
    <d v="2023-03-08T00:00:00"/>
    <s v="08/03/2023"/>
    <m/>
    <s v="08"/>
    <n v="9896.7999999999993"/>
    <n v="143"/>
    <m/>
    <m/>
    <s v="Above Average"/>
    <n v="595"/>
  </r>
  <r>
    <s v="Curtice Advani"/>
    <s v="UK"/>
    <x v="2"/>
    <d v="2023-01-03T00:00:00"/>
    <s v="03/01/2023"/>
    <m/>
    <s v="03"/>
    <n v="15653.44"/>
    <n v="175"/>
    <m/>
    <m/>
    <s v="Above Average"/>
    <n v="114"/>
  </r>
  <r>
    <s v="Kelci Walkden"/>
    <s v="New Zealand"/>
    <x v="14"/>
    <s v="13/04/2023"/>
    <s v="13/04/2023"/>
    <m/>
    <s v="13/04/2023"/>
    <n v="7899.31"/>
    <n v="148"/>
    <m/>
    <m/>
    <s v="Above Average"/>
    <n v="970"/>
  </r>
  <r>
    <s v="Beverie Moffet"/>
    <s v="Canada"/>
    <x v="13"/>
    <s v="14/02/2023"/>
    <s v="14/02/2023"/>
    <m/>
    <s v="14/02/2023"/>
    <n v="10644.74"/>
    <n v="172"/>
    <m/>
    <m/>
    <s v="Above Average"/>
    <n v="496"/>
  </r>
  <r>
    <s v="Mallorie Waber"/>
    <s v="India"/>
    <x v="14"/>
    <s v="26/07/2023"/>
    <s v="26/07/2023"/>
    <m/>
    <s v="26/07/2023"/>
    <n v="872.83"/>
    <n v="224"/>
    <m/>
    <m/>
    <s v="Below Average"/>
    <n v="3010"/>
  </r>
  <r>
    <s v="Brien Boise"/>
    <s v="UK"/>
    <x v="9"/>
    <s v="27/01/2023"/>
    <s v="27/01/2023"/>
    <m/>
    <s v="27/01/2023"/>
    <n v="6337.94"/>
    <n v="128"/>
    <m/>
    <m/>
    <s v="Above Average"/>
    <n v="1344"/>
  </r>
  <r>
    <s v="Jehu Rudeforth"/>
    <s v="India"/>
    <x v="2"/>
    <s v="14/04/2023"/>
    <s v="14/04/2023"/>
    <m/>
    <s v="14/04/2023"/>
    <n v="31.15"/>
    <n v="451"/>
    <m/>
    <m/>
    <s v="Below Average"/>
    <n v="3275"/>
  </r>
  <r>
    <s v="Oby Sorrel"/>
    <s v="USA"/>
    <x v="16"/>
    <s v="19/05/2023"/>
    <s v="19/05/2023"/>
    <m/>
    <s v="19/05/2023"/>
    <n v="7107.55"/>
    <n v="142"/>
    <m/>
    <m/>
    <s v="Above Average"/>
    <n v="1157"/>
  </r>
  <r>
    <s v="Husein Augar"/>
    <s v="India"/>
    <x v="8"/>
    <d v="2023-09-02T00:00:00"/>
    <s v="02/09/2023"/>
    <m/>
    <s v="02"/>
    <n v="5465.85"/>
    <n v="56"/>
    <m/>
    <m/>
    <s v="Below Average"/>
    <n v="1577"/>
  </r>
  <r>
    <s v="Brien Boise"/>
    <s v="UK"/>
    <x v="12"/>
    <s v="25/05/2023"/>
    <s v="25/05/2023"/>
    <m/>
    <s v="25/05/2023"/>
    <n v="2462.14"/>
    <n v="60"/>
    <m/>
    <m/>
    <s v="Below Average"/>
    <n v="2490"/>
  </r>
  <r>
    <s v="Oby Sorrel"/>
    <s v="Australia"/>
    <x v="15"/>
    <s v="26/01/2023"/>
    <s v="26/01/2023"/>
    <m/>
    <s v="26/01/2023"/>
    <n v="4194.4399999999996"/>
    <n v="80"/>
    <m/>
    <m/>
    <s v="Below Average"/>
    <n v="1930"/>
  </r>
  <r>
    <s v="Beverie Moffet"/>
    <s v="India"/>
    <x v="14"/>
    <d v="2023-04-07T00:00:00"/>
    <s v="07/04/2023"/>
    <m/>
    <s v="07"/>
    <n v="1994.44"/>
    <n v="299"/>
    <m/>
    <m/>
    <s v="Below Average"/>
    <n v="2638"/>
  </r>
  <r>
    <s v="Ches Bonnell"/>
    <s v="India"/>
    <x v="16"/>
    <s v="13/04/2023"/>
    <s v="13/04/2023"/>
    <m/>
    <s v="13/04/2023"/>
    <n v="12124.05"/>
    <n v="80"/>
    <m/>
    <m/>
    <s v="Above Average"/>
    <n v="335"/>
  </r>
  <r>
    <s v="Gigi Bohling"/>
    <s v="Australia"/>
    <x v="3"/>
    <s v="25/01/2023"/>
    <s v="25/01/2023"/>
    <m/>
    <s v="25/01/2023"/>
    <n v="5884.09"/>
    <n v="117"/>
    <m/>
    <m/>
    <s v="Below Average"/>
    <n v="1464"/>
  </r>
  <r>
    <s v="Camilla Castle"/>
    <s v="USA"/>
    <x v="1"/>
    <s v="25/04/2023"/>
    <s v="25/04/2023"/>
    <m/>
    <s v="25/04/2023"/>
    <n v="2639.16"/>
    <n v="80"/>
    <m/>
    <m/>
    <s v="Below Average"/>
    <n v="2425"/>
  </r>
  <r>
    <s v="Camilla Castle"/>
    <s v="USA"/>
    <x v="8"/>
    <d v="2023-10-06T00:00:00"/>
    <s v="06/10/2023"/>
    <m/>
    <s v="06"/>
    <n v="5031.3999999999996"/>
    <n v="401"/>
    <m/>
    <m/>
    <s v="Below Average"/>
    <n v="1697"/>
  </r>
  <r>
    <s v="Madelene Upcott"/>
    <s v="New Zealand"/>
    <x v="14"/>
    <s v="22/08/2023"/>
    <s v="22/08/2023"/>
    <m/>
    <s v="22/08/2023"/>
    <n v="11510.71"/>
    <n v="56"/>
    <m/>
    <m/>
    <s v="Above Average"/>
    <n v="396"/>
  </r>
  <r>
    <s v="Van Tuxwell"/>
    <s v="India"/>
    <x v="5"/>
    <s v="27/06/2023"/>
    <s v="27/06/2023"/>
    <m/>
    <s v="27/06/2023"/>
    <n v="15021.98"/>
    <n v="211"/>
    <m/>
    <m/>
    <s v="Above Average"/>
    <n v="144"/>
  </r>
  <r>
    <s v="Husein Augar"/>
    <s v="India"/>
    <x v="7"/>
    <s v="30/06/2023"/>
    <s v="30/06/2023"/>
    <m/>
    <s v="30/06/2023"/>
    <n v="4517.1899999999996"/>
    <n v="40"/>
    <m/>
    <m/>
    <s v="Below Average"/>
    <n v="1842"/>
  </r>
  <r>
    <s v="Jehu Rudeforth"/>
    <s v="India"/>
    <x v="16"/>
    <s v="30/08/2023"/>
    <s v="30/08/2023"/>
    <m/>
    <s v="30/08/2023"/>
    <n v="10778.53"/>
    <n v="99"/>
    <m/>
    <m/>
    <s v="Above Average"/>
    <n v="477"/>
  </r>
  <r>
    <s v="Karlen McCaffrey"/>
    <s v="Australia"/>
    <x v="17"/>
    <s v="23/08/2023"/>
    <s v="23/08/2023"/>
    <m/>
    <s v="23/08/2023"/>
    <n v="1145.72"/>
    <n v="60"/>
    <m/>
    <m/>
    <s v="Below Average"/>
    <n v="2920"/>
  </r>
  <r>
    <s v="Camilla Castle"/>
    <s v="New Zealand"/>
    <x v="4"/>
    <s v="26/08/2023"/>
    <s v="26/08/2023"/>
    <m/>
    <s v="26/08/2023"/>
    <n v="2518.5"/>
    <n v="45"/>
    <m/>
    <m/>
    <s v="Below Average"/>
    <n v="2463"/>
  </r>
  <r>
    <s v="Gigi Bohling"/>
    <s v="Australia"/>
    <x v="7"/>
    <d v="2023-09-03T00:00:00"/>
    <s v="03/09/2023"/>
    <m/>
    <s v="03"/>
    <n v="596.63"/>
    <n v="158"/>
    <m/>
    <m/>
    <s v="Below Average"/>
    <n v="3099"/>
  </r>
  <r>
    <s v="Kelci Walkden"/>
    <s v="UK"/>
    <x v="9"/>
    <s v="20/04/2023"/>
    <s v="20/04/2023"/>
    <m/>
    <s v="20/04/2023"/>
    <n v="1858.71"/>
    <n v="24"/>
    <m/>
    <m/>
    <s v="Below Average"/>
    <n v="2682"/>
  </r>
  <r>
    <s v="Mallorie Waber"/>
    <s v="Canada"/>
    <x v="20"/>
    <d v="2023-10-06T00:00:00"/>
    <s v="06/10/2023"/>
    <m/>
    <s v="06"/>
    <n v="5194.28"/>
    <n v="547"/>
    <m/>
    <m/>
    <s v="Below Average"/>
    <n v="1648"/>
  </r>
  <r>
    <s v="Husein Augar"/>
    <s v="Australia"/>
    <x v="10"/>
    <d v="2023-08-02T00:00:00"/>
    <s v="02/08/2023"/>
    <m/>
    <s v="02"/>
    <n v="960.69"/>
    <n v="155"/>
    <m/>
    <m/>
    <s v="Below Average"/>
    <n v="2985"/>
  </r>
  <r>
    <s v="Brien Boise"/>
    <s v="Australia"/>
    <x v="14"/>
    <s v="25/08/2023"/>
    <s v="25/08/2023"/>
    <m/>
    <s v="25/08/2023"/>
    <n v="5347.12"/>
    <n v="23"/>
    <m/>
    <m/>
    <s v="Below Average"/>
    <n v="1601"/>
  </r>
  <r>
    <s v="Dotty Strutley"/>
    <s v="India"/>
    <x v="2"/>
    <s v="16/02/2023"/>
    <s v="16/02/2023"/>
    <m/>
    <s v="16/02/2023"/>
    <n v="9805.11"/>
    <n v="76"/>
    <m/>
    <m/>
    <s v="Above Average"/>
    <n v="613"/>
  </r>
  <r>
    <s v="Dennison Crosswaite"/>
    <s v="UK"/>
    <x v="4"/>
    <s v="30/05/2023"/>
    <s v="30/05/2023"/>
    <m/>
    <s v="30/05/2023"/>
    <n v="13205.42"/>
    <n v="26"/>
    <m/>
    <m/>
    <s v="Above Average"/>
    <n v="252"/>
  </r>
  <r>
    <s v="Gigi Bohling"/>
    <s v="New Zealand"/>
    <x v="6"/>
    <s v="29/06/2023"/>
    <s v="29/06/2023"/>
    <m/>
    <s v="29/06/2023"/>
    <n v="5929.2"/>
    <n v="65"/>
    <m/>
    <m/>
    <s v="Below Average"/>
    <n v="1450"/>
  </r>
  <r>
    <s v="Gigi Bohling"/>
    <s v="USA"/>
    <x v="11"/>
    <s v="16/06/2023"/>
    <s v="16/06/2023"/>
    <m/>
    <s v="16/06/2023"/>
    <n v="516.91999999999996"/>
    <n v="141"/>
    <m/>
    <m/>
    <s v="Below Average"/>
    <n v="3120"/>
  </r>
  <r>
    <s v="Brien Boise"/>
    <s v="UK"/>
    <x v="20"/>
    <d v="2023-04-03T00:00:00"/>
    <s v="03/04/2023"/>
    <m/>
    <s v="03"/>
    <n v="2882.76"/>
    <n v="145"/>
    <m/>
    <m/>
    <s v="Below Average"/>
    <n v="2350"/>
  </r>
  <r>
    <s v="Curtice Advani"/>
    <s v="New Zealand"/>
    <x v="2"/>
    <s v="15/03/2023"/>
    <s v="15/03/2023"/>
    <m/>
    <s v="15/03/2023"/>
    <n v="1637.72"/>
    <n v="454"/>
    <m/>
    <m/>
    <s v="Below Average"/>
    <n v="2759"/>
  </r>
  <r>
    <s v="Curtice Advani"/>
    <s v="New Zealand"/>
    <x v="6"/>
    <s v="27/01/2023"/>
    <s v="27/01/2023"/>
    <m/>
    <s v="27/01/2023"/>
    <n v="10791.46"/>
    <n v="88"/>
    <m/>
    <m/>
    <s v="Above Average"/>
    <n v="475"/>
  </r>
  <r>
    <s v="Beverie Moffet"/>
    <s v="Canada"/>
    <x v="9"/>
    <d v="2023-05-07T00:00:00"/>
    <s v="07/05/2023"/>
    <m/>
    <s v="07"/>
    <n v="1093.46"/>
    <n v="115"/>
    <m/>
    <m/>
    <s v="Below Average"/>
    <n v="2943"/>
  </r>
  <r>
    <s v="Barr Faughny"/>
    <s v="USA"/>
    <x v="20"/>
    <s v="29/03/2023"/>
    <s v="29/03/2023"/>
    <m/>
    <s v="29/03/2023"/>
    <n v="3407.61"/>
    <n v="316"/>
    <m/>
    <m/>
    <s v="Below Average"/>
    <n v="2169"/>
  </r>
  <r>
    <s v="Mallorie Waber"/>
    <s v="Canada"/>
    <x v="16"/>
    <d v="2023-12-05T00:00:00"/>
    <s v="05/12/2023"/>
    <m/>
    <s v="05"/>
    <n v="4753.93"/>
    <n v="37"/>
    <m/>
    <m/>
    <s v="Below Average"/>
    <n v="1782"/>
  </r>
  <r>
    <s v="Oby Sorrel"/>
    <s v="USA"/>
    <x v="9"/>
    <d v="2023-11-03T00:00:00"/>
    <s v="03/11/2023"/>
    <m/>
    <s v="03"/>
    <n v="8280.6200000000008"/>
    <n v="47"/>
    <m/>
    <m/>
    <s v="Above Average"/>
    <n v="875"/>
  </r>
  <r>
    <s v="Brien Boise"/>
    <s v="New Zealand"/>
    <x v="8"/>
    <d v="2023-11-07T00:00:00"/>
    <s v="07/11/2023"/>
    <m/>
    <s v="07"/>
    <n v="4981.78"/>
    <n v="299"/>
    <m/>
    <m/>
    <s v="Below Average"/>
    <n v="1711"/>
  </r>
  <r>
    <s v="Gunar Cockshoot"/>
    <s v="New Zealand"/>
    <x v="18"/>
    <d v="2023-01-08T00:00:00"/>
    <s v="08/01/2023"/>
    <m/>
    <s v="08"/>
    <n v="13998.33"/>
    <n v="60"/>
    <m/>
    <m/>
    <s v="Above Average"/>
    <n v="210"/>
  </r>
  <r>
    <s v="Gunar Cockshoot"/>
    <s v="UK"/>
    <x v="12"/>
    <s v="16/02/2023"/>
    <s v="16/02/2023"/>
    <m/>
    <s v="16/02/2023"/>
    <n v="13105.65"/>
    <n v="199"/>
    <m/>
    <m/>
    <s v="Above Average"/>
    <n v="258"/>
  </r>
  <r>
    <s v="Curtice Advani"/>
    <s v="USA"/>
    <x v="5"/>
    <s v="13/04/2023"/>
    <s v="13/04/2023"/>
    <m/>
    <s v="13/04/2023"/>
    <n v="15728.81"/>
    <n v="256"/>
    <m/>
    <m/>
    <s v="Above Average"/>
    <n v="112"/>
  </r>
  <r>
    <s v="Oby Sorrel"/>
    <s v="India"/>
    <x v="18"/>
    <s v="14/02/2023"/>
    <s v="14/02/2023"/>
    <m/>
    <s v="14/02/2023"/>
    <n v="53.85"/>
    <n v="399"/>
    <m/>
    <m/>
    <s v="Below Average"/>
    <n v="3268"/>
  </r>
  <r>
    <s v="Ches Bonnell"/>
    <s v="Australia"/>
    <x v="2"/>
    <s v="14/03/2023"/>
    <s v="14/03/2023"/>
    <m/>
    <s v="14/03/2023"/>
    <n v="10857.23"/>
    <n v="73"/>
    <m/>
    <m/>
    <s v="Above Average"/>
    <n v="461"/>
  </r>
  <r>
    <s v="Oby Sorrel"/>
    <s v="Australia"/>
    <x v="12"/>
    <s v="26/04/2023"/>
    <s v="26/04/2023"/>
    <m/>
    <s v="26/04/2023"/>
    <n v="12412.53"/>
    <n v="25"/>
    <m/>
    <m/>
    <s v="Above Average"/>
    <n v="309"/>
  </r>
  <r>
    <s v="Jehu Rudeforth"/>
    <s v="Canada"/>
    <x v="15"/>
    <d v="2023-05-04T00:00:00"/>
    <s v="04/05/2023"/>
    <m/>
    <s v="04"/>
    <n v="3669.15"/>
    <n v="209"/>
    <m/>
    <m/>
    <s v="Below Average"/>
    <n v="2081"/>
  </r>
  <r>
    <s v="Camilla Castle"/>
    <s v="Canada"/>
    <x v="9"/>
    <d v="2023-03-03T00:00:00"/>
    <s v="03/03/2023"/>
    <m/>
    <s v="03"/>
    <n v="13555.26"/>
    <n v="279"/>
    <m/>
    <m/>
    <s v="Above Average"/>
    <n v="230"/>
  </r>
  <r>
    <s v="Kaine Padly"/>
    <s v="USA"/>
    <x v="12"/>
    <s v="13/06/2023"/>
    <s v="13/06/2023"/>
    <m/>
    <s v="13/06/2023"/>
    <n v="2333.84"/>
    <n v="171"/>
    <m/>
    <m/>
    <s v="Below Average"/>
    <n v="2537"/>
  </r>
  <r>
    <s v="Marney O'Breen"/>
    <s v="New Zealand"/>
    <x v="21"/>
    <s v="14/02/2023"/>
    <s v="14/02/2023"/>
    <m/>
    <s v="14/02/2023"/>
    <n v="8973.0499999999993"/>
    <n v="360"/>
    <m/>
    <m/>
    <s v="Above Average"/>
    <n v="743"/>
  </r>
  <r>
    <s v="Roddy Speechley"/>
    <s v="New Zealand"/>
    <x v="4"/>
    <s v="18/04/2023"/>
    <s v="18/04/2023"/>
    <m/>
    <s v="18/04/2023"/>
    <n v="8610.3799999999992"/>
    <n v="188"/>
    <m/>
    <m/>
    <s v="Above Average"/>
    <n v="812"/>
  </r>
  <r>
    <s v="Oby Sorrel"/>
    <s v="New Zealand"/>
    <x v="1"/>
    <d v="2023-01-02T00:00:00"/>
    <s v="02/01/2023"/>
    <m/>
    <s v="02"/>
    <n v="3432.3"/>
    <n v="452"/>
    <m/>
    <m/>
    <s v="Below Average"/>
    <n v="2162"/>
  </r>
  <r>
    <s v="Dotty Strutley"/>
    <s v="New Zealand"/>
    <x v="7"/>
    <d v="2023-04-08T00:00:00"/>
    <s v="08/04/2023"/>
    <m/>
    <s v="08"/>
    <n v="2283.39"/>
    <n v="155"/>
    <m/>
    <m/>
    <s v="Below Average"/>
    <n v="2555"/>
  </r>
  <r>
    <s v="Andria Kimpton"/>
    <s v="New Zealand"/>
    <x v="16"/>
    <d v="2023-05-04T00:00:00"/>
    <s v="04/05/2023"/>
    <m/>
    <s v="04"/>
    <n v="7190.49"/>
    <n v="165"/>
    <m/>
    <m/>
    <s v="Above Average"/>
    <n v="1134"/>
  </r>
  <r>
    <s v="Karlen McCaffrey"/>
    <s v="Australia"/>
    <x v="4"/>
    <s v="26/01/2023"/>
    <s v="26/01/2023"/>
    <m/>
    <s v="26/01/2023"/>
    <n v="11303.07"/>
    <n v="166"/>
    <m/>
    <m/>
    <s v="Above Average"/>
    <n v="414"/>
  </r>
  <r>
    <s v="Kaine Padly"/>
    <s v="UK"/>
    <x v="5"/>
    <s v="21/01/2023"/>
    <s v="21/01/2023"/>
    <m/>
    <s v="21/01/2023"/>
    <n v="18911.490000000002"/>
    <n v="171"/>
    <m/>
    <m/>
    <s v="Above Average"/>
    <n v="29"/>
  </r>
  <r>
    <s v="Kaine Padly"/>
    <s v="Canada"/>
    <x v="5"/>
    <s v="22/08/2023"/>
    <s v="22/08/2023"/>
    <m/>
    <s v="22/08/2023"/>
    <n v="6233.02"/>
    <n v="178"/>
    <m/>
    <m/>
    <s v="Above Average"/>
    <n v="1372"/>
  </r>
  <r>
    <s v="Kaine Padly"/>
    <s v="UK"/>
    <x v="9"/>
    <s v="27/01/2023"/>
    <s v="27/01/2023"/>
    <m/>
    <s v="27/01/2023"/>
    <n v="2334.5"/>
    <n v="233"/>
    <m/>
    <m/>
    <s v="Below Average"/>
    <n v="2536"/>
  </r>
  <r>
    <s v="Rafaelita Blaksland"/>
    <s v="UK"/>
    <x v="6"/>
    <s v="16/02/2023"/>
    <s v="16/02/2023"/>
    <m/>
    <s v="16/02/2023"/>
    <n v="11099.73"/>
    <n v="73"/>
    <m/>
    <m/>
    <s v="Above Average"/>
    <n v="432"/>
  </r>
  <r>
    <s v="Dotty Strutley"/>
    <s v="USA"/>
    <x v="17"/>
    <d v="2023-03-01T00:00:00"/>
    <s v="01/03/2023"/>
    <m/>
    <s v="01"/>
    <n v="3590.55"/>
    <n v="47"/>
    <m/>
    <m/>
    <s v="Below Average"/>
    <n v="2108"/>
  </r>
  <r>
    <s v="Karlen McCaffrey"/>
    <s v="USA"/>
    <x v="14"/>
    <s v="24/08/2023"/>
    <s v="24/08/2023"/>
    <m/>
    <s v="24/08/2023"/>
    <n v="5209.3999999999996"/>
    <n v="2"/>
    <m/>
    <m/>
    <s v="Below Average"/>
    <n v="1646"/>
  </r>
  <r>
    <s v="Oby Sorrel"/>
    <s v="USA"/>
    <x v="12"/>
    <d v="2023-07-02T00:00:00"/>
    <s v="02/07/2023"/>
    <m/>
    <s v="02"/>
    <n v="6315.14"/>
    <n v="398"/>
    <m/>
    <m/>
    <s v="Above Average"/>
    <n v="1354"/>
  </r>
  <r>
    <s v="Mallorie Waber"/>
    <s v="Australia"/>
    <x v="3"/>
    <d v="2023-11-02T00:00:00"/>
    <s v="02/11/2023"/>
    <m/>
    <s v="02"/>
    <n v="4454.71"/>
    <n v="117"/>
    <m/>
    <m/>
    <s v="Below Average"/>
    <n v="1863"/>
  </r>
  <r>
    <s v="Kaine Padly"/>
    <s v="Canada"/>
    <x v="10"/>
    <s v="29/03/2023"/>
    <s v="29/03/2023"/>
    <m/>
    <s v="29/03/2023"/>
    <n v="6078.71"/>
    <n v="78"/>
    <m/>
    <m/>
    <s v="Above Average"/>
    <n v="1409"/>
  </r>
  <r>
    <s v="Marney O'Breen"/>
    <s v="USA"/>
    <x v="2"/>
    <s v="15/06/2023"/>
    <s v="15/06/2023"/>
    <m/>
    <s v="15/06/2023"/>
    <n v="695.96"/>
    <n v="363"/>
    <m/>
    <m/>
    <s v="Below Average"/>
    <n v="3066"/>
  </r>
  <r>
    <s v="Dennison Crosswaite"/>
    <s v="UK"/>
    <x v="3"/>
    <s v="26/04/2023"/>
    <s v="26/04/2023"/>
    <m/>
    <s v="26/04/2023"/>
    <n v="563.76"/>
    <n v="151"/>
    <m/>
    <m/>
    <s v="Below Average"/>
    <n v="3111"/>
  </r>
  <r>
    <s v="Brien Boise"/>
    <s v="Australia"/>
    <x v="10"/>
    <s v="15/07/2023"/>
    <s v="15/07/2023"/>
    <m/>
    <s v="15/07/2023"/>
    <n v="4479.6899999999996"/>
    <n v="261"/>
    <m/>
    <m/>
    <s v="Below Average"/>
    <n v="1859"/>
  </r>
  <r>
    <s v="Beverie Moffet"/>
    <s v="India"/>
    <x v="10"/>
    <s v="23/06/2023"/>
    <s v="23/06/2023"/>
    <m/>
    <s v="23/06/2023"/>
    <n v="1093.72"/>
    <n v="22"/>
    <m/>
    <m/>
    <s v="Below Average"/>
    <n v="2942"/>
  </r>
  <r>
    <s v="Dennison Crosswaite"/>
    <s v="Australia"/>
    <x v="19"/>
    <d v="2023-11-01T00:00:00"/>
    <s v="01/11/2023"/>
    <m/>
    <s v="01"/>
    <n v="15870.43"/>
    <n v="449"/>
    <m/>
    <m/>
    <s v="Above Average"/>
    <n v="105"/>
  </r>
  <r>
    <s v="Beverie Moffet"/>
    <s v="UK"/>
    <x v="6"/>
    <d v="2023-09-02T00:00:00"/>
    <s v="02/09/2023"/>
    <m/>
    <s v="02"/>
    <n v="2529.8200000000002"/>
    <n v="297"/>
    <m/>
    <m/>
    <s v="Below Average"/>
    <n v="2458"/>
  </r>
  <r>
    <s v="Van Tuxwell"/>
    <s v="UK"/>
    <x v="16"/>
    <d v="2023-06-06T00:00:00"/>
    <s v="06/06/2023"/>
    <m/>
    <s v="06"/>
    <n v="11258.39"/>
    <n v="217"/>
    <m/>
    <m/>
    <s v="Above Average"/>
    <n v="420"/>
  </r>
  <r>
    <s v="Dotty Strutley"/>
    <s v="UK"/>
    <x v="20"/>
    <d v="2023-10-08T00:00:00"/>
    <s v="08/10/2023"/>
    <m/>
    <s v="08"/>
    <n v="6180.45"/>
    <n v="230"/>
    <m/>
    <m/>
    <s v="Above Average"/>
    <n v="1385"/>
  </r>
  <r>
    <s v="Wilone O'Kielt"/>
    <s v="Australia"/>
    <x v="3"/>
    <d v="2023-04-01T00:00:00"/>
    <s v="01/04/2023"/>
    <m/>
    <s v="01"/>
    <n v="2496.06"/>
    <n v="45"/>
    <m/>
    <m/>
    <s v="Below Average"/>
    <n v="2475"/>
  </r>
  <r>
    <s v="Andria Kimpton"/>
    <s v="Canada"/>
    <x v="21"/>
    <d v="2023-08-04T00:00:00"/>
    <s v="04/08/2023"/>
    <m/>
    <s v="04"/>
    <n v="10964.29"/>
    <n v="16"/>
    <m/>
    <m/>
    <s v="Above Average"/>
    <n v="446"/>
  </r>
  <r>
    <s v="Barr Faughny"/>
    <s v="UK"/>
    <x v="11"/>
    <d v="2023-02-03T00:00:00"/>
    <s v="03/02/2023"/>
    <m/>
    <s v="03"/>
    <n v="4012.51"/>
    <n v="409"/>
    <m/>
    <m/>
    <s v="Below Average"/>
    <n v="1982"/>
  </r>
  <r>
    <s v="Van Tuxwell"/>
    <s v="Canada"/>
    <x v="9"/>
    <s v="15/06/2023"/>
    <s v="15/06/2023"/>
    <m/>
    <s v="15/06/2023"/>
    <n v="4919.25"/>
    <n v="746"/>
    <m/>
    <m/>
    <s v="Below Average"/>
    <n v="1724"/>
  </r>
  <r>
    <s v="Jehu Rudeforth"/>
    <s v="Australia"/>
    <x v="5"/>
    <s v="14/02/2023"/>
    <s v="14/02/2023"/>
    <m/>
    <s v="14/02/2023"/>
    <n v="5602.02"/>
    <n v="51"/>
    <m/>
    <m/>
    <s v="Below Average"/>
    <n v="1541"/>
  </r>
  <r>
    <s v="Husein Augar"/>
    <s v="UK"/>
    <x v="5"/>
    <d v="2023-05-07T00:00:00"/>
    <s v="07/05/2023"/>
    <m/>
    <s v="07"/>
    <n v="3563.87"/>
    <n v="372"/>
    <m/>
    <m/>
    <s v="Below Average"/>
    <n v="2119"/>
  </r>
  <r>
    <s v="Barr Faughny"/>
    <s v="India"/>
    <x v="0"/>
    <d v="2023-12-01T00:00:00"/>
    <s v="01/12/2023"/>
    <m/>
    <s v="01"/>
    <n v="8313.09"/>
    <n v="493"/>
    <m/>
    <m/>
    <s v="Above Average"/>
    <n v="869"/>
  </r>
  <r>
    <s v="Curtice Advani"/>
    <s v="India"/>
    <x v="0"/>
    <d v="2023-03-03T00:00:00"/>
    <s v="03/03/2023"/>
    <m/>
    <s v="03"/>
    <n v="8447.48"/>
    <n v="96"/>
    <m/>
    <m/>
    <s v="Above Average"/>
    <n v="846"/>
  </r>
  <r>
    <s v="Jehu Rudeforth"/>
    <s v="New Zealand"/>
    <x v="11"/>
    <s v="18/05/2023"/>
    <s v="18/05/2023"/>
    <m/>
    <s v="18/05/2023"/>
    <n v="2646.23"/>
    <n v="198"/>
    <m/>
    <m/>
    <s v="Below Average"/>
    <n v="2422"/>
  </r>
  <r>
    <s v="Gunar Cockshoot"/>
    <s v="India"/>
    <x v="20"/>
    <s v="28/07/2023"/>
    <s v="28/07/2023"/>
    <m/>
    <s v="28/07/2023"/>
    <n v="2706.83"/>
    <n v="198"/>
    <m/>
    <m/>
    <s v="Below Average"/>
    <n v="2402"/>
  </r>
  <r>
    <s v="Curtice Advani"/>
    <s v="UK"/>
    <x v="15"/>
    <d v="2023-07-02T00:00:00"/>
    <s v="02/07/2023"/>
    <m/>
    <s v="02"/>
    <n v="1710.48"/>
    <n v="108"/>
    <m/>
    <m/>
    <s v="Below Average"/>
    <n v="2731"/>
  </r>
  <r>
    <s v="Andria Kimpton"/>
    <s v="India"/>
    <x v="7"/>
    <s v="30/05/2023"/>
    <s v="30/05/2023"/>
    <m/>
    <s v="30/05/2023"/>
    <n v="318.19"/>
    <n v="417"/>
    <m/>
    <m/>
    <s v="Below Average"/>
    <n v="3183"/>
  </r>
  <r>
    <s v="Mallorie Waber"/>
    <s v="Australia"/>
    <x v="17"/>
    <s v="25/04/2023"/>
    <s v="25/04/2023"/>
    <m/>
    <s v="25/04/2023"/>
    <n v="9479.65"/>
    <n v="26"/>
    <m/>
    <m/>
    <s v="Above Average"/>
    <n v="657"/>
  </r>
  <r>
    <s v="Beverie Moffet"/>
    <s v="Canada"/>
    <x v="1"/>
    <s v="16/02/2023"/>
    <s v="16/02/2023"/>
    <m/>
    <s v="16/02/2023"/>
    <n v="6393.2"/>
    <n v="44"/>
    <m/>
    <m/>
    <s v="Above Average"/>
    <n v="1333"/>
  </r>
  <r>
    <s v="Kelci Walkden"/>
    <s v="Australia"/>
    <x v="9"/>
    <d v="2023-04-05T00:00:00"/>
    <s v="05/04/2023"/>
    <m/>
    <s v="05"/>
    <n v="1355.65"/>
    <n v="60"/>
    <m/>
    <m/>
    <s v="Below Average"/>
    <n v="2859"/>
  </r>
  <r>
    <s v="Van Tuxwell"/>
    <s v="Canada"/>
    <x v="21"/>
    <d v="2023-02-06T00:00:00"/>
    <s v="06/02/2023"/>
    <m/>
    <s v="06"/>
    <n v="7911.23"/>
    <n v="74"/>
    <m/>
    <m/>
    <s v="Above Average"/>
    <n v="963"/>
  </r>
  <r>
    <s v="Dennison Crosswaite"/>
    <s v="USA"/>
    <x v="20"/>
    <d v="2023-11-07T00:00:00"/>
    <s v="07/11/2023"/>
    <m/>
    <s v="07"/>
    <n v="2583.0300000000002"/>
    <n v="501"/>
    <m/>
    <m/>
    <s v="Below Average"/>
    <n v="2445"/>
  </r>
  <r>
    <s v="Beverie Moffet"/>
    <s v="New Zealand"/>
    <x v="12"/>
    <d v="2023-07-06T00:00:00"/>
    <s v="06/07/2023"/>
    <m/>
    <s v="06"/>
    <n v="66.13"/>
    <n v="65"/>
    <m/>
    <m/>
    <s v="Below Average"/>
    <n v="3263"/>
  </r>
  <r>
    <s v="Jan Morforth"/>
    <s v="UK"/>
    <x v="16"/>
    <d v="2023-06-07T00:00:00"/>
    <s v="07/06/2023"/>
    <m/>
    <s v="07"/>
    <n v="10668.69"/>
    <n v="150"/>
    <m/>
    <m/>
    <s v="Above Average"/>
    <n v="494"/>
  </r>
  <r>
    <s v="Husein Augar"/>
    <s v="India"/>
    <x v="17"/>
    <s v="15/06/2023"/>
    <s v="15/06/2023"/>
    <m/>
    <s v="15/06/2023"/>
    <n v="10994.3"/>
    <n v="152"/>
    <m/>
    <m/>
    <s v="Above Average"/>
    <n v="439"/>
  </r>
  <r>
    <s v="Dotty Strutley"/>
    <s v="India"/>
    <x v="0"/>
    <s v="14/04/2023"/>
    <s v="14/04/2023"/>
    <m/>
    <s v="14/04/2023"/>
    <n v="1259.6099999999999"/>
    <n v="227"/>
    <m/>
    <m/>
    <s v="Below Average"/>
    <n v="2892"/>
  </r>
  <r>
    <s v="Camilla Castle"/>
    <s v="India"/>
    <x v="9"/>
    <d v="2023-08-08T00:00:00"/>
    <s v="08/08/2023"/>
    <m/>
    <s v="08"/>
    <n v="492.13"/>
    <n v="164"/>
    <m/>
    <m/>
    <s v="Below Average"/>
    <n v="3132"/>
  </r>
  <r>
    <s v="Marney O'Breen"/>
    <s v="UK"/>
    <x v="9"/>
    <s v="29/03/2023"/>
    <s v="29/03/2023"/>
    <m/>
    <s v="29/03/2023"/>
    <n v="1016.77"/>
    <n v="28"/>
    <m/>
    <m/>
    <s v="Below Average"/>
    <n v="2969"/>
  </r>
  <r>
    <s v="Roddy Speechley"/>
    <s v="Australia"/>
    <x v="10"/>
    <d v="2023-04-07T00:00:00"/>
    <s v="07/04/2023"/>
    <m/>
    <s v="07"/>
    <n v="4111.42"/>
    <n v="81"/>
    <m/>
    <m/>
    <s v="Below Average"/>
    <n v="1955"/>
  </r>
  <r>
    <s v="Ches Bonnell"/>
    <s v="India"/>
    <x v="4"/>
    <s v="16/02/2023"/>
    <s v="16/02/2023"/>
    <m/>
    <s v="16/02/2023"/>
    <n v="503.97"/>
    <n v="105"/>
    <m/>
    <m/>
    <s v="Below Average"/>
    <n v="3125"/>
  </r>
  <r>
    <s v="Rafaelita Blaksland"/>
    <s v="Canada"/>
    <x v="12"/>
    <d v="2023-02-05T00:00:00"/>
    <s v="05/02/2023"/>
    <m/>
    <s v="05"/>
    <n v="2883.71"/>
    <n v="163"/>
    <m/>
    <m/>
    <s v="Below Average"/>
    <n v="2349"/>
  </r>
  <r>
    <s v="Van Tuxwell"/>
    <s v="India"/>
    <x v="8"/>
    <s v="21/07/2023"/>
    <s v="21/07/2023"/>
    <m/>
    <s v="21/07/2023"/>
    <n v="11861.89"/>
    <n v="105"/>
    <m/>
    <m/>
    <s v="Above Average"/>
    <n v="355"/>
  </r>
  <r>
    <s v="Gunar Cockshoot"/>
    <s v="Australia"/>
    <x v="4"/>
    <s v="18/08/2023"/>
    <s v="18/08/2023"/>
    <m/>
    <s v="18/08/2023"/>
    <n v="8564.73"/>
    <n v="237"/>
    <m/>
    <m/>
    <s v="Above Average"/>
    <n v="819"/>
  </r>
  <r>
    <s v="Kaine Padly"/>
    <s v="USA"/>
    <x v="1"/>
    <s v="22/06/2023"/>
    <s v="22/06/2023"/>
    <m/>
    <s v="22/06/2023"/>
    <n v="538.03"/>
    <n v="271"/>
    <m/>
    <m/>
    <s v="Below Average"/>
    <n v="3116"/>
  </r>
  <r>
    <s v="Camilla Castle"/>
    <s v="UK"/>
    <x v="2"/>
    <s v="19/07/2023"/>
    <s v="19/07/2023"/>
    <m/>
    <s v="19/07/2023"/>
    <n v="5231.88"/>
    <n v="125"/>
    <m/>
    <m/>
    <s v="Below Average"/>
    <n v="1637"/>
  </r>
  <r>
    <s v="Madelene Upcott"/>
    <s v="UK"/>
    <x v="2"/>
    <d v="2023-12-08T00:00:00"/>
    <s v="08/12/2023"/>
    <m/>
    <s v="08"/>
    <n v="7916.13"/>
    <n v="84"/>
    <m/>
    <m/>
    <s v="Above Average"/>
    <n v="960"/>
  </r>
  <r>
    <s v="Madelene Upcott"/>
    <s v="USA"/>
    <x v="18"/>
    <d v="2023-07-06T00:00:00"/>
    <s v="06/07/2023"/>
    <m/>
    <s v="06"/>
    <n v="6016.32"/>
    <n v="143"/>
    <m/>
    <m/>
    <s v="Below Average"/>
    <n v="1432"/>
  </r>
  <r>
    <s v="Marney O'Breen"/>
    <s v="Canada"/>
    <x v="2"/>
    <d v="2023-08-03T00:00:00"/>
    <s v="03/08/2023"/>
    <m/>
    <s v="03"/>
    <n v="7504.86"/>
    <n v="97"/>
    <m/>
    <m/>
    <s v="Above Average"/>
    <n v="1060"/>
  </r>
  <r>
    <s v="Ches Bonnell"/>
    <s v="Australia"/>
    <x v="18"/>
    <d v="2023-08-04T00:00:00"/>
    <s v="04/08/2023"/>
    <m/>
    <s v="04"/>
    <n v="1590.98"/>
    <n v="182"/>
    <m/>
    <m/>
    <s v="Below Average"/>
    <n v="2773"/>
  </r>
  <r>
    <s v="Curtice Advani"/>
    <s v="Canada"/>
    <x v="8"/>
    <d v="2023-06-05T00:00:00"/>
    <s v="05/06/2023"/>
    <m/>
    <s v="05"/>
    <n v="740.07"/>
    <n v="205"/>
    <m/>
    <m/>
    <s v="Below Average"/>
    <n v="3046"/>
  </r>
  <r>
    <s v="Roddy Speechley"/>
    <s v="India"/>
    <x v="9"/>
    <s v="31/05/2023"/>
    <s v="31/05/2023"/>
    <m/>
    <s v="31/05/2023"/>
    <n v="4591.1099999999997"/>
    <n v="11"/>
    <m/>
    <m/>
    <s v="Below Average"/>
    <n v="1825"/>
  </r>
  <r>
    <s v="Van Tuxwell"/>
    <s v="Australia"/>
    <x v="0"/>
    <s v="13/01/2023"/>
    <s v="13/01/2023"/>
    <m/>
    <s v="13/01/2023"/>
    <n v="2686.51"/>
    <n v="324"/>
    <m/>
    <m/>
    <s v="Below Average"/>
    <n v="2409"/>
  </r>
  <r>
    <s v="Dennison Crosswaite"/>
    <s v="USA"/>
    <x v="21"/>
    <s v="15/03/2023"/>
    <s v="15/03/2023"/>
    <m/>
    <s v="15/03/2023"/>
    <n v="735.48"/>
    <n v="77"/>
    <m/>
    <m/>
    <s v="Below Average"/>
    <n v="3047"/>
  </r>
  <r>
    <s v="Andria Kimpton"/>
    <s v="Canada"/>
    <x v="2"/>
    <s v="16/02/2023"/>
    <s v="16/02/2023"/>
    <m/>
    <s v="16/02/2023"/>
    <n v="1160.54"/>
    <n v="311"/>
    <m/>
    <m/>
    <s v="Below Average"/>
    <n v="2916"/>
  </r>
  <r>
    <s v="Gigi Bohling"/>
    <s v="USA"/>
    <x v="21"/>
    <s v="14/01/2023"/>
    <s v="14/01/2023"/>
    <m/>
    <s v="14/01/2023"/>
    <n v="8078.15"/>
    <n v="189"/>
    <m/>
    <m/>
    <s v="Above Average"/>
    <n v="922"/>
  </r>
  <r>
    <s v="Rafaelita Blaksland"/>
    <s v="Australia"/>
    <x v="14"/>
    <s v="21/03/2023"/>
    <s v="21/03/2023"/>
    <m/>
    <s v="21/03/2023"/>
    <n v="7467.74"/>
    <n v="111"/>
    <m/>
    <m/>
    <s v="Above Average"/>
    <n v="1073"/>
  </r>
  <r>
    <s v="Roddy Speechley"/>
    <s v="Canada"/>
    <x v="9"/>
    <s v="17/05/2023"/>
    <s v="17/05/2023"/>
    <m/>
    <s v="17/05/2023"/>
    <n v="7588.41"/>
    <n v="342"/>
    <m/>
    <m/>
    <s v="Above Average"/>
    <n v="1047"/>
  </r>
  <r>
    <s v="Camilla Castle"/>
    <s v="New Zealand"/>
    <x v="1"/>
    <d v="2023-08-08T00:00:00"/>
    <s v="08/08/2023"/>
    <m/>
    <s v="08"/>
    <n v="15372.54"/>
    <n v="57"/>
    <m/>
    <m/>
    <s v="Above Average"/>
    <n v="132"/>
  </r>
  <r>
    <s v="Madelene Upcott"/>
    <s v="Canada"/>
    <x v="11"/>
    <s v="26/04/2023"/>
    <s v="26/04/2023"/>
    <m/>
    <s v="26/04/2023"/>
    <n v="3907.5"/>
    <n v="86"/>
    <m/>
    <m/>
    <s v="Below Average"/>
    <n v="2011"/>
  </r>
  <r>
    <s v="Madelene Upcott"/>
    <s v="Australia"/>
    <x v="21"/>
    <s v="15/04/2023"/>
    <s v="15/04/2023"/>
    <m/>
    <s v="15/04/2023"/>
    <n v="3740.76"/>
    <n v="255"/>
    <m/>
    <m/>
    <s v="Below Average"/>
    <n v="2058"/>
  </r>
  <r>
    <s v="Oby Sorrel"/>
    <s v="Canada"/>
    <x v="8"/>
    <s v="19/05/2023"/>
    <s v="19/05/2023"/>
    <m/>
    <s v="19/05/2023"/>
    <n v="6211.75"/>
    <n v="561"/>
    <m/>
    <m/>
    <s v="Above Average"/>
    <n v="1377"/>
  </r>
  <r>
    <s v="Dennison Crosswaite"/>
    <s v="Canada"/>
    <x v="9"/>
    <d v="2023-10-01T00:00:00"/>
    <s v="01/10/2023"/>
    <m/>
    <s v="01"/>
    <n v="2924.46"/>
    <n v="25"/>
    <m/>
    <m/>
    <s v="Below Average"/>
    <n v="2336"/>
  </r>
  <r>
    <s v="Mallorie Waber"/>
    <s v="New Zealand"/>
    <x v="5"/>
    <d v="2023-04-05T00:00:00"/>
    <s v="05/04/2023"/>
    <m/>
    <s v="05"/>
    <n v="501.79"/>
    <n v="241"/>
    <m/>
    <m/>
    <s v="Below Average"/>
    <n v="3127"/>
  </r>
  <r>
    <s v="Roddy Speechley"/>
    <s v="Canada"/>
    <x v="14"/>
    <d v="2023-05-04T00:00:00"/>
    <s v="04/05/2023"/>
    <m/>
    <s v="04"/>
    <n v="6594.09"/>
    <n v="270"/>
    <m/>
    <m/>
    <s v="Above Average"/>
    <n v="1281"/>
  </r>
  <r>
    <s v="Andria Kimpton"/>
    <s v="India"/>
    <x v="5"/>
    <s v="17/01/2023"/>
    <s v="17/01/2023"/>
    <m/>
    <s v="17/01/2023"/>
    <n v="960.68"/>
    <n v="71"/>
    <m/>
    <m/>
    <s v="Below Average"/>
    <n v="2986"/>
  </r>
  <r>
    <s v="Roddy Speechley"/>
    <s v="India"/>
    <x v="12"/>
    <s v="22/03/2023"/>
    <s v="22/03/2023"/>
    <m/>
    <s v="22/03/2023"/>
    <n v="11370.32"/>
    <n v="170"/>
    <m/>
    <m/>
    <s v="Above Average"/>
    <n v="408"/>
  </r>
  <r>
    <s v="Dotty Strutley"/>
    <s v="Australia"/>
    <x v="14"/>
    <d v="2023-05-07T00:00:00"/>
    <s v="07/05/2023"/>
    <m/>
    <s v="07"/>
    <n v="6067.94"/>
    <n v="94"/>
    <m/>
    <m/>
    <s v="Above Average"/>
    <n v="1414"/>
  </r>
  <r>
    <s v="Oby Sorrel"/>
    <s v="Canada"/>
    <x v="7"/>
    <s v="27/04/2023"/>
    <s v="27/04/2023"/>
    <m/>
    <s v="27/04/2023"/>
    <n v="8909.75"/>
    <n v="355"/>
    <m/>
    <m/>
    <s v="Above Average"/>
    <n v="757"/>
  </r>
  <r>
    <s v="Kaine Padly"/>
    <s v="Canada"/>
    <x v="16"/>
    <d v="2023-12-08T00:00:00"/>
    <s v="08/12/2023"/>
    <m/>
    <s v="08"/>
    <n v="6865.35"/>
    <n v="75"/>
    <m/>
    <m/>
    <s v="Above Average"/>
    <n v="1218"/>
  </r>
  <r>
    <s v="Jan Morforth"/>
    <s v="UK"/>
    <x v="19"/>
    <d v="2023-11-03T00:00:00"/>
    <s v="03/11/2023"/>
    <m/>
    <s v="03"/>
    <n v="805.23"/>
    <n v="259"/>
    <m/>
    <m/>
    <s v="Below Average"/>
    <n v="3026"/>
  </r>
  <r>
    <s v="Jehu Rudeforth"/>
    <s v="UK"/>
    <x v="13"/>
    <s v="13/05/2023"/>
    <s v="13/05/2023"/>
    <m/>
    <s v="13/05/2023"/>
    <n v="9851.6200000000008"/>
    <n v="221"/>
    <m/>
    <m/>
    <s v="Above Average"/>
    <n v="606"/>
  </r>
  <r>
    <s v="Dennison Crosswaite"/>
    <s v="USA"/>
    <x v="3"/>
    <d v="2023-12-05T00:00:00"/>
    <s v="05/12/2023"/>
    <m/>
    <s v="05"/>
    <n v="11823.35"/>
    <n v="90"/>
    <m/>
    <m/>
    <s v="Above Average"/>
    <n v="357"/>
  </r>
  <r>
    <s v="Brien Boise"/>
    <s v="USA"/>
    <x v="17"/>
    <d v="2023-12-01T00:00:00"/>
    <s v="01/12/2023"/>
    <m/>
    <s v="01"/>
    <n v="683.63"/>
    <n v="202"/>
    <m/>
    <m/>
    <s v="Below Average"/>
    <n v="3070"/>
  </r>
  <r>
    <s v="Madelene Upcott"/>
    <s v="New Zealand"/>
    <x v="11"/>
    <s v="29/03/2023"/>
    <s v="29/03/2023"/>
    <m/>
    <s v="29/03/2023"/>
    <n v="14002.42"/>
    <n v="388"/>
    <m/>
    <m/>
    <s v="Above Average"/>
    <n v="208"/>
  </r>
  <r>
    <s v="Roddy Speechley"/>
    <s v="India"/>
    <x v="6"/>
    <s v="14/03/2023"/>
    <s v="14/03/2023"/>
    <m/>
    <s v="14/03/2023"/>
    <n v="8744.9500000000007"/>
    <n v="12"/>
    <m/>
    <m/>
    <s v="Above Average"/>
    <n v="791"/>
  </r>
  <r>
    <s v="Barr Faughny"/>
    <s v="New Zealand"/>
    <x v="4"/>
    <s v="24/05/2023"/>
    <s v="24/05/2023"/>
    <m/>
    <s v="24/05/2023"/>
    <n v="9294.14"/>
    <n v="201"/>
    <m/>
    <m/>
    <s v="Above Average"/>
    <n v="692"/>
  </r>
  <r>
    <s v="Dennison Crosswaite"/>
    <s v="Canada"/>
    <x v="10"/>
    <s v="28/01/2023"/>
    <s v="28/01/2023"/>
    <m/>
    <s v="28/01/2023"/>
    <n v="8831.89"/>
    <n v="79"/>
    <m/>
    <m/>
    <s v="Above Average"/>
    <n v="775"/>
  </r>
  <r>
    <s v="Beverie Moffet"/>
    <s v="India"/>
    <x v="16"/>
    <s v="24/05/2023"/>
    <s v="24/05/2023"/>
    <m/>
    <s v="24/05/2023"/>
    <n v="3474.98"/>
    <n v="104"/>
    <m/>
    <m/>
    <s v="Below Average"/>
    <n v="2144"/>
  </r>
  <r>
    <s v="Brien Boise"/>
    <s v="Australia"/>
    <x v="2"/>
    <s v="19/08/2023"/>
    <s v="19/08/2023"/>
    <m/>
    <s v="19/08/2023"/>
    <n v="311.61"/>
    <n v="204"/>
    <m/>
    <m/>
    <s v="Below Average"/>
    <n v="3185"/>
  </r>
  <r>
    <s v="Karlen McCaffrey"/>
    <s v="Australia"/>
    <x v="12"/>
    <s v="17/05/2023"/>
    <s v="17/05/2023"/>
    <m/>
    <s v="17/05/2023"/>
    <n v="4791.2"/>
    <n v="335"/>
    <m/>
    <m/>
    <s v="Below Average"/>
    <n v="1769"/>
  </r>
  <r>
    <s v="Jehu Rudeforth"/>
    <s v="USA"/>
    <x v="14"/>
    <d v="2023-07-06T00:00:00"/>
    <s v="06/07/2023"/>
    <m/>
    <s v="06"/>
    <n v="6646.33"/>
    <n v="117"/>
    <m/>
    <m/>
    <s v="Above Average"/>
    <n v="1275"/>
  </r>
  <r>
    <s v="Ches Bonnell"/>
    <s v="Canada"/>
    <x v="10"/>
    <s v="26/07/2023"/>
    <s v="26/07/2023"/>
    <m/>
    <s v="26/07/2023"/>
    <n v="593.63"/>
    <n v="229"/>
    <m/>
    <m/>
    <s v="Below Average"/>
    <n v="3101"/>
  </r>
  <r>
    <s v="Dotty Strutley"/>
    <s v="India"/>
    <x v="8"/>
    <s v="28/07/2023"/>
    <s v="28/07/2023"/>
    <m/>
    <s v="28/07/2023"/>
    <n v="2345.9499999999998"/>
    <n v="406"/>
    <m/>
    <m/>
    <s v="Below Average"/>
    <n v="2531"/>
  </r>
  <r>
    <s v="Karlen McCaffrey"/>
    <s v="India"/>
    <x v="21"/>
    <s v="23/05/2023"/>
    <s v="23/05/2023"/>
    <m/>
    <s v="23/05/2023"/>
    <n v="5083.07"/>
    <n v="368"/>
    <m/>
    <m/>
    <s v="Below Average"/>
    <n v="1678"/>
  </r>
  <r>
    <s v="Jehu Rudeforth"/>
    <s v="UK"/>
    <x v="0"/>
    <d v="2024-04-01T00:00:00"/>
    <s v="01/04/2024"/>
    <m/>
    <s v="01"/>
    <n v="6339.57"/>
    <n v="187"/>
    <m/>
    <m/>
    <s v="Above Average"/>
    <n v="1343"/>
  </r>
  <r>
    <s v="Van Tuxwell"/>
    <s v="India"/>
    <x v="1"/>
    <d v="2024-01-08T00:00:00"/>
    <s v="08/01/2024"/>
    <m/>
    <s v="08"/>
    <n v="9005.8700000000008"/>
    <n v="90"/>
    <m/>
    <m/>
    <s v="Above Average"/>
    <n v="737"/>
  </r>
  <r>
    <s v="Gigi Bohling"/>
    <s v="India"/>
    <x v="2"/>
    <d v="2024-07-07T00:00:00"/>
    <s v="07/07/2024"/>
    <m/>
    <s v="07"/>
    <n v="5159.07"/>
    <n v="87"/>
    <m/>
    <m/>
    <s v="Below Average"/>
    <n v="1657"/>
  </r>
  <r>
    <s v="Jan Morforth"/>
    <s v="Australia"/>
    <x v="2"/>
    <s v="27/04/2024"/>
    <s v="27/04/2024"/>
    <m/>
    <s v="27/04/2024"/>
    <n v="13370.97"/>
    <n v="349"/>
    <m/>
    <m/>
    <s v="Above Average"/>
    <n v="243"/>
  </r>
  <r>
    <s v="Jehu Rudeforth"/>
    <s v="UK"/>
    <x v="2"/>
    <s v="24/02/2024"/>
    <s v="24/02/2024"/>
    <m/>
    <s v="24/02/2024"/>
    <n v="14791.64"/>
    <n v="182"/>
    <m/>
    <m/>
    <s v="Above Average"/>
    <n v="158"/>
  </r>
  <r>
    <s v="Van Tuxwell"/>
    <s v="India"/>
    <x v="3"/>
    <d v="2024-06-06T00:00:00"/>
    <s v="06/06/2024"/>
    <m/>
    <s v="06"/>
    <n v="6429.35"/>
    <n v="40"/>
    <m/>
    <m/>
    <s v="Above Average"/>
    <n v="1325"/>
  </r>
  <r>
    <s v="Oby Sorrel"/>
    <s v="UK"/>
    <x v="4"/>
    <s v="25/01/2024"/>
    <s v="25/01/2024"/>
    <m/>
    <s v="25/01/2024"/>
    <n v="15900.6"/>
    <n v="188"/>
    <m/>
    <m/>
    <s v="Above Average"/>
    <n v="104"/>
  </r>
  <r>
    <s v="Gunar Cockshoot"/>
    <s v="Australia"/>
    <x v="5"/>
    <s v="24/03/2024"/>
    <s v="24/03/2024"/>
    <m/>
    <s v="24/03/2024"/>
    <n v="3400.26"/>
    <n v="77"/>
    <m/>
    <m/>
    <s v="Below Average"/>
    <n v="2174"/>
  </r>
  <r>
    <s v="Jehu Rudeforth"/>
    <s v="New Zealand"/>
    <x v="6"/>
    <s v="20/04/2024"/>
    <s v="20/04/2024"/>
    <m/>
    <s v="20/04/2024"/>
    <n v="4357.76"/>
    <n v="63"/>
    <m/>
    <m/>
    <s v="Below Average"/>
    <n v="1891"/>
  </r>
  <r>
    <s v="Brien Boise"/>
    <s v="Australia"/>
    <x v="4"/>
    <d v="2024-04-07T00:00:00"/>
    <s v="07/04/2024"/>
    <m/>
    <s v="07"/>
    <n v="3356.17"/>
    <n v="111"/>
    <m/>
    <m/>
    <s v="Below Average"/>
    <n v="2199"/>
  </r>
  <r>
    <s v="Rafaelita Blaksland"/>
    <s v="UK"/>
    <x v="3"/>
    <s v="13/01/2024"/>
    <s v="13/01/2024"/>
    <m/>
    <s v="13/01/2024"/>
    <n v="5287.86"/>
    <n v="67"/>
    <m/>
    <m/>
    <s v="Below Average"/>
    <n v="1623"/>
  </r>
  <r>
    <s v="Barr Faughny"/>
    <s v="USA"/>
    <x v="7"/>
    <d v="2024-10-03T00:00:00"/>
    <s v="03/10/2024"/>
    <m/>
    <s v="03"/>
    <n v="4244.3599999999997"/>
    <n v="11"/>
    <m/>
    <m/>
    <s v="Below Average"/>
    <n v="1919"/>
  </r>
  <r>
    <s v="Mallorie Waber"/>
    <s v="Canada"/>
    <x v="8"/>
    <s v="13/01/2024"/>
    <s v="13/01/2024"/>
    <m/>
    <s v="13/01/2024"/>
    <n v="1671.64"/>
    <n v="277"/>
    <m/>
    <m/>
    <s v="Below Average"/>
    <n v="2743"/>
  </r>
  <r>
    <s v="Karlen McCaffrey"/>
    <s v="New Zealand"/>
    <x v="9"/>
    <s v="28/07/2024"/>
    <s v="28/07/2024"/>
    <m/>
    <s v="28/07/2024"/>
    <n v="181.84"/>
    <n v="167"/>
    <m/>
    <m/>
    <s v="Below Average"/>
    <n v="3220"/>
  </r>
  <r>
    <s v="Marney O'Breen"/>
    <s v="New Zealand"/>
    <x v="2"/>
    <d v="2024-03-08T00:00:00"/>
    <s v="08/03/2024"/>
    <m/>
    <s v="08"/>
    <n v="8950.59"/>
    <n v="189"/>
    <m/>
    <m/>
    <s v="Above Average"/>
    <n v="747"/>
  </r>
  <r>
    <s v="Beverie Moffet"/>
    <s v="Australia"/>
    <x v="10"/>
    <s v="26/01/2024"/>
    <s v="26/01/2024"/>
    <m/>
    <s v="26/01/2024"/>
    <n v="7271.76"/>
    <n v="385"/>
    <m/>
    <m/>
    <s v="Above Average"/>
    <n v="1115"/>
  </r>
  <r>
    <s v="Van Tuxwell"/>
    <s v="Canada"/>
    <x v="10"/>
    <s v="14/02/2024"/>
    <s v="14/02/2024"/>
    <m/>
    <s v="14/02/2024"/>
    <n v="4864.83"/>
    <n v="42"/>
    <m/>
    <m/>
    <s v="Below Average"/>
    <n v="1747"/>
  </r>
  <r>
    <s v="Roddy Speechley"/>
    <s v="USA"/>
    <x v="3"/>
    <d v="2024-05-04T00:00:00"/>
    <s v="04/05/2024"/>
    <m/>
    <s v="04"/>
    <n v="3175.11"/>
    <n v="149"/>
    <m/>
    <m/>
    <s v="Below Average"/>
    <n v="2241"/>
  </r>
  <r>
    <s v="Beverie Moffet"/>
    <s v="Canada"/>
    <x v="11"/>
    <s v="16/02/2024"/>
    <s v="16/02/2024"/>
    <m/>
    <s v="16/02/2024"/>
    <n v="10137.790000000001"/>
    <n v="250"/>
    <m/>
    <m/>
    <s v="Above Average"/>
    <n v="562"/>
  </r>
  <r>
    <s v="Curtice Advani"/>
    <s v="UK"/>
    <x v="1"/>
    <d v="2024-08-06T00:00:00"/>
    <s v="06/08/2024"/>
    <m/>
    <s v="06"/>
    <n v="1206.95"/>
    <n v="174"/>
    <m/>
    <m/>
    <s v="Below Average"/>
    <n v="2905"/>
  </r>
  <r>
    <s v="Brien Boise"/>
    <s v="Australia"/>
    <x v="8"/>
    <s v="27/06/2024"/>
    <s v="27/06/2024"/>
    <m/>
    <s v="27/06/2024"/>
    <n v="8222.65"/>
    <n v="92"/>
    <m/>
    <m/>
    <s v="Above Average"/>
    <n v="888"/>
  </r>
  <r>
    <s v="Gunar Cockshoot"/>
    <s v="USA"/>
    <x v="12"/>
    <s v="17/02/2024"/>
    <s v="17/02/2024"/>
    <m/>
    <s v="17/02/2024"/>
    <n v="1440.85"/>
    <n v="152"/>
    <m/>
    <m/>
    <s v="Below Average"/>
    <n v="2824"/>
  </r>
  <r>
    <s v="Marney O'Breen"/>
    <s v="USA"/>
    <x v="5"/>
    <s v="30/05/2024"/>
    <s v="30/05/2024"/>
    <m/>
    <s v="30/05/2024"/>
    <n v="5611.65"/>
    <n v="159"/>
    <m/>
    <m/>
    <s v="Below Average"/>
    <n v="1539"/>
  </r>
  <r>
    <s v="Husein Augar"/>
    <s v="UK"/>
    <x v="9"/>
    <s v="14/03/2024"/>
    <s v="14/03/2024"/>
    <m/>
    <s v="14/03/2024"/>
    <n v="3562.44"/>
    <n v="111"/>
    <m/>
    <m/>
    <s v="Below Average"/>
    <n v="2122"/>
  </r>
  <r>
    <s v="Kaine Padly"/>
    <s v="Australia"/>
    <x v="8"/>
    <s v="28/02/2024"/>
    <s v="28/02/2024"/>
    <m/>
    <s v="28/02/2024"/>
    <n v="8385.26"/>
    <n v="122"/>
    <m/>
    <m/>
    <s v="Above Average"/>
    <n v="856"/>
  </r>
  <r>
    <s v="Karlen McCaffrey"/>
    <s v="India"/>
    <x v="13"/>
    <s v="26/01/2024"/>
    <s v="26/01/2024"/>
    <m/>
    <s v="26/01/2024"/>
    <n v="181.31"/>
    <n v="330"/>
    <m/>
    <m/>
    <s v="Below Average"/>
    <n v="3221"/>
  </r>
  <r>
    <s v="Roddy Speechley"/>
    <s v="Canada"/>
    <x v="12"/>
    <d v="2024-09-02T00:00:00"/>
    <s v="02/09/2024"/>
    <m/>
    <s v="02"/>
    <n v="1800.27"/>
    <n v="191"/>
    <m/>
    <m/>
    <s v="Below Average"/>
    <n v="2700"/>
  </r>
  <r>
    <s v="Husein Augar"/>
    <s v="USA"/>
    <x v="8"/>
    <d v="2024-07-07T00:00:00"/>
    <s v="07/07/2024"/>
    <m/>
    <s v="07"/>
    <n v="4449.37"/>
    <n v="113"/>
    <m/>
    <m/>
    <s v="Below Average"/>
    <n v="1865"/>
  </r>
  <r>
    <s v="Dennison Crosswaite"/>
    <s v="New Zealand"/>
    <x v="14"/>
    <d v="2024-05-07T00:00:00"/>
    <s v="07/05/2024"/>
    <m/>
    <s v="07"/>
    <n v="10113.4"/>
    <n v="155"/>
    <m/>
    <m/>
    <s v="Above Average"/>
    <n v="565"/>
  </r>
  <r>
    <s v="Dennison Crosswaite"/>
    <s v="New Zealand"/>
    <x v="15"/>
    <s v="15/06/2024"/>
    <s v="15/06/2024"/>
    <m/>
    <s v="15/06/2024"/>
    <n v="5932.84"/>
    <n v="303"/>
    <m/>
    <m/>
    <s v="Below Average"/>
    <n v="1446"/>
  </r>
  <r>
    <s v="Van Tuxwell"/>
    <s v="New Zealand"/>
    <x v="1"/>
    <s v="24/05/2024"/>
    <s v="24/05/2024"/>
    <m/>
    <s v="24/05/2024"/>
    <n v="2006.71"/>
    <n v="124"/>
    <m/>
    <m/>
    <s v="Below Average"/>
    <n v="2633"/>
  </r>
  <r>
    <s v="Rafaelita Blaksland"/>
    <s v="UK"/>
    <x v="4"/>
    <s v="29/06/2024"/>
    <s v="29/06/2024"/>
    <m/>
    <s v="29/06/2024"/>
    <n v="14086.69"/>
    <n v="157"/>
    <m/>
    <m/>
    <s v="Above Average"/>
    <n v="205"/>
  </r>
  <r>
    <s v="Wilone O'Kielt"/>
    <s v="Australia"/>
    <x v="15"/>
    <d v="2024-11-05T00:00:00"/>
    <s v="05/11/2024"/>
    <m/>
    <s v="05"/>
    <n v="4799.54"/>
    <n v="90"/>
    <m/>
    <m/>
    <s v="Below Average"/>
    <n v="1767"/>
  </r>
  <r>
    <s v="Karlen McCaffrey"/>
    <s v="UK"/>
    <x v="16"/>
    <s v="30/06/2024"/>
    <s v="30/06/2024"/>
    <m/>
    <s v="30/06/2024"/>
    <n v="8101.98"/>
    <n v="138"/>
    <m/>
    <m/>
    <s v="Above Average"/>
    <n v="917"/>
  </r>
  <r>
    <s v="Andria Kimpton"/>
    <s v="Canada"/>
    <x v="5"/>
    <d v="2024-11-05T00:00:00"/>
    <s v="05/11/2024"/>
    <m/>
    <s v="05"/>
    <n v="2321.9699999999998"/>
    <n v="71"/>
    <m/>
    <m/>
    <s v="Below Average"/>
    <n v="2539"/>
  </r>
  <r>
    <s v="Roddy Speechley"/>
    <s v="USA"/>
    <x v="15"/>
    <s v="22/07/2024"/>
    <s v="22/07/2024"/>
    <m/>
    <s v="22/07/2024"/>
    <n v="10245"/>
    <n v="329"/>
    <m/>
    <m/>
    <s v="Above Average"/>
    <n v="544"/>
  </r>
  <r>
    <s v="Andria Kimpton"/>
    <s v="UK"/>
    <x v="6"/>
    <s v="24/08/2024"/>
    <s v="24/08/2024"/>
    <m/>
    <s v="24/08/2024"/>
    <n v="2930.4"/>
    <n v="344"/>
    <m/>
    <m/>
    <s v="Below Average"/>
    <n v="2334"/>
  </r>
  <r>
    <s v="Kelci Walkden"/>
    <s v="New Zealand"/>
    <x v="5"/>
    <d v="2024-07-07T00:00:00"/>
    <s v="07/07/2024"/>
    <m/>
    <s v="07"/>
    <n v="170.24"/>
    <n v="75"/>
    <m/>
    <m/>
    <s v="Below Average"/>
    <n v="3224"/>
  </r>
  <r>
    <s v="Camilla Castle"/>
    <s v="Australia"/>
    <x v="1"/>
    <s v="19/05/2024"/>
    <s v="19/05/2024"/>
    <m/>
    <s v="19/05/2024"/>
    <n v="4247.49"/>
    <n v="14"/>
    <m/>
    <m/>
    <s v="Below Average"/>
    <n v="1918"/>
  </r>
  <r>
    <s v="Karlen McCaffrey"/>
    <s v="India"/>
    <x v="15"/>
    <d v="2024-04-07T00:00:00"/>
    <s v="07/04/2024"/>
    <m/>
    <s v="07"/>
    <n v="2696.1"/>
    <n v="605"/>
    <m/>
    <m/>
    <s v="Below Average"/>
    <n v="2406"/>
  </r>
  <r>
    <s v="Kelci Walkden"/>
    <s v="USA"/>
    <x v="5"/>
    <d v="2024-02-06T00:00:00"/>
    <s v="06/02/2024"/>
    <m/>
    <s v="06"/>
    <n v="1083.76"/>
    <n v="16"/>
    <m/>
    <m/>
    <s v="Below Average"/>
    <n v="2947"/>
  </r>
  <r>
    <s v="Karlen McCaffrey"/>
    <s v="USA"/>
    <x v="17"/>
    <s v="15/04/2024"/>
    <s v="15/04/2024"/>
    <m/>
    <s v="15/04/2024"/>
    <n v="17037.09"/>
    <n v="347"/>
    <m/>
    <m/>
    <s v="Above Average"/>
    <n v="68"/>
  </r>
  <r>
    <s v="Mallorie Waber"/>
    <s v="Canada"/>
    <x v="18"/>
    <d v="2024-11-07T00:00:00"/>
    <s v="07/11/2024"/>
    <m/>
    <s v="07"/>
    <n v="5706.43"/>
    <n v="247"/>
    <m/>
    <m/>
    <s v="Below Average"/>
    <n v="1513"/>
  </r>
  <r>
    <s v="Andria Kimpton"/>
    <s v="India"/>
    <x v="12"/>
    <s v="23/02/2024"/>
    <s v="23/02/2024"/>
    <m/>
    <s v="23/02/2024"/>
    <n v="6682.34"/>
    <n v="139"/>
    <m/>
    <m/>
    <s v="Above Average"/>
    <n v="1263"/>
  </r>
  <r>
    <s v="Madelene Upcott"/>
    <s v="Canada"/>
    <x v="16"/>
    <s v="22/08/2024"/>
    <s v="22/08/2024"/>
    <m/>
    <s v="22/08/2024"/>
    <n v="8192.6"/>
    <n v="100"/>
    <m/>
    <m/>
    <s v="Above Average"/>
    <n v="895"/>
  </r>
  <r>
    <s v="Kaine Padly"/>
    <s v="USA"/>
    <x v="2"/>
    <s v="16/02/2024"/>
    <s v="16/02/2024"/>
    <m/>
    <s v="16/02/2024"/>
    <n v="7568.16"/>
    <n v="206"/>
    <m/>
    <m/>
    <s v="Above Average"/>
    <n v="1051"/>
  </r>
  <r>
    <s v="Van Tuxwell"/>
    <s v="USA"/>
    <x v="6"/>
    <s v="13/01/2024"/>
    <s v="13/01/2024"/>
    <m/>
    <s v="13/01/2024"/>
    <n v="10772.33"/>
    <n v="156"/>
    <m/>
    <m/>
    <s v="Above Average"/>
    <n v="479"/>
  </r>
  <r>
    <s v="Curtice Advani"/>
    <s v="Australia"/>
    <x v="11"/>
    <s v="14/02/2024"/>
    <s v="14/02/2024"/>
    <m/>
    <s v="14/02/2024"/>
    <n v="7467.12"/>
    <n v="18"/>
    <m/>
    <m/>
    <s v="Above Average"/>
    <n v="1074"/>
  </r>
  <r>
    <s v="Roddy Speechley"/>
    <s v="India"/>
    <x v="8"/>
    <d v="2024-10-06T00:00:00"/>
    <s v="06/10/2024"/>
    <m/>
    <s v="06"/>
    <n v="4985.8999999999996"/>
    <n v="311"/>
    <m/>
    <m/>
    <s v="Below Average"/>
    <n v="1710"/>
  </r>
  <r>
    <s v="Curtice Advani"/>
    <s v="India"/>
    <x v="13"/>
    <d v="2024-07-07T00:00:00"/>
    <s v="07/07/2024"/>
    <m/>
    <s v="07"/>
    <n v="5693.6"/>
    <n v="177"/>
    <m/>
    <m/>
    <s v="Below Average"/>
    <n v="1517"/>
  </r>
  <r>
    <s v="Curtice Advani"/>
    <s v="Canada"/>
    <x v="16"/>
    <s v="24/03/2024"/>
    <s v="24/03/2024"/>
    <m/>
    <s v="24/03/2024"/>
    <n v="5879.1"/>
    <n v="75"/>
    <m/>
    <m/>
    <s v="Below Average"/>
    <n v="1465"/>
  </r>
  <r>
    <s v="Brien Boise"/>
    <s v="Australia"/>
    <x v="13"/>
    <d v="2024-06-06T00:00:00"/>
    <s v="06/06/2024"/>
    <m/>
    <s v="06"/>
    <n v="9771.93"/>
    <n v="22"/>
    <m/>
    <m/>
    <s v="Above Average"/>
    <n v="617"/>
  </r>
  <r>
    <s v="Dotty Strutley"/>
    <s v="Australia"/>
    <x v="9"/>
    <s v="19/07/2024"/>
    <s v="19/07/2024"/>
    <m/>
    <s v="19/07/2024"/>
    <n v="105.06"/>
    <n v="140"/>
    <m/>
    <m/>
    <s v="Below Average"/>
    <n v="3243"/>
  </r>
  <r>
    <s v="Beverie Moffet"/>
    <s v="USA"/>
    <x v="17"/>
    <s v="19/04/2024"/>
    <s v="19/04/2024"/>
    <m/>
    <s v="19/04/2024"/>
    <n v="16414.689999999999"/>
    <n v="80"/>
    <m/>
    <m/>
    <s v="Above Average"/>
    <n v="88"/>
  </r>
  <r>
    <s v="Marney O'Breen"/>
    <s v="India"/>
    <x v="1"/>
    <s v="19/07/2024"/>
    <s v="19/07/2024"/>
    <m/>
    <s v="19/07/2024"/>
    <n v="2553.41"/>
    <n v="183"/>
    <m/>
    <m/>
    <s v="Below Average"/>
    <n v="2453"/>
  </r>
  <r>
    <s v="Jehu Rudeforth"/>
    <s v="Canada"/>
    <x v="9"/>
    <s v="15/07/2024"/>
    <s v="15/07/2024"/>
    <m/>
    <s v="15/07/2024"/>
    <n v="473.99"/>
    <n v="25"/>
    <m/>
    <m/>
    <s v="Below Average"/>
    <n v="3142"/>
  </r>
  <r>
    <s v="Ches Bonnell"/>
    <s v="New Zealand"/>
    <x v="12"/>
    <s v="14/02/2024"/>
    <s v="14/02/2024"/>
    <m/>
    <s v="14/02/2024"/>
    <n v="3873.98"/>
    <n v="19"/>
    <m/>
    <m/>
    <s v="Below Average"/>
    <n v="2018"/>
  </r>
  <r>
    <s v="Brien Boise"/>
    <s v="Canada"/>
    <x v="4"/>
    <s v="18/05/2024"/>
    <s v="18/05/2024"/>
    <m/>
    <s v="18/05/2024"/>
    <n v="17718.25"/>
    <n v="430"/>
    <m/>
    <m/>
    <s v="Above Average"/>
    <n v="46"/>
  </r>
  <r>
    <s v="Barr Faughny"/>
    <s v="Australia"/>
    <x v="13"/>
    <s v="30/06/2024"/>
    <s v="30/06/2024"/>
    <m/>
    <s v="30/06/2024"/>
    <n v="16572.07"/>
    <n v="57"/>
    <m/>
    <m/>
    <s v="Above Average"/>
    <n v="80"/>
  </r>
  <r>
    <s v="Andria Kimpton"/>
    <s v="Australia"/>
    <x v="6"/>
    <d v="2024-02-06T00:00:00"/>
    <s v="06/02/2024"/>
    <m/>
    <s v="06"/>
    <n v="5220.1899999999996"/>
    <n v="216"/>
    <m/>
    <m/>
    <s v="Below Average"/>
    <n v="1645"/>
  </r>
  <r>
    <s v="Andria Kimpton"/>
    <s v="Australia"/>
    <x v="9"/>
    <s v="28/06/2024"/>
    <s v="28/06/2024"/>
    <m/>
    <s v="28/06/2024"/>
    <n v="1797.26"/>
    <n v="49"/>
    <m/>
    <m/>
    <s v="Below Average"/>
    <n v="2702"/>
  </r>
  <r>
    <s v="Marney O'Breen"/>
    <s v="Australia"/>
    <x v="10"/>
    <s v="16/05/2024"/>
    <s v="16/05/2024"/>
    <m/>
    <s v="16/05/2024"/>
    <n v="295.62"/>
    <n v="182"/>
    <m/>
    <m/>
    <s v="Below Average"/>
    <n v="3197"/>
  </r>
  <r>
    <s v="Kelci Walkden"/>
    <s v="Canada"/>
    <x v="19"/>
    <s v="26/05/2024"/>
    <s v="26/05/2024"/>
    <m/>
    <s v="26/05/2024"/>
    <n v="3597.37"/>
    <n v="288"/>
    <m/>
    <m/>
    <s v="Below Average"/>
    <n v="2107"/>
  </r>
  <r>
    <s v="Karlen McCaffrey"/>
    <s v="India"/>
    <x v="16"/>
    <d v="2024-06-07T00:00:00"/>
    <s v="07/06/2024"/>
    <m/>
    <s v="07"/>
    <n v="6580.43"/>
    <n v="147"/>
    <m/>
    <m/>
    <s v="Above Average"/>
    <n v="1285"/>
  </r>
  <r>
    <s v="Oby Sorrel"/>
    <s v="India"/>
    <x v="4"/>
    <s v="27/05/2024"/>
    <s v="27/05/2024"/>
    <m/>
    <s v="27/05/2024"/>
    <n v="12232.97"/>
    <n v="11"/>
    <m/>
    <m/>
    <s v="Above Average"/>
    <n v="325"/>
  </r>
  <r>
    <s v="Wilone O'Kielt"/>
    <s v="Australia"/>
    <x v="20"/>
    <s v="14/04/2024"/>
    <s v="14/04/2024"/>
    <m/>
    <s v="14/04/2024"/>
    <n v="2243.44"/>
    <n v="11"/>
    <m/>
    <m/>
    <s v="Below Average"/>
    <n v="2568"/>
  </r>
  <r>
    <s v="Van Tuxwell"/>
    <s v="Australia"/>
    <x v="10"/>
    <d v="2024-10-08T00:00:00"/>
    <s v="08/10/2024"/>
    <m/>
    <s v="08"/>
    <n v="22943.37"/>
    <n v="14"/>
    <m/>
    <m/>
    <s v="Above Average"/>
    <n v="3"/>
  </r>
  <r>
    <s v="Camilla Castle"/>
    <s v="India"/>
    <x v="6"/>
    <d v="2024-04-07T00:00:00"/>
    <s v="07/04/2024"/>
    <m/>
    <s v="07"/>
    <n v="10590.61"/>
    <n v="430"/>
    <m/>
    <m/>
    <s v="Above Average"/>
    <n v="501"/>
  </r>
  <r>
    <s v="Oby Sorrel"/>
    <s v="India"/>
    <x v="10"/>
    <d v="2024-08-07T00:00:00"/>
    <s v="07/08/2024"/>
    <m/>
    <s v="07"/>
    <n v="6468.82"/>
    <n v="59"/>
    <m/>
    <m/>
    <s v="Above Average"/>
    <n v="1313"/>
  </r>
  <r>
    <s v="Jan Morforth"/>
    <s v="USA"/>
    <x v="2"/>
    <s v="22/07/2024"/>
    <s v="22/07/2024"/>
    <m/>
    <s v="22/07/2024"/>
    <n v="10463.57"/>
    <n v="109"/>
    <m/>
    <m/>
    <s v="Above Average"/>
    <n v="514"/>
  </r>
  <r>
    <s v="Gigi Bohling"/>
    <s v="USA"/>
    <x v="18"/>
    <d v="2024-02-03T00:00:00"/>
    <s v="03/02/2024"/>
    <m/>
    <s v="03"/>
    <n v="14154.35"/>
    <n v="105"/>
    <m/>
    <m/>
    <s v="Above Average"/>
    <n v="200"/>
  </r>
  <r>
    <s v="Gigi Bohling"/>
    <s v="UK"/>
    <x v="16"/>
    <d v="2024-10-01T00:00:00"/>
    <s v="01/10/2024"/>
    <m/>
    <s v="01"/>
    <n v="6031.14"/>
    <n v="9"/>
    <m/>
    <m/>
    <s v="Above Average"/>
    <n v="1427"/>
  </r>
  <r>
    <s v="Jehu Rudeforth"/>
    <s v="New Zealand"/>
    <x v="14"/>
    <d v="2024-11-03T00:00:00"/>
    <s v="03/11/2024"/>
    <m/>
    <s v="03"/>
    <n v="3308.4"/>
    <n v="258"/>
    <m/>
    <m/>
    <s v="Below Average"/>
    <n v="2209"/>
  </r>
  <r>
    <s v="Andria Kimpton"/>
    <s v="New Zealand"/>
    <x v="2"/>
    <s v="20/06/2024"/>
    <s v="20/06/2024"/>
    <m/>
    <s v="20/06/2024"/>
    <n v="1119.94"/>
    <n v="283"/>
    <m/>
    <m/>
    <s v="Below Average"/>
    <n v="2933"/>
  </r>
  <r>
    <s v="Van Tuxwell"/>
    <s v="UK"/>
    <x v="10"/>
    <s v="26/08/2024"/>
    <s v="26/08/2024"/>
    <m/>
    <s v="26/08/2024"/>
    <n v="2303.39"/>
    <n v="222"/>
    <m/>
    <m/>
    <s v="Below Average"/>
    <n v="2548"/>
  </r>
  <r>
    <s v="Roddy Speechley"/>
    <s v="Canada"/>
    <x v="11"/>
    <s v="13/07/2024"/>
    <s v="13/07/2024"/>
    <m/>
    <s v="13/07/2024"/>
    <n v="723.37"/>
    <n v="33"/>
    <m/>
    <m/>
    <s v="Below Average"/>
    <n v="3055"/>
  </r>
  <r>
    <s v="Camilla Castle"/>
    <s v="USA"/>
    <x v="12"/>
    <d v="2024-11-02T00:00:00"/>
    <s v="02/11/2024"/>
    <m/>
    <s v="02"/>
    <n v="1413.64"/>
    <n v="261"/>
    <m/>
    <m/>
    <s v="Below Average"/>
    <n v="2835"/>
  </r>
  <r>
    <s v="Marney O'Breen"/>
    <s v="USA"/>
    <x v="7"/>
    <s v="27/01/2024"/>
    <s v="27/01/2024"/>
    <m/>
    <s v="27/01/2024"/>
    <n v="9001.89"/>
    <n v="193"/>
    <m/>
    <m/>
    <s v="Above Average"/>
    <n v="738"/>
  </r>
  <r>
    <s v="Van Tuxwell"/>
    <s v="UK"/>
    <x v="4"/>
    <s v="31/01/2024"/>
    <s v="31/01/2024"/>
    <m/>
    <s v="31/01/2024"/>
    <n v="5283.91"/>
    <n v="136"/>
    <m/>
    <m/>
    <s v="Below Average"/>
    <n v="1624"/>
  </r>
  <r>
    <s v="Camilla Castle"/>
    <s v="USA"/>
    <x v="14"/>
    <s v="18/08/2024"/>
    <s v="18/08/2024"/>
    <m/>
    <s v="18/08/2024"/>
    <n v="10958.51"/>
    <n v="23"/>
    <m/>
    <m/>
    <s v="Above Average"/>
    <n v="448"/>
  </r>
  <r>
    <s v="Andria Kimpton"/>
    <s v="USA"/>
    <x v="17"/>
    <s v="30/06/2024"/>
    <s v="30/06/2024"/>
    <m/>
    <s v="30/06/2024"/>
    <n v="15531.78"/>
    <n v="22"/>
    <m/>
    <m/>
    <s v="Above Average"/>
    <n v="124"/>
  </r>
  <r>
    <s v="Dotty Strutley"/>
    <s v="Australia"/>
    <x v="13"/>
    <s v="23/08/2024"/>
    <s v="23/08/2024"/>
    <m/>
    <s v="23/08/2024"/>
    <n v="317.36"/>
    <n v="337"/>
    <m/>
    <m/>
    <s v="Below Average"/>
    <n v="3184"/>
  </r>
  <r>
    <s v="Brien Boise"/>
    <s v="New Zealand"/>
    <x v="0"/>
    <d v="2024-01-08T00:00:00"/>
    <s v="08/01/2024"/>
    <m/>
    <s v="08"/>
    <n v="71.41"/>
    <n v="188"/>
    <m/>
    <m/>
    <s v="Below Average"/>
    <n v="3257"/>
  </r>
  <r>
    <s v="Roddy Speechley"/>
    <s v="New Zealand"/>
    <x v="5"/>
    <s v="25/05/2024"/>
    <s v="25/05/2024"/>
    <m/>
    <s v="25/05/2024"/>
    <n v="9317.33"/>
    <n v="11"/>
    <m/>
    <m/>
    <s v="Above Average"/>
    <n v="687"/>
  </r>
  <r>
    <s v="Roddy Speechley"/>
    <s v="Canada"/>
    <x v="10"/>
    <d v="2024-10-01T00:00:00"/>
    <s v="01/10/2024"/>
    <m/>
    <s v="01"/>
    <n v="4790.71"/>
    <n v="86"/>
    <m/>
    <m/>
    <s v="Below Average"/>
    <n v="1770"/>
  </r>
  <r>
    <s v="Dennison Crosswaite"/>
    <s v="Australia"/>
    <x v="21"/>
    <d v="2024-07-02T00:00:00"/>
    <s v="02/07/2024"/>
    <m/>
    <s v="02"/>
    <n v="6166.8"/>
    <n v="114"/>
    <m/>
    <m/>
    <s v="Above Average"/>
    <n v="1391"/>
  </r>
  <r>
    <s v="Karlen McCaffrey"/>
    <s v="USA"/>
    <x v="7"/>
    <d v="2024-12-05T00:00:00"/>
    <s v="05/12/2024"/>
    <m/>
    <s v="05"/>
    <n v="11741.46"/>
    <n v="433"/>
    <m/>
    <m/>
    <s v="Above Average"/>
    <n v="367"/>
  </r>
  <r>
    <s v="Madelene Upcott"/>
    <s v="Australia"/>
    <x v="12"/>
    <d v="2024-07-03T00:00:00"/>
    <s v="03/07/2024"/>
    <m/>
    <s v="03"/>
    <n v="8519.77"/>
    <n v="443"/>
    <m/>
    <m/>
    <s v="Above Average"/>
    <n v="829"/>
  </r>
  <r>
    <s v="Dennison Crosswaite"/>
    <s v="Australia"/>
    <x v="1"/>
    <d v="2024-05-04T00:00:00"/>
    <s v="04/05/2024"/>
    <m/>
    <s v="04"/>
    <n v="8278.86"/>
    <n v="453"/>
    <m/>
    <m/>
    <s v="Above Average"/>
    <n v="876"/>
  </r>
  <r>
    <s v="Andria Kimpton"/>
    <s v="Canada"/>
    <x v="20"/>
    <d v="2024-03-01T00:00:00"/>
    <s v="01/03/2024"/>
    <m/>
    <s v="01"/>
    <n v="7560.62"/>
    <n v="336"/>
    <m/>
    <m/>
    <s v="Above Average"/>
    <n v="1052"/>
  </r>
  <r>
    <s v="Dennison Crosswaite"/>
    <s v="UK"/>
    <x v="8"/>
    <s v="24/03/2024"/>
    <s v="24/03/2024"/>
    <m/>
    <s v="24/03/2024"/>
    <n v="6702.11"/>
    <n v="285"/>
    <m/>
    <m/>
    <s v="Above Average"/>
    <n v="1262"/>
  </r>
  <r>
    <s v="Madelene Upcott"/>
    <s v="India"/>
    <x v="17"/>
    <d v="2024-07-07T00:00:00"/>
    <s v="07/07/2024"/>
    <m/>
    <s v="07"/>
    <n v="4758.6899999999996"/>
    <n v="10"/>
    <m/>
    <m/>
    <s v="Below Average"/>
    <n v="1781"/>
  </r>
  <r>
    <s v="Van Tuxwell"/>
    <s v="USA"/>
    <x v="5"/>
    <s v="26/07/2024"/>
    <s v="26/07/2024"/>
    <m/>
    <s v="26/07/2024"/>
    <n v="709.25"/>
    <n v="263"/>
    <m/>
    <m/>
    <s v="Below Average"/>
    <n v="3062"/>
  </r>
  <r>
    <s v="Wilone O'Kielt"/>
    <s v="Australia"/>
    <x v="10"/>
    <d v="2024-07-07T00:00:00"/>
    <s v="07/07/2024"/>
    <m/>
    <s v="07"/>
    <n v="2003.05"/>
    <n v="110"/>
    <m/>
    <m/>
    <s v="Below Average"/>
    <n v="2634"/>
  </r>
  <r>
    <s v="Karlen McCaffrey"/>
    <s v="Canada"/>
    <x v="6"/>
    <s v="15/07/2024"/>
    <s v="15/07/2024"/>
    <m/>
    <s v="15/07/2024"/>
    <n v="3248"/>
    <n v="64"/>
    <m/>
    <m/>
    <s v="Below Average"/>
    <n v="2225"/>
  </r>
  <r>
    <s v="Roddy Speechley"/>
    <s v="New Zealand"/>
    <x v="7"/>
    <d v="2024-01-04T00:00:00"/>
    <s v="04/01/2024"/>
    <m/>
    <s v="04"/>
    <n v="51.98"/>
    <n v="95"/>
    <m/>
    <m/>
    <s v="Below Average"/>
    <n v="3270"/>
  </r>
  <r>
    <s v="Beverie Moffet"/>
    <s v="Australia"/>
    <x v="8"/>
    <s v="20/06/2024"/>
    <s v="20/06/2024"/>
    <m/>
    <s v="20/06/2024"/>
    <n v="2134.65"/>
    <n v="6"/>
    <m/>
    <m/>
    <s v="Below Average"/>
    <n v="2594"/>
  </r>
  <r>
    <s v="Kelci Walkden"/>
    <s v="UK"/>
    <x v="13"/>
    <s v="29/06/2024"/>
    <s v="29/06/2024"/>
    <m/>
    <s v="29/06/2024"/>
    <n v="15540.41"/>
    <n v="520"/>
    <m/>
    <m/>
    <s v="Above Average"/>
    <n v="123"/>
  </r>
  <r>
    <s v="Marney O'Breen"/>
    <s v="USA"/>
    <x v="6"/>
    <s v="15/06/2024"/>
    <s v="15/06/2024"/>
    <m/>
    <s v="15/06/2024"/>
    <n v="1117.77"/>
    <n v="114"/>
    <m/>
    <m/>
    <s v="Below Average"/>
    <n v="2934"/>
  </r>
  <r>
    <s v="Husein Augar"/>
    <s v="USA"/>
    <x v="5"/>
    <d v="2024-08-04T00:00:00"/>
    <s v="04/08/2024"/>
    <m/>
    <s v="04"/>
    <n v="13999.05"/>
    <n v="179"/>
    <m/>
    <m/>
    <s v="Above Average"/>
    <n v="209"/>
  </r>
  <r>
    <s v="Dennison Crosswaite"/>
    <s v="Australia"/>
    <x v="17"/>
    <s v="14/03/2024"/>
    <s v="14/03/2024"/>
    <m/>
    <s v="14/03/2024"/>
    <n v="6265.59"/>
    <n v="31"/>
    <m/>
    <m/>
    <s v="Above Average"/>
    <n v="1367"/>
  </r>
  <r>
    <s v="Andria Kimpton"/>
    <s v="USA"/>
    <x v="13"/>
    <s v="15/07/2024"/>
    <s v="15/07/2024"/>
    <m/>
    <s v="15/07/2024"/>
    <n v="1536.82"/>
    <n v="386"/>
    <m/>
    <m/>
    <s v="Below Average"/>
    <n v="2796"/>
  </r>
  <r>
    <s v="Kelci Walkden"/>
    <s v="India"/>
    <x v="8"/>
    <s v="19/04/2024"/>
    <s v="19/04/2024"/>
    <m/>
    <s v="19/04/2024"/>
    <n v="6069.93"/>
    <n v="80"/>
    <m/>
    <m/>
    <s v="Above Average"/>
    <n v="1410"/>
  </r>
  <r>
    <s v="Marney O'Breen"/>
    <s v="USA"/>
    <x v="4"/>
    <s v="28/03/2024"/>
    <s v="28/03/2024"/>
    <m/>
    <s v="28/03/2024"/>
    <n v="4861.33"/>
    <n v="286"/>
    <m/>
    <m/>
    <s v="Below Average"/>
    <n v="1748"/>
  </r>
  <r>
    <s v="Brien Boise"/>
    <s v="Canada"/>
    <x v="12"/>
    <d v="2024-04-03T00:00:00"/>
    <s v="03/04/2024"/>
    <m/>
    <s v="03"/>
    <n v="8993.24"/>
    <n v="97"/>
    <m/>
    <m/>
    <s v="Above Average"/>
    <n v="740"/>
  </r>
  <r>
    <s v="Karlen McCaffrey"/>
    <s v="New Zealand"/>
    <x v="21"/>
    <d v="2024-02-08T00:00:00"/>
    <s v="08/02/2024"/>
    <m/>
    <s v="08"/>
    <n v="150.41999999999999"/>
    <n v="40"/>
    <m/>
    <m/>
    <s v="Below Average"/>
    <n v="3230"/>
  </r>
  <r>
    <s v="Husein Augar"/>
    <s v="UK"/>
    <x v="12"/>
    <s v="25/08/2024"/>
    <s v="25/08/2024"/>
    <m/>
    <s v="25/08/2024"/>
    <n v="5593.68"/>
    <n v="41"/>
    <m/>
    <m/>
    <s v="Below Average"/>
    <n v="1546"/>
  </r>
  <r>
    <s v="Marney O'Breen"/>
    <s v="USA"/>
    <x v="16"/>
    <s v="25/02/2024"/>
    <s v="25/02/2024"/>
    <m/>
    <s v="25/02/2024"/>
    <n v="9376.61"/>
    <n v="167"/>
    <m/>
    <m/>
    <s v="Above Average"/>
    <n v="677"/>
  </r>
  <r>
    <s v="Kelci Walkden"/>
    <s v="India"/>
    <x v="7"/>
    <d v="2024-07-06T00:00:00"/>
    <s v="06/07/2024"/>
    <m/>
    <s v="06"/>
    <n v="11315.16"/>
    <n v="134"/>
    <m/>
    <m/>
    <s v="Above Average"/>
    <n v="413"/>
  </r>
  <r>
    <s v="Jan Morforth"/>
    <s v="India"/>
    <x v="12"/>
    <d v="2024-12-04T00:00:00"/>
    <s v="04/12/2024"/>
    <m/>
    <s v="04"/>
    <n v="2048.34"/>
    <n v="506"/>
    <m/>
    <m/>
    <s v="Below Average"/>
    <n v="2619"/>
  </r>
  <r>
    <s v="Ches Bonnell"/>
    <s v="India"/>
    <x v="12"/>
    <d v="2024-06-07T00:00:00"/>
    <s v="07/06/2024"/>
    <m/>
    <s v="07"/>
    <n v="12562.81"/>
    <n v="101"/>
    <m/>
    <m/>
    <s v="Above Average"/>
    <n v="295"/>
  </r>
  <r>
    <s v="Kelci Walkden"/>
    <s v="UK"/>
    <x v="3"/>
    <s v="19/01/2024"/>
    <s v="19/01/2024"/>
    <m/>
    <s v="19/01/2024"/>
    <n v="6883.75"/>
    <n v="182"/>
    <m/>
    <m/>
    <s v="Above Average"/>
    <n v="1210"/>
  </r>
  <r>
    <s v="Madelene Upcott"/>
    <s v="Australia"/>
    <x v="13"/>
    <d v="2024-05-01T00:00:00"/>
    <s v="01/05/2024"/>
    <m/>
    <s v="01"/>
    <n v="6105.6"/>
    <n v="90"/>
    <m/>
    <m/>
    <s v="Above Average"/>
    <n v="1400"/>
  </r>
  <r>
    <s v="Madelene Upcott"/>
    <s v="Canada"/>
    <x v="21"/>
    <s v="24/01/2024"/>
    <s v="24/01/2024"/>
    <m/>
    <s v="24/01/2024"/>
    <n v="12634.72"/>
    <n v="145"/>
    <m/>
    <m/>
    <s v="Above Average"/>
    <n v="288"/>
  </r>
  <r>
    <s v="Wilone O'Kielt"/>
    <s v="Australia"/>
    <x v="9"/>
    <d v="2024-06-04T00:00:00"/>
    <s v="04/06/2024"/>
    <m/>
    <s v="04"/>
    <n v="663.74"/>
    <n v="285"/>
    <m/>
    <m/>
    <s v="Below Average"/>
    <n v="3079"/>
  </r>
  <r>
    <s v="Gunar Cockshoot"/>
    <s v="Australia"/>
    <x v="13"/>
    <s v="15/06/2024"/>
    <s v="15/06/2024"/>
    <m/>
    <s v="15/06/2024"/>
    <n v="7044.68"/>
    <n v="21"/>
    <m/>
    <m/>
    <s v="Above Average"/>
    <n v="1167"/>
  </r>
  <r>
    <s v="Gigi Bohling"/>
    <s v="Canada"/>
    <x v="19"/>
    <s v="28/01/2024"/>
    <s v="28/01/2024"/>
    <m/>
    <s v="28/01/2024"/>
    <n v="1804.9"/>
    <n v="47"/>
    <m/>
    <m/>
    <s v="Below Average"/>
    <n v="2699"/>
  </r>
  <r>
    <s v="Kelci Walkden"/>
    <s v="India"/>
    <x v="20"/>
    <s v="16/03/2024"/>
    <s v="16/03/2024"/>
    <m/>
    <s v="16/03/2024"/>
    <n v="513.42999999999995"/>
    <n v="131"/>
    <m/>
    <m/>
    <s v="Below Average"/>
    <n v="3121"/>
  </r>
  <r>
    <s v="Rafaelita Blaksland"/>
    <s v="Australia"/>
    <x v="9"/>
    <s v="21/02/2024"/>
    <s v="21/02/2024"/>
    <m/>
    <s v="21/02/2024"/>
    <n v="13699.76"/>
    <n v="389"/>
    <m/>
    <m/>
    <s v="Above Average"/>
    <n v="222"/>
  </r>
  <r>
    <s v="Kelci Walkden"/>
    <s v="USA"/>
    <x v="15"/>
    <s v="16/02/2024"/>
    <s v="16/02/2024"/>
    <m/>
    <s v="16/02/2024"/>
    <n v="19995.68"/>
    <n v="94"/>
    <m/>
    <m/>
    <s v="Above Average"/>
    <n v="18"/>
  </r>
  <r>
    <s v="Jehu Rudeforth"/>
    <s v="Canada"/>
    <x v="12"/>
    <s v="13/01/2024"/>
    <s v="13/01/2024"/>
    <m/>
    <s v="13/01/2024"/>
    <n v="2189.6999999999998"/>
    <n v="29"/>
    <m/>
    <m/>
    <s v="Below Average"/>
    <n v="2583"/>
  </r>
  <r>
    <s v="Kelci Walkden"/>
    <s v="Australia"/>
    <x v="8"/>
    <s v="23/03/2024"/>
    <s v="23/03/2024"/>
    <m/>
    <s v="23/03/2024"/>
    <n v="8727.09"/>
    <n v="523"/>
    <m/>
    <m/>
    <s v="Above Average"/>
    <n v="793"/>
  </r>
  <r>
    <s v="Curtice Advani"/>
    <s v="Canada"/>
    <x v="12"/>
    <s v="16/06/2024"/>
    <s v="16/06/2024"/>
    <m/>
    <s v="16/06/2024"/>
    <n v="911.46"/>
    <n v="126"/>
    <m/>
    <m/>
    <s v="Below Average"/>
    <n v="2998"/>
  </r>
  <r>
    <s v="Oby Sorrel"/>
    <s v="India"/>
    <x v="17"/>
    <s v="14/04/2024"/>
    <s v="14/04/2024"/>
    <m/>
    <s v="14/04/2024"/>
    <n v="7620.86"/>
    <n v="46"/>
    <m/>
    <m/>
    <s v="Above Average"/>
    <n v="1038"/>
  </r>
  <r>
    <s v="Kelci Walkden"/>
    <s v="UK"/>
    <x v="8"/>
    <s v="25/01/2024"/>
    <s v="25/01/2024"/>
    <m/>
    <s v="25/01/2024"/>
    <n v="5054.5600000000004"/>
    <n v="60"/>
    <m/>
    <m/>
    <s v="Below Average"/>
    <n v="1691"/>
  </r>
  <r>
    <s v="Jan Morforth"/>
    <s v="India"/>
    <x v="16"/>
    <d v="2024-11-03T00:00:00"/>
    <s v="03/11/2024"/>
    <m/>
    <s v="03"/>
    <n v="5230.5"/>
    <n v="23"/>
    <m/>
    <m/>
    <s v="Below Average"/>
    <n v="1639"/>
  </r>
  <r>
    <s v="Dotty Strutley"/>
    <s v="UK"/>
    <x v="16"/>
    <s v="28/07/2024"/>
    <s v="28/07/2024"/>
    <m/>
    <s v="28/07/2024"/>
    <n v="17104.04"/>
    <n v="103"/>
    <m/>
    <m/>
    <s v="Above Average"/>
    <n v="63"/>
  </r>
  <r>
    <s v="Marney O'Breen"/>
    <s v="New Zealand"/>
    <x v="5"/>
    <d v="2024-09-03T00:00:00"/>
    <s v="03/09/2024"/>
    <m/>
    <s v="03"/>
    <n v="1642.32"/>
    <n v="43"/>
    <m/>
    <m/>
    <s v="Below Average"/>
    <n v="2755"/>
  </r>
  <r>
    <s v="Husein Augar"/>
    <s v="Australia"/>
    <x v="7"/>
    <s v="28/06/2024"/>
    <s v="28/06/2024"/>
    <m/>
    <s v="28/06/2024"/>
    <n v="10322.19"/>
    <n v="182"/>
    <m/>
    <m/>
    <s v="Above Average"/>
    <n v="532"/>
  </r>
  <r>
    <s v="Marney O'Breen"/>
    <s v="Australia"/>
    <x v="11"/>
    <s v="28/07/2024"/>
    <s v="28/07/2024"/>
    <m/>
    <s v="28/07/2024"/>
    <n v="2715.92"/>
    <n v="423"/>
    <m/>
    <m/>
    <s v="Below Average"/>
    <n v="2399"/>
  </r>
  <r>
    <s v="Kelci Walkden"/>
    <s v="Canada"/>
    <x v="4"/>
    <s v="15/08/2024"/>
    <s v="15/08/2024"/>
    <m/>
    <s v="15/08/2024"/>
    <n v="5598.05"/>
    <n v="51"/>
    <m/>
    <m/>
    <s v="Below Average"/>
    <n v="1543"/>
  </r>
  <r>
    <s v="Kaine Padly"/>
    <s v="Australia"/>
    <x v="15"/>
    <d v="2024-12-01T00:00:00"/>
    <s v="01/12/2024"/>
    <m/>
    <s v="01"/>
    <n v="2996.99"/>
    <n v="280"/>
    <m/>
    <m/>
    <s v="Below Average"/>
    <n v="2308"/>
  </r>
  <r>
    <s v="Beverie Moffet"/>
    <s v="New Zealand"/>
    <x v="14"/>
    <s v="24/03/2024"/>
    <s v="24/03/2024"/>
    <m/>
    <s v="24/03/2024"/>
    <n v="7946.49"/>
    <n v="7"/>
    <m/>
    <m/>
    <s v="Above Average"/>
    <n v="951"/>
  </r>
  <r>
    <s v="Van Tuxwell"/>
    <s v="UK"/>
    <x v="11"/>
    <s v="25/07/2024"/>
    <s v="25/07/2024"/>
    <m/>
    <s v="25/07/2024"/>
    <n v="4991.22"/>
    <n v="92"/>
    <m/>
    <m/>
    <s v="Below Average"/>
    <n v="1708"/>
  </r>
  <r>
    <s v="Oby Sorrel"/>
    <s v="Canada"/>
    <x v="4"/>
    <d v="2024-01-08T00:00:00"/>
    <s v="08/01/2024"/>
    <m/>
    <s v="08"/>
    <n v="4151.7"/>
    <n v="424"/>
    <m/>
    <m/>
    <s v="Below Average"/>
    <n v="1945"/>
  </r>
  <r>
    <s v="Van Tuxwell"/>
    <s v="India"/>
    <x v="10"/>
    <s v="16/05/2024"/>
    <s v="16/05/2024"/>
    <m/>
    <s v="16/05/2024"/>
    <n v="22701.85"/>
    <n v="168"/>
    <m/>
    <m/>
    <s v="Above Average"/>
    <n v="6"/>
  </r>
  <r>
    <s v="Roddy Speechley"/>
    <s v="India"/>
    <x v="3"/>
    <d v="2024-10-08T00:00:00"/>
    <s v="08/10/2024"/>
    <m/>
    <s v="08"/>
    <n v="6014.3"/>
    <n v="141"/>
    <m/>
    <m/>
    <s v="Below Average"/>
    <n v="1434"/>
  </r>
  <r>
    <s v="Jan Morforth"/>
    <s v="India"/>
    <x v="8"/>
    <d v="2024-05-01T00:00:00"/>
    <s v="01/05/2024"/>
    <m/>
    <s v="01"/>
    <n v="2788.6"/>
    <n v="27"/>
    <m/>
    <m/>
    <s v="Below Average"/>
    <n v="2378"/>
  </r>
  <r>
    <s v="Ches Bonnell"/>
    <s v="UK"/>
    <x v="3"/>
    <d v="2024-11-07T00:00:00"/>
    <s v="07/11/2024"/>
    <m/>
    <s v="07"/>
    <n v="6503.75"/>
    <n v="116"/>
    <m/>
    <m/>
    <s v="Above Average"/>
    <n v="1307"/>
  </r>
  <r>
    <s v="Wilone O'Kielt"/>
    <s v="USA"/>
    <x v="5"/>
    <s v="25/04/2024"/>
    <s v="25/04/2024"/>
    <m/>
    <s v="25/04/2024"/>
    <n v="433.92"/>
    <n v="31"/>
    <m/>
    <m/>
    <s v="Below Average"/>
    <n v="3156"/>
  </r>
  <r>
    <s v="Gigi Bohling"/>
    <s v="New Zealand"/>
    <x v="13"/>
    <d v="2024-04-04T00:00:00"/>
    <s v="04/04/2024"/>
    <m/>
    <s v="04"/>
    <n v="12314.13"/>
    <n v="129"/>
    <m/>
    <m/>
    <s v="Above Average"/>
    <n v="317"/>
  </r>
  <r>
    <s v="Barr Faughny"/>
    <s v="USA"/>
    <x v="17"/>
    <d v="2024-12-04T00:00:00"/>
    <s v="04/12/2024"/>
    <m/>
    <s v="04"/>
    <n v="9876.86"/>
    <n v="106"/>
    <m/>
    <m/>
    <s v="Above Average"/>
    <n v="599"/>
  </r>
  <r>
    <s v="Wilone O'Kielt"/>
    <s v="New Zealand"/>
    <x v="1"/>
    <d v="2024-02-08T00:00:00"/>
    <s v="08/02/2024"/>
    <m/>
    <s v="08"/>
    <n v="2043.06"/>
    <n v="121"/>
    <m/>
    <m/>
    <s v="Below Average"/>
    <n v="2625"/>
  </r>
  <r>
    <s v="Gigi Bohling"/>
    <s v="New Zealand"/>
    <x v="15"/>
    <s v="28/06/2024"/>
    <s v="28/06/2024"/>
    <m/>
    <s v="28/06/2024"/>
    <n v="8728.7999999999993"/>
    <n v="272"/>
    <m/>
    <m/>
    <s v="Above Average"/>
    <n v="792"/>
  </r>
  <r>
    <s v="Ches Bonnell"/>
    <s v="Australia"/>
    <x v="8"/>
    <d v="2024-05-07T00:00:00"/>
    <s v="07/05/2024"/>
    <m/>
    <s v="07"/>
    <n v="4906.57"/>
    <n v="128"/>
    <m/>
    <m/>
    <s v="Below Average"/>
    <n v="1729"/>
  </r>
  <r>
    <s v="Rafaelita Blaksland"/>
    <s v="New Zealand"/>
    <x v="18"/>
    <d v="2024-07-06T00:00:00"/>
    <s v="06/07/2024"/>
    <m/>
    <s v="06"/>
    <n v="2278.06"/>
    <n v="49"/>
    <m/>
    <m/>
    <s v="Below Average"/>
    <n v="2559"/>
  </r>
  <r>
    <s v="Brien Boise"/>
    <s v="New Zealand"/>
    <x v="3"/>
    <s v="18/01/2024"/>
    <s v="18/01/2024"/>
    <m/>
    <s v="18/01/2024"/>
    <n v="1108.18"/>
    <n v="27"/>
    <m/>
    <m/>
    <s v="Below Average"/>
    <n v="2938"/>
  </r>
  <r>
    <s v="Brien Boise"/>
    <s v="Australia"/>
    <x v="19"/>
    <d v="2024-04-01T00:00:00"/>
    <s v="01/04/2024"/>
    <m/>
    <s v="01"/>
    <n v="14957.65"/>
    <n v="206"/>
    <m/>
    <m/>
    <s v="Above Average"/>
    <n v="148"/>
  </r>
  <r>
    <s v="Dennison Crosswaite"/>
    <s v="Australia"/>
    <x v="4"/>
    <s v="31/01/2024"/>
    <s v="31/01/2024"/>
    <m/>
    <s v="31/01/2024"/>
    <n v="3020.67"/>
    <n v="19"/>
    <m/>
    <m/>
    <s v="Below Average"/>
    <n v="2296"/>
  </r>
  <r>
    <s v="Kelci Walkden"/>
    <s v="India"/>
    <x v="16"/>
    <s v="14/03/2024"/>
    <s v="14/03/2024"/>
    <m/>
    <s v="14/03/2024"/>
    <n v="3677.47"/>
    <n v="152"/>
    <m/>
    <m/>
    <s v="Below Average"/>
    <n v="2079"/>
  </r>
  <r>
    <s v="Camilla Castle"/>
    <s v="Australia"/>
    <x v="21"/>
    <s v="29/04/2024"/>
    <s v="29/04/2024"/>
    <m/>
    <s v="29/04/2024"/>
    <n v="6999.62"/>
    <n v="500"/>
    <m/>
    <m/>
    <s v="Above Average"/>
    <n v="1179"/>
  </r>
  <r>
    <s v="Oby Sorrel"/>
    <s v="India"/>
    <x v="3"/>
    <d v="2024-07-02T00:00:00"/>
    <s v="02/07/2024"/>
    <m/>
    <s v="02"/>
    <n v="10901.65"/>
    <n v="116"/>
    <m/>
    <m/>
    <s v="Above Average"/>
    <n v="456"/>
  </r>
  <r>
    <s v="Kaine Padly"/>
    <s v="UK"/>
    <x v="10"/>
    <s v="31/03/2024"/>
    <s v="31/03/2024"/>
    <m/>
    <s v="31/03/2024"/>
    <n v="2586.62"/>
    <n v="172"/>
    <m/>
    <m/>
    <s v="Below Average"/>
    <n v="2444"/>
  </r>
  <r>
    <s v="Marney O'Breen"/>
    <s v="India"/>
    <x v="20"/>
    <s v="16/03/2024"/>
    <s v="16/03/2024"/>
    <m/>
    <s v="16/03/2024"/>
    <n v="5077.5"/>
    <n v="81"/>
    <m/>
    <m/>
    <s v="Below Average"/>
    <n v="1680"/>
  </r>
  <r>
    <s v="Karlen McCaffrey"/>
    <s v="UK"/>
    <x v="8"/>
    <s v="25/01/2024"/>
    <s v="25/01/2024"/>
    <m/>
    <s v="25/01/2024"/>
    <n v="8360.11"/>
    <n v="203"/>
    <m/>
    <m/>
    <s v="Above Average"/>
    <n v="862"/>
  </r>
  <r>
    <s v="Van Tuxwell"/>
    <s v="India"/>
    <x v="19"/>
    <s v="20/06/2024"/>
    <s v="20/06/2024"/>
    <m/>
    <s v="20/06/2024"/>
    <n v="3566.77"/>
    <n v="426"/>
    <m/>
    <m/>
    <s v="Below Average"/>
    <n v="2118"/>
  </r>
  <r>
    <s v="Gigi Bohling"/>
    <s v="UK"/>
    <x v="5"/>
    <s v="29/03/2024"/>
    <s v="29/03/2024"/>
    <m/>
    <s v="29/03/2024"/>
    <n v="9186.69"/>
    <n v="173"/>
    <m/>
    <m/>
    <s v="Above Average"/>
    <n v="706"/>
  </r>
  <r>
    <s v="Curtice Advani"/>
    <s v="Australia"/>
    <x v="7"/>
    <d v="2024-12-07T00:00:00"/>
    <s v="07/12/2024"/>
    <m/>
    <s v="07"/>
    <n v="917.35"/>
    <n v="140"/>
    <m/>
    <m/>
    <s v="Below Average"/>
    <n v="2997"/>
  </r>
  <r>
    <s v="Jehu Rudeforth"/>
    <s v="Canada"/>
    <x v="3"/>
    <d v="2024-11-07T00:00:00"/>
    <s v="07/11/2024"/>
    <m/>
    <s v="07"/>
    <n v="6199.12"/>
    <n v="132"/>
    <m/>
    <m/>
    <s v="Above Average"/>
    <n v="1379"/>
  </r>
  <r>
    <s v="Karlen McCaffrey"/>
    <s v="Canada"/>
    <x v="3"/>
    <s v="19/01/2024"/>
    <s v="19/01/2024"/>
    <m/>
    <s v="19/01/2024"/>
    <n v="3368.63"/>
    <n v="180"/>
    <m/>
    <m/>
    <s v="Below Average"/>
    <n v="2191"/>
  </r>
  <r>
    <s v="Andria Kimpton"/>
    <s v="USA"/>
    <x v="1"/>
    <d v="2024-05-04T00:00:00"/>
    <s v="04/05/2024"/>
    <m/>
    <s v="04"/>
    <n v="10527.23"/>
    <n v="82"/>
    <m/>
    <m/>
    <s v="Above Average"/>
    <n v="508"/>
  </r>
  <r>
    <s v="Jehu Rudeforth"/>
    <s v="Canada"/>
    <x v="11"/>
    <s v="21/02/2024"/>
    <s v="21/02/2024"/>
    <m/>
    <s v="21/02/2024"/>
    <n v="7927.57"/>
    <n v="12"/>
    <m/>
    <m/>
    <s v="Above Average"/>
    <n v="956"/>
  </r>
  <r>
    <s v="Rafaelita Blaksland"/>
    <s v="New Zealand"/>
    <x v="20"/>
    <s v="20/05/2024"/>
    <s v="20/05/2024"/>
    <m/>
    <s v="20/05/2024"/>
    <n v="14493.5"/>
    <n v="15"/>
    <m/>
    <m/>
    <s v="Above Average"/>
    <n v="182"/>
  </r>
  <r>
    <s v="Mallorie Waber"/>
    <s v="Australia"/>
    <x v="11"/>
    <s v="29/07/2024"/>
    <s v="29/07/2024"/>
    <m/>
    <s v="29/07/2024"/>
    <n v="3112.2"/>
    <n v="107"/>
    <m/>
    <m/>
    <s v="Below Average"/>
    <n v="2265"/>
  </r>
  <r>
    <s v="Barr Faughny"/>
    <s v="USA"/>
    <x v="13"/>
    <s v="28/01/2024"/>
    <s v="28/01/2024"/>
    <m/>
    <s v="28/01/2024"/>
    <n v="9617.64"/>
    <n v="44"/>
    <m/>
    <m/>
    <s v="Above Average"/>
    <n v="641"/>
  </r>
  <r>
    <s v="Marney O'Breen"/>
    <s v="UK"/>
    <x v="20"/>
    <s v="19/07/2024"/>
    <s v="19/07/2024"/>
    <m/>
    <s v="19/07/2024"/>
    <n v="4198.08"/>
    <n v="107"/>
    <m/>
    <m/>
    <s v="Below Average"/>
    <n v="1928"/>
  </r>
  <r>
    <s v="Mallorie Waber"/>
    <s v="New Zealand"/>
    <x v="15"/>
    <s v="13/04/2024"/>
    <s v="13/04/2024"/>
    <m/>
    <s v="13/04/2024"/>
    <n v="10927.22"/>
    <n v="11"/>
    <m/>
    <m/>
    <s v="Above Average"/>
    <n v="449"/>
  </r>
  <r>
    <s v="Roddy Speechley"/>
    <s v="India"/>
    <x v="2"/>
    <d v="2024-11-02T00:00:00"/>
    <s v="02/11/2024"/>
    <m/>
    <s v="02"/>
    <n v="10759.18"/>
    <n v="20"/>
    <m/>
    <m/>
    <s v="Above Average"/>
    <n v="483"/>
  </r>
  <r>
    <s v="Roddy Speechley"/>
    <s v="New Zealand"/>
    <x v="11"/>
    <d v="2024-02-03T00:00:00"/>
    <s v="03/02/2024"/>
    <m/>
    <s v="03"/>
    <n v="6250.42"/>
    <n v="111"/>
    <m/>
    <m/>
    <s v="Above Average"/>
    <n v="1368"/>
  </r>
  <r>
    <s v="Ches Bonnell"/>
    <s v="Australia"/>
    <x v="14"/>
    <d v="2024-02-03T00:00:00"/>
    <s v="03/02/2024"/>
    <m/>
    <s v="03"/>
    <n v="1103.54"/>
    <n v="195"/>
    <m/>
    <m/>
    <s v="Below Average"/>
    <n v="2940"/>
  </r>
  <r>
    <s v="Van Tuxwell"/>
    <s v="USA"/>
    <x v="4"/>
    <s v="28/07/2024"/>
    <s v="28/07/2024"/>
    <m/>
    <s v="28/07/2024"/>
    <n v="13435.98"/>
    <n v="6"/>
    <m/>
    <m/>
    <s v="Above Average"/>
    <n v="240"/>
  </r>
  <r>
    <s v="Kelci Walkden"/>
    <s v="India"/>
    <x v="5"/>
    <d v="2024-07-01T00:00:00"/>
    <s v="01/07/2024"/>
    <m/>
    <s v="01"/>
    <n v="1855.03"/>
    <n v="563"/>
    <m/>
    <m/>
    <s v="Below Average"/>
    <n v="2683"/>
  </r>
  <r>
    <s v="Brien Boise"/>
    <s v="UK"/>
    <x v="14"/>
    <d v="2024-12-04T00:00:00"/>
    <s v="04/12/2024"/>
    <m/>
    <s v="04"/>
    <n v="5799.09"/>
    <n v="169"/>
    <m/>
    <m/>
    <s v="Below Average"/>
    <n v="1488"/>
  </r>
  <r>
    <s v="Van Tuxwell"/>
    <s v="Canada"/>
    <x v="16"/>
    <s v="27/06/2024"/>
    <s v="27/06/2024"/>
    <m/>
    <s v="27/06/2024"/>
    <n v="3631.78"/>
    <n v="71"/>
    <m/>
    <m/>
    <s v="Below Average"/>
    <n v="2096"/>
  </r>
  <r>
    <s v="Jehu Rudeforth"/>
    <s v="Australia"/>
    <x v="6"/>
    <s v="14/01/2024"/>
    <s v="14/01/2024"/>
    <m/>
    <s v="14/01/2024"/>
    <n v="5461.43"/>
    <n v="456"/>
    <m/>
    <m/>
    <s v="Below Average"/>
    <n v="1578"/>
  </r>
  <r>
    <s v="Karlen McCaffrey"/>
    <s v="UK"/>
    <x v="19"/>
    <d v="2024-07-02T00:00:00"/>
    <s v="02/07/2024"/>
    <m/>
    <s v="02"/>
    <n v="5315.95"/>
    <n v="389"/>
    <m/>
    <m/>
    <s v="Below Average"/>
    <n v="1611"/>
  </r>
  <r>
    <s v="Jehu Rudeforth"/>
    <s v="Australia"/>
    <x v="7"/>
    <s v="23/03/2024"/>
    <s v="23/03/2024"/>
    <m/>
    <s v="23/03/2024"/>
    <n v="16059.94"/>
    <n v="28"/>
    <m/>
    <m/>
    <s v="Above Average"/>
    <n v="99"/>
  </r>
  <r>
    <s v="Marney O'Breen"/>
    <s v="India"/>
    <x v="2"/>
    <d v="2024-10-01T00:00:00"/>
    <s v="01/10/2024"/>
    <m/>
    <s v="01"/>
    <n v="7803.84"/>
    <n v="157"/>
    <m/>
    <m/>
    <s v="Above Average"/>
    <n v="987"/>
  </r>
  <r>
    <s v="Oby Sorrel"/>
    <s v="UK"/>
    <x v="18"/>
    <s v="17/03/2024"/>
    <s v="17/03/2024"/>
    <m/>
    <s v="17/03/2024"/>
    <n v="10751.19"/>
    <n v="44"/>
    <m/>
    <m/>
    <s v="Above Average"/>
    <n v="484"/>
  </r>
  <r>
    <s v="Gigi Bohling"/>
    <s v="USA"/>
    <x v="12"/>
    <s v="21/01/2024"/>
    <s v="21/01/2024"/>
    <m/>
    <s v="21/01/2024"/>
    <n v="12156.54"/>
    <n v="54"/>
    <m/>
    <m/>
    <s v="Above Average"/>
    <n v="333"/>
  </r>
  <r>
    <s v="Barr Faughny"/>
    <s v="Australia"/>
    <x v="14"/>
    <d v="2024-04-07T00:00:00"/>
    <s v="07/04/2024"/>
    <m/>
    <s v="07"/>
    <n v="9402.26"/>
    <n v="401"/>
    <m/>
    <m/>
    <s v="Above Average"/>
    <n v="675"/>
  </r>
  <r>
    <s v="Kaine Padly"/>
    <s v="Canada"/>
    <x v="2"/>
    <d v="2024-04-07T00:00:00"/>
    <s v="07/04/2024"/>
    <m/>
    <s v="07"/>
    <n v="3653.39"/>
    <n v="185"/>
    <m/>
    <m/>
    <s v="Below Average"/>
    <n v="2086"/>
  </r>
  <r>
    <s v="Dotty Strutley"/>
    <s v="USA"/>
    <x v="15"/>
    <d v="2024-10-08T00:00:00"/>
    <s v="08/10/2024"/>
    <m/>
    <s v="08"/>
    <n v="320.11"/>
    <n v="201"/>
    <m/>
    <m/>
    <s v="Below Average"/>
    <n v="3182"/>
  </r>
  <r>
    <s v="Dennison Crosswaite"/>
    <s v="Australia"/>
    <x v="6"/>
    <d v="2024-01-04T00:00:00"/>
    <s v="04/01/2024"/>
    <m/>
    <s v="04"/>
    <n v="7618.91"/>
    <n v="12"/>
    <m/>
    <m/>
    <s v="Above Average"/>
    <n v="1039"/>
  </r>
  <r>
    <s v="Gigi Bohling"/>
    <s v="India"/>
    <x v="17"/>
    <s v="22/02/2024"/>
    <s v="22/02/2024"/>
    <m/>
    <s v="22/02/2024"/>
    <n v="2843.9"/>
    <n v="158"/>
    <m/>
    <m/>
    <s v="Below Average"/>
    <n v="2356"/>
  </r>
  <r>
    <s v="Camilla Castle"/>
    <s v="UK"/>
    <x v="14"/>
    <d v="2024-03-01T00:00:00"/>
    <s v="01/03/2024"/>
    <m/>
    <s v="01"/>
    <n v="11946.4"/>
    <n v="192"/>
    <m/>
    <m/>
    <s v="Above Average"/>
    <n v="350"/>
  </r>
  <r>
    <s v="Karlen McCaffrey"/>
    <s v="India"/>
    <x v="9"/>
    <s v="31/05/2024"/>
    <s v="31/05/2024"/>
    <m/>
    <s v="31/05/2024"/>
    <n v="5055.05"/>
    <n v="241"/>
    <m/>
    <m/>
    <s v="Below Average"/>
    <n v="1690"/>
  </r>
  <r>
    <s v="Dotty Strutley"/>
    <s v="UK"/>
    <x v="4"/>
    <d v="2024-03-01T00:00:00"/>
    <s v="01/03/2024"/>
    <m/>
    <s v="01"/>
    <n v="10378.36"/>
    <n v="301"/>
    <m/>
    <m/>
    <s v="Above Average"/>
    <n v="523"/>
  </r>
  <r>
    <s v="Husein Augar"/>
    <s v="New Zealand"/>
    <x v="20"/>
    <s v="27/01/2024"/>
    <s v="27/01/2024"/>
    <m/>
    <s v="27/01/2024"/>
    <n v="595.16"/>
    <n v="461"/>
    <m/>
    <m/>
    <s v="Below Average"/>
    <n v="3100"/>
  </r>
  <r>
    <s v="Barr Faughny"/>
    <s v="UK"/>
    <x v="6"/>
    <s v="28/01/2024"/>
    <s v="28/01/2024"/>
    <m/>
    <s v="28/01/2024"/>
    <n v="639.95000000000005"/>
    <n v="71"/>
    <m/>
    <m/>
    <s v="Below Average"/>
    <n v="3086"/>
  </r>
  <r>
    <s v="Curtice Advani"/>
    <s v="Australia"/>
    <x v="10"/>
    <s v="28/06/2024"/>
    <s v="28/06/2024"/>
    <m/>
    <s v="28/06/2024"/>
    <n v="3717.35"/>
    <n v="322"/>
    <m/>
    <m/>
    <s v="Below Average"/>
    <n v="2067"/>
  </r>
  <r>
    <s v="Husein Augar"/>
    <s v="UK"/>
    <x v="18"/>
    <d v="2024-02-03T00:00:00"/>
    <s v="03/02/2024"/>
    <m/>
    <s v="03"/>
    <n v="5057.1000000000004"/>
    <n v="41"/>
    <m/>
    <m/>
    <s v="Below Average"/>
    <n v="1689"/>
  </r>
  <r>
    <s v="Wilone O'Kielt"/>
    <s v="Australia"/>
    <x v="5"/>
    <s v="27/05/2024"/>
    <s v="27/05/2024"/>
    <m/>
    <s v="27/05/2024"/>
    <n v="3729.83"/>
    <n v="27"/>
    <m/>
    <m/>
    <s v="Below Average"/>
    <n v="2063"/>
  </r>
  <r>
    <s v="Dennison Crosswaite"/>
    <s v="USA"/>
    <x v="16"/>
    <s v="30/06/2024"/>
    <s v="30/06/2024"/>
    <m/>
    <s v="30/06/2024"/>
    <n v="13786.87"/>
    <n v="85"/>
    <m/>
    <m/>
    <s v="Above Average"/>
    <n v="217"/>
  </r>
  <r>
    <s v="Barr Faughny"/>
    <s v="Canada"/>
    <x v="2"/>
    <d v="2024-07-06T00:00:00"/>
    <s v="06/07/2024"/>
    <m/>
    <s v="06"/>
    <n v="2206.2800000000002"/>
    <n v="79"/>
    <m/>
    <m/>
    <s v="Below Average"/>
    <n v="2577"/>
  </r>
  <r>
    <s v="Kaine Padly"/>
    <s v="USA"/>
    <x v="21"/>
    <d v="2024-12-05T00:00:00"/>
    <s v="05/12/2024"/>
    <m/>
    <s v="05"/>
    <n v="4672.25"/>
    <n v="103"/>
    <m/>
    <m/>
    <s v="Below Average"/>
    <n v="1807"/>
  </r>
  <r>
    <s v="Barr Faughny"/>
    <s v="New Zealand"/>
    <x v="17"/>
    <s v="29/07/2024"/>
    <s v="29/07/2024"/>
    <m/>
    <s v="29/07/2024"/>
    <n v="7667.99"/>
    <n v="69"/>
    <m/>
    <m/>
    <s v="Above Average"/>
    <n v="1025"/>
  </r>
  <r>
    <s v="Dennison Crosswaite"/>
    <s v="UK"/>
    <x v="14"/>
    <d v="2024-03-08T00:00:00"/>
    <s v="08/03/2024"/>
    <m/>
    <s v="08"/>
    <n v="8338.51"/>
    <n v="270"/>
    <m/>
    <m/>
    <s v="Above Average"/>
    <n v="864"/>
  </r>
  <r>
    <s v="Barr Faughny"/>
    <s v="India"/>
    <x v="19"/>
    <s v="18/08/2024"/>
    <s v="18/08/2024"/>
    <m/>
    <s v="18/08/2024"/>
    <n v="7548.62"/>
    <n v="153"/>
    <m/>
    <m/>
    <s v="Above Average"/>
    <n v="1055"/>
  </r>
  <r>
    <s v="Van Tuxwell"/>
    <s v="New Zealand"/>
    <x v="3"/>
    <s v="14/06/2024"/>
    <s v="14/06/2024"/>
    <m/>
    <s v="14/06/2024"/>
    <n v="3608.83"/>
    <n v="46"/>
    <m/>
    <m/>
    <s v="Below Average"/>
    <n v="2104"/>
  </r>
  <r>
    <s v="Beverie Moffet"/>
    <s v="UK"/>
    <x v="14"/>
    <s v="30/06/2024"/>
    <s v="30/06/2024"/>
    <m/>
    <s v="30/06/2024"/>
    <n v="7108.96"/>
    <n v="80"/>
    <m/>
    <m/>
    <s v="Above Average"/>
    <n v="1156"/>
  </r>
  <r>
    <s v="Camilla Castle"/>
    <s v="New Zealand"/>
    <x v="0"/>
    <s v="13/06/2024"/>
    <s v="13/06/2024"/>
    <m/>
    <s v="13/06/2024"/>
    <n v="1293.02"/>
    <n v="201"/>
    <m/>
    <m/>
    <s v="Below Average"/>
    <n v="2876"/>
  </r>
  <r>
    <s v="Ches Bonnell"/>
    <s v="UK"/>
    <x v="7"/>
    <s v="27/04/2024"/>
    <s v="27/04/2024"/>
    <m/>
    <s v="27/04/2024"/>
    <n v="15365.78"/>
    <n v="57"/>
    <m/>
    <m/>
    <s v="Above Average"/>
    <n v="134"/>
  </r>
  <r>
    <s v="Jan Morforth"/>
    <s v="Australia"/>
    <x v="14"/>
    <s v="27/07/2024"/>
    <s v="27/07/2024"/>
    <m/>
    <s v="27/07/2024"/>
    <n v="3766.49"/>
    <n v="33"/>
    <m/>
    <m/>
    <s v="Below Average"/>
    <n v="2048"/>
  </r>
  <r>
    <s v="Mallorie Waber"/>
    <s v="Canada"/>
    <x v="1"/>
    <s v="20/04/2024"/>
    <s v="20/04/2024"/>
    <m/>
    <s v="20/04/2024"/>
    <n v="1664.68"/>
    <n v="465"/>
    <m/>
    <m/>
    <s v="Below Average"/>
    <n v="2746"/>
  </r>
  <r>
    <s v="Rafaelita Blaksland"/>
    <s v="India"/>
    <x v="12"/>
    <d v="2024-04-01T00:00:00"/>
    <s v="01/04/2024"/>
    <m/>
    <s v="01"/>
    <n v="8972.7900000000009"/>
    <n v="134"/>
    <m/>
    <m/>
    <s v="Above Average"/>
    <n v="744"/>
  </r>
  <r>
    <s v="Ches Bonnell"/>
    <s v="Australia"/>
    <x v="0"/>
    <s v="21/02/2024"/>
    <s v="21/02/2024"/>
    <m/>
    <s v="21/02/2024"/>
    <n v="10576.55"/>
    <n v="96"/>
    <m/>
    <m/>
    <s v="Above Average"/>
    <n v="504"/>
  </r>
  <r>
    <s v="Karlen McCaffrey"/>
    <s v="Australia"/>
    <x v="14"/>
    <d v="2024-05-01T00:00:00"/>
    <s v="01/05/2024"/>
    <m/>
    <s v="01"/>
    <n v="8857.15"/>
    <n v="50"/>
    <m/>
    <m/>
    <s v="Above Average"/>
    <n v="768"/>
  </r>
  <r>
    <s v="Beverie Moffet"/>
    <s v="India"/>
    <x v="9"/>
    <s v="15/07/2024"/>
    <s v="15/07/2024"/>
    <m/>
    <s v="15/07/2024"/>
    <n v="6756.17"/>
    <n v="45"/>
    <m/>
    <m/>
    <s v="Above Average"/>
    <n v="1254"/>
  </r>
  <r>
    <s v="Brien Boise"/>
    <s v="Australia"/>
    <x v="18"/>
    <s v="25/05/2024"/>
    <s v="25/05/2024"/>
    <m/>
    <s v="25/05/2024"/>
    <n v="5532.85"/>
    <n v="63"/>
    <m/>
    <m/>
    <s v="Below Average"/>
    <n v="1559"/>
  </r>
  <r>
    <s v="Karlen McCaffrey"/>
    <s v="Canada"/>
    <x v="8"/>
    <s v="20/04/2024"/>
    <s v="20/04/2024"/>
    <m/>
    <s v="20/04/2024"/>
    <n v="3713.66"/>
    <n v="352"/>
    <m/>
    <m/>
    <s v="Below Average"/>
    <n v="2069"/>
  </r>
  <r>
    <s v="Gigi Bohling"/>
    <s v="USA"/>
    <x v="4"/>
    <d v="2024-02-06T00:00:00"/>
    <s v="06/02/2024"/>
    <m/>
    <s v="06"/>
    <n v="906.85"/>
    <n v="246"/>
    <m/>
    <m/>
    <s v="Below Average"/>
    <n v="3002"/>
  </r>
  <r>
    <s v="Marney O'Breen"/>
    <s v="UK"/>
    <x v="3"/>
    <s v="13/05/2024"/>
    <s v="13/05/2024"/>
    <m/>
    <s v="13/05/2024"/>
    <n v="22558.880000000001"/>
    <n v="84"/>
    <m/>
    <m/>
    <s v="Above Average"/>
    <n v="7"/>
  </r>
  <r>
    <s v="Beverie Moffet"/>
    <s v="New Zealand"/>
    <x v="19"/>
    <d v="2024-03-08T00:00:00"/>
    <s v="08/03/2024"/>
    <m/>
    <s v="08"/>
    <n v="1517.05"/>
    <n v="147"/>
    <m/>
    <m/>
    <s v="Below Average"/>
    <n v="2800"/>
  </r>
  <r>
    <s v="Beverie Moffet"/>
    <s v="Australia"/>
    <x v="11"/>
    <s v="25/05/2024"/>
    <s v="25/05/2024"/>
    <m/>
    <s v="25/05/2024"/>
    <n v="770.45"/>
    <n v="389"/>
    <m/>
    <m/>
    <s v="Below Average"/>
    <n v="3041"/>
  </r>
  <r>
    <s v="Van Tuxwell"/>
    <s v="UK"/>
    <x v="17"/>
    <s v="16/03/2024"/>
    <s v="16/03/2024"/>
    <m/>
    <s v="16/03/2024"/>
    <n v="7623.35"/>
    <n v="80"/>
    <m/>
    <m/>
    <s v="Above Average"/>
    <n v="1035"/>
  </r>
  <r>
    <s v="Jan Morforth"/>
    <s v="Australia"/>
    <x v="7"/>
    <d v="2024-04-07T00:00:00"/>
    <s v="07/04/2024"/>
    <m/>
    <s v="07"/>
    <n v="3418.05"/>
    <n v="117"/>
    <m/>
    <m/>
    <s v="Below Average"/>
    <n v="2168"/>
  </r>
  <r>
    <s v="Jehu Rudeforth"/>
    <s v="India"/>
    <x v="6"/>
    <d v="2024-05-07T00:00:00"/>
    <s v="07/05/2024"/>
    <m/>
    <s v="07"/>
    <n v="4055.71"/>
    <n v="137"/>
    <m/>
    <m/>
    <s v="Below Average"/>
    <n v="1967"/>
  </r>
  <r>
    <s v="Madelene Upcott"/>
    <s v="USA"/>
    <x v="5"/>
    <s v="15/03/2024"/>
    <s v="15/03/2024"/>
    <m/>
    <s v="15/03/2024"/>
    <n v="5432.84"/>
    <n v="450"/>
    <m/>
    <m/>
    <s v="Below Average"/>
    <n v="1586"/>
  </r>
  <r>
    <s v="Barr Faughny"/>
    <s v="UK"/>
    <x v="17"/>
    <s v="22/08/2024"/>
    <s v="22/08/2024"/>
    <m/>
    <s v="22/08/2024"/>
    <n v="6016.8"/>
    <n v="71"/>
    <m/>
    <m/>
    <s v="Below Average"/>
    <n v="1431"/>
  </r>
  <r>
    <s v="Ches Bonnell"/>
    <s v="Australia"/>
    <x v="21"/>
    <d v="2024-12-01T00:00:00"/>
    <s v="01/12/2024"/>
    <m/>
    <s v="01"/>
    <n v="3609.76"/>
    <n v="122"/>
    <m/>
    <m/>
    <s v="Below Average"/>
    <n v="2103"/>
  </r>
  <r>
    <s v="Marney O'Breen"/>
    <s v="UK"/>
    <x v="19"/>
    <d v="2024-10-06T00:00:00"/>
    <s v="06/10/2024"/>
    <m/>
    <s v="06"/>
    <n v="302.25"/>
    <n v="154"/>
    <m/>
    <m/>
    <s v="Below Average"/>
    <n v="3190"/>
  </r>
  <r>
    <s v="Kaine Padly"/>
    <s v="Australia"/>
    <x v="2"/>
    <s v="25/03/2024"/>
    <s v="25/03/2024"/>
    <m/>
    <s v="25/03/2024"/>
    <n v="6062.87"/>
    <n v="290"/>
    <m/>
    <m/>
    <s v="Above Average"/>
    <n v="1416"/>
  </r>
  <r>
    <s v="Rafaelita Blaksland"/>
    <s v="India"/>
    <x v="16"/>
    <s v="27/07/2024"/>
    <s v="27/07/2024"/>
    <m/>
    <s v="27/07/2024"/>
    <n v="3589.91"/>
    <n v="106"/>
    <m/>
    <m/>
    <s v="Below Average"/>
    <n v="2109"/>
  </r>
  <r>
    <s v="Husein Augar"/>
    <s v="UK"/>
    <x v="20"/>
    <s v="15/04/2024"/>
    <s v="15/04/2024"/>
    <m/>
    <s v="15/04/2024"/>
    <n v="16457.28"/>
    <n v="442"/>
    <m/>
    <m/>
    <s v="Above Average"/>
    <n v="86"/>
  </r>
  <r>
    <s v="Roddy Speechley"/>
    <s v="India"/>
    <x v="7"/>
    <s v="27/06/2024"/>
    <s v="27/06/2024"/>
    <m/>
    <s v="27/06/2024"/>
    <n v="4813.53"/>
    <n v="19"/>
    <m/>
    <m/>
    <s v="Below Average"/>
    <n v="1762"/>
  </r>
  <r>
    <s v="Jehu Rudeforth"/>
    <s v="UK"/>
    <x v="21"/>
    <s v="14/04/2024"/>
    <s v="14/04/2024"/>
    <m/>
    <s v="14/04/2024"/>
    <n v="5819.17"/>
    <n v="270"/>
    <m/>
    <m/>
    <s v="Below Average"/>
    <n v="1481"/>
  </r>
  <r>
    <s v="Husein Augar"/>
    <s v="Australia"/>
    <x v="15"/>
    <s v="15/03/2024"/>
    <s v="15/03/2024"/>
    <m/>
    <s v="15/03/2024"/>
    <n v="7824.91"/>
    <n v="100"/>
    <m/>
    <m/>
    <s v="Above Average"/>
    <n v="983"/>
  </r>
  <r>
    <s v="Madelene Upcott"/>
    <s v="USA"/>
    <x v="8"/>
    <s v="18/03/2024"/>
    <s v="18/03/2024"/>
    <m/>
    <s v="18/03/2024"/>
    <n v="9446.67"/>
    <n v="193"/>
    <m/>
    <m/>
    <s v="Above Average"/>
    <n v="666"/>
  </r>
  <r>
    <s v="Brien Boise"/>
    <s v="India"/>
    <x v="8"/>
    <s v="29/04/2024"/>
    <s v="29/04/2024"/>
    <m/>
    <s v="29/04/2024"/>
    <n v="1447.58"/>
    <n v="67"/>
    <m/>
    <m/>
    <s v="Below Average"/>
    <n v="2821"/>
  </r>
  <r>
    <s v="Mallorie Waber"/>
    <s v="New Zealand"/>
    <x v="14"/>
    <s v="25/02/2024"/>
    <s v="25/02/2024"/>
    <m/>
    <s v="25/02/2024"/>
    <n v="3356.27"/>
    <n v="238"/>
    <m/>
    <m/>
    <s v="Below Average"/>
    <n v="2198"/>
  </r>
  <r>
    <s v="Husein Augar"/>
    <s v="USA"/>
    <x v="11"/>
    <d v="2024-02-03T00:00:00"/>
    <s v="03/02/2024"/>
    <m/>
    <s v="03"/>
    <n v="1031.25"/>
    <n v="55"/>
    <m/>
    <m/>
    <s v="Below Average"/>
    <n v="2963"/>
  </r>
  <r>
    <s v="Van Tuxwell"/>
    <s v="Australia"/>
    <x v="11"/>
    <s v="20/06/2024"/>
    <s v="20/06/2024"/>
    <m/>
    <s v="20/06/2024"/>
    <n v="9471.51"/>
    <n v="95"/>
    <m/>
    <m/>
    <s v="Above Average"/>
    <n v="661"/>
  </r>
  <r>
    <s v="Beverie Moffet"/>
    <s v="Canada"/>
    <x v="14"/>
    <s v="15/07/2024"/>
    <s v="15/07/2024"/>
    <m/>
    <s v="15/07/2024"/>
    <n v="10573.29"/>
    <n v="179"/>
    <m/>
    <m/>
    <s v="Above Average"/>
    <n v="506"/>
  </r>
  <r>
    <s v="Dotty Strutley"/>
    <s v="Australia"/>
    <x v="6"/>
    <d v="2024-12-05T00:00:00"/>
    <s v="05/12/2024"/>
    <m/>
    <s v="05"/>
    <n v="3321.9"/>
    <n v="247"/>
    <m/>
    <m/>
    <s v="Below Average"/>
    <n v="2205"/>
  </r>
  <r>
    <s v="Mallorie Waber"/>
    <s v="New Zealand"/>
    <x v="10"/>
    <d v="2024-01-07T00:00:00"/>
    <s v="07/01/2024"/>
    <m/>
    <s v="07"/>
    <n v="5318"/>
    <n v="281"/>
    <m/>
    <m/>
    <s v="Below Average"/>
    <n v="1610"/>
  </r>
  <r>
    <s v="Husein Augar"/>
    <s v="USA"/>
    <x v="1"/>
    <d v="2024-08-08T00:00:00"/>
    <s v="08/08/2024"/>
    <m/>
    <s v="08"/>
    <n v="415.67"/>
    <n v="59"/>
    <m/>
    <m/>
    <s v="Below Average"/>
    <n v="3161"/>
  </r>
  <r>
    <s v="Madelene Upcott"/>
    <s v="Australia"/>
    <x v="6"/>
    <s v="25/07/2024"/>
    <s v="25/07/2024"/>
    <m/>
    <s v="25/07/2024"/>
    <n v="8295.8799999999992"/>
    <n v="6"/>
    <m/>
    <m/>
    <s v="Above Average"/>
    <n v="872"/>
  </r>
  <r>
    <s v="Wilone O'Kielt"/>
    <s v="UK"/>
    <x v="9"/>
    <s v="18/05/2024"/>
    <s v="18/05/2024"/>
    <m/>
    <s v="18/05/2024"/>
    <n v="3857.25"/>
    <n v="54"/>
    <m/>
    <m/>
    <s v="Below Average"/>
    <n v="2024"/>
  </r>
  <r>
    <s v="Camilla Castle"/>
    <s v="India"/>
    <x v="2"/>
    <s v="15/07/2024"/>
    <s v="15/07/2024"/>
    <m/>
    <s v="15/07/2024"/>
    <n v="14102.83"/>
    <n v="291"/>
    <m/>
    <m/>
    <s v="Above Average"/>
    <n v="204"/>
  </r>
  <r>
    <s v="Curtice Advani"/>
    <s v="India"/>
    <x v="21"/>
    <d v="2024-05-07T00:00:00"/>
    <s v="07/05/2024"/>
    <m/>
    <s v="07"/>
    <n v="2453.44"/>
    <n v="43"/>
    <m/>
    <m/>
    <s v="Below Average"/>
    <n v="2495"/>
  </r>
  <r>
    <s v="Mallorie Waber"/>
    <s v="USA"/>
    <x v="15"/>
    <d v="2024-04-07T00:00:00"/>
    <s v="07/04/2024"/>
    <m/>
    <s v="07"/>
    <n v="5910.67"/>
    <n v="100"/>
    <m/>
    <m/>
    <s v="Below Average"/>
    <n v="1456"/>
  </r>
  <r>
    <s v="Dotty Strutley"/>
    <s v="UK"/>
    <x v="21"/>
    <s v="20/06/2024"/>
    <s v="20/06/2024"/>
    <m/>
    <s v="20/06/2024"/>
    <n v="1515.42"/>
    <n v="230"/>
    <m/>
    <m/>
    <s v="Below Average"/>
    <n v="2803"/>
  </r>
  <r>
    <s v="Gunar Cockshoot"/>
    <s v="Australia"/>
    <x v="16"/>
    <s v="25/01/2024"/>
    <s v="25/01/2024"/>
    <m/>
    <s v="25/01/2024"/>
    <n v="4498.05"/>
    <n v="464"/>
    <m/>
    <m/>
    <s v="Below Average"/>
    <n v="1850"/>
  </r>
  <r>
    <s v="Kaine Padly"/>
    <s v="New Zealand"/>
    <x v="12"/>
    <d v="2024-01-07T00:00:00"/>
    <s v="07/01/2024"/>
    <m/>
    <s v="07"/>
    <n v="8755.31"/>
    <n v="38"/>
    <m/>
    <m/>
    <s v="Above Average"/>
    <n v="789"/>
  </r>
  <r>
    <s v="Gigi Bohling"/>
    <s v="USA"/>
    <x v="6"/>
    <s v="13/04/2024"/>
    <s v="13/04/2024"/>
    <m/>
    <s v="13/04/2024"/>
    <n v="2651.48"/>
    <n v="60"/>
    <m/>
    <m/>
    <s v="Below Average"/>
    <n v="2421"/>
  </r>
  <r>
    <s v="Beverie Moffet"/>
    <s v="UK"/>
    <x v="3"/>
    <d v="2024-04-05T00:00:00"/>
    <s v="05/04/2024"/>
    <m/>
    <s v="05"/>
    <n v="5119.3500000000004"/>
    <n v="77"/>
    <m/>
    <m/>
    <s v="Below Average"/>
    <n v="1666"/>
  </r>
  <r>
    <s v="Beverie Moffet"/>
    <s v="Australia"/>
    <x v="19"/>
    <d v="2024-04-08T00:00:00"/>
    <s v="08/04/2024"/>
    <m/>
    <s v="08"/>
    <n v="3360.74"/>
    <n v="119"/>
    <m/>
    <m/>
    <s v="Below Average"/>
    <n v="2194"/>
  </r>
  <r>
    <s v="Beverie Moffet"/>
    <s v="India"/>
    <x v="21"/>
    <d v="2024-01-06T00:00:00"/>
    <s v="06/01/2024"/>
    <m/>
    <s v="06"/>
    <n v="495.65"/>
    <n v="146"/>
    <m/>
    <m/>
    <s v="Below Average"/>
    <n v="3129"/>
  </r>
  <r>
    <s v="Jehu Rudeforth"/>
    <s v="UK"/>
    <x v="18"/>
    <s v="22/04/2024"/>
    <s v="22/04/2024"/>
    <m/>
    <s v="22/04/2024"/>
    <n v="5108.8500000000004"/>
    <n v="187"/>
    <m/>
    <m/>
    <s v="Below Average"/>
    <n v="1668"/>
  </r>
  <r>
    <s v="Kaine Padly"/>
    <s v="USA"/>
    <x v="6"/>
    <d v="2024-03-08T00:00:00"/>
    <s v="08/03/2024"/>
    <m/>
    <s v="08"/>
    <n v="77.099999999999994"/>
    <n v="26"/>
    <m/>
    <m/>
    <s v="Below Average"/>
    <n v="3253"/>
  </r>
  <r>
    <s v="Ches Bonnell"/>
    <s v="USA"/>
    <x v="7"/>
    <d v="2024-10-06T00:00:00"/>
    <s v="06/10/2024"/>
    <m/>
    <s v="06"/>
    <n v="1860.29"/>
    <n v="71"/>
    <m/>
    <m/>
    <s v="Below Average"/>
    <n v="2680"/>
  </r>
  <r>
    <s v="Gunar Cockshoot"/>
    <s v="UK"/>
    <x v="15"/>
    <s v="27/06/2024"/>
    <s v="27/06/2024"/>
    <m/>
    <s v="27/06/2024"/>
    <n v="7917.76"/>
    <n v="50"/>
    <m/>
    <m/>
    <s v="Above Average"/>
    <n v="959"/>
  </r>
  <r>
    <s v="Marney O'Breen"/>
    <s v="Australia"/>
    <x v="3"/>
    <d v="2024-03-01T00:00:00"/>
    <s v="01/03/2024"/>
    <m/>
    <s v="01"/>
    <n v="4059.92"/>
    <n v="179"/>
    <m/>
    <m/>
    <s v="Below Average"/>
    <n v="1965"/>
  </r>
  <r>
    <s v="Marney O'Breen"/>
    <s v="India"/>
    <x v="5"/>
    <d v="2024-11-07T00:00:00"/>
    <s v="07/11/2024"/>
    <m/>
    <s v="07"/>
    <n v="2816.85"/>
    <n v="188"/>
    <m/>
    <m/>
    <s v="Below Average"/>
    <n v="2367"/>
  </r>
  <r>
    <s v="Ches Bonnell"/>
    <s v="New Zealand"/>
    <x v="11"/>
    <s v="17/08/2024"/>
    <s v="17/08/2024"/>
    <m/>
    <s v="17/08/2024"/>
    <n v="5306.48"/>
    <n v="128"/>
    <m/>
    <m/>
    <s v="Below Average"/>
    <n v="1614"/>
  </r>
  <r>
    <s v="Rafaelita Blaksland"/>
    <s v="USA"/>
    <x v="13"/>
    <s v="18/01/2024"/>
    <s v="18/01/2024"/>
    <m/>
    <s v="18/01/2024"/>
    <n v="2756.63"/>
    <n v="66"/>
    <m/>
    <m/>
    <s v="Below Average"/>
    <n v="2390"/>
  </r>
  <r>
    <s v="Ches Bonnell"/>
    <s v="India"/>
    <x v="10"/>
    <d v="2024-08-03T00:00:00"/>
    <s v="03/08/2024"/>
    <m/>
    <s v="03"/>
    <n v="17903.7"/>
    <n v="107"/>
    <m/>
    <m/>
    <s v="Above Average"/>
    <n v="42"/>
  </r>
  <r>
    <s v="Mallorie Waber"/>
    <s v="Australia"/>
    <x v="7"/>
    <d v="2024-07-03T00:00:00"/>
    <s v="03/07/2024"/>
    <m/>
    <s v="03"/>
    <n v="15825.08"/>
    <n v="284"/>
    <m/>
    <m/>
    <s v="Above Average"/>
    <n v="109"/>
  </r>
  <r>
    <s v="Husein Augar"/>
    <s v="India"/>
    <x v="21"/>
    <d v="2024-09-05T00:00:00"/>
    <s v="05/09/2024"/>
    <m/>
    <s v="05"/>
    <n v="7745.33"/>
    <n v="164"/>
    <m/>
    <m/>
    <s v="Above Average"/>
    <n v="999"/>
  </r>
  <r>
    <s v="Barr Faughny"/>
    <s v="New Zealand"/>
    <x v="1"/>
    <s v="23/05/2024"/>
    <s v="23/05/2024"/>
    <m/>
    <s v="23/05/2024"/>
    <n v="2214.91"/>
    <n v="161"/>
    <m/>
    <m/>
    <s v="Below Average"/>
    <n v="2575"/>
  </r>
  <r>
    <s v="Madelene Upcott"/>
    <s v="UK"/>
    <x v="20"/>
    <s v="15/04/2024"/>
    <s v="15/04/2024"/>
    <m/>
    <s v="15/04/2024"/>
    <n v="190.24"/>
    <n v="156"/>
    <m/>
    <m/>
    <s v="Below Average"/>
    <n v="3217"/>
  </r>
  <r>
    <s v="Gigi Bohling"/>
    <s v="Australia"/>
    <x v="9"/>
    <s v="27/07/2024"/>
    <s v="27/07/2024"/>
    <m/>
    <s v="27/07/2024"/>
    <n v="2960"/>
    <n v="141"/>
    <m/>
    <m/>
    <s v="Below Average"/>
    <n v="2324"/>
  </r>
  <r>
    <s v="Marney O'Breen"/>
    <s v="Canada"/>
    <x v="18"/>
    <s v="22/08/2024"/>
    <s v="22/08/2024"/>
    <m/>
    <s v="22/08/2024"/>
    <n v="2937.62"/>
    <n v="389"/>
    <m/>
    <m/>
    <s v="Below Average"/>
    <n v="2328"/>
  </r>
  <r>
    <s v="Ches Bonnell"/>
    <s v="USA"/>
    <x v="21"/>
    <d v="2024-11-05T00:00:00"/>
    <s v="05/11/2024"/>
    <m/>
    <s v="05"/>
    <n v="4778.3599999999997"/>
    <n v="124"/>
    <m/>
    <m/>
    <s v="Below Average"/>
    <n v="1776"/>
  </r>
  <r>
    <s v="Madelene Upcott"/>
    <s v="India"/>
    <x v="10"/>
    <s v="26/01/2024"/>
    <s v="26/01/2024"/>
    <m/>
    <s v="26/01/2024"/>
    <n v="5401.01"/>
    <n v="41"/>
    <m/>
    <m/>
    <s v="Below Average"/>
    <n v="1593"/>
  </r>
  <r>
    <s v="Barr Faughny"/>
    <s v="USA"/>
    <x v="6"/>
    <s v="14/04/2024"/>
    <s v="14/04/2024"/>
    <m/>
    <s v="14/04/2024"/>
    <n v="15372.94"/>
    <n v="124"/>
    <m/>
    <m/>
    <s v="Above Average"/>
    <n v="131"/>
  </r>
  <r>
    <s v="Dennison Crosswaite"/>
    <s v="New Zealand"/>
    <x v="0"/>
    <d v="2024-05-04T00:00:00"/>
    <s v="04/05/2024"/>
    <m/>
    <s v="04"/>
    <n v="7121.02"/>
    <n v="433"/>
    <m/>
    <m/>
    <s v="Above Average"/>
    <n v="1153"/>
  </r>
  <r>
    <s v="Marney O'Breen"/>
    <s v="New Zealand"/>
    <x v="3"/>
    <s v="14/06/2024"/>
    <s v="14/06/2024"/>
    <m/>
    <s v="14/06/2024"/>
    <n v="9057.64"/>
    <n v="56"/>
    <m/>
    <m/>
    <s v="Above Average"/>
    <n v="727"/>
  </r>
  <r>
    <s v="Brien Boise"/>
    <s v="Canada"/>
    <x v="16"/>
    <s v="13/04/2024"/>
    <s v="13/04/2024"/>
    <m/>
    <s v="13/04/2024"/>
    <n v="5439.43"/>
    <n v="125"/>
    <m/>
    <m/>
    <s v="Below Average"/>
    <n v="1584"/>
  </r>
  <r>
    <s v="Beverie Moffet"/>
    <s v="Australia"/>
    <x v="14"/>
    <s v="27/06/2024"/>
    <s v="27/06/2024"/>
    <m/>
    <s v="27/06/2024"/>
    <n v="2659.78"/>
    <n v="178"/>
    <m/>
    <m/>
    <s v="Below Average"/>
    <n v="2419"/>
  </r>
  <r>
    <s v="Dotty Strutley"/>
    <s v="Australia"/>
    <x v="8"/>
    <s v="26/01/2024"/>
    <s v="26/01/2024"/>
    <m/>
    <s v="26/01/2024"/>
    <n v="7897.59"/>
    <n v="3"/>
    <m/>
    <m/>
    <s v="Above Average"/>
    <n v="972"/>
  </r>
  <r>
    <s v="Barr Faughny"/>
    <s v="UK"/>
    <x v="14"/>
    <d v="2024-05-07T00:00:00"/>
    <s v="07/05/2024"/>
    <m/>
    <s v="07"/>
    <n v="1959.22"/>
    <n v="70"/>
    <m/>
    <m/>
    <s v="Below Average"/>
    <n v="2646"/>
  </r>
  <r>
    <s v="Beverie Moffet"/>
    <s v="Canada"/>
    <x v="19"/>
    <d v="2024-11-01T00:00:00"/>
    <s v="01/11/2024"/>
    <m/>
    <s v="01"/>
    <n v="15305.32"/>
    <n v="91"/>
    <m/>
    <m/>
    <s v="Above Average"/>
    <n v="138"/>
  </r>
  <r>
    <s v="Kelci Walkden"/>
    <s v="USA"/>
    <x v="14"/>
    <d v="2024-07-03T00:00:00"/>
    <s v="03/07/2024"/>
    <m/>
    <s v="03"/>
    <n v="11257.11"/>
    <n v="21"/>
    <m/>
    <m/>
    <s v="Above Average"/>
    <n v="421"/>
  </r>
  <r>
    <s v="Kaine Padly"/>
    <s v="Canada"/>
    <x v="6"/>
    <d v="2024-04-03T00:00:00"/>
    <s v="03/04/2024"/>
    <m/>
    <s v="03"/>
    <n v="9207.09"/>
    <n v="109"/>
    <m/>
    <m/>
    <s v="Above Average"/>
    <n v="701"/>
  </r>
  <r>
    <s v="Karlen McCaffrey"/>
    <s v="Canada"/>
    <x v="10"/>
    <s v="15/07/2024"/>
    <s v="15/07/2024"/>
    <m/>
    <s v="15/07/2024"/>
    <n v="2769.94"/>
    <n v="302"/>
    <m/>
    <m/>
    <s v="Below Average"/>
    <n v="2384"/>
  </r>
  <r>
    <s v="Kaine Padly"/>
    <s v="UK"/>
    <x v="2"/>
    <d v="2024-11-05T00:00:00"/>
    <s v="05/11/2024"/>
    <m/>
    <s v="05"/>
    <n v="7477.56"/>
    <n v="85"/>
    <m/>
    <m/>
    <s v="Above Average"/>
    <n v="1071"/>
  </r>
  <r>
    <s v="Karlen McCaffrey"/>
    <s v="USA"/>
    <x v="11"/>
    <s v="27/01/2024"/>
    <s v="27/01/2024"/>
    <m/>
    <s v="27/01/2024"/>
    <n v="5231.54"/>
    <n v="8"/>
    <m/>
    <m/>
    <s v="Below Average"/>
    <n v="1638"/>
  </r>
  <r>
    <s v="Karlen McCaffrey"/>
    <s v="India"/>
    <x v="7"/>
    <s v="27/06/2024"/>
    <s v="27/06/2024"/>
    <m/>
    <s v="27/06/2024"/>
    <n v="3745.21"/>
    <n v="161"/>
    <m/>
    <m/>
    <s v="Below Average"/>
    <n v="2055"/>
  </r>
  <r>
    <s v="Ches Bonnell"/>
    <s v="India"/>
    <x v="3"/>
    <d v="2024-03-08T00:00:00"/>
    <s v="08/03/2024"/>
    <m/>
    <s v="08"/>
    <n v="8503.93"/>
    <n v="19"/>
    <m/>
    <m/>
    <s v="Above Average"/>
    <n v="832"/>
  </r>
  <r>
    <s v="Wilone O'Kielt"/>
    <s v="New Zealand"/>
    <x v="0"/>
    <s v="19/08/2024"/>
    <s v="19/08/2024"/>
    <m/>
    <s v="19/08/2024"/>
    <n v="12524.3"/>
    <n v="251"/>
    <m/>
    <m/>
    <s v="Above Average"/>
    <n v="299"/>
  </r>
  <r>
    <s v="Wilone O'Kielt"/>
    <s v="Australia"/>
    <x v="13"/>
    <s v="15/06/2024"/>
    <s v="15/06/2024"/>
    <m/>
    <s v="15/06/2024"/>
    <n v="472.27"/>
    <n v="101"/>
    <m/>
    <m/>
    <s v="Below Average"/>
    <n v="3143"/>
  </r>
  <r>
    <s v="Dennison Crosswaite"/>
    <s v="UK"/>
    <x v="2"/>
    <d v="2024-07-02T00:00:00"/>
    <s v="02/07/2024"/>
    <m/>
    <s v="02"/>
    <n v="9771.8700000000008"/>
    <n v="158"/>
    <m/>
    <m/>
    <s v="Above Average"/>
    <n v="618"/>
  </r>
  <r>
    <s v="Karlen McCaffrey"/>
    <s v="Australia"/>
    <x v="16"/>
    <d v="2024-08-07T00:00:00"/>
    <s v="07/08/2024"/>
    <m/>
    <s v="07"/>
    <n v="8130.06"/>
    <n v="140"/>
    <m/>
    <m/>
    <s v="Above Average"/>
    <n v="908"/>
  </r>
  <r>
    <s v="Dennison Crosswaite"/>
    <s v="India"/>
    <x v="11"/>
    <s v="21/04/2024"/>
    <s v="21/04/2024"/>
    <m/>
    <s v="21/04/2024"/>
    <n v="1624.06"/>
    <n v="96"/>
    <m/>
    <m/>
    <s v="Below Average"/>
    <n v="2763"/>
  </r>
  <r>
    <s v="Ches Bonnell"/>
    <s v="UK"/>
    <x v="0"/>
    <d v="2024-08-04T00:00:00"/>
    <s v="04/08/2024"/>
    <m/>
    <s v="04"/>
    <n v="2984.4"/>
    <n v="214"/>
    <m/>
    <m/>
    <s v="Below Average"/>
    <n v="2316"/>
  </r>
  <r>
    <s v="Husein Augar"/>
    <s v="Australia"/>
    <x v="6"/>
    <s v="19/08/2024"/>
    <s v="19/08/2024"/>
    <m/>
    <s v="19/08/2024"/>
    <n v="15593.5"/>
    <n v="56"/>
    <m/>
    <m/>
    <s v="Above Average"/>
    <n v="118"/>
  </r>
  <r>
    <s v="Jan Morforth"/>
    <s v="India"/>
    <x v="13"/>
    <d v="2024-04-05T00:00:00"/>
    <s v="05/04/2024"/>
    <m/>
    <s v="05"/>
    <n v="3387.76"/>
    <n v="60"/>
    <m/>
    <m/>
    <s v="Below Average"/>
    <n v="2182"/>
  </r>
  <r>
    <s v="Mallorie Waber"/>
    <s v="USA"/>
    <x v="1"/>
    <d v="2024-11-05T00:00:00"/>
    <s v="05/11/2024"/>
    <m/>
    <s v="05"/>
    <n v="2847.18"/>
    <n v="115"/>
    <m/>
    <m/>
    <s v="Below Average"/>
    <n v="2354"/>
  </r>
  <r>
    <s v="Mallorie Waber"/>
    <s v="USA"/>
    <x v="8"/>
    <s v="22/03/2024"/>
    <s v="22/03/2024"/>
    <m/>
    <s v="22/03/2024"/>
    <n v="7511.77"/>
    <n v="49"/>
    <m/>
    <m/>
    <s v="Above Average"/>
    <n v="1059"/>
  </r>
  <r>
    <s v="Dennison Crosswaite"/>
    <s v="Canada"/>
    <x v="12"/>
    <d v="2024-10-08T00:00:00"/>
    <s v="08/10/2024"/>
    <m/>
    <s v="08"/>
    <n v="2711.58"/>
    <n v="216"/>
    <m/>
    <m/>
    <s v="Below Average"/>
    <n v="2401"/>
  </r>
  <r>
    <s v="Dennison Crosswaite"/>
    <s v="USA"/>
    <x v="13"/>
    <d v="2024-04-05T00:00:00"/>
    <s v="05/04/2024"/>
    <m/>
    <s v="05"/>
    <n v="1673.44"/>
    <n v="314"/>
    <m/>
    <m/>
    <s v="Below Average"/>
    <n v="2742"/>
  </r>
  <r>
    <s v="Kelci Walkden"/>
    <s v="USA"/>
    <x v="4"/>
    <s v="18/08/2024"/>
    <s v="18/08/2024"/>
    <m/>
    <s v="18/08/2024"/>
    <n v="8853.16"/>
    <n v="261"/>
    <m/>
    <m/>
    <s v="Above Average"/>
    <n v="769"/>
  </r>
  <r>
    <s v="Dotty Strutley"/>
    <s v="Canada"/>
    <x v="17"/>
    <d v="2024-03-08T00:00:00"/>
    <s v="08/03/2024"/>
    <m/>
    <s v="08"/>
    <n v="4722.3900000000003"/>
    <n v="258"/>
    <m/>
    <m/>
    <s v="Below Average"/>
    <n v="1795"/>
  </r>
  <r>
    <s v="Marney O'Breen"/>
    <s v="New Zealand"/>
    <x v="11"/>
    <s v="14/01/2024"/>
    <s v="14/01/2024"/>
    <m/>
    <s v="14/01/2024"/>
    <n v="8408.1200000000008"/>
    <n v="318"/>
    <m/>
    <m/>
    <s v="Above Average"/>
    <n v="852"/>
  </r>
  <r>
    <s v="Madelene Upcott"/>
    <s v="Australia"/>
    <x v="18"/>
    <d v="2024-08-04T00:00:00"/>
    <s v="04/08/2024"/>
    <m/>
    <s v="04"/>
    <n v="2442.36"/>
    <n v="78"/>
    <m/>
    <m/>
    <s v="Below Average"/>
    <n v="2502"/>
  </r>
  <r>
    <s v="Kelci Walkden"/>
    <s v="UK"/>
    <x v="7"/>
    <d v="2024-01-08T00:00:00"/>
    <s v="08/01/2024"/>
    <m/>
    <s v="08"/>
    <n v="4010.08"/>
    <n v="3"/>
    <m/>
    <m/>
    <s v="Below Average"/>
    <n v="1984"/>
  </r>
  <r>
    <s v="Dennison Crosswaite"/>
    <s v="Canada"/>
    <x v="8"/>
    <s v="15/03/2024"/>
    <s v="15/03/2024"/>
    <m/>
    <s v="15/03/2024"/>
    <n v="492.21"/>
    <n v="45"/>
    <m/>
    <m/>
    <s v="Below Average"/>
    <n v="3131"/>
  </r>
  <r>
    <s v="Karlen McCaffrey"/>
    <s v="India"/>
    <x v="0"/>
    <s v="15/07/2024"/>
    <s v="15/07/2024"/>
    <m/>
    <s v="15/07/2024"/>
    <n v="11650.88"/>
    <n v="192"/>
    <m/>
    <m/>
    <s v="Above Average"/>
    <n v="381"/>
  </r>
  <r>
    <s v="Barr Faughny"/>
    <s v="New Zealand"/>
    <x v="16"/>
    <s v="13/01/2024"/>
    <s v="13/01/2024"/>
    <m/>
    <s v="13/01/2024"/>
    <n v="6426.04"/>
    <n v="132"/>
    <m/>
    <m/>
    <s v="Above Average"/>
    <n v="1326"/>
  </r>
  <r>
    <s v="Mallorie Waber"/>
    <s v="Australia"/>
    <x v="1"/>
    <s v="26/08/2024"/>
    <s v="26/08/2024"/>
    <m/>
    <s v="26/08/2024"/>
    <n v="2665.28"/>
    <n v="54"/>
    <m/>
    <m/>
    <s v="Below Average"/>
    <n v="2416"/>
  </r>
  <r>
    <s v="Ches Bonnell"/>
    <s v="Canada"/>
    <x v="8"/>
    <d v="2024-10-01T00:00:00"/>
    <s v="01/10/2024"/>
    <m/>
    <s v="01"/>
    <n v="2048.58"/>
    <n v="170"/>
    <m/>
    <m/>
    <s v="Below Average"/>
    <n v="2618"/>
  </r>
  <r>
    <s v="Gigi Bohling"/>
    <s v="Australia"/>
    <x v="14"/>
    <d v="2024-11-05T00:00:00"/>
    <s v="05/11/2024"/>
    <m/>
    <s v="05"/>
    <n v="6267.19"/>
    <n v="83"/>
    <m/>
    <m/>
    <s v="Above Average"/>
    <n v="1366"/>
  </r>
  <r>
    <s v="Beverie Moffet"/>
    <s v="New Zealand"/>
    <x v="1"/>
    <s v="30/08/2024"/>
    <s v="30/08/2024"/>
    <m/>
    <s v="30/08/2024"/>
    <n v="12886.26"/>
    <n v="21"/>
    <m/>
    <m/>
    <s v="Above Average"/>
    <n v="274"/>
  </r>
  <r>
    <s v="Kaine Padly"/>
    <s v="USA"/>
    <x v="20"/>
    <s v="21/07/2024"/>
    <s v="21/07/2024"/>
    <m/>
    <s v="21/07/2024"/>
    <n v="6143.64"/>
    <n v="117"/>
    <m/>
    <m/>
    <s v="Above Average"/>
    <n v="1395"/>
  </r>
  <r>
    <s v="Mallorie Waber"/>
    <s v="Australia"/>
    <x v="16"/>
    <d v="2024-01-08T00:00:00"/>
    <s v="08/01/2024"/>
    <m/>
    <s v="08"/>
    <n v="8273.83"/>
    <n v="130"/>
    <m/>
    <m/>
    <s v="Above Average"/>
    <n v="877"/>
  </r>
  <r>
    <s v="Brien Boise"/>
    <s v="Canada"/>
    <x v="1"/>
    <s v="17/02/2024"/>
    <s v="17/02/2024"/>
    <m/>
    <s v="17/02/2024"/>
    <n v="12163.59"/>
    <n v="264"/>
    <m/>
    <m/>
    <s v="Above Average"/>
    <n v="332"/>
  </r>
  <r>
    <s v="Brien Boise"/>
    <s v="Australia"/>
    <x v="9"/>
    <s v="27/07/2024"/>
    <s v="27/07/2024"/>
    <m/>
    <s v="27/07/2024"/>
    <n v="7192.41"/>
    <n v="159"/>
    <m/>
    <m/>
    <s v="Above Average"/>
    <n v="1133"/>
  </r>
  <r>
    <s v="Dotty Strutley"/>
    <s v="USA"/>
    <x v="7"/>
    <s v="23/02/2024"/>
    <s v="23/02/2024"/>
    <m/>
    <s v="23/02/2024"/>
    <n v="1452.94"/>
    <n v="112"/>
    <m/>
    <m/>
    <s v="Below Average"/>
    <n v="2818"/>
  </r>
  <r>
    <s v="Rafaelita Blaksland"/>
    <s v="Australia"/>
    <x v="6"/>
    <s v="22/03/2024"/>
    <s v="22/03/2024"/>
    <m/>
    <s v="22/03/2024"/>
    <n v="3375.83"/>
    <n v="41"/>
    <m/>
    <m/>
    <s v="Below Average"/>
    <n v="2187"/>
  </r>
  <r>
    <s v="Dennison Crosswaite"/>
    <s v="India"/>
    <x v="4"/>
    <s v="23/06/2024"/>
    <s v="23/06/2024"/>
    <m/>
    <s v="23/06/2024"/>
    <n v="8328.7999999999993"/>
    <n v="327"/>
    <m/>
    <m/>
    <s v="Above Average"/>
    <n v="866"/>
  </r>
  <r>
    <s v="Curtice Advani"/>
    <s v="UK"/>
    <x v="14"/>
    <d v="2024-01-02T00:00:00"/>
    <s v="02/01/2024"/>
    <m/>
    <s v="02"/>
    <n v="1634.54"/>
    <n v="70"/>
    <m/>
    <m/>
    <s v="Below Average"/>
    <n v="2760"/>
  </r>
  <r>
    <s v="Kelci Walkden"/>
    <s v="Australia"/>
    <x v="5"/>
    <d v="2024-02-03T00:00:00"/>
    <s v="03/02/2024"/>
    <m/>
    <s v="03"/>
    <n v="8265.41"/>
    <n v="298"/>
    <m/>
    <m/>
    <s v="Above Average"/>
    <n v="879"/>
  </r>
  <r>
    <s v="Gigi Bohling"/>
    <s v="UK"/>
    <x v="13"/>
    <d v="2024-06-04T00:00:00"/>
    <s v="04/06/2024"/>
    <m/>
    <s v="04"/>
    <n v="1448.1"/>
    <n v="92"/>
    <m/>
    <m/>
    <s v="Below Average"/>
    <n v="2820"/>
  </r>
  <r>
    <s v="Gunar Cockshoot"/>
    <s v="Australia"/>
    <x v="17"/>
    <s v="17/03/2024"/>
    <s v="17/03/2024"/>
    <m/>
    <s v="17/03/2024"/>
    <n v="709.53"/>
    <n v="77"/>
    <m/>
    <m/>
    <s v="Below Average"/>
    <n v="3061"/>
  </r>
  <r>
    <s v="Curtice Advani"/>
    <s v="UK"/>
    <x v="13"/>
    <s v="24/06/2024"/>
    <s v="24/06/2024"/>
    <m/>
    <s v="24/06/2024"/>
    <n v="12197.19"/>
    <n v="135"/>
    <m/>
    <m/>
    <s v="Above Average"/>
    <n v="327"/>
  </r>
  <r>
    <s v="Barr Faughny"/>
    <s v="Canada"/>
    <x v="6"/>
    <s v="19/07/2024"/>
    <s v="19/07/2024"/>
    <m/>
    <s v="19/07/2024"/>
    <n v="10917.59"/>
    <n v="302"/>
    <m/>
    <m/>
    <s v="Above Average"/>
    <n v="453"/>
  </r>
  <r>
    <s v="Curtice Advani"/>
    <s v="USA"/>
    <x v="12"/>
    <d v="2024-11-07T00:00:00"/>
    <s v="07/11/2024"/>
    <m/>
    <s v="07"/>
    <n v="1679.89"/>
    <n v="287"/>
    <m/>
    <m/>
    <s v="Below Average"/>
    <n v="2739"/>
  </r>
  <r>
    <s v="Brien Boise"/>
    <s v="India"/>
    <x v="16"/>
    <s v="13/01/2024"/>
    <s v="13/01/2024"/>
    <m/>
    <s v="13/01/2024"/>
    <n v="2303.17"/>
    <n v="225"/>
    <m/>
    <m/>
    <s v="Below Average"/>
    <n v="2549"/>
  </r>
  <r>
    <s v="Oby Sorrel"/>
    <s v="New Zealand"/>
    <x v="3"/>
    <d v="2024-07-07T00:00:00"/>
    <s v="07/07/2024"/>
    <m/>
    <s v="07"/>
    <n v="9261.26"/>
    <n v="65"/>
    <m/>
    <m/>
    <s v="Above Average"/>
    <n v="697"/>
  </r>
  <r>
    <s v="Jan Morforth"/>
    <s v="India"/>
    <x v="1"/>
    <s v="25/05/2024"/>
    <s v="25/05/2024"/>
    <m/>
    <s v="25/05/2024"/>
    <n v="5252.8"/>
    <n v="415"/>
    <m/>
    <m/>
    <s v="Below Average"/>
    <n v="1631"/>
  </r>
  <r>
    <s v="Marney O'Breen"/>
    <s v="India"/>
    <x v="13"/>
    <s v="13/04/2024"/>
    <s v="13/04/2024"/>
    <m/>
    <s v="13/04/2024"/>
    <n v="5385.55"/>
    <n v="161"/>
    <m/>
    <m/>
    <s v="Below Average"/>
    <n v="1595"/>
  </r>
  <r>
    <s v="Andria Kimpton"/>
    <s v="New Zealand"/>
    <x v="6"/>
    <d v="2024-02-03T00:00:00"/>
    <s v="03/02/2024"/>
    <m/>
    <s v="03"/>
    <n v="3741.19"/>
    <n v="222"/>
    <m/>
    <m/>
    <s v="Below Average"/>
    <n v="2057"/>
  </r>
  <r>
    <s v="Gunar Cockshoot"/>
    <s v="Canada"/>
    <x v="17"/>
    <s v="23/06/2024"/>
    <s v="23/06/2024"/>
    <m/>
    <s v="23/06/2024"/>
    <n v="2223.4899999999998"/>
    <n v="127"/>
    <m/>
    <m/>
    <s v="Below Average"/>
    <n v="2572"/>
  </r>
  <r>
    <s v="Kelci Walkden"/>
    <s v="USA"/>
    <x v="9"/>
    <s v="26/07/2024"/>
    <s v="26/07/2024"/>
    <m/>
    <s v="26/07/2024"/>
    <n v="7720.37"/>
    <n v="156"/>
    <m/>
    <m/>
    <s v="Above Average"/>
    <n v="1009"/>
  </r>
  <r>
    <s v="Van Tuxwell"/>
    <s v="Canada"/>
    <x v="14"/>
    <s v="22/03/2024"/>
    <s v="22/03/2024"/>
    <m/>
    <s v="22/03/2024"/>
    <n v="468.09"/>
    <n v="3"/>
    <m/>
    <m/>
    <s v="Below Average"/>
    <n v="3145"/>
  </r>
  <r>
    <s v="Rafaelita Blaksland"/>
    <s v="USA"/>
    <x v="19"/>
    <d v="2024-09-06T00:00:00"/>
    <s v="06/09/2024"/>
    <m/>
    <s v="06"/>
    <n v="3083.39"/>
    <n v="55"/>
    <m/>
    <m/>
    <s v="Below Average"/>
    <n v="2276"/>
  </r>
  <r>
    <s v="Van Tuxwell"/>
    <s v="Australia"/>
    <x v="20"/>
    <s v="17/05/2024"/>
    <s v="17/05/2024"/>
    <m/>
    <s v="17/05/2024"/>
    <n v="6898.94"/>
    <n v="58"/>
    <m/>
    <m/>
    <s v="Above Average"/>
    <n v="1205"/>
  </r>
  <r>
    <s v="Ches Bonnell"/>
    <s v="New Zealand"/>
    <x v="2"/>
    <d v="2024-04-03T00:00:00"/>
    <s v="03/04/2024"/>
    <m/>
    <s v="03"/>
    <n v="1036.05"/>
    <n v="291"/>
    <m/>
    <m/>
    <s v="Below Average"/>
    <n v="2961"/>
  </r>
  <r>
    <s v="Kelci Walkden"/>
    <s v="Canada"/>
    <x v="11"/>
    <d v="2024-07-07T00:00:00"/>
    <s v="07/07/2024"/>
    <m/>
    <s v="07"/>
    <n v="17518.04"/>
    <n v="28"/>
    <m/>
    <m/>
    <s v="Above Average"/>
    <n v="52"/>
  </r>
  <r>
    <s v="Dennison Crosswaite"/>
    <s v="Canada"/>
    <x v="18"/>
    <s v="13/01/2024"/>
    <s v="13/01/2024"/>
    <m/>
    <s v="13/01/2024"/>
    <n v="11691.86"/>
    <n v="128"/>
    <m/>
    <m/>
    <s v="Above Average"/>
    <n v="376"/>
  </r>
  <r>
    <s v="Curtice Advani"/>
    <s v="Australia"/>
    <x v="16"/>
    <s v="13/07/2024"/>
    <s v="13/07/2024"/>
    <m/>
    <s v="13/07/2024"/>
    <n v="3136.53"/>
    <n v="74"/>
    <m/>
    <m/>
    <s v="Below Average"/>
    <n v="2256"/>
  </r>
  <r>
    <s v="Madelene Upcott"/>
    <s v="Australia"/>
    <x v="1"/>
    <s v="16/06/2024"/>
    <s v="16/06/2024"/>
    <m/>
    <s v="16/06/2024"/>
    <n v="1677.71"/>
    <n v="325"/>
    <m/>
    <m/>
    <s v="Below Average"/>
    <n v="2740"/>
  </r>
  <r>
    <s v="Gigi Bohling"/>
    <s v="UK"/>
    <x v="6"/>
    <s v="18/07/2024"/>
    <s v="18/07/2024"/>
    <m/>
    <s v="18/07/2024"/>
    <n v="8937.3700000000008"/>
    <n v="66"/>
    <m/>
    <m/>
    <s v="Above Average"/>
    <n v="749"/>
  </r>
  <r>
    <s v="Ches Bonnell"/>
    <s v="UK"/>
    <x v="15"/>
    <s v="30/05/2024"/>
    <s v="30/05/2024"/>
    <m/>
    <s v="30/05/2024"/>
    <n v="4761.38"/>
    <n v="406"/>
    <m/>
    <m/>
    <s v="Below Average"/>
    <n v="1779"/>
  </r>
  <r>
    <s v="Gigi Bohling"/>
    <s v="UK"/>
    <x v="21"/>
    <s v="21/06/2024"/>
    <s v="21/06/2024"/>
    <m/>
    <s v="21/06/2024"/>
    <n v="942.02"/>
    <n v="84"/>
    <m/>
    <m/>
    <s v="Below Average"/>
    <n v="2992"/>
  </r>
  <r>
    <s v="Jehu Rudeforth"/>
    <s v="Australia"/>
    <x v="2"/>
    <s v="24/06/2024"/>
    <s v="24/06/2024"/>
    <m/>
    <s v="24/06/2024"/>
    <n v="6623.03"/>
    <n v="39"/>
    <m/>
    <m/>
    <s v="Above Average"/>
    <n v="1279"/>
  </r>
  <r>
    <s v="Marney O'Breen"/>
    <s v="India"/>
    <x v="8"/>
    <s v="13/01/2024"/>
    <s v="13/01/2024"/>
    <m/>
    <s v="13/01/2024"/>
    <n v="4067.36"/>
    <n v="94"/>
    <m/>
    <m/>
    <s v="Below Average"/>
    <n v="1962"/>
  </r>
  <r>
    <s v="Curtice Advani"/>
    <s v="Canada"/>
    <x v="13"/>
    <d v="2024-04-04T00:00:00"/>
    <s v="04/04/2024"/>
    <m/>
    <s v="04"/>
    <n v="4712.55"/>
    <n v="211"/>
    <m/>
    <m/>
    <s v="Below Average"/>
    <n v="1797"/>
  </r>
  <r>
    <s v="Kaine Padly"/>
    <s v="UK"/>
    <x v="3"/>
    <d v="2024-08-06T00:00:00"/>
    <s v="06/08/2024"/>
    <m/>
    <s v="06"/>
    <n v="9571.2999999999993"/>
    <n v="594"/>
    <m/>
    <m/>
    <s v="Above Average"/>
    <n v="646"/>
  </r>
  <r>
    <s v="Karlen McCaffrey"/>
    <s v="Canada"/>
    <x v="12"/>
    <d v="2024-02-08T00:00:00"/>
    <s v="08/02/2024"/>
    <m/>
    <s v="08"/>
    <n v="6779.99"/>
    <n v="46"/>
    <m/>
    <m/>
    <s v="Above Average"/>
    <n v="1245"/>
  </r>
  <r>
    <s v="Kelci Walkden"/>
    <s v="USA"/>
    <x v="10"/>
    <s v="21/07/2024"/>
    <s v="21/07/2024"/>
    <m/>
    <s v="21/07/2024"/>
    <n v="10772.46"/>
    <n v="150"/>
    <m/>
    <m/>
    <s v="Above Average"/>
    <n v="478"/>
  </r>
  <r>
    <s v="Curtice Advani"/>
    <s v="India"/>
    <x v="12"/>
    <s v="20/06/2024"/>
    <s v="20/06/2024"/>
    <m/>
    <s v="20/06/2024"/>
    <n v="189.34"/>
    <n v="140"/>
    <m/>
    <m/>
    <s v="Below Average"/>
    <n v="3219"/>
  </r>
  <r>
    <s v="Roddy Speechley"/>
    <s v="India"/>
    <x v="5"/>
    <s v="22/06/2024"/>
    <s v="22/06/2024"/>
    <m/>
    <s v="22/06/2024"/>
    <n v="3015.47"/>
    <n v="115"/>
    <m/>
    <m/>
    <s v="Below Average"/>
    <n v="2301"/>
  </r>
  <r>
    <s v="Camilla Castle"/>
    <s v="Australia"/>
    <x v="20"/>
    <d v="2024-02-05T00:00:00"/>
    <s v="05/02/2024"/>
    <m/>
    <s v="05"/>
    <n v="3538.27"/>
    <n v="16"/>
    <m/>
    <m/>
    <s v="Below Average"/>
    <n v="2131"/>
  </r>
  <r>
    <s v="Curtice Advani"/>
    <s v="Australia"/>
    <x v="4"/>
    <d v="2024-07-01T00:00:00"/>
    <s v="01/07/2024"/>
    <m/>
    <s v="01"/>
    <n v="5196.97"/>
    <n v="87"/>
    <m/>
    <m/>
    <s v="Below Average"/>
    <n v="1647"/>
  </r>
  <r>
    <s v="Mallorie Waber"/>
    <s v="UK"/>
    <x v="6"/>
    <s v="21/02/2024"/>
    <s v="21/02/2024"/>
    <m/>
    <s v="21/02/2024"/>
    <n v="6654.14"/>
    <n v="102"/>
    <m/>
    <m/>
    <s v="Above Average"/>
    <n v="1273"/>
  </r>
  <r>
    <s v="Ches Bonnell"/>
    <s v="Canada"/>
    <x v="19"/>
    <s v="21/03/2024"/>
    <s v="21/03/2024"/>
    <m/>
    <s v="21/03/2024"/>
    <n v="8639.19"/>
    <n v="402"/>
    <m/>
    <m/>
    <s v="Above Average"/>
    <n v="809"/>
  </r>
  <r>
    <s v="Van Tuxwell"/>
    <s v="UK"/>
    <x v="9"/>
    <d v="2024-04-04T00:00:00"/>
    <s v="04/04/2024"/>
    <m/>
    <s v="04"/>
    <n v="6397.05"/>
    <n v="136"/>
    <m/>
    <m/>
    <s v="Above Average"/>
    <n v="1332"/>
  </r>
  <r>
    <s v="Gunar Cockshoot"/>
    <s v="Canada"/>
    <x v="13"/>
    <s v="24/03/2024"/>
    <s v="24/03/2024"/>
    <m/>
    <s v="24/03/2024"/>
    <n v="14596.37"/>
    <n v="196"/>
    <m/>
    <m/>
    <s v="Above Average"/>
    <n v="173"/>
  </r>
  <r>
    <s v="Gunar Cockshoot"/>
    <s v="New Zealand"/>
    <x v="12"/>
    <s v="28/06/2024"/>
    <s v="28/06/2024"/>
    <m/>
    <s v="28/06/2024"/>
    <n v="7712.91"/>
    <n v="192"/>
    <m/>
    <m/>
    <s v="Above Average"/>
    <n v="1014"/>
  </r>
  <r>
    <s v="Gunar Cockshoot"/>
    <s v="Australia"/>
    <x v="9"/>
    <s v="14/01/2024"/>
    <s v="14/01/2024"/>
    <m/>
    <s v="14/01/2024"/>
    <n v="2456.77"/>
    <n v="188"/>
    <m/>
    <m/>
    <s v="Below Average"/>
    <n v="2491"/>
  </r>
  <r>
    <s v="Karlen McCaffrey"/>
    <s v="New Zealand"/>
    <x v="13"/>
    <d v="2024-07-02T00:00:00"/>
    <s v="02/07/2024"/>
    <m/>
    <s v="02"/>
    <n v="1435.27"/>
    <n v="138"/>
    <m/>
    <m/>
    <s v="Below Average"/>
    <n v="2826"/>
  </r>
  <r>
    <s v="Dennison Crosswaite"/>
    <s v="New Zealand"/>
    <x v="9"/>
    <d v="2024-11-01T00:00:00"/>
    <s v="01/11/2024"/>
    <m/>
    <s v="01"/>
    <n v="4324.4799999999996"/>
    <n v="202"/>
    <m/>
    <m/>
    <s v="Below Average"/>
    <n v="1901"/>
  </r>
  <r>
    <s v="Jehu Rudeforth"/>
    <s v="India"/>
    <x v="4"/>
    <s v="25/02/2024"/>
    <s v="25/02/2024"/>
    <m/>
    <s v="25/02/2024"/>
    <n v="2207.7600000000002"/>
    <n v="247"/>
    <m/>
    <m/>
    <s v="Below Average"/>
    <n v="2576"/>
  </r>
  <r>
    <s v="Dotty Strutley"/>
    <s v="Australia"/>
    <x v="0"/>
    <d v="2024-01-08T00:00:00"/>
    <s v="08/01/2024"/>
    <m/>
    <s v="08"/>
    <n v="7571.51"/>
    <n v="26"/>
    <m/>
    <m/>
    <s v="Above Average"/>
    <n v="1050"/>
  </r>
  <r>
    <s v="Roddy Speechley"/>
    <s v="Australia"/>
    <x v="0"/>
    <d v="2024-05-05T00:00:00"/>
    <s v="05/05/2024"/>
    <m/>
    <s v="05"/>
    <n v="7189.76"/>
    <n v="262"/>
    <m/>
    <m/>
    <s v="Above Average"/>
    <n v="1135"/>
  </r>
  <r>
    <s v="Madelene Upcott"/>
    <s v="New Zealand"/>
    <x v="17"/>
    <s v="18/05/2024"/>
    <s v="18/05/2024"/>
    <m/>
    <s v="18/05/2024"/>
    <n v="10858.21"/>
    <n v="451"/>
    <m/>
    <m/>
    <s v="Above Average"/>
    <n v="460"/>
  </r>
  <r>
    <s v="Dotty Strutley"/>
    <s v="New Zealand"/>
    <x v="18"/>
    <d v="2024-04-01T00:00:00"/>
    <s v="01/04/2024"/>
    <m/>
    <s v="01"/>
    <n v="6524.65"/>
    <n v="369"/>
    <m/>
    <m/>
    <s v="Above Average"/>
    <n v="1301"/>
  </r>
  <r>
    <s v="Roddy Speechley"/>
    <s v="New Zealand"/>
    <x v="6"/>
    <d v="2024-09-05T00:00:00"/>
    <s v="05/09/2024"/>
    <m/>
    <s v="05"/>
    <n v="4624.45"/>
    <n v="212"/>
    <m/>
    <m/>
    <s v="Below Average"/>
    <n v="1817"/>
  </r>
  <r>
    <s v="Rafaelita Blaksland"/>
    <s v="India"/>
    <x v="3"/>
    <d v="2024-06-05T00:00:00"/>
    <s v="05/06/2024"/>
    <m/>
    <s v="05"/>
    <n v="1961.82"/>
    <n v="80"/>
    <m/>
    <m/>
    <s v="Below Average"/>
    <n v="2643"/>
  </r>
  <r>
    <s v="Husein Augar"/>
    <s v="UK"/>
    <x v="14"/>
    <s v="13/01/2024"/>
    <s v="13/01/2024"/>
    <m/>
    <s v="13/01/2024"/>
    <n v="12782.63"/>
    <n v="158"/>
    <m/>
    <m/>
    <s v="Above Average"/>
    <n v="278"/>
  </r>
  <r>
    <s v="Roddy Speechley"/>
    <s v="Australia"/>
    <x v="16"/>
    <s v="24/06/2024"/>
    <s v="24/06/2024"/>
    <m/>
    <s v="24/06/2024"/>
    <n v="4928.3"/>
    <n v="71"/>
    <m/>
    <m/>
    <s v="Below Average"/>
    <n v="1722"/>
  </r>
  <r>
    <s v="Van Tuxwell"/>
    <s v="USA"/>
    <x v="20"/>
    <s v="14/02/2024"/>
    <s v="14/02/2024"/>
    <m/>
    <s v="14/02/2024"/>
    <n v="1115.8399999999999"/>
    <n v="22"/>
    <m/>
    <m/>
    <s v="Below Average"/>
    <n v="2935"/>
  </r>
  <r>
    <s v="Camilla Castle"/>
    <s v="Australia"/>
    <x v="4"/>
    <s v="18/01/2024"/>
    <s v="18/01/2024"/>
    <m/>
    <s v="18/01/2024"/>
    <n v="5346.62"/>
    <n v="109"/>
    <m/>
    <m/>
    <s v="Below Average"/>
    <n v="1602"/>
  </r>
  <r>
    <s v="Kaine Padly"/>
    <s v="India"/>
    <x v="11"/>
    <d v="2024-02-05T00:00:00"/>
    <s v="05/02/2024"/>
    <m/>
    <s v="05"/>
    <n v="3168.11"/>
    <n v="93"/>
    <m/>
    <m/>
    <s v="Below Average"/>
    <n v="2248"/>
  </r>
  <r>
    <s v="Ches Bonnell"/>
    <s v="Australia"/>
    <x v="3"/>
    <s v="16/05/2024"/>
    <s v="16/05/2024"/>
    <m/>
    <s v="16/05/2024"/>
    <n v="9007.92"/>
    <n v="52"/>
    <m/>
    <m/>
    <s v="Above Average"/>
    <n v="736"/>
  </r>
  <r>
    <s v="Mallorie Waber"/>
    <s v="USA"/>
    <x v="16"/>
    <s v="28/01/2024"/>
    <s v="28/01/2024"/>
    <m/>
    <s v="28/01/2024"/>
    <n v="7400.07"/>
    <n v="383"/>
    <m/>
    <m/>
    <s v="Above Average"/>
    <n v="1090"/>
  </r>
  <r>
    <s v="Kaine Padly"/>
    <s v="Canada"/>
    <x v="4"/>
    <s v="24/06/2024"/>
    <s v="24/06/2024"/>
    <m/>
    <s v="24/06/2024"/>
    <n v="1420.22"/>
    <n v="422"/>
    <m/>
    <m/>
    <s v="Below Average"/>
    <n v="2832"/>
  </r>
  <r>
    <s v="Oby Sorrel"/>
    <s v="UK"/>
    <x v="5"/>
    <s v="18/07/2024"/>
    <s v="18/07/2024"/>
    <m/>
    <s v="18/07/2024"/>
    <n v="2555.9499999999998"/>
    <n v="109"/>
    <m/>
    <m/>
    <s v="Below Average"/>
    <n v="2451"/>
  </r>
  <r>
    <s v="Gunar Cockshoot"/>
    <s v="UK"/>
    <x v="8"/>
    <s v="13/04/2024"/>
    <s v="13/04/2024"/>
    <m/>
    <s v="13/04/2024"/>
    <n v="4059.65"/>
    <n v="175"/>
    <m/>
    <m/>
    <s v="Below Average"/>
    <n v="1966"/>
  </r>
  <r>
    <s v="Dotty Strutley"/>
    <s v="USA"/>
    <x v="20"/>
    <s v="15/04/2024"/>
    <s v="15/04/2024"/>
    <m/>
    <s v="15/04/2024"/>
    <n v="18581.37"/>
    <n v="83"/>
    <m/>
    <m/>
    <s v="Above Average"/>
    <n v="33"/>
  </r>
  <r>
    <s v="Jan Morforth"/>
    <s v="India"/>
    <x v="2"/>
    <d v="2024-04-01T00:00:00"/>
    <s v="01/04/2024"/>
    <m/>
    <s v="01"/>
    <n v="8813.58"/>
    <n v="182"/>
    <m/>
    <m/>
    <s v="Above Average"/>
    <n v="778"/>
  </r>
  <r>
    <s v="Husein Augar"/>
    <s v="Australia"/>
    <x v="8"/>
    <d v="2024-04-07T00:00:00"/>
    <s v="07/04/2024"/>
    <m/>
    <s v="07"/>
    <n v="7914.74"/>
    <n v="31"/>
    <m/>
    <m/>
    <s v="Above Average"/>
    <n v="961"/>
  </r>
  <r>
    <s v="Beverie Moffet"/>
    <s v="USA"/>
    <x v="3"/>
    <s v="24/03/2024"/>
    <s v="24/03/2024"/>
    <m/>
    <s v="24/03/2024"/>
    <n v="2787.72"/>
    <n v="342"/>
    <m/>
    <m/>
    <s v="Below Average"/>
    <n v="2379"/>
  </r>
  <r>
    <s v="Camilla Castle"/>
    <s v="Australia"/>
    <x v="15"/>
    <s v="17/03/2024"/>
    <s v="17/03/2024"/>
    <m/>
    <s v="17/03/2024"/>
    <n v="681.71"/>
    <n v="170"/>
    <m/>
    <m/>
    <s v="Below Average"/>
    <n v="3071"/>
  </r>
  <r>
    <s v="Oby Sorrel"/>
    <s v="Australia"/>
    <x v="16"/>
    <s v="15/02/2024"/>
    <s v="15/02/2024"/>
    <m/>
    <s v="15/02/2024"/>
    <n v="6827.53"/>
    <n v="241"/>
    <m/>
    <m/>
    <s v="Above Average"/>
    <n v="1230"/>
  </r>
  <r>
    <s v="Jan Morforth"/>
    <s v="USA"/>
    <x v="7"/>
    <s v="29/06/2024"/>
    <s v="29/06/2024"/>
    <m/>
    <s v="29/06/2024"/>
    <n v="1082"/>
    <n v="158"/>
    <m/>
    <m/>
    <s v="Below Average"/>
    <n v="2949"/>
  </r>
  <r>
    <s v="Gigi Bohling"/>
    <s v="USA"/>
    <x v="13"/>
    <s v="24/05/2024"/>
    <s v="24/05/2024"/>
    <m/>
    <s v="24/05/2024"/>
    <n v="2966.98"/>
    <n v="121"/>
    <m/>
    <m/>
    <s v="Below Average"/>
    <n v="2319"/>
  </r>
  <r>
    <s v="Mallorie Waber"/>
    <s v="UK"/>
    <x v="11"/>
    <d v="2024-10-01T00:00:00"/>
    <s v="01/10/2024"/>
    <m/>
    <s v="01"/>
    <n v="3951.74"/>
    <n v="287"/>
    <m/>
    <m/>
    <s v="Below Average"/>
    <n v="1999"/>
  </r>
  <r>
    <s v="Curtice Advani"/>
    <s v="USA"/>
    <x v="17"/>
    <s v="15/03/2024"/>
    <s v="15/03/2024"/>
    <m/>
    <s v="15/03/2024"/>
    <n v="3151.23"/>
    <n v="144"/>
    <m/>
    <m/>
    <s v="Below Average"/>
    <n v="2253"/>
  </r>
  <r>
    <s v="Marney O'Breen"/>
    <s v="Canada"/>
    <x v="11"/>
    <d v="2024-08-02T00:00:00"/>
    <s v="02/08/2024"/>
    <m/>
    <s v="02"/>
    <n v="2672.67"/>
    <n v="317"/>
    <m/>
    <m/>
    <s v="Below Average"/>
    <n v="2414"/>
  </r>
  <r>
    <s v="Brien Boise"/>
    <s v="India"/>
    <x v="20"/>
    <s v="25/02/2024"/>
    <s v="25/02/2024"/>
    <m/>
    <s v="25/02/2024"/>
    <n v="1742.37"/>
    <n v="106"/>
    <m/>
    <m/>
    <s v="Below Average"/>
    <n v="2718"/>
  </r>
  <r>
    <s v="Gunar Cockshoot"/>
    <s v="USA"/>
    <x v="8"/>
    <d v="2024-03-05T00:00:00"/>
    <s v="05/03/2024"/>
    <m/>
    <s v="05"/>
    <n v="7301.31"/>
    <n v="42"/>
    <m/>
    <m/>
    <s v="Above Average"/>
    <n v="1110"/>
  </r>
  <r>
    <s v="Roddy Speechley"/>
    <s v="USA"/>
    <x v="13"/>
    <s v="14/06/2024"/>
    <s v="14/06/2024"/>
    <m/>
    <s v="14/06/2024"/>
    <n v="6322.14"/>
    <n v="26"/>
    <m/>
    <m/>
    <s v="Above Average"/>
    <n v="1349"/>
  </r>
  <r>
    <s v="Gunar Cockshoot"/>
    <s v="India"/>
    <x v="6"/>
    <d v="2024-09-08T00:00:00"/>
    <s v="08/09/2024"/>
    <m/>
    <s v="08"/>
    <n v="13731.44"/>
    <n v="82"/>
    <m/>
    <m/>
    <s v="Above Average"/>
    <n v="218"/>
  </r>
  <r>
    <s v="Wilone O'Kielt"/>
    <s v="New Zealand"/>
    <x v="15"/>
    <d v="2024-11-07T00:00:00"/>
    <s v="07/11/2024"/>
    <m/>
    <s v="07"/>
    <n v="4051.88"/>
    <n v="253"/>
    <m/>
    <m/>
    <s v="Below Average"/>
    <n v="1969"/>
  </r>
  <r>
    <s v="Kaine Padly"/>
    <s v="UK"/>
    <x v="15"/>
    <s v="14/01/2024"/>
    <s v="14/01/2024"/>
    <m/>
    <s v="14/01/2024"/>
    <n v="8474.69"/>
    <n v="115"/>
    <m/>
    <m/>
    <s v="Above Average"/>
    <n v="841"/>
  </r>
  <r>
    <s v="Van Tuxwell"/>
    <s v="Canada"/>
    <x v="15"/>
    <s v="24/02/2024"/>
    <s v="24/02/2024"/>
    <m/>
    <s v="24/02/2024"/>
    <n v="9426.56"/>
    <n v="49"/>
    <m/>
    <m/>
    <s v="Above Average"/>
    <n v="669"/>
  </r>
  <r>
    <s v="Wilone O'Kielt"/>
    <s v="New Zealand"/>
    <x v="16"/>
    <s v="15/03/2024"/>
    <s v="15/03/2024"/>
    <m/>
    <s v="15/03/2024"/>
    <n v="9770.2800000000007"/>
    <n v="154"/>
    <m/>
    <m/>
    <s v="Above Average"/>
    <n v="619"/>
  </r>
  <r>
    <s v="Oby Sorrel"/>
    <s v="New Zealand"/>
    <x v="19"/>
    <s v="25/04/2024"/>
    <s v="25/04/2024"/>
    <m/>
    <s v="25/04/2024"/>
    <n v="14234.61"/>
    <n v="45"/>
    <m/>
    <m/>
    <s v="Above Average"/>
    <n v="195"/>
  </r>
  <r>
    <s v="Dennison Crosswaite"/>
    <s v="Australia"/>
    <x v="10"/>
    <d v="2024-10-05T00:00:00"/>
    <s v="05/10/2024"/>
    <m/>
    <s v="05"/>
    <n v="6885.01"/>
    <n v="40"/>
    <m/>
    <m/>
    <s v="Above Average"/>
    <n v="1209"/>
  </r>
  <r>
    <s v="Marney O'Breen"/>
    <s v="Australia"/>
    <x v="12"/>
    <s v="23/06/2024"/>
    <s v="23/06/2024"/>
    <m/>
    <s v="23/06/2024"/>
    <n v="14687.62"/>
    <n v="293"/>
    <m/>
    <m/>
    <s v="Above Average"/>
    <n v="165"/>
  </r>
  <r>
    <s v="Beverie Moffet"/>
    <s v="Canada"/>
    <x v="3"/>
    <s v="28/02/2024"/>
    <s v="28/02/2024"/>
    <m/>
    <s v="28/02/2024"/>
    <n v="16585.43"/>
    <n v="388"/>
    <m/>
    <m/>
    <s v="Above Average"/>
    <n v="79"/>
  </r>
  <r>
    <s v="Brien Boise"/>
    <s v="USA"/>
    <x v="10"/>
    <s v="25/05/2024"/>
    <s v="25/05/2024"/>
    <m/>
    <s v="25/05/2024"/>
    <n v="17415.669999999998"/>
    <n v="148"/>
    <m/>
    <m/>
    <s v="Above Average"/>
    <n v="55"/>
  </r>
  <r>
    <s v="Roddy Speechley"/>
    <s v="New Zealand"/>
    <x v="19"/>
    <s v="22/02/2024"/>
    <s v="22/02/2024"/>
    <m/>
    <s v="22/02/2024"/>
    <n v="5954.47"/>
    <n v="236"/>
    <m/>
    <m/>
    <s v="Below Average"/>
    <n v="1443"/>
  </r>
  <r>
    <s v="Van Tuxwell"/>
    <s v="UK"/>
    <x v="1"/>
    <d v="2024-11-07T00:00:00"/>
    <s v="07/11/2024"/>
    <m/>
    <s v="07"/>
    <n v="4179.91"/>
    <n v="140"/>
    <m/>
    <m/>
    <s v="Below Average"/>
    <n v="1935"/>
  </r>
  <r>
    <s v="Marney O'Breen"/>
    <s v="Canada"/>
    <x v="12"/>
    <d v="2024-03-01T00:00:00"/>
    <s v="01/03/2024"/>
    <m/>
    <s v="01"/>
    <n v="3939.95"/>
    <n v="365"/>
    <m/>
    <m/>
    <s v="Below Average"/>
    <n v="2002"/>
  </r>
  <r>
    <s v="Rafaelita Blaksland"/>
    <s v="New Zealand"/>
    <x v="21"/>
    <s v="24/08/2024"/>
    <s v="24/08/2024"/>
    <m/>
    <s v="24/08/2024"/>
    <n v="791.19"/>
    <n v="280"/>
    <m/>
    <m/>
    <s v="Below Average"/>
    <n v="3029"/>
  </r>
  <r>
    <s v="Beverie Moffet"/>
    <s v="USA"/>
    <x v="6"/>
    <s v="28/07/2024"/>
    <s v="28/07/2024"/>
    <m/>
    <s v="28/07/2024"/>
    <n v="2941.65"/>
    <n v="360"/>
    <m/>
    <m/>
    <s v="Below Average"/>
    <n v="2327"/>
  </r>
  <r>
    <s v="Brien Boise"/>
    <s v="USA"/>
    <x v="0"/>
    <s v="25/05/2024"/>
    <s v="25/05/2024"/>
    <m/>
    <s v="25/05/2024"/>
    <n v="12476.68"/>
    <n v="162"/>
    <m/>
    <m/>
    <s v="Above Average"/>
    <n v="304"/>
  </r>
  <r>
    <s v="Karlen McCaffrey"/>
    <s v="New Zealand"/>
    <x v="8"/>
    <d v="2024-06-05T00:00:00"/>
    <s v="05/06/2024"/>
    <m/>
    <s v="05"/>
    <n v="2817.14"/>
    <n v="191"/>
    <m/>
    <m/>
    <s v="Below Average"/>
    <n v="2366"/>
  </r>
  <r>
    <s v="Barr Faughny"/>
    <s v="India"/>
    <x v="9"/>
    <s v="28/01/2024"/>
    <s v="28/01/2024"/>
    <m/>
    <s v="28/01/2024"/>
    <n v="2411.52"/>
    <n v="144"/>
    <m/>
    <m/>
    <s v="Below Average"/>
    <n v="2513"/>
  </r>
  <r>
    <s v="Marney O'Breen"/>
    <s v="UK"/>
    <x v="7"/>
    <d v="2024-06-06T00:00:00"/>
    <s v="06/06/2024"/>
    <m/>
    <s v="06"/>
    <n v="13072.74"/>
    <n v="11"/>
    <m/>
    <m/>
    <s v="Above Average"/>
    <n v="263"/>
  </r>
  <r>
    <s v="Brien Boise"/>
    <s v="New Zealand"/>
    <x v="19"/>
    <d v="2024-12-07T00:00:00"/>
    <s v="07/12/2024"/>
    <m/>
    <s v="07"/>
    <n v="6790.41"/>
    <n v="26"/>
    <m/>
    <m/>
    <s v="Above Average"/>
    <n v="1240"/>
  </r>
  <r>
    <s v="Ches Bonnell"/>
    <s v="Canada"/>
    <x v="12"/>
    <d v="2024-05-08T00:00:00"/>
    <s v="08/05/2024"/>
    <m/>
    <s v="08"/>
    <n v="6092.47"/>
    <n v="201"/>
    <m/>
    <m/>
    <s v="Above Average"/>
    <n v="1405"/>
  </r>
  <r>
    <s v="Brien Boise"/>
    <s v="USA"/>
    <x v="7"/>
    <s v="28/01/2024"/>
    <s v="28/01/2024"/>
    <m/>
    <s v="28/01/2024"/>
    <n v="7185.5"/>
    <n v="152"/>
    <m/>
    <m/>
    <s v="Above Average"/>
    <n v="1137"/>
  </r>
  <r>
    <s v="Kaine Padly"/>
    <s v="India"/>
    <x v="12"/>
    <s v="31/08/2024"/>
    <s v="31/08/2024"/>
    <m/>
    <s v="31/08/2024"/>
    <n v="6170.8"/>
    <n v="138"/>
    <m/>
    <m/>
    <s v="Above Average"/>
    <n v="1387"/>
  </r>
  <r>
    <s v="Mallorie Waber"/>
    <s v="USA"/>
    <x v="6"/>
    <s v="19/04/2024"/>
    <s v="19/04/2024"/>
    <m/>
    <s v="19/04/2024"/>
    <n v="1945.05"/>
    <n v="14"/>
    <m/>
    <m/>
    <s v="Below Average"/>
    <n v="2650"/>
  </r>
  <r>
    <s v="Mallorie Waber"/>
    <s v="UK"/>
    <x v="0"/>
    <s v="29/06/2024"/>
    <s v="29/06/2024"/>
    <m/>
    <s v="29/06/2024"/>
    <n v="6767.42"/>
    <n v="2"/>
    <m/>
    <m/>
    <s v="Above Average"/>
    <n v="1249"/>
  </r>
  <r>
    <s v="Beverie Moffet"/>
    <s v="India"/>
    <x v="18"/>
    <s v="24/02/2024"/>
    <s v="24/02/2024"/>
    <m/>
    <s v="24/02/2024"/>
    <n v="3911.69"/>
    <n v="254"/>
    <m/>
    <m/>
    <s v="Below Average"/>
    <n v="2010"/>
  </r>
  <r>
    <s v="Madelene Upcott"/>
    <s v="UK"/>
    <x v="3"/>
    <d v="2024-04-03T00:00:00"/>
    <s v="03/04/2024"/>
    <m/>
    <s v="03"/>
    <n v="16733.759999999998"/>
    <n v="88"/>
    <m/>
    <m/>
    <s v="Above Average"/>
    <n v="75"/>
  </r>
  <r>
    <s v="Gigi Bohling"/>
    <s v="India"/>
    <x v="8"/>
    <s v="21/06/2024"/>
    <s v="21/06/2024"/>
    <m/>
    <s v="21/06/2024"/>
    <n v="3916.92"/>
    <n v="74"/>
    <m/>
    <m/>
    <s v="Below Average"/>
    <n v="2008"/>
  </r>
  <r>
    <s v="Rafaelita Blaksland"/>
    <s v="Australia"/>
    <x v="10"/>
    <s v="26/01/2024"/>
    <s v="26/01/2024"/>
    <m/>
    <s v="26/01/2024"/>
    <n v="1082.69"/>
    <n v="106"/>
    <m/>
    <m/>
    <s v="Below Average"/>
    <n v="2948"/>
  </r>
  <r>
    <s v="Oby Sorrel"/>
    <s v="New Zealand"/>
    <x v="14"/>
    <d v="2024-10-06T00:00:00"/>
    <s v="06/10/2024"/>
    <m/>
    <s v="06"/>
    <n v="4822.33"/>
    <n v="42"/>
    <m/>
    <m/>
    <s v="Below Average"/>
    <n v="1760"/>
  </r>
  <r>
    <s v="Andria Kimpton"/>
    <s v="UK"/>
    <x v="9"/>
    <s v="23/05/2024"/>
    <s v="23/05/2024"/>
    <m/>
    <s v="23/05/2024"/>
    <n v="1827.45"/>
    <n v="66"/>
    <m/>
    <m/>
    <s v="Below Average"/>
    <n v="2692"/>
  </r>
  <r>
    <s v="Kelci Walkden"/>
    <s v="India"/>
    <x v="11"/>
    <s v="15/04/2024"/>
    <s v="15/04/2024"/>
    <m/>
    <s v="15/04/2024"/>
    <n v="1142.4100000000001"/>
    <n v="111"/>
    <m/>
    <m/>
    <s v="Below Average"/>
    <n v="2921"/>
  </r>
  <r>
    <s v="Karlen McCaffrey"/>
    <s v="New Zealand"/>
    <x v="20"/>
    <s v="31/01/2024"/>
    <s v="31/01/2024"/>
    <m/>
    <s v="31/01/2024"/>
    <n v="6290.89"/>
    <n v="232"/>
    <m/>
    <m/>
    <s v="Above Average"/>
    <n v="1361"/>
  </r>
  <r>
    <s v="Andria Kimpton"/>
    <s v="New Zealand"/>
    <x v="10"/>
    <d v="2024-04-03T00:00:00"/>
    <s v="03/04/2024"/>
    <m/>
    <s v="03"/>
    <n v="5616.01"/>
    <n v="43"/>
    <m/>
    <m/>
    <s v="Below Average"/>
    <n v="1537"/>
  </r>
  <r>
    <s v="Barr Faughny"/>
    <s v="New Zealand"/>
    <x v="5"/>
    <s v="19/04/2024"/>
    <s v="19/04/2024"/>
    <m/>
    <s v="19/04/2024"/>
    <n v="11250.69"/>
    <n v="91"/>
    <m/>
    <m/>
    <s v="Above Average"/>
    <n v="423"/>
  </r>
  <r>
    <s v="Beverie Moffet"/>
    <s v="UK"/>
    <x v="16"/>
    <s v="16/05/2024"/>
    <s v="16/05/2024"/>
    <m/>
    <s v="16/05/2024"/>
    <n v="2799.42"/>
    <n v="104"/>
    <m/>
    <m/>
    <s v="Below Average"/>
    <n v="2374"/>
  </r>
  <r>
    <s v="Oby Sorrel"/>
    <s v="Australia"/>
    <x v="17"/>
    <s v="17/02/2024"/>
    <s v="17/02/2024"/>
    <m/>
    <s v="17/02/2024"/>
    <n v="1157.8800000000001"/>
    <n v="114"/>
    <m/>
    <m/>
    <s v="Below Average"/>
    <n v="2917"/>
  </r>
  <r>
    <s v="Dennison Crosswaite"/>
    <s v="USA"/>
    <x v="17"/>
    <s v="18/01/2024"/>
    <s v="18/01/2024"/>
    <m/>
    <s v="18/01/2024"/>
    <n v="7049.32"/>
    <n v="273"/>
    <m/>
    <m/>
    <s v="Above Average"/>
    <n v="1166"/>
  </r>
  <r>
    <s v="Roddy Speechley"/>
    <s v="Canada"/>
    <x v="7"/>
    <d v="2024-09-02T00:00:00"/>
    <s v="02/09/2024"/>
    <m/>
    <s v="02"/>
    <n v="9460.5"/>
    <n v="84"/>
    <m/>
    <m/>
    <s v="Above Average"/>
    <n v="662"/>
  </r>
  <r>
    <s v="Mallorie Waber"/>
    <s v="Canada"/>
    <x v="7"/>
    <s v="23/03/2024"/>
    <s v="23/03/2024"/>
    <m/>
    <s v="23/03/2024"/>
    <n v="4173.7299999999996"/>
    <n v="175"/>
    <m/>
    <m/>
    <s v="Below Average"/>
    <n v="1937"/>
  </r>
  <r>
    <s v="Madelene Upcott"/>
    <s v="New Zealand"/>
    <x v="20"/>
    <d v="2024-01-02T00:00:00"/>
    <s v="02/01/2024"/>
    <m/>
    <s v="02"/>
    <n v="4005.08"/>
    <n v="150"/>
    <m/>
    <m/>
    <s v="Below Average"/>
    <n v="1986"/>
  </r>
  <r>
    <s v="Mallorie Waber"/>
    <s v="India"/>
    <x v="9"/>
    <d v="2024-07-03T00:00:00"/>
    <s v="03/07/2024"/>
    <m/>
    <s v="03"/>
    <n v="4650.58"/>
    <n v="143"/>
    <m/>
    <m/>
    <s v="Below Average"/>
    <n v="1811"/>
  </r>
  <r>
    <s v="Ches Bonnell"/>
    <s v="UK"/>
    <x v="14"/>
    <d v="2024-03-01T00:00:00"/>
    <s v="01/03/2024"/>
    <m/>
    <s v="01"/>
    <n v="3814.56"/>
    <n v="220"/>
    <m/>
    <m/>
    <s v="Below Average"/>
    <n v="2037"/>
  </r>
  <r>
    <s v="Ches Bonnell"/>
    <s v="USA"/>
    <x v="14"/>
    <d v="2024-11-02T00:00:00"/>
    <s v="02/11/2024"/>
    <m/>
    <s v="02"/>
    <n v="6321.35"/>
    <n v="325"/>
    <m/>
    <m/>
    <s v="Above Average"/>
    <n v="1350"/>
  </r>
  <r>
    <s v="Dennison Crosswaite"/>
    <s v="New Zealand"/>
    <x v="7"/>
    <s v="16/03/2024"/>
    <s v="16/03/2024"/>
    <m/>
    <s v="16/03/2024"/>
    <n v="5245.53"/>
    <n v="144"/>
    <m/>
    <m/>
    <s v="Below Average"/>
    <n v="1635"/>
  </r>
  <r>
    <s v="Dotty Strutley"/>
    <s v="India"/>
    <x v="14"/>
    <s v="15/08/2024"/>
    <s v="15/08/2024"/>
    <m/>
    <s v="15/08/2024"/>
    <n v="12998.67"/>
    <n v="317"/>
    <m/>
    <m/>
    <s v="Above Average"/>
    <n v="269"/>
  </r>
  <r>
    <s v="Gigi Bohling"/>
    <s v="India"/>
    <x v="15"/>
    <d v="2024-12-05T00:00:00"/>
    <s v="05/12/2024"/>
    <m/>
    <s v="05"/>
    <n v="5932.12"/>
    <n v="79"/>
    <m/>
    <m/>
    <s v="Below Average"/>
    <n v="1447"/>
  </r>
  <r>
    <s v="Van Tuxwell"/>
    <s v="India"/>
    <x v="12"/>
    <d v="2024-11-04T00:00:00"/>
    <s v="04/11/2024"/>
    <m/>
    <s v="04"/>
    <n v="6811.55"/>
    <n v="4"/>
    <m/>
    <m/>
    <s v="Above Average"/>
    <n v="1233"/>
  </r>
  <r>
    <s v="Jan Morforth"/>
    <s v="New Zealand"/>
    <x v="0"/>
    <s v="30/06/2024"/>
    <s v="30/06/2024"/>
    <m/>
    <s v="30/06/2024"/>
    <n v="21381.14"/>
    <n v="311"/>
    <m/>
    <m/>
    <s v="Above Average"/>
    <n v="11"/>
  </r>
  <r>
    <s v="Dotty Strutley"/>
    <s v="New Zealand"/>
    <x v="14"/>
    <s v="15/06/2024"/>
    <s v="15/06/2024"/>
    <m/>
    <s v="15/06/2024"/>
    <n v="8423.36"/>
    <n v="63"/>
    <m/>
    <m/>
    <s v="Above Average"/>
    <n v="850"/>
  </r>
  <r>
    <s v="Rafaelita Blaksland"/>
    <s v="Canada"/>
    <x v="20"/>
    <d v="2024-01-08T00:00:00"/>
    <s v="08/01/2024"/>
    <m/>
    <s v="08"/>
    <n v="7951.43"/>
    <n v="109"/>
    <m/>
    <m/>
    <s v="Above Average"/>
    <n v="950"/>
  </r>
  <r>
    <s v="Kaine Padly"/>
    <s v="USA"/>
    <x v="11"/>
    <s v="15/06/2024"/>
    <s v="15/06/2024"/>
    <m/>
    <s v="15/06/2024"/>
    <n v="18389.099999999999"/>
    <n v="62"/>
    <m/>
    <m/>
    <s v="Above Average"/>
    <n v="37"/>
  </r>
  <r>
    <s v="Brien Boise"/>
    <s v="India"/>
    <x v="5"/>
    <s v="16/06/2024"/>
    <s v="16/06/2024"/>
    <m/>
    <s v="16/06/2024"/>
    <n v="6555.46"/>
    <n v="45"/>
    <m/>
    <m/>
    <s v="Above Average"/>
    <n v="1294"/>
  </r>
  <r>
    <s v="Oby Sorrel"/>
    <s v="New Zealand"/>
    <x v="17"/>
    <s v="13/05/2024"/>
    <s v="13/05/2024"/>
    <m/>
    <s v="13/05/2024"/>
    <n v="5129.71"/>
    <n v="270"/>
    <m/>
    <m/>
    <s v="Below Average"/>
    <n v="1664"/>
  </r>
  <r>
    <s v="Dennison Crosswaite"/>
    <s v="USA"/>
    <x v="9"/>
    <d v="2024-10-05T00:00:00"/>
    <s v="05/10/2024"/>
    <m/>
    <s v="05"/>
    <n v="2399.02"/>
    <n v="149"/>
    <m/>
    <m/>
    <s v="Below Average"/>
    <n v="2516"/>
  </r>
  <r>
    <s v="Oby Sorrel"/>
    <s v="India"/>
    <x v="8"/>
    <s v="25/08/2024"/>
    <s v="25/08/2024"/>
    <m/>
    <s v="25/08/2024"/>
    <n v="6096.53"/>
    <n v="344"/>
    <m/>
    <m/>
    <s v="Above Average"/>
    <n v="1402"/>
  </r>
  <r>
    <s v="Ches Bonnell"/>
    <s v="New Zealand"/>
    <x v="10"/>
    <s v="15/07/2024"/>
    <s v="15/07/2024"/>
    <m/>
    <s v="15/07/2024"/>
    <n v="8134.67"/>
    <n v="83"/>
    <m/>
    <m/>
    <s v="Above Average"/>
    <n v="906"/>
  </r>
  <r>
    <s v="Gigi Bohling"/>
    <s v="UK"/>
    <x v="19"/>
    <s v="16/05/2024"/>
    <s v="16/05/2024"/>
    <m/>
    <s v="16/05/2024"/>
    <n v="9969.65"/>
    <n v="449"/>
    <m/>
    <m/>
    <s v="Above Average"/>
    <n v="587"/>
  </r>
  <r>
    <s v="Jan Morforth"/>
    <s v="Australia"/>
    <x v="6"/>
    <s v="14/06/2024"/>
    <s v="14/06/2024"/>
    <m/>
    <s v="14/06/2024"/>
    <n v="3894.16"/>
    <n v="173"/>
    <m/>
    <m/>
    <s v="Below Average"/>
    <n v="2015"/>
  </r>
  <r>
    <s v="Beverie Moffet"/>
    <s v="Australia"/>
    <x v="3"/>
    <s v="25/01/2024"/>
    <s v="25/01/2024"/>
    <m/>
    <s v="25/01/2024"/>
    <n v="11533.35"/>
    <n v="491"/>
    <m/>
    <m/>
    <s v="Above Average"/>
    <n v="395"/>
  </r>
  <r>
    <s v="Ches Bonnell"/>
    <s v="USA"/>
    <x v="10"/>
    <s v="28/07/2024"/>
    <s v="28/07/2024"/>
    <m/>
    <s v="28/07/2024"/>
    <n v="8754.31"/>
    <n v="14"/>
    <m/>
    <m/>
    <s v="Above Average"/>
    <n v="790"/>
  </r>
  <r>
    <s v="Brien Boise"/>
    <s v="Canada"/>
    <x v="0"/>
    <s v="28/01/2024"/>
    <s v="28/01/2024"/>
    <m/>
    <s v="28/01/2024"/>
    <n v="5475.65"/>
    <n v="194"/>
    <m/>
    <m/>
    <s v="Below Average"/>
    <n v="1574"/>
  </r>
  <r>
    <s v="Kaine Padly"/>
    <s v="UK"/>
    <x v="7"/>
    <s v="29/06/2024"/>
    <s v="29/06/2024"/>
    <m/>
    <s v="29/06/2024"/>
    <n v="2252.94"/>
    <n v="196"/>
    <m/>
    <m/>
    <s v="Below Average"/>
    <n v="2567"/>
  </r>
  <r>
    <s v="Karlen McCaffrey"/>
    <s v="Australia"/>
    <x v="21"/>
    <s v="24/06/2024"/>
    <s v="24/06/2024"/>
    <m/>
    <s v="24/06/2024"/>
    <n v="278.77999999999997"/>
    <n v="332"/>
    <m/>
    <m/>
    <s v="Below Average"/>
    <n v="3201"/>
  </r>
  <r>
    <s v="Gunar Cockshoot"/>
    <s v="Canada"/>
    <x v="0"/>
    <d v="2024-01-07T00:00:00"/>
    <s v="07/01/2024"/>
    <m/>
    <s v="07"/>
    <n v="8936.91"/>
    <n v="442"/>
    <m/>
    <m/>
    <s v="Above Average"/>
    <n v="750"/>
  </r>
  <r>
    <s v="Roddy Speechley"/>
    <s v="USA"/>
    <x v="2"/>
    <s v="25/02/2024"/>
    <s v="25/02/2024"/>
    <m/>
    <s v="25/02/2024"/>
    <n v="2010.22"/>
    <n v="144"/>
    <m/>
    <m/>
    <s v="Below Average"/>
    <n v="2632"/>
  </r>
  <r>
    <s v="Curtice Advani"/>
    <s v="Canada"/>
    <x v="3"/>
    <d v="2024-01-08T00:00:00"/>
    <s v="08/01/2024"/>
    <m/>
    <s v="08"/>
    <n v="2901.91"/>
    <n v="12"/>
    <m/>
    <m/>
    <s v="Below Average"/>
    <n v="2345"/>
  </r>
  <r>
    <s v="Oby Sorrel"/>
    <s v="Australia"/>
    <x v="11"/>
    <s v="21/06/2024"/>
    <s v="21/06/2024"/>
    <m/>
    <s v="21/06/2024"/>
    <n v="9231.31"/>
    <n v="278"/>
    <m/>
    <m/>
    <s v="Above Average"/>
    <n v="699"/>
  </r>
  <r>
    <s v="Camilla Castle"/>
    <s v="New Zealand"/>
    <x v="12"/>
    <s v="25/01/2024"/>
    <s v="25/01/2024"/>
    <m/>
    <s v="25/01/2024"/>
    <n v="12744.67"/>
    <n v="26"/>
    <m/>
    <m/>
    <s v="Above Average"/>
    <n v="282"/>
  </r>
  <r>
    <s v="Gigi Bohling"/>
    <s v="UK"/>
    <x v="11"/>
    <s v="17/05/2024"/>
    <s v="17/05/2024"/>
    <m/>
    <s v="17/05/2024"/>
    <n v="1436.97"/>
    <n v="248"/>
    <m/>
    <m/>
    <s v="Below Average"/>
    <n v="2825"/>
  </r>
  <r>
    <s v="Andria Kimpton"/>
    <s v="Australia"/>
    <x v="1"/>
    <s v="23/08/2024"/>
    <s v="23/08/2024"/>
    <m/>
    <s v="23/08/2024"/>
    <n v="4900.32"/>
    <n v="254"/>
    <m/>
    <m/>
    <s v="Below Average"/>
    <n v="1731"/>
  </r>
  <r>
    <s v="Camilla Castle"/>
    <s v="Australia"/>
    <x v="3"/>
    <d v="2024-03-03T00:00:00"/>
    <s v="03/03/2024"/>
    <m/>
    <s v="03"/>
    <n v="8263.11"/>
    <n v="129"/>
    <m/>
    <m/>
    <s v="Above Average"/>
    <n v="881"/>
  </r>
  <r>
    <s v="Roddy Speechley"/>
    <s v="India"/>
    <x v="20"/>
    <s v="30/05/2024"/>
    <s v="30/05/2024"/>
    <m/>
    <s v="30/05/2024"/>
    <n v="10139.68"/>
    <n v="552"/>
    <m/>
    <m/>
    <s v="Above Average"/>
    <n v="561"/>
  </r>
  <r>
    <s v="Karlen McCaffrey"/>
    <s v="USA"/>
    <x v="9"/>
    <s v="29/06/2024"/>
    <s v="29/06/2024"/>
    <m/>
    <s v="29/06/2024"/>
    <n v="132.68"/>
    <n v="243"/>
    <m/>
    <m/>
    <s v="Below Average"/>
    <n v="3234"/>
  </r>
  <r>
    <s v="Andria Kimpton"/>
    <s v="Canada"/>
    <x v="10"/>
    <d v="2024-04-01T00:00:00"/>
    <s v="01/04/2024"/>
    <m/>
    <s v="01"/>
    <n v="9479.6299999999992"/>
    <n v="217"/>
    <m/>
    <m/>
    <s v="Above Average"/>
    <n v="658"/>
  </r>
  <r>
    <s v="Jehu Rudeforth"/>
    <s v="Australia"/>
    <x v="9"/>
    <s v="14/01/2024"/>
    <s v="14/01/2024"/>
    <m/>
    <s v="14/01/2024"/>
    <n v="3114.84"/>
    <n v="65"/>
    <m/>
    <m/>
    <s v="Below Average"/>
    <n v="2263"/>
  </r>
  <r>
    <s v="Karlen McCaffrey"/>
    <s v="USA"/>
    <x v="0"/>
    <s v="15/02/2024"/>
    <s v="15/02/2024"/>
    <m/>
    <s v="15/02/2024"/>
    <n v="17866.48"/>
    <n v="58"/>
    <m/>
    <m/>
    <s v="Above Average"/>
    <n v="43"/>
  </r>
  <r>
    <s v="Curtice Advani"/>
    <s v="New Zealand"/>
    <x v="12"/>
    <d v="2024-10-01T00:00:00"/>
    <s v="01/10/2024"/>
    <m/>
    <s v="01"/>
    <n v="4651.03"/>
    <n v="494"/>
    <m/>
    <m/>
    <s v="Below Average"/>
    <n v="1810"/>
  </r>
  <r>
    <s v="Madelene Upcott"/>
    <s v="USA"/>
    <x v="14"/>
    <d v="2024-04-05T00:00:00"/>
    <s v="05/04/2024"/>
    <m/>
    <s v="05"/>
    <n v="14360.42"/>
    <n v="218"/>
    <m/>
    <m/>
    <s v="Above Average"/>
    <n v="186"/>
  </r>
  <r>
    <s v="Andria Kimpton"/>
    <s v="USA"/>
    <x v="12"/>
    <s v="23/05/2024"/>
    <s v="23/05/2024"/>
    <m/>
    <s v="23/05/2024"/>
    <n v="2595.52"/>
    <n v="5"/>
    <m/>
    <m/>
    <s v="Below Average"/>
    <n v="2441"/>
  </r>
  <r>
    <s v="Barr Faughny"/>
    <s v="New Zealand"/>
    <x v="13"/>
    <s v="26/04/2024"/>
    <s v="26/04/2024"/>
    <m/>
    <s v="26/04/2024"/>
    <n v="1853.03"/>
    <n v="153"/>
    <m/>
    <m/>
    <s v="Below Average"/>
    <n v="2684"/>
  </r>
  <r>
    <s v="Oby Sorrel"/>
    <s v="Canada"/>
    <x v="10"/>
    <d v="2024-05-07T00:00:00"/>
    <s v="07/05/2024"/>
    <m/>
    <s v="07"/>
    <n v="1392.99"/>
    <n v="70"/>
    <m/>
    <m/>
    <s v="Below Average"/>
    <n v="2842"/>
  </r>
  <r>
    <s v="Madelene Upcott"/>
    <s v="UK"/>
    <x v="10"/>
    <s v="21/07/2024"/>
    <s v="21/07/2024"/>
    <m/>
    <s v="21/07/2024"/>
    <n v="7943.17"/>
    <n v="174"/>
    <m/>
    <m/>
    <s v="Above Average"/>
    <n v="953"/>
  </r>
  <r>
    <s v="Dotty Strutley"/>
    <s v="USA"/>
    <x v="0"/>
    <s v="21/02/2024"/>
    <s v="21/02/2024"/>
    <m/>
    <s v="21/02/2024"/>
    <n v="5552.79"/>
    <n v="272"/>
    <m/>
    <m/>
    <s v="Below Average"/>
    <n v="1555"/>
  </r>
  <r>
    <s v="Kelci Walkden"/>
    <s v="USA"/>
    <x v="7"/>
    <d v="2024-03-02T00:00:00"/>
    <s v="02/03/2024"/>
    <m/>
    <s v="02"/>
    <n v="1539.14"/>
    <n v="143"/>
    <m/>
    <m/>
    <s v="Below Average"/>
    <n v="2795"/>
  </r>
  <r>
    <s v="Gigi Bohling"/>
    <s v="Australia"/>
    <x v="20"/>
    <d v="2024-08-07T00:00:00"/>
    <s v="07/08/2024"/>
    <m/>
    <s v="07"/>
    <n v="9117.77"/>
    <n v="154"/>
    <m/>
    <m/>
    <s v="Above Average"/>
    <n v="715"/>
  </r>
  <r>
    <s v="Mallorie Waber"/>
    <s v="India"/>
    <x v="6"/>
    <s v="31/05/2024"/>
    <s v="31/05/2024"/>
    <m/>
    <s v="31/05/2024"/>
    <n v="631.02"/>
    <n v="140"/>
    <m/>
    <m/>
    <s v="Below Average"/>
    <n v="3089"/>
  </r>
  <r>
    <s v="Van Tuxwell"/>
    <s v="New Zealand"/>
    <x v="0"/>
    <s v="27/06/2024"/>
    <s v="27/06/2024"/>
    <m/>
    <s v="27/06/2024"/>
    <n v="4486.37"/>
    <n v="104"/>
    <m/>
    <m/>
    <s v="Below Average"/>
    <n v="1856"/>
  </r>
  <r>
    <s v="Van Tuxwell"/>
    <s v="India"/>
    <x v="6"/>
    <s v="13/05/2024"/>
    <s v="13/05/2024"/>
    <m/>
    <s v="13/05/2024"/>
    <n v="5591.29"/>
    <n v="132"/>
    <m/>
    <m/>
    <s v="Below Average"/>
    <n v="1548"/>
  </r>
  <r>
    <s v="Van Tuxwell"/>
    <s v="USA"/>
    <x v="15"/>
    <s v="31/05/2024"/>
    <s v="31/05/2024"/>
    <m/>
    <s v="31/05/2024"/>
    <n v="2662.54"/>
    <n v="102"/>
    <m/>
    <m/>
    <s v="Below Average"/>
    <n v="2417"/>
  </r>
  <r>
    <s v="Wilone O'Kielt"/>
    <s v="USA"/>
    <x v="7"/>
    <s v="28/02/2024"/>
    <s v="28/02/2024"/>
    <m/>
    <s v="28/02/2024"/>
    <n v="7481.93"/>
    <n v="38"/>
    <m/>
    <m/>
    <s v="Above Average"/>
    <n v="1070"/>
  </r>
  <r>
    <s v="Barr Faughny"/>
    <s v="New Zealand"/>
    <x v="8"/>
    <s v="28/03/2024"/>
    <s v="28/03/2024"/>
    <m/>
    <s v="28/03/2024"/>
    <n v="7418.41"/>
    <n v="31"/>
    <m/>
    <m/>
    <s v="Above Average"/>
    <n v="1085"/>
  </r>
  <r>
    <s v="Gigi Bohling"/>
    <s v="USA"/>
    <x v="5"/>
    <s v="14/01/2024"/>
    <s v="14/01/2024"/>
    <m/>
    <s v="14/01/2024"/>
    <n v="1969.06"/>
    <n v="235"/>
    <m/>
    <m/>
    <s v="Below Average"/>
    <n v="2642"/>
  </r>
  <r>
    <s v="Barr Faughny"/>
    <s v="New Zealand"/>
    <x v="0"/>
    <s v="21/02/2024"/>
    <s v="21/02/2024"/>
    <m/>
    <s v="21/02/2024"/>
    <n v="7197.75"/>
    <n v="159"/>
    <m/>
    <m/>
    <s v="Above Average"/>
    <n v="1131"/>
  </r>
  <r>
    <s v="Dennison Crosswaite"/>
    <s v="Canada"/>
    <x v="1"/>
    <d v="2024-01-08T00:00:00"/>
    <s v="08/01/2024"/>
    <m/>
    <s v="08"/>
    <n v="11719.06"/>
    <n v="87"/>
    <m/>
    <m/>
    <s v="Above Average"/>
    <n v="371"/>
  </r>
  <r>
    <s v="Beverie Moffet"/>
    <s v="New Zealand"/>
    <x v="3"/>
    <s v="19/05/2024"/>
    <s v="19/05/2024"/>
    <m/>
    <s v="19/05/2024"/>
    <n v="2755.14"/>
    <n v="63"/>
    <m/>
    <m/>
    <s v="Below Average"/>
    <n v="2391"/>
  </r>
  <r>
    <s v="Husein Augar"/>
    <s v="USA"/>
    <x v="14"/>
    <s v="13/07/2024"/>
    <s v="13/07/2024"/>
    <m/>
    <s v="13/07/2024"/>
    <n v="2438.56"/>
    <n v="61"/>
    <m/>
    <m/>
    <s v="Below Average"/>
    <n v="2504"/>
  </r>
  <r>
    <s v="Andria Kimpton"/>
    <s v="Australia"/>
    <x v="2"/>
    <s v="20/04/2024"/>
    <s v="20/04/2024"/>
    <m/>
    <s v="20/04/2024"/>
    <n v="7661.86"/>
    <n v="144"/>
    <m/>
    <m/>
    <s v="Above Average"/>
    <n v="1027"/>
  </r>
  <r>
    <s v="Dennison Crosswaite"/>
    <s v="India"/>
    <x v="1"/>
    <s v="30/06/2024"/>
    <s v="30/06/2024"/>
    <m/>
    <s v="30/06/2024"/>
    <n v="4886.1499999999996"/>
    <n v="23"/>
    <m/>
    <m/>
    <s v="Below Average"/>
    <n v="1737"/>
  </r>
  <r>
    <s v="Curtice Advani"/>
    <s v="UK"/>
    <x v="6"/>
    <d v="2024-08-03T00:00:00"/>
    <s v="03/08/2024"/>
    <m/>
    <s v="03"/>
    <n v="3572.26"/>
    <n v="156"/>
    <m/>
    <m/>
    <s v="Below Average"/>
    <n v="2117"/>
  </r>
  <r>
    <s v="Gunar Cockshoot"/>
    <s v="USA"/>
    <x v="13"/>
    <d v="2024-09-03T00:00:00"/>
    <s v="03/09/2024"/>
    <m/>
    <s v="03"/>
    <n v="6937.75"/>
    <n v="94"/>
    <m/>
    <m/>
    <s v="Above Average"/>
    <n v="1198"/>
  </r>
  <r>
    <s v="Oby Sorrel"/>
    <s v="Canada"/>
    <x v="17"/>
    <s v="16/06/2024"/>
    <s v="16/06/2024"/>
    <m/>
    <s v="16/06/2024"/>
    <n v="1941.25"/>
    <n v="221"/>
    <m/>
    <m/>
    <s v="Below Average"/>
    <n v="2652"/>
  </r>
  <r>
    <s v="Gigi Bohling"/>
    <s v="UK"/>
    <x v="9"/>
    <s v="30/06/2024"/>
    <s v="30/06/2024"/>
    <m/>
    <s v="30/06/2024"/>
    <n v="6173.15"/>
    <n v="46"/>
    <m/>
    <m/>
    <s v="Above Average"/>
    <n v="1386"/>
  </r>
  <r>
    <s v="Kelci Walkden"/>
    <s v="India"/>
    <x v="0"/>
    <s v="28/07/2024"/>
    <s v="28/07/2024"/>
    <m/>
    <s v="28/07/2024"/>
    <n v="3105.45"/>
    <n v="116"/>
    <m/>
    <m/>
    <s v="Below Average"/>
    <n v="2268"/>
  </r>
  <r>
    <s v="Karlen McCaffrey"/>
    <s v="Canada"/>
    <x v="2"/>
    <d v="2024-12-08T00:00:00"/>
    <s v="08/12/2024"/>
    <m/>
    <s v="08"/>
    <n v="3691.6"/>
    <n v="154"/>
    <m/>
    <m/>
    <s v="Below Average"/>
    <n v="2077"/>
  </r>
  <r>
    <s v="Barr Faughny"/>
    <s v="UK"/>
    <x v="0"/>
    <d v="2024-07-07T00:00:00"/>
    <s v="07/07/2024"/>
    <m/>
    <s v="07"/>
    <n v="3950.65"/>
    <n v="324"/>
    <m/>
    <m/>
    <s v="Below Average"/>
    <n v="2000"/>
  </r>
  <r>
    <s v="Barr Faughny"/>
    <s v="USA"/>
    <x v="1"/>
    <s v="25/08/2024"/>
    <s v="25/08/2024"/>
    <m/>
    <s v="25/08/2024"/>
    <n v="13497.17"/>
    <n v="49"/>
    <m/>
    <m/>
    <s v="Above Average"/>
    <n v="236"/>
  </r>
  <r>
    <s v="Husein Augar"/>
    <s v="Canada"/>
    <x v="8"/>
    <s v="17/01/2024"/>
    <s v="17/01/2024"/>
    <m/>
    <s v="17/01/2024"/>
    <n v="4389.2299999999996"/>
    <n v="241"/>
    <m/>
    <m/>
    <s v="Below Average"/>
    <n v="1877"/>
  </r>
  <r>
    <s v="Jan Morforth"/>
    <s v="Australia"/>
    <x v="21"/>
    <d v="2024-04-03T00:00:00"/>
    <s v="03/04/2024"/>
    <m/>
    <s v="03"/>
    <n v="6310.98"/>
    <n v="366"/>
    <m/>
    <m/>
    <s v="Above Average"/>
    <n v="1356"/>
  </r>
  <r>
    <s v="Marney O'Breen"/>
    <s v="New Zealand"/>
    <x v="13"/>
    <s v="25/08/2024"/>
    <s v="25/08/2024"/>
    <m/>
    <s v="25/08/2024"/>
    <n v="9693.3700000000008"/>
    <n v="4"/>
    <m/>
    <m/>
    <s v="Above Average"/>
    <n v="630"/>
  </r>
  <r>
    <s v="Ches Bonnell"/>
    <s v="UK"/>
    <x v="2"/>
    <s v="15/04/2024"/>
    <s v="15/04/2024"/>
    <m/>
    <s v="15/04/2024"/>
    <n v="2348.1999999999998"/>
    <n v="266"/>
    <m/>
    <m/>
    <s v="Below Average"/>
    <n v="2530"/>
  </r>
  <r>
    <s v="Kaine Padly"/>
    <s v="USA"/>
    <x v="10"/>
    <d v="2024-11-03T00:00:00"/>
    <s v="03/11/2024"/>
    <m/>
    <s v="03"/>
    <n v="2518.5"/>
    <n v="24"/>
    <m/>
    <m/>
    <s v="Below Average"/>
    <n v="2463"/>
  </r>
  <r>
    <s v="Camilla Castle"/>
    <s v="USA"/>
    <x v="17"/>
    <s v="20/05/2024"/>
    <s v="20/05/2024"/>
    <m/>
    <s v="20/05/2024"/>
    <n v="3516.72"/>
    <n v="17"/>
    <m/>
    <m/>
    <s v="Below Average"/>
    <n v="2134"/>
  </r>
  <r>
    <s v="Brien Boise"/>
    <s v="New Zealand"/>
    <x v="15"/>
    <s v="14/06/2024"/>
    <s v="14/06/2024"/>
    <m/>
    <s v="14/06/2024"/>
    <n v="16807.37"/>
    <n v="44"/>
    <m/>
    <m/>
    <s v="Above Average"/>
    <n v="70"/>
  </r>
  <r>
    <s v="Jehu Rudeforth"/>
    <s v="New Zealand"/>
    <x v="5"/>
    <s v="14/04/2024"/>
    <s v="14/04/2024"/>
    <m/>
    <s v="14/04/2024"/>
    <n v="1736.59"/>
    <n v="70"/>
    <m/>
    <m/>
    <s v="Below Average"/>
    <n v="2719"/>
  </r>
  <r>
    <s v="Jehu Rudeforth"/>
    <s v="USA"/>
    <x v="3"/>
    <d v="2024-07-07T00:00:00"/>
    <s v="07/07/2024"/>
    <m/>
    <s v="07"/>
    <n v="7900.11"/>
    <n v="168"/>
    <m/>
    <m/>
    <s v="Above Average"/>
    <n v="969"/>
  </r>
  <r>
    <s v="Madelene Upcott"/>
    <s v="India"/>
    <x v="0"/>
    <s v="24/08/2024"/>
    <s v="24/08/2024"/>
    <m/>
    <s v="24/08/2024"/>
    <n v="4016.89"/>
    <n v="71"/>
    <m/>
    <m/>
    <s v="Below Average"/>
    <n v="1981"/>
  </r>
  <r>
    <s v="Jehu Rudeforth"/>
    <s v="India"/>
    <x v="8"/>
    <s v="24/02/2024"/>
    <s v="24/02/2024"/>
    <m/>
    <s v="24/02/2024"/>
    <n v="9642.6200000000008"/>
    <n v="140"/>
    <m/>
    <m/>
    <s v="Above Average"/>
    <n v="638"/>
  </r>
  <r>
    <s v="Karlen McCaffrey"/>
    <s v="Canada"/>
    <x v="17"/>
    <d v="2024-09-05T00:00:00"/>
    <s v="05/09/2024"/>
    <m/>
    <s v="05"/>
    <n v="773.7"/>
    <n v="217"/>
    <m/>
    <m/>
    <s v="Below Average"/>
    <n v="3040"/>
  </r>
  <r>
    <s v="Kaine Padly"/>
    <s v="Australia"/>
    <x v="21"/>
    <d v="2024-08-02T00:00:00"/>
    <s v="02/08/2024"/>
    <m/>
    <s v="02"/>
    <n v="7852.03"/>
    <n v="240"/>
    <m/>
    <m/>
    <s v="Above Average"/>
    <n v="981"/>
  </r>
  <r>
    <s v="Roddy Speechley"/>
    <s v="UK"/>
    <x v="21"/>
    <s v="24/03/2024"/>
    <s v="24/03/2024"/>
    <m/>
    <s v="24/03/2024"/>
    <n v="1649.57"/>
    <n v="293"/>
    <m/>
    <m/>
    <s v="Below Average"/>
    <n v="2752"/>
  </r>
  <r>
    <s v="Rafaelita Blaksland"/>
    <s v="USA"/>
    <x v="9"/>
    <s v="20/06/2024"/>
    <s v="20/06/2024"/>
    <m/>
    <s v="20/06/2024"/>
    <n v="9333.4500000000007"/>
    <n v="78"/>
    <m/>
    <m/>
    <s v="Above Average"/>
    <n v="681"/>
  </r>
  <r>
    <s v="Mallorie Waber"/>
    <s v="Canada"/>
    <x v="15"/>
    <d v="2024-07-03T00:00:00"/>
    <s v="03/07/2024"/>
    <m/>
    <s v="03"/>
    <n v="1540.11"/>
    <n v="117"/>
    <m/>
    <m/>
    <s v="Below Average"/>
    <n v="2792"/>
  </r>
  <r>
    <s v="Kaine Padly"/>
    <s v="Australia"/>
    <x v="13"/>
    <s v="20/06/2024"/>
    <s v="20/06/2024"/>
    <m/>
    <s v="20/06/2024"/>
    <n v="7840.94"/>
    <n v="82"/>
    <m/>
    <m/>
    <s v="Above Average"/>
    <n v="982"/>
  </r>
  <r>
    <s v="Oby Sorrel"/>
    <s v="New Zealand"/>
    <x v="10"/>
    <s v="17/02/2024"/>
    <s v="17/02/2024"/>
    <m/>
    <s v="17/02/2024"/>
    <n v="17102.97"/>
    <n v="267"/>
    <m/>
    <m/>
    <s v="Above Average"/>
    <n v="64"/>
  </r>
  <r>
    <s v="Madelene Upcott"/>
    <s v="UK"/>
    <x v="4"/>
    <s v="26/01/2024"/>
    <s v="26/01/2024"/>
    <m/>
    <s v="26/01/2024"/>
    <n v="11496.42"/>
    <n v="49"/>
    <m/>
    <m/>
    <s v="Above Average"/>
    <n v="398"/>
  </r>
  <r>
    <s v="Madelene Upcott"/>
    <s v="Australia"/>
    <x v="0"/>
    <d v="2024-02-05T00:00:00"/>
    <s v="05/02/2024"/>
    <m/>
    <s v="05"/>
    <n v="3072.89"/>
    <n v="166"/>
    <m/>
    <m/>
    <s v="Below Average"/>
    <n v="2280"/>
  </r>
  <r>
    <s v="Curtice Advani"/>
    <s v="Canada"/>
    <x v="4"/>
    <d v="2024-07-07T00:00:00"/>
    <s v="07/07/2024"/>
    <m/>
    <s v="07"/>
    <n v="14990.79"/>
    <n v="7"/>
    <m/>
    <m/>
    <s v="Above Average"/>
    <n v="146"/>
  </r>
  <r>
    <s v="Rafaelita Blaksland"/>
    <s v="Australia"/>
    <x v="19"/>
    <s v="22/08/2024"/>
    <s v="22/08/2024"/>
    <m/>
    <s v="22/08/2024"/>
    <n v="3170.18"/>
    <n v="49"/>
    <m/>
    <m/>
    <s v="Below Average"/>
    <n v="2246"/>
  </r>
  <r>
    <s v="Karlen McCaffrey"/>
    <s v="Australia"/>
    <x v="5"/>
    <d v="2024-11-08T00:00:00"/>
    <s v="08/11/2024"/>
    <m/>
    <s v="08"/>
    <n v="2528.14"/>
    <n v="67"/>
    <m/>
    <m/>
    <s v="Below Average"/>
    <n v="2459"/>
  </r>
  <r>
    <s v="Marney O'Breen"/>
    <s v="UK"/>
    <x v="4"/>
    <s v="13/01/2024"/>
    <s v="13/01/2024"/>
    <m/>
    <s v="13/01/2024"/>
    <n v="8551.6"/>
    <n v="208"/>
    <m/>
    <m/>
    <s v="Above Average"/>
    <n v="822"/>
  </r>
  <r>
    <s v="Gunar Cockshoot"/>
    <s v="Australia"/>
    <x v="6"/>
    <d v="2024-02-03T00:00:00"/>
    <s v="03/02/2024"/>
    <m/>
    <s v="03"/>
    <n v="13072.95"/>
    <n v="119"/>
    <m/>
    <m/>
    <s v="Above Average"/>
    <n v="262"/>
  </r>
  <r>
    <s v="Marney O'Breen"/>
    <s v="Australia"/>
    <x v="18"/>
    <s v="27/07/2024"/>
    <s v="27/07/2024"/>
    <m/>
    <s v="27/07/2024"/>
    <n v="11987.26"/>
    <n v="41"/>
    <m/>
    <m/>
    <s v="Above Average"/>
    <n v="347"/>
  </r>
  <r>
    <s v="Kelci Walkden"/>
    <s v="New Zealand"/>
    <x v="9"/>
    <d v="2024-10-03T00:00:00"/>
    <s v="03/10/2024"/>
    <m/>
    <s v="03"/>
    <n v="18385.439999999999"/>
    <n v="116"/>
    <m/>
    <m/>
    <s v="Above Average"/>
    <n v="38"/>
  </r>
  <r>
    <s v="Beverie Moffet"/>
    <s v="USA"/>
    <x v="1"/>
    <s v="23/08/2024"/>
    <s v="23/08/2024"/>
    <m/>
    <s v="23/08/2024"/>
    <n v="14028.4"/>
    <n v="344"/>
    <m/>
    <m/>
    <s v="Above Average"/>
    <n v="206"/>
  </r>
  <r>
    <s v="Roddy Speechley"/>
    <s v="USA"/>
    <x v="8"/>
    <s v="25/04/2024"/>
    <s v="25/04/2024"/>
    <m/>
    <s v="25/04/2024"/>
    <n v="4812.71"/>
    <n v="169"/>
    <m/>
    <m/>
    <s v="Below Average"/>
    <n v="1763"/>
  </r>
  <r>
    <s v="Dennison Crosswaite"/>
    <s v="UK"/>
    <x v="11"/>
    <d v="2024-07-03T00:00:00"/>
    <s v="03/07/2024"/>
    <m/>
    <s v="03"/>
    <n v="11963.91"/>
    <n v="446"/>
    <m/>
    <m/>
    <s v="Above Average"/>
    <n v="348"/>
  </r>
  <r>
    <s v="Wilone O'Kielt"/>
    <s v="UK"/>
    <x v="10"/>
    <d v="2024-12-07T00:00:00"/>
    <s v="07/12/2024"/>
    <m/>
    <s v="07"/>
    <n v="5574.83"/>
    <n v="52"/>
    <m/>
    <m/>
    <s v="Below Average"/>
    <n v="1550"/>
  </r>
  <r>
    <s v="Madelene Upcott"/>
    <s v="USA"/>
    <x v="7"/>
    <s v="16/05/2024"/>
    <s v="16/05/2024"/>
    <m/>
    <s v="16/05/2024"/>
    <n v="9205.15"/>
    <n v="144"/>
    <m/>
    <m/>
    <s v="Above Average"/>
    <n v="702"/>
  </r>
  <r>
    <s v="Gunar Cockshoot"/>
    <s v="India"/>
    <x v="3"/>
    <d v="2024-02-03T00:00:00"/>
    <s v="03/02/2024"/>
    <m/>
    <s v="03"/>
    <n v="4133.74"/>
    <n v="69"/>
    <m/>
    <m/>
    <s v="Below Average"/>
    <n v="1950"/>
  </r>
  <r>
    <s v="Marney O'Breen"/>
    <s v="New Zealand"/>
    <x v="1"/>
    <s v="30/05/2024"/>
    <s v="30/05/2024"/>
    <m/>
    <s v="30/05/2024"/>
    <n v="1312.23"/>
    <n v="164"/>
    <m/>
    <m/>
    <s v="Below Average"/>
    <n v="2868"/>
  </r>
  <r>
    <s v="Marney O'Breen"/>
    <s v="UK"/>
    <x v="15"/>
    <d v="2024-10-06T00:00:00"/>
    <s v="06/10/2024"/>
    <m/>
    <s v="06"/>
    <n v="11735.75"/>
    <n v="185"/>
    <m/>
    <m/>
    <s v="Above Average"/>
    <n v="368"/>
  </r>
  <r>
    <s v="Brien Boise"/>
    <s v="USA"/>
    <x v="4"/>
    <s v="25/07/2024"/>
    <s v="25/07/2024"/>
    <m/>
    <s v="25/07/2024"/>
    <n v="7650.76"/>
    <n v="358"/>
    <m/>
    <m/>
    <s v="Above Average"/>
    <n v="1028"/>
  </r>
  <r>
    <s v="Beverie Moffet"/>
    <s v="New Zealand"/>
    <x v="0"/>
    <d v="2024-09-06T00:00:00"/>
    <s v="06/09/2024"/>
    <m/>
    <s v="06"/>
    <n v="4994.93"/>
    <n v="98"/>
    <m/>
    <m/>
    <s v="Below Average"/>
    <n v="1706"/>
  </r>
  <r>
    <s v="Dennison Crosswaite"/>
    <s v="USA"/>
    <x v="11"/>
    <d v="2024-12-05T00:00:00"/>
    <s v="05/12/2024"/>
    <m/>
    <s v="05"/>
    <n v="890.78"/>
    <n v="62"/>
    <m/>
    <m/>
    <s v="Below Average"/>
    <n v="3005"/>
  </r>
  <r>
    <s v="Gunar Cockshoot"/>
    <s v="USA"/>
    <x v="9"/>
    <d v="2024-09-05T00:00:00"/>
    <s v="05/09/2024"/>
    <m/>
    <s v="05"/>
    <n v="4142.16"/>
    <n v="5"/>
    <m/>
    <m/>
    <s v="Below Average"/>
    <n v="1947"/>
  </r>
  <r>
    <s v="Brien Boise"/>
    <s v="Canada"/>
    <x v="15"/>
    <d v="2024-09-08T00:00:00"/>
    <s v="08/09/2024"/>
    <m/>
    <s v="08"/>
    <n v="7308.24"/>
    <n v="178"/>
    <m/>
    <m/>
    <s v="Above Average"/>
    <n v="1106"/>
  </r>
  <r>
    <s v="Van Tuxwell"/>
    <s v="India"/>
    <x v="18"/>
    <s v="13/04/2024"/>
    <s v="13/04/2024"/>
    <m/>
    <s v="13/04/2024"/>
    <n v="6833.86"/>
    <n v="115"/>
    <m/>
    <m/>
    <s v="Above Average"/>
    <n v="1223"/>
  </r>
  <r>
    <s v="Andria Kimpton"/>
    <s v="USA"/>
    <x v="20"/>
    <d v="2024-02-05T00:00:00"/>
    <s v="05/02/2024"/>
    <m/>
    <s v="05"/>
    <n v="8878.27"/>
    <n v="47"/>
    <m/>
    <m/>
    <s v="Above Average"/>
    <n v="765"/>
  </r>
  <r>
    <s v="Dotty Strutley"/>
    <s v="USA"/>
    <x v="4"/>
    <d v="2024-09-08T00:00:00"/>
    <s v="08/09/2024"/>
    <m/>
    <s v="08"/>
    <n v="4134.93"/>
    <n v="307"/>
    <m/>
    <m/>
    <s v="Below Average"/>
    <n v="1949"/>
  </r>
  <r>
    <s v="Camilla Castle"/>
    <s v="Australia"/>
    <x v="17"/>
    <s v="23/08/2024"/>
    <s v="23/08/2024"/>
    <m/>
    <s v="23/08/2024"/>
    <n v="6641.89"/>
    <n v="188"/>
    <m/>
    <m/>
    <s v="Above Average"/>
    <n v="1276"/>
  </r>
  <r>
    <s v="Gunar Cockshoot"/>
    <s v="India"/>
    <x v="12"/>
    <s v="13/05/2024"/>
    <s v="13/05/2024"/>
    <m/>
    <s v="13/05/2024"/>
    <n v="7117.3"/>
    <n v="174"/>
    <m/>
    <m/>
    <s v="Above Average"/>
    <n v="1155"/>
  </r>
  <r>
    <s v="Karlen McCaffrey"/>
    <s v="USA"/>
    <x v="15"/>
    <d v="2024-01-02T00:00:00"/>
    <s v="02/01/2024"/>
    <m/>
    <s v="02"/>
    <n v="11815.59"/>
    <n v="68"/>
    <m/>
    <m/>
    <s v="Above Average"/>
    <n v="359"/>
  </r>
  <r>
    <s v="Camilla Castle"/>
    <s v="USA"/>
    <x v="6"/>
    <s v="23/06/2024"/>
    <s v="23/06/2024"/>
    <m/>
    <s v="23/06/2024"/>
    <n v="6962.79"/>
    <n v="303"/>
    <m/>
    <m/>
    <s v="Above Average"/>
    <n v="1195"/>
  </r>
  <r>
    <s v="Madelene Upcott"/>
    <s v="UK"/>
    <x v="18"/>
    <s v="24/05/2024"/>
    <s v="24/05/2024"/>
    <m/>
    <s v="24/05/2024"/>
    <n v="11786.42"/>
    <n v="147"/>
    <m/>
    <m/>
    <s v="Above Average"/>
    <n v="363"/>
  </r>
  <r>
    <s v="Jan Morforth"/>
    <s v="Canada"/>
    <x v="0"/>
    <d v="2024-01-04T00:00:00"/>
    <s v="04/01/2024"/>
    <m/>
    <s v="04"/>
    <n v="1200.19"/>
    <n v="224"/>
    <m/>
    <m/>
    <s v="Below Average"/>
    <n v="2906"/>
  </r>
  <r>
    <s v="Camilla Castle"/>
    <s v="Canada"/>
    <x v="21"/>
    <s v="27/07/2024"/>
    <s v="27/07/2024"/>
    <m/>
    <s v="27/07/2024"/>
    <n v="10791.08"/>
    <n v="166"/>
    <m/>
    <m/>
    <s v="Above Average"/>
    <n v="476"/>
  </r>
  <r>
    <s v="Ches Bonnell"/>
    <s v="India"/>
    <x v="2"/>
    <s v="27/01/2024"/>
    <s v="27/01/2024"/>
    <m/>
    <s v="27/01/2024"/>
    <n v="26170.95"/>
    <n v="224"/>
    <m/>
    <m/>
    <s v="Above Average"/>
    <n v="1"/>
  </r>
  <r>
    <s v="Jan Morforth"/>
    <s v="India"/>
    <x v="18"/>
    <d v="2024-12-08T00:00:00"/>
    <s v="08/12/2024"/>
    <m/>
    <s v="08"/>
    <n v="2987.81"/>
    <n v="136"/>
    <m/>
    <m/>
    <s v="Below Average"/>
    <n v="2315"/>
  </r>
  <r>
    <s v="Gigi Bohling"/>
    <s v="Canada"/>
    <x v="16"/>
    <d v="2024-01-02T00:00:00"/>
    <s v="02/01/2024"/>
    <m/>
    <s v="02"/>
    <n v="11705.99"/>
    <n v="47"/>
    <m/>
    <m/>
    <s v="Above Average"/>
    <n v="373"/>
  </r>
  <r>
    <s v="Rafaelita Blaksland"/>
    <s v="India"/>
    <x v="5"/>
    <d v="2024-02-03T00:00:00"/>
    <s v="03/02/2024"/>
    <m/>
    <s v="03"/>
    <n v="5256.03"/>
    <n v="201"/>
    <m/>
    <m/>
    <s v="Below Average"/>
    <n v="1629"/>
  </r>
  <r>
    <s v="Kelci Walkden"/>
    <s v="Australia"/>
    <x v="4"/>
    <s v="30/06/2024"/>
    <s v="30/06/2024"/>
    <m/>
    <s v="30/06/2024"/>
    <n v="3794.1"/>
    <n v="36"/>
    <m/>
    <m/>
    <s v="Below Average"/>
    <n v="2039"/>
  </r>
  <r>
    <s v="Dotty Strutley"/>
    <s v="Australia"/>
    <x v="12"/>
    <s v="17/01/2024"/>
    <s v="17/01/2024"/>
    <m/>
    <s v="17/01/2024"/>
    <n v="9655.2999999999993"/>
    <n v="97"/>
    <m/>
    <m/>
    <s v="Above Average"/>
    <n v="637"/>
  </r>
  <r>
    <s v="Brien Boise"/>
    <s v="USA"/>
    <x v="11"/>
    <d v="2024-07-07T00:00:00"/>
    <s v="07/07/2024"/>
    <m/>
    <s v="07"/>
    <n v="16001.54"/>
    <n v="133"/>
    <m/>
    <m/>
    <s v="Above Average"/>
    <n v="101"/>
  </r>
  <r>
    <s v="Mallorie Waber"/>
    <s v="New Zealand"/>
    <x v="0"/>
    <s v="31/01/2024"/>
    <s v="31/01/2024"/>
    <m/>
    <s v="31/01/2024"/>
    <n v="1386.1"/>
    <n v="104"/>
    <m/>
    <m/>
    <s v="Below Average"/>
    <n v="2844"/>
  </r>
  <r>
    <s v="Beverie Moffet"/>
    <s v="UK"/>
    <x v="4"/>
    <d v="2024-10-08T00:00:00"/>
    <s v="08/10/2024"/>
    <m/>
    <s v="08"/>
    <n v="3821.76"/>
    <n v="122"/>
    <m/>
    <m/>
    <s v="Below Average"/>
    <n v="2034"/>
  </r>
  <r>
    <s v="Beverie Moffet"/>
    <s v="USA"/>
    <x v="2"/>
    <s v="18/08/2024"/>
    <s v="18/08/2024"/>
    <m/>
    <s v="18/08/2024"/>
    <n v="15722.43"/>
    <n v="351"/>
    <m/>
    <m/>
    <s v="Above Average"/>
    <n v="113"/>
  </r>
  <r>
    <s v="Brien Boise"/>
    <s v="New Zealand"/>
    <x v="14"/>
    <s v="15/06/2024"/>
    <s v="15/06/2024"/>
    <m/>
    <s v="15/06/2024"/>
    <n v="6287.25"/>
    <n v="340"/>
    <m/>
    <m/>
    <s v="Above Average"/>
    <n v="1362"/>
  </r>
  <r>
    <s v="Marney O'Breen"/>
    <s v="USA"/>
    <x v="19"/>
    <s v="26/01/2024"/>
    <s v="26/01/2024"/>
    <m/>
    <s v="26/01/2024"/>
    <n v="9831.9699999999993"/>
    <n v="9"/>
    <m/>
    <m/>
    <s v="Above Average"/>
    <n v="609"/>
  </r>
  <r>
    <s v="Kelci Walkden"/>
    <s v="USA"/>
    <x v="12"/>
    <s v="29/04/2024"/>
    <s v="29/04/2024"/>
    <m/>
    <s v="29/04/2024"/>
    <n v="90.36"/>
    <n v="73"/>
    <m/>
    <m/>
    <s v="Below Average"/>
    <n v="3248"/>
  </r>
  <r>
    <s v="Mallorie Waber"/>
    <s v="Canada"/>
    <x v="14"/>
    <d v="2024-03-03T00:00:00"/>
    <s v="03/03/2024"/>
    <m/>
    <s v="03"/>
    <n v="3799.5"/>
    <n v="71"/>
    <m/>
    <m/>
    <s v="Below Average"/>
    <n v="2038"/>
  </r>
  <r>
    <s v="Kaine Padly"/>
    <s v="Australia"/>
    <x v="16"/>
    <s v="22/02/2024"/>
    <s v="22/02/2024"/>
    <m/>
    <s v="22/02/2024"/>
    <n v="4674.2"/>
    <n v="422"/>
    <m/>
    <m/>
    <s v="Below Average"/>
    <n v="1806"/>
  </r>
  <r>
    <s v="Oby Sorrel"/>
    <s v="USA"/>
    <x v="3"/>
    <d v="2024-04-03T00:00:00"/>
    <s v="03/04/2024"/>
    <m/>
    <s v="03"/>
    <n v="4011.83"/>
    <n v="169"/>
    <m/>
    <m/>
    <s v="Below Average"/>
    <n v="1983"/>
  </r>
  <r>
    <s v="Dennison Crosswaite"/>
    <s v="India"/>
    <x v="3"/>
    <d v="2024-07-07T00:00:00"/>
    <s v="07/07/2024"/>
    <m/>
    <s v="07"/>
    <n v="3429.85"/>
    <n v="9"/>
    <m/>
    <m/>
    <s v="Below Average"/>
    <n v="2165"/>
  </r>
  <r>
    <s v="Camilla Castle"/>
    <s v="New Zealand"/>
    <x v="20"/>
    <s v="17/06/2024"/>
    <s v="17/06/2024"/>
    <m/>
    <s v="17/06/2024"/>
    <n v="4920.68"/>
    <n v="380"/>
    <m/>
    <m/>
    <s v="Below Average"/>
    <n v="1723"/>
  </r>
  <r>
    <s v="Jan Morforth"/>
    <s v="Canada"/>
    <x v="20"/>
    <d v="2024-02-08T00:00:00"/>
    <s v="08/02/2024"/>
    <m/>
    <s v="08"/>
    <n v="10049.719999999999"/>
    <n v="118"/>
    <m/>
    <m/>
    <s v="Above Average"/>
    <n v="573"/>
  </r>
  <r>
    <s v="Oby Sorrel"/>
    <s v="USA"/>
    <x v="19"/>
    <d v="2024-12-08T00:00:00"/>
    <s v="08/12/2024"/>
    <m/>
    <s v="08"/>
    <n v="8485.1"/>
    <n v="120"/>
    <m/>
    <m/>
    <s v="Above Average"/>
    <n v="839"/>
  </r>
  <r>
    <s v="Madelene Upcott"/>
    <s v="New Zealand"/>
    <x v="2"/>
    <s v="28/01/2024"/>
    <s v="28/01/2024"/>
    <m/>
    <s v="28/01/2024"/>
    <n v="6030.31"/>
    <n v="351"/>
    <m/>
    <m/>
    <s v="Below Average"/>
    <n v="1428"/>
  </r>
  <r>
    <s v="Kelci Walkden"/>
    <s v="Australia"/>
    <x v="7"/>
    <s v="29/04/2024"/>
    <s v="29/04/2024"/>
    <m/>
    <s v="29/04/2024"/>
    <n v="13331.77"/>
    <n v="443"/>
    <m/>
    <m/>
    <s v="Above Average"/>
    <n v="247"/>
  </r>
  <r>
    <s v="Marney O'Breen"/>
    <s v="Australia"/>
    <x v="15"/>
    <d v="2024-05-04T00:00:00"/>
    <s v="04/05/2024"/>
    <m/>
    <s v="04"/>
    <n v="15245.95"/>
    <n v="233"/>
    <m/>
    <m/>
    <s v="Above Average"/>
    <n v="140"/>
  </r>
  <r>
    <s v="Kaine Padly"/>
    <s v="Canada"/>
    <x v="15"/>
    <s v="18/01/2024"/>
    <s v="18/01/2024"/>
    <m/>
    <s v="18/01/2024"/>
    <n v="11618.55"/>
    <n v="133"/>
    <m/>
    <m/>
    <s v="Above Average"/>
    <n v="384"/>
  </r>
  <r>
    <s v="Jehu Rudeforth"/>
    <s v="UK"/>
    <x v="19"/>
    <s v="16/05/2024"/>
    <s v="16/05/2024"/>
    <m/>
    <s v="16/05/2024"/>
    <n v="2629.59"/>
    <n v="98"/>
    <m/>
    <m/>
    <s v="Below Average"/>
    <n v="2432"/>
  </r>
  <r>
    <s v="Kelci Walkden"/>
    <s v="Australia"/>
    <x v="14"/>
    <s v="24/08/2024"/>
    <s v="24/08/2024"/>
    <m/>
    <s v="24/08/2024"/>
    <n v="10089.49"/>
    <n v="168"/>
    <m/>
    <m/>
    <s v="Above Average"/>
    <n v="570"/>
  </r>
  <r>
    <s v="Curtice Advani"/>
    <s v="India"/>
    <x v="1"/>
    <s v="18/01/2024"/>
    <s v="18/01/2024"/>
    <m/>
    <s v="18/01/2024"/>
    <n v="308.24"/>
    <n v="402"/>
    <m/>
    <m/>
    <s v="Below Average"/>
    <n v="3186"/>
  </r>
  <r>
    <s v="Kaine Padly"/>
    <s v="USA"/>
    <x v="8"/>
    <s v="22/08/2024"/>
    <s v="22/08/2024"/>
    <m/>
    <s v="22/08/2024"/>
    <n v="7978.76"/>
    <n v="10"/>
    <m/>
    <m/>
    <s v="Above Average"/>
    <n v="942"/>
  </r>
  <r>
    <s v="Gunar Cockshoot"/>
    <s v="UK"/>
    <x v="4"/>
    <d v="2024-07-03T00:00:00"/>
    <s v="03/07/2024"/>
    <m/>
    <s v="03"/>
    <n v="8.16"/>
    <n v="84"/>
    <m/>
    <m/>
    <s v="Below Average"/>
    <n v="3277"/>
  </r>
  <r>
    <s v="Beverie Moffet"/>
    <s v="UK"/>
    <x v="18"/>
    <d v="2024-04-03T00:00:00"/>
    <s v="03/04/2024"/>
    <m/>
    <s v="03"/>
    <n v="3303.13"/>
    <n v="73"/>
    <m/>
    <m/>
    <s v="Below Average"/>
    <n v="2210"/>
  </r>
  <r>
    <s v="Dotty Strutley"/>
    <s v="Canada"/>
    <x v="15"/>
    <s v="22/04/2024"/>
    <s v="22/04/2024"/>
    <m/>
    <s v="22/04/2024"/>
    <n v="13959.74"/>
    <n v="113"/>
    <m/>
    <m/>
    <s v="Above Average"/>
    <n v="211"/>
  </r>
  <r>
    <s v="Kaine Padly"/>
    <s v="Australia"/>
    <x v="11"/>
    <d v="2024-09-06T00:00:00"/>
    <s v="06/09/2024"/>
    <m/>
    <s v="06"/>
    <n v="4251.42"/>
    <n v="91"/>
    <m/>
    <m/>
    <s v="Below Average"/>
    <n v="1916"/>
  </r>
  <r>
    <s v="Jan Morforth"/>
    <s v="Canada"/>
    <x v="13"/>
    <s v="25/07/2024"/>
    <s v="25/07/2024"/>
    <m/>
    <s v="25/07/2024"/>
    <n v="9885.5300000000007"/>
    <n v="217"/>
    <m/>
    <m/>
    <s v="Above Average"/>
    <n v="596"/>
  </r>
  <r>
    <s v="Jan Morforth"/>
    <s v="India"/>
    <x v="3"/>
    <d v="2024-03-08T00:00:00"/>
    <s v="08/03/2024"/>
    <m/>
    <s v="08"/>
    <n v="12864.47"/>
    <n v="93"/>
    <m/>
    <m/>
    <s v="Above Average"/>
    <n v="276"/>
  </r>
  <r>
    <s v="Rafaelita Blaksland"/>
    <s v="Australia"/>
    <x v="15"/>
    <d v="2024-03-08T00:00:00"/>
    <s v="08/03/2024"/>
    <m/>
    <s v="08"/>
    <n v="5245.6"/>
    <n v="144"/>
    <m/>
    <m/>
    <s v="Below Average"/>
    <n v="1634"/>
  </r>
  <r>
    <s v="Jehu Rudeforth"/>
    <s v="UK"/>
    <x v="11"/>
    <d v="2024-03-05T00:00:00"/>
    <s v="05/03/2024"/>
    <m/>
    <s v="05"/>
    <n v="14345.5"/>
    <n v="219"/>
    <m/>
    <m/>
    <s v="Above Average"/>
    <n v="188"/>
  </r>
  <r>
    <s v="Husein Augar"/>
    <s v="Canada"/>
    <x v="5"/>
    <s v="19/01/2024"/>
    <s v="19/01/2024"/>
    <m/>
    <s v="19/01/2024"/>
    <n v="11462.19"/>
    <n v="288"/>
    <m/>
    <m/>
    <s v="Above Average"/>
    <n v="401"/>
  </r>
  <r>
    <s v="Roddy Speechley"/>
    <s v="USA"/>
    <x v="6"/>
    <d v="2024-11-02T00:00:00"/>
    <s v="02/11/2024"/>
    <m/>
    <s v="02"/>
    <n v="11667.94"/>
    <n v="306"/>
    <m/>
    <m/>
    <s v="Above Average"/>
    <n v="379"/>
  </r>
  <r>
    <s v="Van Tuxwell"/>
    <s v="India"/>
    <x v="16"/>
    <s v="14/06/2024"/>
    <s v="14/06/2024"/>
    <m/>
    <s v="14/06/2024"/>
    <n v="7455.17"/>
    <n v="383"/>
    <m/>
    <m/>
    <s v="Above Average"/>
    <n v="1077"/>
  </r>
  <r>
    <s v="Kelci Walkden"/>
    <s v="USA"/>
    <x v="6"/>
    <s v="23/03/2024"/>
    <s v="23/03/2024"/>
    <m/>
    <s v="23/03/2024"/>
    <n v="7203.64"/>
    <n v="234"/>
    <m/>
    <m/>
    <s v="Above Average"/>
    <n v="1129"/>
  </r>
  <r>
    <s v="Madelene Upcott"/>
    <s v="Canada"/>
    <x v="1"/>
    <s v="17/02/2024"/>
    <s v="17/02/2024"/>
    <m/>
    <s v="17/02/2024"/>
    <n v="8081.58"/>
    <n v="105"/>
    <m/>
    <m/>
    <s v="Above Average"/>
    <n v="921"/>
  </r>
  <r>
    <s v="Dennison Crosswaite"/>
    <s v="Canada"/>
    <x v="3"/>
    <s v="17/03/2024"/>
    <s v="17/03/2024"/>
    <m/>
    <s v="17/03/2024"/>
    <n v="2055.4"/>
    <n v="485"/>
    <m/>
    <m/>
    <s v="Below Average"/>
    <n v="2617"/>
  </r>
  <r>
    <s v="Mallorie Waber"/>
    <s v="Australia"/>
    <x v="12"/>
    <s v="29/06/2024"/>
    <s v="29/06/2024"/>
    <m/>
    <s v="29/06/2024"/>
    <n v="6476.09"/>
    <n v="304"/>
    <m/>
    <m/>
    <s v="Above Average"/>
    <n v="1311"/>
  </r>
  <r>
    <s v="Ches Bonnell"/>
    <s v="Canada"/>
    <x v="18"/>
    <s v="24/08/2024"/>
    <s v="24/08/2024"/>
    <m/>
    <s v="24/08/2024"/>
    <n v="17490.080000000002"/>
    <n v="289"/>
    <m/>
    <m/>
    <s v="Above Average"/>
    <n v="53"/>
  </r>
  <r>
    <s v="Gigi Bohling"/>
    <s v="Canada"/>
    <x v="12"/>
    <d v="2024-04-07T00:00:00"/>
    <s v="07/04/2024"/>
    <m/>
    <s v="07"/>
    <n v="13644"/>
    <n v="281"/>
    <m/>
    <m/>
    <s v="Above Average"/>
    <n v="227"/>
  </r>
  <r>
    <s v="Roddy Speechley"/>
    <s v="New Zealand"/>
    <x v="16"/>
    <s v="28/03/2024"/>
    <s v="28/03/2024"/>
    <m/>
    <s v="28/03/2024"/>
    <n v="2930.46"/>
    <n v="70"/>
    <m/>
    <m/>
    <s v="Below Average"/>
    <n v="2333"/>
  </r>
  <r>
    <s v="Curtice Advani"/>
    <s v="India"/>
    <x v="3"/>
    <s v="19/04/2024"/>
    <s v="19/04/2024"/>
    <m/>
    <s v="19/04/2024"/>
    <n v="22717.09"/>
    <n v="143"/>
    <m/>
    <m/>
    <s v="Above Average"/>
    <n v="5"/>
  </r>
  <r>
    <s v="Ches Bonnell"/>
    <s v="New Zealand"/>
    <x v="0"/>
    <s v="18/01/2024"/>
    <s v="18/01/2024"/>
    <m/>
    <s v="18/01/2024"/>
    <n v="9471.7199999999993"/>
    <n v="248"/>
    <m/>
    <m/>
    <s v="Above Average"/>
    <n v="660"/>
  </r>
  <r>
    <s v="Van Tuxwell"/>
    <s v="New Zealand"/>
    <x v="13"/>
    <s v="17/01/2024"/>
    <s v="17/01/2024"/>
    <m/>
    <s v="17/01/2024"/>
    <n v="3400.47"/>
    <n v="92"/>
    <m/>
    <m/>
    <s v="Below Average"/>
    <n v="2173"/>
  </r>
  <r>
    <s v="Andria Kimpton"/>
    <s v="New Zealand"/>
    <x v="0"/>
    <s v="15/02/2024"/>
    <s v="15/02/2024"/>
    <m/>
    <s v="15/02/2024"/>
    <n v="10696.21"/>
    <n v="201"/>
    <m/>
    <m/>
    <s v="Above Average"/>
    <n v="491"/>
  </r>
  <r>
    <s v="Andria Kimpton"/>
    <s v="UK"/>
    <x v="11"/>
    <d v="2024-11-02T00:00:00"/>
    <s v="02/11/2024"/>
    <m/>
    <s v="02"/>
    <n v="17101.669999999998"/>
    <n v="307"/>
    <m/>
    <m/>
    <s v="Above Average"/>
    <n v="65"/>
  </r>
  <r>
    <s v="Camilla Castle"/>
    <s v="USA"/>
    <x v="15"/>
    <s v="21/03/2024"/>
    <s v="21/03/2024"/>
    <m/>
    <s v="21/03/2024"/>
    <n v="18936.88"/>
    <n v="180"/>
    <m/>
    <m/>
    <s v="Above Average"/>
    <n v="28"/>
  </r>
  <r>
    <s v="Gunar Cockshoot"/>
    <s v="New Zealand"/>
    <x v="16"/>
    <d v="2024-05-01T00:00:00"/>
    <s v="01/05/2024"/>
    <m/>
    <s v="01"/>
    <n v="6015.37"/>
    <n v="136"/>
    <m/>
    <m/>
    <s v="Below Average"/>
    <n v="1433"/>
  </r>
  <r>
    <s v="Brien Boise"/>
    <s v="India"/>
    <x v="17"/>
    <s v="30/05/2024"/>
    <s v="30/05/2024"/>
    <m/>
    <s v="30/05/2024"/>
    <n v="7623.58"/>
    <n v="162"/>
    <m/>
    <m/>
    <s v="Above Average"/>
    <n v="1034"/>
  </r>
  <r>
    <s v="Jehu Rudeforth"/>
    <s v="USA"/>
    <x v="4"/>
    <d v="2024-04-01T00:00:00"/>
    <s v="01/04/2024"/>
    <m/>
    <s v="01"/>
    <n v="2996.83"/>
    <n v="227"/>
    <m/>
    <m/>
    <s v="Below Average"/>
    <n v="2309"/>
  </r>
  <r>
    <s v="Beverie Moffet"/>
    <s v="Australia"/>
    <x v="13"/>
    <s v="22/04/2024"/>
    <s v="22/04/2024"/>
    <m/>
    <s v="22/04/2024"/>
    <n v="1718.97"/>
    <n v="260"/>
    <m/>
    <m/>
    <s v="Below Average"/>
    <n v="2728"/>
  </r>
  <r>
    <s v="Gigi Bohling"/>
    <s v="Canada"/>
    <x v="11"/>
    <d v="2024-10-02T00:00:00"/>
    <s v="02/10/2024"/>
    <m/>
    <s v="02"/>
    <n v="3523.33"/>
    <n v="114"/>
    <m/>
    <m/>
    <s v="Below Average"/>
    <n v="2133"/>
  </r>
  <r>
    <s v="Dotty Strutley"/>
    <s v="India"/>
    <x v="12"/>
    <d v="2024-12-08T00:00:00"/>
    <s v="08/12/2024"/>
    <m/>
    <s v="08"/>
    <n v="1092.3599999999999"/>
    <n v="209"/>
    <m/>
    <m/>
    <s v="Below Average"/>
    <n v="2944"/>
  </r>
  <r>
    <s v="Gunar Cockshoot"/>
    <s v="USA"/>
    <x v="10"/>
    <d v="2024-10-08T00:00:00"/>
    <s v="08/10/2024"/>
    <m/>
    <s v="08"/>
    <n v="2495.71"/>
    <n v="310"/>
    <m/>
    <m/>
    <s v="Below Average"/>
    <n v="2476"/>
  </r>
  <r>
    <s v="Kelci Walkden"/>
    <s v="Australia"/>
    <x v="17"/>
    <d v="2024-07-06T00:00:00"/>
    <s v="06/07/2024"/>
    <m/>
    <s v="06"/>
    <n v="813.41"/>
    <n v="58"/>
    <m/>
    <m/>
    <s v="Below Average"/>
    <n v="3024"/>
  </r>
  <r>
    <s v="Jehu Rudeforth"/>
    <s v="India"/>
    <x v="19"/>
    <d v="2024-06-06T00:00:00"/>
    <s v="06/06/2024"/>
    <m/>
    <s v="06"/>
    <n v="2489.06"/>
    <n v="81"/>
    <m/>
    <m/>
    <s v="Below Average"/>
    <n v="2480"/>
  </r>
  <r>
    <s v="Karlen McCaffrey"/>
    <s v="New Zealand"/>
    <x v="19"/>
    <d v="2024-05-04T00:00:00"/>
    <s v="04/05/2024"/>
    <m/>
    <s v="04"/>
    <n v="5701.35"/>
    <n v="201"/>
    <m/>
    <m/>
    <s v="Below Average"/>
    <n v="1515"/>
  </r>
  <r>
    <s v="Wilone O'Kielt"/>
    <s v="USA"/>
    <x v="6"/>
    <s v="18/04/2024"/>
    <s v="18/04/2024"/>
    <m/>
    <s v="18/04/2024"/>
    <n v="5084.32"/>
    <n v="126"/>
    <m/>
    <m/>
    <s v="Below Average"/>
    <n v="1677"/>
  </r>
  <r>
    <s v="Andria Kimpton"/>
    <s v="India"/>
    <x v="6"/>
    <s v="31/01/2024"/>
    <s v="31/01/2024"/>
    <m/>
    <s v="31/01/2024"/>
    <n v="15789.48"/>
    <n v="16"/>
    <m/>
    <m/>
    <s v="Above Average"/>
    <n v="110"/>
  </r>
  <r>
    <s v="Madelene Upcott"/>
    <s v="USA"/>
    <x v="19"/>
    <s v="22/08/2024"/>
    <s v="22/08/2024"/>
    <m/>
    <s v="22/08/2024"/>
    <n v="6541.75"/>
    <n v="141"/>
    <m/>
    <m/>
    <s v="Above Average"/>
    <n v="1296"/>
  </r>
  <r>
    <s v="Jehu Rudeforth"/>
    <s v="Australia"/>
    <x v="4"/>
    <s v="25/02/2024"/>
    <s v="25/02/2024"/>
    <m/>
    <s v="25/02/2024"/>
    <n v="11409.11"/>
    <n v="217"/>
    <m/>
    <m/>
    <s v="Above Average"/>
    <n v="404"/>
  </r>
  <r>
    <s v="Jan Morforth"/>
    <s v="Australia"/>
    <x v="0"/>
    <s v="22/02/2024"/>
    <s v="22/02/2024"/>
    <m/>
    <s v="22/02/2024"/>
    <n v="19258.41"/>
    <n v="99"/>
    <m/>
    <m/>
    <s v="Above Average"/>
    <n v="26"/>
  </r>
  <r>
    <s v="Oby Sorrel"/>
    <s v="New Zealand"/>
    <x v="11"/>
    <d v="2024-12-01T00:00:00"/>
    <s v="01/12/2024"/>
    <m/>
    <s v="01"/>
    <n v="5074.8599999999997"/>
    <n v="201"/>
    <m/>
    <m/>
    <s v="Below Average"/>
    <n v="1683"/>
  </r>
  <r>
    <s v="Brien Boise"/>
    <s v="UK"/>
    <x v="16"/>
    <s v="25/05/2024"/>
    <s v="25/05/2024"/>
    <m/>
    <s v="25/05/2024"/>
    <n v="115.9"/>
    <n v="120"/>
    <m/>
    <m/>
    <s v="Below Average"/>
    <n v="3237"/>
  </r>
  <r>
    <s v="Kelci Walkden"/>
    <s v="India"/>
    <x v="3"/>
    <d v="2024-01-02T00:00:00"/>
    <s v="02/01/2024"/>
    <m/>
    <s v="02"/>
    <n v="2797.19"/>
    <n v="9"/>
    <m/>
    <m/>
    <s v="Below Average"/>
    <n v="2375"/>
  </r>
  <r>
    <s v="Rafaelita Blaksland"/>
    <s v="UK"/>
    <x v="8"/>
    <s v="27/04/2024"/>
    <s v="27/04/2024"/>
    <m/>
    <s v="27/04/2024"/>
    <n v="1608.04"/>
    <n v="75"/>
    <m/>
    <m/>
    <s v="Below Average"/>
    <n v="2767"/>
  </r>
  <r>
    <s v="Gigi Bohling"/>
    <s v="USA"/>
    <x v="3"/>
    <s v="22/07/2024"/>
    <s v="22/07/2024"/>
    <m/>
    <s v="22/07/2024"/>
    <n v="2960.99"/>
    <n v="133"/>
    <m/>
    <m/>
    <s v="Below Average"/>
    <n v="2323"/>
  </r>
  <r>
    <s v="Curtice Advani"/>
    <s v="New Zealand"/>
    <x v="0"/>
    <s v="26/01/2024"/>
    <s v="26/01/2024"/>
    <m/>
    <s v="26/01/2024"/>
    <n v="3703.51"/>
    <n v="260"/>
    <m/>
    <m/>
    <s v="Below Average"/>
    <n v="2072"/>
  </r>
  <r>
    <s v="Curtice Advani"/>
    <s v="USA"/>
    <x v="0"/>
    <s v="24/08/2024"/>
    <s v="24/08/2024"/>
    <m/>
    <s v="24/08/2024"/>
    <n v="5679.57"/>
    <n v="285"/>
    <m/>
    <m/>
    <s v="Below Average"/>
    <n v="1523"/>
  </r>
  <r>
    <s v="Madelene Upcott"/>
    <s v="New Zealand"/>
    <x v="13"/>
    <s v="18/01/2024"/>
    <s v="18/01/2024"/>
    <m/>
    <s v="18/01/2024"/>
    <n v="6764.17"/>
    <n v="20"/>
    <m/>
    <m/>
    <s v="Above Average"/>
    <n v="1250"/>
  </r>
  <r>
    <s v="Karlen McCaffrey"/>
    <s v="India"/>
    <x v="1"/>
    <s v="30/03/2024"/>
    <s v="30/03/2024"/>
    <m/>
    <s v="30/03/2024"/>
    <n v="1108.8499999999999"/>
    <n v="87"/>
    <m/>
    <m/>
    <s v="Below Average"/>
    <n v="2937"/>
  </r>
  <r>
    <s v="Ches Bonnell"/>
    <s v="Australia"/>
    <x v="20"/>
    <s v="17/01/2024"/>
    <s v="17/01/2024"/>
    <m/>
    <s v="17/01/2024"/>
    <n v="9477.32"/>
    <n v="160"/>
    <m/>
    <m/>
    <s v="Above Average"/>
    <n v="659"/>
  </r>
  <r>
    <s v="Kelci Walkden"/>
    <s v="USA"/>
    <x v="13"/>
    <s v="17/02/2024"/>
    <s v="17/02/2024"/>
    <m/>
    <s v="17/02/2024"/>
    <n v="5301.93"/>
    <n v="155"/>
    <m/>
    <m/>
    <s v="Below Average"/>
    <n v="1616"/>
  </r>
  <r>
    <s v="Kelci Walkden"/>
    <s v="Canada"/>
    <x v="2"/>
    <d v="2024-08-04T00:00:00"/>
    <s v="04/08/2024"/>
    <m/>
    <s v="04"/>
    <n v="8041.25"/>
    <n v="43"/>
    <m/>
    <m/>
    <s v="Above Average"/>
    <n v="931"/>
  </r>
  <r>
    <s v="Gigi Bohling"/>
    <s v="Canada"/>
    <x v="9"/>
    <d v="2024-06-07T00:00:00"/>
    <s v="07/06/2024"/>
    <m/>
    <s v="07"/>
    <n v="3716.17"/>
    <n v="89"/>
    <m/>
    <m/>
    <s v="Below Average"/>
    <n v="2068"/>
  </r>
  <r>
    <s v="Husein Augar"/>
    <s v="India"/>
    <x v="13"/>
    <d v="2024-04-04T00:00:00"/>
    <s v="04/04/2024"/>
    <m/>
    <s v="04"/>
    <n v="4591.7700000000004"/>
    <n v="222"/>
    <m/>
    <m/>
    <s v="Below Average"/>
    <n v="1824"/>
  </r>
  <r>
    <s v="Jan Morforth"/>
    <s v="New Zealand"/>
    <x v="10"/>
    <d v="2024-02-03T00:00:00"/>
    <s v="03/02/2024"/>
    <m/>
    <s v="03"/>
    <n v="1928.33"/>
    <n v="217"/>
    <m/>
    <m/>
    <s v="Below Average"/>
    <n v="2657"/>
  </r>
  <r>
    <s v="Gigi Bohling"/>
    <s v="New Zealand"/>
    <x v="17"/>
    <d v="2024-09-08T00:00:00"/>
    <s v="08/09/2024"/>
    <m/>
    <s v="08"/>
    <n v="1225.1199999999999"/>
    <n v="186"/>
    <m/>
    <m/>
    <s v="Below Average"/>
    <n v="2898"/>
  </r>
  <r>
    <s v="Dennison Crosswaite"/>
    <s v="Australia"/>
    <x v="11"/>
    <d v="2024-09-06T00:00:00"/>
    <s v="06/09/2024"/>
    <m/>
    <s v="06"/>
    <n v="11326.55"/>
    <n v="296"/>
    <m/>
    <m/>
    <s v="Above Average"/>
    <n v="411"/>
  </r>
  <r>
    <s v="Ches Bonnell"/>
    <s v="UK"/>
    <x v="20"/>
    <d v="2024-02-06T00:00:00"/>
    <s v="06/02/2024"/>
    <m/>
    <s v="06"/>
    <n v="3063.08"/>
    <n v="301"/>
    <m/>
    <m/>
    <s v="Below Average"/>
    <n v="2284"/>
  </r>
  <r>
    <s v="Van Tuxwell"/>
    <s v="USA"/>
    <x v="13"/>
    <d v="2024-05-07T00:00:00"/>
    <s v="07/05/2024"/>
    <m/>
    <s v="07"/>
    <n v="7093.33"/>
    <n v="233"/>
    <m/>
    <m/>
    <s v="Above Average"/>
    <n v="1158"/>
  </r>
  <r>
    <s v="Andria Kimpton"/>
    <s v="Canada"/>
    <x v="8"/>
    <d v="2024-11-08T00:00:00"/>
    <s v="08/11/2024"/>
    <m/>
    <s v="08"/>
    <n v="337.37"/>
    <n v="120"/>
    <m/>
    <m/>
    <s v="Below Average"/>
    <n v="3177"/>
  </r>
  <r>
    <s v="Madelene Upcott"/>
    <s v="India"/>
    <x v="18"/>
    <d v="2024-11-02T00:00:00"/>
    <s v="02/11/2024"/>
    <m/>
    <s v="02"/>
    <n v="3764.59"/>
    <n v="158"/>
    <m/>
    <m/>
    <s v="Below Average"/>
    <n v="2050"/>
  </r>
  <r>
    <s v="Kelci Walkden"/>
    <s v="New Zealand"/>
    <x v="12"/>
    <d v="2024-11-08T00:00:00"/>
    <s v="08/11/2024"/>
    <m/>
    <s v="08"/>
    <n v="695.32"/>
    <n v="68"/>
    <m/>
    <m/>
    <s v="Below Average"/>
    <n v="3067"/>
  </r>
  <r>
    <s v="Roddy Speechley"/>
    <s v="Australia"/>
    <x v="9"/>
    <d v="2024-12-05T00:00:00"/>
    <s v="05/12/2024"/>
    <m/>
    <s v="05"/>
    <n v="14609.99"/>
    <n v="111"/>
    <m/>
    <m/>
    <s v="Above Average"/>
    <n v="170"/>
  </r>
  <r>
    <s v="Wilone O'Kielt"/>
    <s v="USA"/>
    <x v="11"/>
    <s v="15/07/2024"/>
    <s v="15/07/2024"/>
    <m/>
    <s v="15/07/2024"/>
    <n v="5298.68"/>
    <n v="96"/>
    <m/>
    <m/>
    <s v="Below Average"/>
    <n v="1618"/>
  </r>
  <r>
    <s v="Andria Kimpton"/>
    <s v="India"/>
    <x v="10"/>
    <s v="18/01/2024"/>
    <s v="18/01/2024"/>
    <m/>
    <s v="18/01/2024"/>
    <n v="4552.3"/>
    <n v="132"/>
    <m/>
    <m/>
    <s v="Below Average"/>
    <n v="1836"/>
  </r>
  <r>
    <s v="Madelene Upcott"/>
    <s v="UK"/>
    <x v="13"/>
    <d v="2024-05-01T00:00:00"/>
    <s v="01/05/2024"/>
    <m/>
    <s v="01"/>
    <n v="9099.26"/>
    <n v="199"/>
    <m/>
    <m/>
    <s v="Above Average"/>
    <n v="721"/>
  </r>
  <r>
    <s v="Curtice Advani"/>
    <s v="Australia"/>
    <x v="6"/>
    <s v="29/06/2024"/>
    <s v="29/06/2024"/>
    <m/>
    <s v="29/06/2024"/>
    <n v="603.97"/>
    <n v="239"/>
    <m/>
    <m/>
    <s v="Below Average"/>
    <n v="3097"/>
  </r>
  <r>
    <s v="Brien Boise"/>
    <s v="Canada"/>
    <x v="17"/>
    <s v="14/06/2024"/>
    <s v="14/06/2024"/>
    <m/>
    <s v="14/06/2024"/>
    <n v="3172.23"/>
    <n v="46"/>
    <m/>
    <m/>
    <s v="Below Average"/>
    <n v="2242"/>
  </r>
  <r>
    <s v="Gunar Cockshoot"/>
    <s v="India"/>
    <x v="0"/>
    <d v="2024-08-08T00:00:00"/>
    <s v="08/08/2024"/>
    <m/>
    <s v="08"/>
    <n v="4737.32"/>
    <n v="74"/>
    <m/>
    <m/>
    <s v="Below Average"/>
    <n v="1791"/>
  </r>
  <r>
    <s v="Dennison Crosswaite"/>
    <s v="India"/>
    <x v="0"/>
    <s v="23/03/2024"/>
    <s v="23/03/2024"/>
    <m/>
    <s v="23/03/2024"/>
    <n v="15201.56"/>
    <n v="142"/>
    <m/>
    <m/>
    <s v="Above Average"/>
    <n v="141"/>
  </r>
  <r>
    <s v="Barr Faughny"/>
    <s v="India"/>
    <x v="20"/>
    <d v="2024-04-01T00:00:00"/>
    <s v="01/04/2024"/>
    <m/>
    <s v="01"/>
    <n v="7912.62"/>
    <n v="106"/>
    <m/>
    <m/>
    <s v="Above Average"/>
    <n v="962"/>
  </r>
  <r>
    <s v="Brien Boise"/>
    <s v="India"/>
    <x v="11"/>
    <s v="22/02/2024"/>
    <s v="22/02/2024"/>
    <m/>
    <s v="22/02/2024"/>
    <n v="14190.78"/>
    <n v="269"/>
    <m/>
    <m/>
    <s v="Above Average"/>
    <n v="198"/>
  </r>
  <r>
    <s v="Beverie Moffet"/>
    <s v="UK"/>
    <x v="12"/>
    <s v="17/02/2024"/>
    <s v="17/02/2024"/>
    <m/>
    <s v="17/02/2024"/>
    <n v="9327.08"/>
    <n v="259"/>
    <m/>
    <m/>
    <s v="Above Average"/>
    <n v="684"/>
  </r>
  <r>
    <s v="Barr Faughny"/>
    <s v="USA"/>
    <x v="16"/>
    <d v="2024-03-02T00:00:00"/>
    <s v="02/03/2024"/>
    <m/>
    <s v="02"/>
    <n v="434.42"/>
    <n v="83"/>
    <m/>
    <m/>
    <s v="Below Average"/>
    <n v="3155"/>
  </r>
  <r>
    <s v="Van Tuxwell"/>
    <s v="Canada"/>
    <x v="17"/>
    <s v="17/03/2024"/>
    <s v="17/03/2024"/>
    <m/>
    <s v="17/03/2024"/>
    <n v="1497.58"/>
    <n v="132"/>
    <m/>
    <m/>
    <s v="Below Average"/>
    <n v="2809"/>
  </r>
  <r>
    <s v="Wilone O'Kielt"/>
    <s v="Australia"/>
    <x v="19"/>
    <s v="25/01/2024"/>
    <s v="25/01/2024"/>
    <m/>
    <s v="25/01/2024"/>
    <n v="3124.74"/>
    <n v="155"/>
    <m/>
    <m/>
    <s v="Below Average"/>
    <n v="2260"/>
  </r>
  <r>
    <s v="Brien Boise"/>
    <s v="Australia"/>
    <x v="11"/>
    <s v="27/07/2024"/>
    <s v="27/07/2024"/>
    <m/>
    <s v="27/07/2024"/>
    <n v="2356.21"/>
    <n v="54"/>
    <m/>
    <m/>
    <s v="Below Average"/>
    <n v="2528"/>
  </r>
  <r>
    <s v="Husein Augar"/>
    <s v="Australia"/>
    <x v="13"/>
    <s v="28/01/2024"/>
    <s v="28/01/2024"/>
    <m/>
    <s v="28/01/2024"/>
    <n v="8548"/>
    <n v="55"/>
    <m/>
    <m/>
    <s v="Above Average"/>
    <n v="824"/>
  </r>
  <r>
    <s v="Madelene Upcott"/>
    <s v="Australia"/>
    <x v="10"/>
    <d v="2024-05-07T00:00:00"/>
    <s v="07/05/2024"/>
    <m/>
    <s v="07"/>
    <n v="12094.34"/>
    <n v="52"/>
    <m/>
    <m/>
    <s v="Above Average"/>
    <n v="339"/>
  </r>
  <r>
    <s v="Van Tuxwell"/>
    <s v="India"/>
    <x v="14"/>
    <s v="15/03/2024"/>
    <s v="15/03/2024"/>
    <m/>
    <s v="15/03/2024"/>
    <n v="2119.42"/>
    <n v="46"/>
    <m/>
    <m/>
    <s v="Below Average"/>
    <n v="2595"/>
  </r>
  <r>
    <s v="Gunar Cockshoot"/>
    <s v="Canada"/>
    <x v="5"/>
    <d v="2024-04-08T00:00:00"/>
    <s v="08/04/2024"/>
    <m/>
    <s v="08"/>
    <n v="3038.32"/>
    <n v="220"/>
    <m/>
    <m/>
    <s v="Below Average"/>
    <n v="2291"/>
  </r>
  <r>
    <s v="Jan Morforth"/>
    <s v="USA"/>
    <x v="13"/>
    <s v="27/06/2024"/>
    <s v="27/06/2024"/>
    <m/>
    <s v="27/06/2024"/>
    <n v="5187.72"/>
    <n v="382"/>
    <m/>
    <m/>
    <s v="Below Average"/>
    <n v="1652"/>
  </r>
  <r>
    <s v="Jan Morforth"/>
    <s v="Canada"/>
    <x v="5"/>
    <s v="13/07/2024"/>
    <s v="13/07/2024"/>
    <m/>
    <s v="13/07/2024"/>
    <n v="5384.52"/>
    <n v="180"/>
    <m/>
    <m/>
    <s v="Below Average"/>
    <n v="1596"/>
  </r>
  <r>
    <s v="Barr Faughny"/>
    <s v="New Zealand"/>
    <x v="15"/>
    <s v="24/02/2024"/>
    <s v="24/02/2024"/>
    <m/>
    <s v="24/02/2024"/>
    <n v="6575.07"/>
    <n v="249"/>
    <m/>
    <m/>
    <s v="Above Average"/>
    <n v="1287"/>
  </r>
  <r>
    <s v="Karlen McCaffrey"/>
    <s v="New Zealand"/>
    <x v="1"/>
    <s v="28/06/2024"/>
    <s v="28/06/2024"/>
    <m/>
    <s v="28/06/2024"/>
    <n v="6350.37"/>
    <n v="59"/>
    <m/>
    <m/>
    <s v="Above Average"/>
    <n v="1339"/>
  </r>
  <r>
    <s v="Oby Sorrel"/>
    <s v="Australia"/>
    <x v="1"/>
    <s v="30/06/2024"/>
    <s v="30/06/2024"/>
    <m/>
    <s v="30/06/2024"/>
    <n v="7488.06"/>
    <n v="28"/>
    <m/>
    <m/>
    <s v="Above Average"/>
    <n v="1066"/>
  </r>
  <r>
    <s v="Curtice Advani"/>
    <s v="Canada"/>
    <x v="18"/>
    <s v="18/08/2024"/>
    <s v="18/08/2024"/>
    <m/>
    <s v="18/08/2024"/>
    <n v="6997.57"/>
    <n v="7"/>
    <m/>
    <m/>
    <s v="Above Average"/>
    <n v="1180"/>
  </r>
  <r>
    <s v="Kaine Padly"/>
    <s v="India"/>
    <x v="21"/>
    <s v="24/01/2024"/>
    <s v="24/01/2024"/>
    <m/>
    <s v="24/01/2024"/>
    <n v="13081.57"/>
    <n v="324"/>
    <m/>
    <m/>
    <s v="Above Average"/>
    <n v="260"/>
  </r>
  <r>
    <s v="Beverie Moffet"/>
    <s v="USA"/>
    <x v="14"/>
    <d v="2024-11-03T00:00:00"/>
    <s v="03/11/2024"/>
    <m/>
    <s v="03"/>
    <n v="5964.72"/>
    <n v="136"/>
    <m/>
    <m/>
    <s v="Below Average"/>
    <n v="1440"/>
  </r>
  <r>
    <s v="Ches Bonnell"/>
    <s v="New Zealand"/>
    <x v="5"/>
    <s v="23/06/2024"/>
    <s v="23/06/2024"/>
    <m/>
    <s v="23/06/2024"/>
    <n v="6651.11"/>
    <n v="377"/>
    <m/>
    <m/>
    <s v="Above Average"/>
    <n v="1274"/>
  </r>
  <r>
    <s v="Husein Augar"/>
    <s v="India"/>
    <x v="12"/>
    <s v="22/08/2024"/>
    <s v="22/08/2024"/>
    <m/>
    <s v="22/08/2024"/>
    <n v="2606.11"/>
    <n v="31"/>
    <m/>
    <m/>
    <s v="Below Average"/>
    <n v="2438"/>
  </r>
  <r>
    <s v="Gunar Cockshoot"/>
    <s v="Canada"/>
    <x v="6"/>
    <d v="2024-04-01T00:00:00"/>
    <s v="01/04/2024"/>
    <m/>
    <s v="01"/>
    <n v="3615.98"/>
    <n v="24"/>
    <m/>
    <m/>
    <s v="Below Average"/>
    <n v="2100"/>
  </r>
  <r>
    <s v="Curtice Advani"/>
    <s v="India"/>
    <x v="11"/>
    <d v="2024-05-04T00:00:00"/>
    <s v="04/05/2024"/>
    <m/>
    <s v="04"/>
    <n v="3658.27"/>
    <n v="210"/>
    <m/>
    <m/>
    <s v="Below Average"/>
    <n v="2084"/>
  </r>
  <r>
    <s v="Beverie Moffet"/>
    <s v="India"/>
    <x v="11"/>
    <s v="15/04/2024"/>
    <s v="15/04/2024"/>
    <m/>
    <s v="15/04/2024"/>
    <n v="1997.46"/>
    <n v="314"/>
    <m/>
    <m/>
    <s v="Below Average"/>
    <n v="2637"/>
  </r>
  <r>
    <s v="Husein Augar"/>
    <s v="Australia"/>
    <x v="14"/>
    <d v="2024-11-05T00:00:00"/>
    <s v="05/11/2024"/>
    <m/>
    <s v="05"/>
    <n v="3618.67"/>
    <n v="213"/>
    <m/>
    <m/>
    <s v="Below Average"/>
    <n v="2099"/>
  </r>
  <r>
    <s v="Andria Kimpton"/>
    <s v="Canada"/>
    <x v="15"/>
    <s v="21/07/2024"/>
    <s v="21/07/2024"/>
    <m/>
    <s v="21/07/2024"/>
    <n v="5538.85"/>
    <n v="492"/>
    <m/>
    <m/>
    <s v="Below Average"/>
    <n v="1557"/>
  </r>
  <r>
    <s v="Jan Morforth"/>
    <s v="New Zealand"/>
    <x v="7"/>
    <d v="2024-11-02T00:00:00"/>
    <s v="02/11/2024"/>
    <m/>
    <s v="02"/>
    <n v="1382.49"/>
    <n v="86"/>
    <m/>
    <m/>
    <s v="Below Average"/>
    <n v="2845"/>
  </r>
  <r>
    <s v="Andria Kimpton"/>
    <s v="Canada"/>
    <x v="3"/>
    <d v="2024-08-07T00:00:00"/>
    <s v="07/08/2024"/>
    <m/>
    <s v="07"/>
    <n v="1223.79"/>
    <n v="81"/>
    <m/>
    <m/>
    <s v="Below Average"/>
    <n v="2900"/>
  </r>
  <r>
    <s v="Gunar Cockshoot"/>
    <s v="UK"/>
    <x v="17"/>
    <d v="2024-11-08T00:00:00"/>
    <s v="08/11/2024"/>
    <m/>
    <s v="08"/>
    <n v="8043.29"/>
    <n v="344"/>
    <m/>
    <m/>
    <s v="Above Average"/>
    <n v="929"/>
  </r>
  <r>
    <s v="Husein Augar"/>
    <s v="New Zealand"/>
    <x v="5"/>
    <d v="2024-04-08T00:00:00"/>
    <s v="08/04/2024"/>
    <m/>
    <s v="08"/>
    <n v="6878.47"/>
    <n v="7"/>
    <m/>
    <m/>
    <s v="Above Average"/>
    <n v="1212"/>
  </r>
  <r>
    <s v="Andria Kimpton"/>
    <s v="New Zealand"/>
    <x v="7"/>
    <s v="14/06/2024"/>
    <s v="14/06/2024"/>
    <m/>
    <s v="14/06/2024"/>
    <n v="9420.2199999999993"/>
    <n v="94"/>
    <m/>
    <m/>
    <s v="Above Average"/>
    <n v="671"/>
  </r>
  <r>
    <s v="Dennison Crosswaite"/>
    <s v="UK"/>
    <x v="19"/>
    <s v="17/01/2024"/>
    <s v="17/01/2024"/>
    <m/>
    <s v="17/01/2024"/>
    <n v="2516.34"/>
    <n v="293"/>
    <m/>
    <m/>
    <s v="Below Average"/>
    <n v="2465"/>
  </r>
  <r>
    <s v="Jehu Rudeforth"/>
    <s v="Canada"/>
    <x v="7"/>
    <s v="23/06/2024"/>
    <s v="23/06/2024"/>
    <m/>
    <s v="23/06/2024"/>
    <n v="4334.75"/>
    <n v="529"/>
    <m/>
    <m/>
    <s v="Below Average"/>
    <n v="1896"/>
  </r>
  <r>
    <s v="Jehu Rudeforth"/>
    <s v="UK"/>
    <x v="3"/>
    <s v="24/08/2024"/>
    <s v="24/08/2024"/>
    <m/>
    <s v="24/08/2024"/>
    <n v="1588.49"/>
    <n v="111"/>
    <m/>
    <m/>
    <s v="Below Average"/>
    <n v="2775"/>
  </r>
  <r>
    <s v="Andria Kimpton"/>
    <s v="UK"/>
    <x v="20"/>
    <d v="2024-07-06T00:00:00"/>
    <s v="06/07/2024"/>
    <m/>
    <s v="06"/>
    <n v="8959.3799999999992"/>
    <n v="271"/>
    <m/>
    <m/>
    <s v="Above Average"/>
    <n v="746"/>
  </r>
  <r>
    <s v="Jan Morforth"/>
    <s v="UK"/>
    <x v="14"/>
    <s v="22/06/2024"/>
    <s v="22/06/2024"/>
    <m/>
    <s v="22/06/2024"/>
    <n v="9409.06"/>
    <n v="46"/>
    <m/>
    <m/>
    <s v="Above Average"/>
    <n v="673"/>
  </r>
  <r>
    <s v="Dotty Strutley"/>
    <s v="USA"/>
    <x v="13"/>
    <s v="13/07/2024"/>
    <s v="13/07/2024"/>
    <m/>
    <s v="13/07/2024"/>
    <n v="3315.64"/>
    <n v="268"/>
    <m/>
    <m/>
    <s v="Below Average"/>
    <n v="2207"/>
  </r>
  <r>
    <s v="Kelci Walkden"/>
    <s v="UK"/>
    <x v="18"/>
    <s v="24/05/2024"/>
    <s v="24/05/2024"/>
    <m/>
    <s v="24/05/2024"/>
    <n v="10920.7"/>
    <n v="210"/>
    <m/>
    <m/>
    <s v="Above Average"/>
    <n v="452"/>
  </r>
  <r>
    <s v="Gunar Cockshoot"/>
    <s v="New Zealand"/>
    <x v="5"/>
    <d v="2024-09-08T00:00:00"/>
    <s v="08/09/2024"/>
    <m/>
    <s v="08"/>
    <n v="7605.55"/>
    <n v="154"/>
    <m/>
    <m/>
    <s v="Above Average"/>
    <n v="1043"/>
  </r>
  <r>
    <s v="Kaine Padly"/>
    <s v="Canada"/>
    <x v="1"/>
    <d v="2024-06-04T00:00:00"/>
    <s v="04/06/2024"/>
    <m/>
    <s v="04"/>
    <n v="1859.96"/>
    <n v="33"/>
    <m/>
    <m/>
    <s v="Below Average"/>
    <n v="2681"/>
  </r>
  <r>
    <s v="Jan Morforth"/>
    <s v="New Zealand"/>
    <x v="15"/>
    <s v="28/07/2024"/>
    <s v="28/07/2024"/>
    <m/>
    <s v="28/07/2024"/>
    <n v="1743.87"/>
    <n v="259"/>
    <m/>
    <m/>
    <s v="Below Average"/>
    <n v="2715"/>
  </r>
  <r>
    <s v="Gunar Cockshoot"/>
    <s v="New Zealand"/>
    <x v="17"/>
    <s v="24/08/2024"/>
    <s v="24/08/2024"/>
    <m/>
    <s v="24/08/2024"/>
    <n v="758.28"/>
    <n v="57"/>
    <m/>
    <m/>
    <s v="Below Average"/>
    <n v="3044"/>
  </r>
  <r>
    <s v="Van Tuxwell"/>
    <s v="Australia"/>
    <x v="4"/>
    <s v="17/01/2024"/>
    <s v="17/01/2024"/>
    <m/>
    <s v="17/01/2024"/>
    <n v="125.37"/>
    <n v="138"/>
    <m/>
    <m/>
    <s v="Below Average"/>
    <n v="3236"/>
  </r>
  <r>
    <s v="Curtice Advani"/>
    <s v="USA"/>
    <x v="9"/>
    <d v="2024-07-02T00:00:00"/>
    <s v="02/07/2024"/>
    <m/>
    <s v="02"/>
    <n v="6170.75"/>
    <n v="149"/>
    <m/>
    <m/>
    <s v="Above Average"/>
    <n v="1388"/>
  </r>
  <r>
    <s v="Brien Boise"/>
    <s v="Australia"/>
    <x v="12"/>
    <d v="2024-09-05T00:00:00"/>
    <s v="05/09/2024"/>
    <m/>
    <s v="05"/>
    <n v="6867.13"/>
    <n v="273"/>
    <m/>
    <m/>
    <s v="Above Average"/>
    <n v="1216"/>
  </r>
  <r>
    <s v="Mallorie Waber"/>
    <s v="New Zealand"/>
    <x v="1"/>
    <d v="2024-06-06T00:00:00"/>
    <s v="06/06/2024"/>
    <m/>
    <s v="06"/>
    <n v="8775.4500000000007"/>
    <n v="113"/>
    <m/>
    <m/>
    <s v="Above Average"/>
    <n v="783"/>
  </r>
  <r>
    <s v="Wilone O'Kielt"/>
    <s v="USA"/>
    <x v="18"/>
    <d v="2024-06-06T00:00:00"/>
    <s v="06/06/2024"/>
    <m/>
    <s v="06"/>
    <n v="10422.84"/>
    <n v="6"/>
    <m/>
    <m/>
    <s v="Above Average"/>
    <n v="519"/>
  </r>
  <r>
    <s v="Beverie Moffet"/>
    <s v="New Zealand"/>
    <x v="10"/>
    <s v="24/05/2024"/>
    <s v="24/05/2024"/>
    <m/>
    <s v="24/05/2024"/>
    <n v="7402.04"/>
    <n v="231"/>
    <m/>
    <m/>
    <s v="Above Average"/>
    <n v="1089"/>
  </r>
  <r>
    <s v="Gunar Cockshoot"/>
    <s v="UK"/>
    <x v="6"/>
    <s v="13/01/2024"/>
    <s v="13/01/2024"/>
    <m/>
    <s v="13/01/2024"/>
    <n v="2498.04"/>
    <n v="129"/>
    <m/>
    <m/>
    <s v="Below Average"/>
    <n v="2474"/>
  </r>
  <r>
    <s v="Marney O'Breen"/>
    <s v="USA"/>
    <x v="17"/>
    <s v="23/05/2024"/>
    <s v="23/05/2024"/>
    <m/>
    <s v="23/05/2024"/>
    <n v="6873.56"/>
    <n v="152"/>
    <m/>
    <m/>
    <s v="Above Average"/>
    <n v="1214"/>
  </r>
  <r>
    <s v="Jehu Rudeforth"/>
    <s v="UK"/>
    <x v="14"/>
    <s v="29/06/2024"/>
    <s v="29/06/2024"/>
    <m/>
    <s v="29/06/2024"/>
    <n v="2015.93"/>
    <n v="304"/>
    <m/>
    <m/>
    <s v="Below Average"/>
    <n v="2630"/>
  </r>
  <r>
    <s v="Jehu Rudeforth"/>
    <s v="New Zealand"/>
    <x v="1"/>
    <d v="2024-11-03T00:00:00"/>
    <s v="03/11/2024"/>
    <m/>
    <s v="03"/>
    <n v="8077.51"/>
    <n v="95"/>
    <m/>
    <m/>
    <s v="Above Average"/>
    <n v="923"/>
  </r>
  <r>
    <s v="Dotty Strutley"/>
    <s v="USA"/>
    <x v="1"/>
    <s v="25/04/2024"/>
    <s v="25/04/2024"/>
    <m/>
    <s v="25/04/2024"/>
    <n v="11149.46"/>
    <n v="538"/>
    <m/>
    <m/>
    <s v="Above Average"/>
    <n v="427"/>
  </r>
  <r>
    <s v="Rafaelita Blaksland"/>
    <s v="Australia"/>
    <x v="3"/>
    <s v="30/05/2024"/>
    <s v="30/05/2024"/>
    <m/>
    <s v="30/05/2024"/>
    <n v="4739.3900000000003"/>
    <n v="236"/>
    <m/>
    <m/>
    <s v="Below Average"/>
    <n v="1788"/>
  </r>
  <r>
    <s v="Curtice Advani"/>
    <s v="India"/>
    <x v="15"/>
    <s v="23/05/2024"/>
    <s v="23/05/2024"/>
    <m/>
    <s v="23/05/2024"/>
    <n v="1844.54"/>
    <n v="185"/>
    <m/>
    <m/>
    <s v="Below Average"/>
    <n v="2687"/>
  </r>
  <r>
    <s v="Mallorie Waber"/>
    <s v="USA"/>
    <x v="2"/>
    <s v="23/05/2024"/>
    <s v="23/05/2024"/>
    <m/>
    <s v="23/05/2024"/>
    <n v="1263.98"/>
    <n v="19"/>
    <m/>
    <m/>
    <s v="Below Average"/>
    <n v="2890"/>
  </r>
  <r>
    <s v="Van Tuxwell"/>
    <s v="Canada"/>
    <x v="2"/>
    <s v="24/06/2024"/>
    <s v="24/06/2024"/>
    <m/>
    <s v="24/06/2024"/>
    <n v="7527.84"/>
    <n v="306"/>
    <m/>
    <m/>
    <s v="Above Average"/>
    <n v="1058"/>
  </r>
  <r>
    <s v="Kelci Walkden"/>
    <s v="New Zealand"/>
    <x v="3"/>
    <d v="2024-11-03T00:00:00"/>
    <s v="03/11/2024"/>
    <m/>
    <s v="03"/>
    <n v="12265.45"/>
    <n v="268"/>
    <m/>
    <m/>
    <s v="Above Average"/>
    <n v="322"/>
  </r>
  <r>
    <s v="Rafaelita Blaksland"/>
    <s v="USA"/>
    <x v="3"/>
    <s v="27/07/2024"/>
    <s v="27/07/2024"/>
    <m/>
    <s v="27/07/2024"/>
    <n v="17662.05"/>
    <n v="230"/>
    <m/>
    <m/>
    <s v="Above Average"/>
    <n v="49"/>
  </r>
  <r>
    <s v="Rafaelita Blaksland"/>
    <s v="USA"/>
    <x v="14"/>
    <s v="16/08/2024"/>
    <s v="16/08/2024"/>
    <m/>
    <s v="16/08/2024"/>
    <n v="5520"/>
    <n v="120"/>
    <m/>
    <m/>
    <s v="Below Average"/>
    <n v="1561"/>
  </r>
  <r>
    <s v="Roddy Speechley"/>
    <s v="Canada"/>
    <x v="3"/>
    <d v="2024-07-03T00:00:00"/>
    <s v="03/07/2024"/>
    <m/>
    <s v="03"/>
    <n v="10712.76"/>
    <n v="11"/>
    <m/>
    <m/>
    <s v="Above Average"/>
    <n v="489"/>
  </r>
  <r>
    <s v="Curtice Advani"/>
    <s v="New Zealand"/>
    <x v="5"/>
    <d v="2024-05-04T00:00:00"/>
    <s v="04/05/2024"/>
    <m/>
    <s v="04"/>
    <n v="8416.7999999999993"/>
    <n v="29"/>
    <m/>
    <m/>
    <s v="Above Average"/>
    <n v="851"/>
  </r>
  <r>
    <s v="Camilla Castle"/>
    <s v="India"/>
    <x v="1"/>
    <d v="2024-04-05T00:00:00"/>
    <s v="05/04/2024"/>
    <m/>
    <s v="05"/>
    <n v="9986.0499999999993"/>
    <n v="54"/>
    <m/>
    <m/>
    <s v="Above Average"/>
    <n v="583"/>
  </r>
  <r>
    <s v="Ches Bonnell"/>
    <s v="USA"/>
    <x v="18"/>
    <d v="2024-04-01T00:00:00"/>
    <s v="01/04/2024"/>
    <m/>
    <s v="01"/>
    <n v="15629.82"/>
    <n v="89"/>
    <m/>
    <m/>
    <s v="Above Average"/>
    <n v="116"/>
  </r>
  <r>
    <s v="Marney O'Breen"/>
    <s v="Australia"/>
    <x v="19"/>
    <s v="13/01/2024"/>
    <s v="13/01/2024"/>
    <m/>
    <s v="13/01/2024"/>
    <n v="6224.33"/>
    <n v="100"/>
    <m/>
    <m/>
    <s v="Above Average"/>
    <n v="1373"/>
  </r>
  <r>
    <s v="Wilone O'Kielt"/>
    <s v="New Zealand"/>
    <x v="13"/>
    <d v="2024-11-07T00:00:00"/>
    <s v="07/11/2024"/>
    <m/>
    <s v="07"/>
    <n v="7736.85"/>
    <n v="95"/>
    <m/>
    <m/>
    <s v="Above Average"/>
    <n v="1001"/>
  </r>
  <r>
    <s v="Kaine Padly"/>
    <s v="Australia"/>
    <x v="0"/>
    <s v="17/05/2024"/>
    <s v="17/05/2024"/>
    <m/>
    <s v="17/05/2024"/>
    <n v="4860.75"/>
    <n v="162"/>
    <m/>
    <m/>
    <s v="Below Average"/>
    <n v="1749"/>
  </r>
  <r>
    <s v="Camilla Castle"/>
    <s v="New Zealand"/>
    <x v="2"/>
    <s v="21/07/2024"/>
    <s v="21/07/2024"/>
    <m/>
    <s v="21/07/2024"/>
    <n v="1754.64"/>
    <n v="62"/>
    <m/>
    <m/>
    <s v="Below Average"/>
    <n v="2708"/>
  </r>
  <r>
    <s v="Curtice Advani"/>
    <s v="Canada"/>
    <x v="10"/>
    <s v="22/02/2024"/>
    <s v="22/02/2024"/>
    <m/>
    <s v="22/02/2024"/>
    <n v="897.13"/>
    <n v="24"/>
    <m/>
    <m/>
    <s v="Below Average"/>
    <n v="3004"/>
  </r>
  <r>
    <s v="Jan Morforth"/>
    <s v="India"/>
    <x v="4"/>
    <s v="23/05/2024"/>
    <s v="23/05/2024"/>
    <m/>
    <s v="23/05/2024"/>
    <n v="10607.29"/>
    <n v="182"/>
    <m/>
    <m/>
    <s v="Above Average"/>
    <n v="499"/>
  </r>
  <r>
    <s v="Rafaelita Blaksland"/>
    <s v="Canada"/>
    <x v="9"/>
    <d v="2024-12-07T00:00:00"/>
    <s v="07/12/2024"/>
    <m/>
    <s v="07"/>
    <n v="10772"/>
    <n v="192"/>
    <m/>
    <m/>
    <s v="Above Average"/>
    <n v="480"/>
  </r>
  <r>
    <s v="Jan Morforth"/>
    <s v="UK"/>
    <x v="7"/>
    <s v="15/06/2024"/>
    <s v="15/06/2024"/>
    <m/>
    <s v="15/06/2024"/>
    <n v="4116.96"/>
    <n v="203"/>
    <m/>
    <m/>
    <s v="Below Average"/>
    <n v="1952"/>
  </r>
  <r>
    <s v="Barr Faughny"/>
    <s v="New Zealand"/>
    <x v="6"/>
    <s v="23/06/2024"/>
    <s v="23/06/2024"/>
    <m/>
    <s v="23/06/2024"/>
    <n v="5185.3599999999997"/>
    <n v="321"/>
    <m/>
    <m/>
    <s v="Below Average"/>
    <n v="1654"/>
  </r>
  <r>
    <s v="Curtice Advani"/>
    <s v="Australia"/>
    <x v="8"/>
    <s v="25/03/2024"/>
    <s v="25/03/2024"/>
    <m/>
    <s v="25/03/2024"/>
    <n v="6974.95"/>
    <n v="58"/>
    <m/>
    <m/>
    <s v="Above Average"/>
    <n v="1191"/>
  </r>
  <r>
    <s v="Jan Morforth"/>
    <s v="India"/>
    <x v="20"/>
    <d v="2024-04-07T00:00:00"/>
    <s v="07/04/2024"/>
    <m/>
    <s v="07"/>
    <n v="99.5"/>
    <n v="161"/>
    <m/>
    <m/>
    <s v="Below Average"/>
    <n v="3245"/>
  </r>
  <r>
    <s v="Andria Kimpton"/>
    <s v="UK"/>
    <x v="14"/>
    <d v="2024-12-05T00:00:00"/>
    <s v="05/12/2024"/>
    <m/>
    <s v="05"/>
    <n v="10203.469999999999"/>
    <n v="109"/>
    <m/>
    <m/>
    <s v="Above Average"/>
    <n v="550"/>
  </r>
  <r>
    <s v="Camilla Castle"/>
    <s v="New Zealand"/>
    <x v="17"/>
    <d v="2024-04-04T00:00:00"/>
    <s v="04/04/2024"/>
    <m/>
    <s v="04"/>
    <n v="5081.5200000000004"/>
    <n v="148"/>
    <m/>
    <m/>
    <s v="Below Average"/>
    <n v="1679"/>
  </r>
  <r>
    <s v="Madelene Upcott"/>
    <s v="Australia"/>
    <x v="7"/>
    <s v="15/04/2024"/>
    <s v="15/04/2024"/>
    <m/>
    <s v="15/04/2024"/>
    <n v="7166.62"/>
    <n v="381"/>
    <m/>
    <m/>
    <s v="Above Average"/>
    <n v="1141"/>
  </r>
  <r>
    <s v="Roddy Speechley"/>
    <s v="Canada"/>
    <x v="8"/>
    <d v="2024-08-03T00:00:00"/>
    <s v="03/08/2024"/>
    <m/>
    <s v="03"/>
    <n v="7026.54"/>
    <n v="95"/>
    <m/>
    <m/>
    <s v="Above Average"/>
    <n v="1173"/>
  </r>
  <r>
    <s v="Karlen McCaffrey"/>
    <s v="India"/>
    <x v="14"/>
    <s v="17/01/2024"/>
    <s v="17/01/2024"/>
    <m/>
    <s v="17/01/2024"/>
    <n v="8265.32"/>
    <n v="251"/>
    <m/>
    <m/>
    <s v="Above Average"/>
    <n v="880"/>
  </r>
  <r>
    <s v="Wilone O'Kielt"/>
    <s v="India"/>
    <x v="0"/>
    <s v="22/08/2024"/>
    <s v="22/08/2024"/>
    <m/>
    <s v="22/08/2024"/>
    <n v="1516.19"/>
    <n v="53"/>
    <m/>
    <m/>
    <s v="Below Average"/>
    <n v="2802"/>
  </r>
  <r>
    <s v="Andria Kimpton"/>
    <s v="UK"/>
    <x v="4"/>
    <s v="25/07/2024"/>
    <s v="25/07/2024"/>
    <m/>
    <s v="25/07/2024"/>
    <n v="1258.54"/>
    <n v="72"/>
    <m/>
    <m/>
    <s v="Below Average"/>
    <n v="2893"/>
  </r>
  <r>
    <s v="Marney O'Breen"/>
    <s v="UK"/>
    <x v="6"/>
    <s v="14/06/2024"/>
    <s v="14/06/2024"/>
    <m/>
    <s v="14/06/2024"/>
    <n v="3506.38"/>
    <n v="126"/>
    <m/>
    <m/>
    <s v="Below Average"/>
    <n v="2137"/>
  </r>
  <r>
    <s v="Ches Bonnell"/>
    <s v="India"/>
    <x v="18"/>
    <d v="2024-05-04T00:00:00"/>
    <s v="04/05/2024"/>
    <m/>
    <s v="04"/>
    <n v="10969"/>
    <n v="83"/>
    <m/>
    <m/>
    <s v="Above Average"/>
    <n v="443"/>
  </r>
  <r>
    <s v="Madelene Upcott"/>
    <s v="UK"/>
    <x v="17"/>
    <s v="26/08/2024"/>
    <s v="26/08/2024"/>
    <m/>
    <s v="26/08/2024"/>
    <n v="8442.19"/>
    <n v="347"/>
    <m/>
    <m/>
    <s v="Above Average"/>
    <n v="847"/>
  </r>
  <r>
    <s v="Wilone O'Kielt"/>
    <s v="Australia"/>
    <x v="6"/>
    <d v="2024-03-08T00:00:00"/>
    <s v="08/03/2024"/>
    <m/>
    <s v="08"/>
    <n v="11000.85"/>
    <n v="112"/>
    <m/>
    <m/>
    <s v="Above Average"/>
    <n v="438"/>
  </r>
  <r>
    <s v="Gigi Bohling"/>
    <s v="Canada"/>
    <x v="14"/>
    <d v="2024-11-07T00:00:00"/>
    <s v="07/11/2024"/>
    <m/>
    <s v="07"/>
    <n v="6987.59"/>
    <n v="4"/>
    <m/>
    <m/>
    <s v="Above Average"/>
    <n v="1183"/>
  </r>
  <r>
    <s v="Wilone O'Kielt"/>
    <s v="New Zealand"/>
    <x v="8"/>
    <d v="2024-11-03T00:00:00"/>
    <s v="03/11/2024"/>
    <m/>
    <s v="03"/>
    <n v="3735"/>
    <n v="21"/>
    <m/>
    <m/>
    <s v="Below Average"/>
    <n v="2061"/>
  </r>
  <r>
    <s v="Brien Boise"/>
    <s v="UK"/>
    <x v="2"/>
    <d v="2024-10-01T00:00:00"/>
    <s v="01/10/2024"/>
    <m/>
    <s v="01"/>
    <n v="17346.79"/>
    <n v="32"/>
    <m/>
    <m/>
    <s v="Above Average"/>
    <n v="57"/>
  </r>
  <r>
    <s v="Roddy Speechley"/>
    <s v="UK"/>
    <x v="19"/>
    <d v="2024-04-04T00:00:00"/>
    <s v="04/04/2024"/>
    <m/>
    <s v="04"/>
    <n v="16517.2"/>
    <n v="349"/>
    <m/>
    <m/>
    <s v="Above Average"/>
    <n v="83"/>
  </r>
  <r>
    <s v="Karlen McCaffrey"/>
    <s v="Australia"/>
    <x v="6"/>
    <s v="17/01/2024"/>
    <s v="17/01/2024"/>
    <m/>
    <s v="17/01/2024"/>
    <n v="7642.94"/>
    <n v="778"/>
    <m/>
    <m/>
    <s v="Above Average"/>
    <n v="1029"/>
  </r>
  <r>
    <s v="Marney O'Breen"/>
    <s v="New Zealand"/>
    <x v="10"/>
    <d v="2024-08-07T00:00:00"/>
    <s v="07/08/2024"/>
    <m/>
    <s v="07"/>
    <n v="10337.23"/>
    <n v="49"/>
    <m/>
    <m/>
    <s v="Above Average"/>
    <n v="528"/>
  </r>
  <r>
    <s v="Jan Morforth"/>
    <s v="UK"/>
    <x v="10"/>
    <d v="2024-12-04T00:00:00"/>
    <s v="04/12/2024"/>
    <m/>
    <s v="04"/>
    <n v="1367.24"/>
    <n v="384"/>
    <m/>
    <m/>
    <s v="Below Average"/>
    <n v="2855"/>
  </r>
  <r>
    <s v="Rafaelita Blaksland"/>
    <s v="Canada"/>
    <x v="13"/>
    <s v="24/08/2024"/>
    <s v="24/08/2024"/>
    <m/>
    <s v="24/08/2024"/>
    <n v="570.58000000000004"/>
    <n v="191"/>
    <m/>
    <m/>
    <s v="Below Average"/>
    <n v="3107"/>
  </r>
  <r>
    <s v="Ches Bonnell"/>
    <s v="UK"/>
    <x v="18"/>
    <d v="2024-07-06T00:00:00"/>
    <s v="06/07/2024"/>
    <m/>
    <s v="06"/>
    <n v="2012.27"/>
    <n v="259"/>
    <m/>
    <m/>
    <s v="Below Average"/>
    <n v="2631"/>
  </r>
  <r>
    <s v="Gunar Cockshoot"/>
    <s v="Canada"/>
    <x v="16"/>
    <s v="28/07/2024"/>
    <s v="28/07/2024"/>
    <m/>
    <s v="28/07/2024"/>
    <n v="1469.24"/>
    <n v="29"/>
    <m/>
    <m/>
    <s v="Below Average"/>
    <n v="2812"/>
  </r>
  <r>
    <s v="Husein Augar"/>
    <s v="USA"/>
    <x v="4"/>
    <s v="21/02/2024"/>
    <s v="21/02/2024"/>
    <m/>
    <s v="21/02/2024"/>
    <n v="10020.18"/>
    <n v="113"/>
    <m/>
    <m/>
    <s v="Above Average"/>
    <n v="578"/>
  </r>
  <r>
    <s v="Dennison Crosswaite"/>
    <s v="Canada"/>
    <x v="0"/>
    <d v="2024-08-04T00:00:00"/>
    <s v="04/08/2024"/>
    <m/>
    <s v="04"/>
    <n v="1914.65"/>
    <n v="304"/>
    <m/>
    <m/>
    <s v="Below Average"/>
    <n v="2659"/>
  </r>
  <r>
    <s v="Brien Boise"/>
    <s v="UK"/>
    <x v="15"/>
    <s v="28/06/2024"/>
    <s v="28/06/2024"/>
    <m/>
    <s v="28/06/2024"/>
    <n v="73.91"/>
    <n v="101"/>
    <m/>
    <m/>
    <s v="Below Average"/>
    <n v="3255"/>
  </r>
  <r>
    <s v="Van Tuxwell"/>
    <s v="UK"/>
    <x v="19"/>
    <s v="24/03/2024"/>
    <s v="24/03/2024"/>
    <m/>
    <s v="24/03/2024"/>
    <n v="2794.33"/>
    <n v="21"/>
    <m/>
    <m/>
    <s v="Below Average"/>
    <n v="2376"/>
  </r>
  <r>
    <s v="Barr Faughny"/>
    <s v="Australia"/>
    <x v="20"/>
    <s v="29/07/2024"/>
    <s v="29/07/2024"/>
    <m/>
    <s v="29/07/2024"/>
    <n v="3192.06"/>
    <n v="54"/>
    <m/>
    <m/>
    <s v="Below Average"/>
    <n v="2234"/>
  </r>
  <r>
    <s v="Dennison Crosswaite"/>
    <s v="USA"/>
    <x v="8"/>
    <s v="25/05/2024"/>
    <s v="25/05/2024"/>
    <m/>
    <s v="25/05/2024"/>
    <n v="2447.37"/>
    <n v="98"/>
    <m/>
    <m/>
    <s v="Below Average"/>
    <n v="2497"/>
  </r>
  <r>
    <s v="Gigi Bohling"/>
    <s v="Australia"/>
    <x v="17"/>
    <s v="30/03/2024"/>
    <s v="30/03/2024"/>
    <m/>
    <s v="30/03/2024"/>
    <n v="7696.46"/>
    <n v="313"/>
    <m/>
    <m/>
    <s v="Above Average"/>
    <n v="1017"/>
  </r>
  <r>
    <s v="Dennison Crosswaite"/>
    <s v="USA"/>
    <x v="10"/>
    <s v="18/07/2024"/>
    <s v="18/07/2024"/>
    <m/>
    <s v="18/07/2024"/>
    <n v="14731.55"/>
    <n v="132"/>
    <m/>
    <m/>
    <s v="Above Average"/>
    <n v="162"/>
  </r>
  <r>
    <s v="Beverie Moffet"/>
    <s v="Canada"/>
    <x v="7"/>
    <d v="2024-10-05T00:00:00"/>
    <s v="05/10/2024"/>
    <m/>
    <s v="05"/>
    <n v="9321.64"/>
    <n v="111"/>
    <m/>
    <m/>
    <s v="Above Average"/>
    <n v="686"/>
  </r>
  <r>
    <s v="Mallorie Waber"/>
    <s v="Australia"/>
    <x v="18"/>
    <s v="18/03/2024"/>
    <s v="18/03/2024"/>
    <m/>
    <s v="18/03/2024"/>
    <n v="18473.63"/>
    <n v="88"/>
    <m/>
    <m/>
    <s v="Above Average"/>
    <n v="36"/>
  </r>
  <r>
    <s v="Ches Bonnell"/>
    <s v="India"/>
    <x v="20"/>
    <s v="15/06/2024"/>
    <s v="15/06/2024"/>
    <m/>
    <s v="15/06/2024"/>
    <n v="7437.55"/>
    <n v="54"/>
    <m/>
    <m/>
    <s v="Above Average"/>
    <n v="1081"/>
  </r>
  <r>
    <s v="Van Tuxwell"/>
    <s v="Canada"/>
    <x v="6"/>
    <d v="2024-12-05T00:00:00"/>
    <s v="05/12/2024"/>
    <m/>
    <s v="05"/>
    <n v="14581.33"/>
    <n v="58"/>
    <m/>
    <m/>
    <s v="Above Average"/>
    <n v="175"/>
  </r>
  <r>
    <s v="Kelci Walkden"/>
    <s v="New Zealand"/>
    <x v="19"/>
    <s v="23/06/2024"/>
    <s v="23/06/2024"/>
    <m/>
    <s v="23/06/2024"/>
    <n v="3389.96"/>
    <n v="115"/>
    <m/>
    <m/>
    <s v="Below Average"/>
    <n v="2178"/>
  </r>
  <r>
    <s v="Beverie Moffet"/>
    <s v="India"/>
    <x v="12"/>
    <s v="21/04/2024"/>
    <s v="21/04/2024"/>
    <m/>
    <s v="21/04/2024"/>
    <n v="3968.38"/>
    <n v="182"/>
    <m/>
    <m/>
    <s v="Below Average"/>
    <n v="1994"/>
  </r>
  <r>
    <s v="Gigi Bohling"/>
    <s v="Australia"/>
    <x v="16"/>
    <s v="17/08/2024"/>
    <s v="17/08/2024"/>
    <m/>
    <s v="17/08/2024"/>
    <n v="1084.26"/>
    <n v="120"/>
    <m/>
    <m/>
    <s v="Below Average"/>
    <n v="2946"/>
  </r>
  <r>
    <s v="Rafaelita Blaksland"/>
    <s v="New Zealand"/>
    <x v="8"/>
    <d v="2024-07-02T00:00:00"/>
    <s v="02/07/2024"/>
    <m/>
    <s v="02"/>
    <n v="20690.2"/>
    <n v="51"/>
    <m/>
    <m/>
    <s v="Above Average"/>
    <n v="14"/>
  </r>
  <r>
    <s v="Kelci Walkden"/>
    <s v="Canada"/>
    <x v="3"/>
    <s v="17/03/2024"/>
    <s v="17/03/2024"/>
    <m/>
    <s v="17/03/2024"/>
    <n v="8929.57"/>
    <n v="121"/>
    <m/>
    <m/>
    <s v="Above Average"/>
    <n v="752"/>
  </r>
  <r>
    <s v="Jan Morforth"/>
    <s v="India"/>
    <x v="19"/>
    <d v="2024-01-08T00:00:00"/>
    <s v="08/01/2024"/>
    <m/>
    <s v="08"/>
    <n v="15497.27"/>
    <n v="85"/>
    <m/>
    <m/>
    <s v="Above Average"/>
    <n v="126"/>
  </r>
  <r>
    <s v="Jehu Rudeforth"/>
    <s v="Australia"/>
    <x v="11"/>
    <s v="18/03/2024"/>
    <s v="18/03/2024"/>
    <m/>
    <s v="18/03/2024"/>
    <n v="9172.1299999999992"/>
    <n v="30"/>
    <m/>
    <m/>
    <s v="Above Average"/>
    <n v="707"/>
  </r>
  <r>
    <s v="Gigi Bohling"/>
    <s v="Canada"/>
    <x v="13"/>
    <s v="14/06/2024"/>
    <s v="14/06/2024"/>
    <m/>
    <s v="14/06/2024"/>
    <n v="6093.61"/>
    <n v="104"/>
    <m/>
    <m/>
    <s v="Above Average"/>
    <n v="1404"/>
  </r>
  <r>
    <s v="Beverie Moffet"/>
    <s v="UK"/>
    <x v="8"/>
    <s v="22/04/2024"/>
    <s v="22/04/2024"/>
    <m/>
    <s v="22/04/2024"/>
    <n v="9144.7900000000009"/>
    <n v="156"/>
    <m/>
    <m/>
    <s v="Above Average"/>
    <n v="712"/>
  </r>
  <r>
    <s v="Marney O'Breen"/>
    <s v="New Zealand"/>
    <x v="8"/>
    <s v="18/01/2024"/>
    <s v="18/01/2024"/>
    <m/>
    <s v="18/01/2024"/>
    <n v="5902.91"/>
    <n v="31"/>
    <m/>
    <m/>
    <s v="Below Average"/>
    <n v="1458"/>
  </r>
  <r>
    <s v="Husein Augar"/>
    <s v="Australia"/>
    <x v="4"/>
    <s v="26/08/2024"/>
    <s v="26/08/2024"/>
    <m/>
    <s v="26/08/2024"/>
    <n v="3277.47"/>
    <n v="131"/>
    <m/>
    <m/>
    <s v="Below Average"/>
    <n v="2217"/>
  </r>
  <r>
    <s v="Gunar Cockshoot"/>
    <s v="New Zealand"/>
    <x v="13"/>
    <d v="2024-10-06T00:00:00"/>
    <s v="06/10/2024"/>
    <m/>
    <s v="06"/>
    <n v="9759.5300000000007"/>
    <n v="424"/>
    <m/>
    <m/>
    <s v="Above Average"/>
    <n v="621"/>
  </r>
  <r>
    <s v="Curtice Advani"/>
    <s v="Canada"/>
    <x v="21"/>
    <s v="31/01/2024"/>
    <s v="31/01/2024"/>
    <m/>
    <s v="31/01/2024"/>
    <n v="2504.9"/>
    <n v="7"/>
    <m/>
    <m/>
    <s v="Below Average"/>
    <n v="2470"/>
  </r>
  <r>
    <s v="Kelci Walkden"/>
    <s v="New Zealand"/>
    <x v="15"/>
    <d v="2024-08-04T00:00:00"/>
    <s v="04/08/2024"/>
    <m/>
    <s v="04"/>
    <n v="1527.99"/>
    <n v="107"/>
    <m/>
    <m/>
    <s v="Below Average"/>
    <n v="2798"/>
  </r>
  <r>
    <s v="Dotty Strutley"/>
    <s v="Australia"/>
    <x v="19"/>
    <d v="2024-07-06T00:00:00"/>
    <s v="06/07/2024"/>
    <m/>
    <s v="06"/>
    <n v="3767.49"/>
    <n v="65"/>
    <m/>
    <m/>
    <s v="Below Average"/>
    <n v="2047"/>
  </r>
  <r>
    <s v="Barr Faughny"/>
    <s v="Australia"/>
    <x v="1"/>
    <d v="2024-10-02T00:00:00"/>
    <s v="02/10/2024"/>
    <m/>
    <s v="02"/>
    <n v="9452.18"/>
    <n v="42"/>
    <m/>
    <m/>
    <s v="Above Average"/>
    <n v="665"/>
  </r>
  <r>
    <s v="Beverie Moffet"/>
    <s v="Australia"/>
    <x v="6"/>
    <s v="16/05/2024"/>
    <s v="16/05/2024"/>
    <m/>
    <s v="16/05/2024"/>
    <n v="764.63"/>
    <n v="441"/>
    <m/>
    <m/>
    <s v="Below Average"/>
    <n v="3043"/>
  </r>
  <r>
    <s v="Gunar Cockshoot"/>
    <s v="India"/>
    <x v="19"/>
    <s v="18/03/2024"/>
    <s v="18/03/2024"/>
    <m/>
    <s v="18/03/2024"/>
    <n v="2432.75"/>
    <n v="535"/>
    <m/>
    <m/>
    <s v="Below Average"/>
    <n v="2506"/>
  </r>
  <r>
    <s v="Van Tuxwell"/>
    <s v="Australia"/>
    <x v="6"/>
    <s v="13/07/2024"/>
    <s v="13/07/2024"/>
    <m/>
    <s v="13/07/2024"/>
    <n v="779.04"/>
    <n v="134"/>
    <m/>
    <m/>
    <s v="Below Average"/>
    <n v="3036"/>
  </r>
  <r>
    <s v="Oby Sorrel"/>
    <s v="USA"/>
    <x v="15"/>
    <s v="25/07/2024"/>
    <s v="25/07/2024"/>
    <m/>
    <s v="25/07/2024"/>
    <n v="5050.53"/>
    <n v="85"/>
    <m/>
    <m/>
    <s v="Below Average"/>
    <n v="1693"/>
  </r>
  <r>
    <s v="Van Tuxwell"/>
    <s v="Canada"/>
    <x v="18"/>
    <s v="19/08/2024"/>
    <s v="19/08/2024"/>
    <m/>
    <s v="19/08/2024"/>
    <n v="2727.35"/>
    <n v="293"/>
    <m/>
    <m/>
    <s v="Below Average"/>
    <n v="2395"/>
  </r>
  <r>
    <s v="Karlen McCaffrey"/>
    <s v="Canada"/>
    <x v="21"/>
    <s v="24/06/2024"/>
    <s v="24/06/2024"/>
    <m/>
    <s v="24/06/2024"/>
    <n v="9089.2099999999991"/>
    <n v="602"/>
    <m/>
    <m/>
    <s v="Above Average"/>
    <n v="722"/>
  </r>
  <r>
    <s v="Kelci Walkden"/>
    <s v="Canada"/>
    <x v="13"/>
    <s v="20/06/2024"/>
    <s v="20/06/2024"/>
    <m/>
    <s v="20/06/2024"/>
    <n v="881.49"/>
    <n v="152"/>
    <m/>
    <m/>
    <s v="Below Average"/>
    <n v="3008"/>
  </r>
  <r>
    <s v="Camilla Castle"/>
    <s v="India"/>
    <x v="4"/>
    <d v="2024-02-08T00:00:00"/>
    <s v="08/02/2024"/>
    <m/>
    <s v="08"/>
    <n v="227.55"/>
    <n v="225"/>
    <m/>
    <m/>
    <s v="Below Average"/>
    <n v="3212"/>
  </r>
  <r>
    <s v="Madelene Upcott"/>
    <s v="New Zealand"/>
    <x v="21"/>
    <s v="22/02/2024"/>
    <s v="22/02/2024"/>
    <m/>
    <s v="22/02/2024"/>
    <n v="14193.58"/>
    <n v="102"/>
    <m/>
    <m/>
    <s v="Above Average"/>
    <n v="197"/>
  </r>
  <r>
    <s v="Mallorie Waber"/>
    <s v="New Zealand"/>
    <x v="7"/>
    <d v="2024-01-02T00:00:00"/>
    <s v="02/01/2024"/>
    <m/>
    <s v="02"/>
    <n v="7459.88"/>
    <n v="23"/>
    <m/>
    <m/>
    <s v="Above Average"/>
    <n v="1076"/>
  </r>
  <r>
    <s v="Jan Morforth"/>
    <s v="Canada"/>
    <x v="21"/>
    <s v="14/02/2024"/>
    <s v="14/02/2024"/>
    <m/>
    <s v="14/02/2024"/>
    <n v="6578.55"/>
    <n v="312"/>
    <m/>
    <m/>
    <s v="Above Average"/>
    <n v="1286"/>
  </r>
  <r>
    <s v="Kelci Walkden"/>
    <s v="Australia"/>
    <x v="11"/>
    <s v="24/02/2024"/>
    <s v="24/02/2024"/>
    <m/>
    <s v="24/02/2024"/>
    <n v="8975.44"/>
    <n v="137"/>
    <m/>
    <m/>
    <s v="Above Average"/>
    <n v="742"/>
  </r>
  <r>
    <s v="Dennison Crosswaite"/>
    <s v="India"/>
    <x v="7"/>
    <s v="18/03/2024"/>
    <s v="18/03/2024"/>
    <m/>
    <s v="18/03/2024"/>
    <n v="852.29"/>
    <n v="123"/>
    <m/>
    <m/>
    <s v="Below Average"/>
    <n v="3018"/>
  </r>
  <r>
    <s v="Husein Augar"/>
    <s v="UK"/>
    <x v="8"/>
    <s v="30/08/2024"/>
    <s v="30/08/2024"/>
    <m/>
    <s v="30/08/2024"/>
    <n v="1955.2"/>
    <n v="250"/>
    <m/>
    <m/>
    <s v="Below Average"/>
    <n v="2647"/>
  </r>
  <r>
    <s v="Gigi Bohling"/>
    <s v="USA"/>
    <x v="2"/>
    <d v="2024-09-05T00:00:00"/>
    <s v="05/09/2024"/>
    <m/>
    <s v="05"/>
    <n v="323.29000000000002"/>
    <n v="72"/>
    <m/>
    <m/>
    <s v="Below Average"/>
    <n v="3180"/>
  </r>
  <r>
    <s v="Wilone O'Kielt"/>
    <s v="USA"/>
    <x v="3"/>
    <s v="18/01/2024"/>
    <s v="18/01/2024"/>
    <m/>
    <s v="18/01/2024"/>
    <n v="542.39"/>
    <n v="86"/>
    <m/>
    <m/>
    <s v="Below Average"/>
    <n v="3115"/>
  </r>
  <r>
    <s v="Curtice Advani"/>
    <s v="India"/>
    <x v="14"/>
    <d v="2024-04-07T00:00:00"/>
    <s v="07/04/2024"/>
    <m/>
    <s v="07"/>
    <n v="7666.62"/>
    <n v="347"/>
    <m/>
    <m/>
    <s v="Above Average"/>
    <n v="1026"/>
  </r>
  <r>
    <s v="Oby Sorrel"/>
    <s v="New Zealand"/>
    <x v="12"/>
    <d v="2024-03-06T00:00:00"/>
    <s v="06/03/2024"/>
    <m/>
    <s v="06"/>
    <n v="1826.32"/>
    <n v="13"/>
    <m/>
    <m/>
    <s v="Below Average"/>
    <n v="2695"/>
  </r>
  <r>
    <s v="Beverie Moffet"/>
    <s v="New Zealand"/>
    <x v="2"/>
    <s v="23/02/2024"/>
    <s v="23/02/2024"/>
    <m/>
    <s v="23/02/2024"/>
    <n v="11510.68"/>
    <n v="30"/>
    <m/>
    <m/>
    <s v="Above Average"/>
    <n v="397"/>
  </r>
  <r>
    <s v="Dotty Strutley"/>
    <s v="New Zealand"/>
    <x v="4"/>
    <d v="2024-09-05T00:00:00"/>
    <s v="05/09/2024"/>
    <m/>
    <s v="05"/>
    <n v="12263.85"/>
    <n v="223"/>
    <m/>
    <m/>
    <s v="Above Average"/>
    <n v="323"/>
  </r>
  <r>
    <s v="Kelci Walkden"/>
    <s v="India"/>
    <x v="21"/>
    <d v="2024-06-06T00:00:00"/>
    <s v="06/06/2024"/>
    <m/>
    <s v="06"/>
    <n v="3878.6"/>
    <n v="108"/>
    <m/>
    <m/>
    <s v="Below Average"/>
    <n v="2017"/>
  </r>
  <r>
    <s v="Kelci Walkden"/>
    <s v="India"/>
    <x v="9"/>
    <d v="2024-04-07T00:00:00"/>
    <s v="07/04/2024"/>
    <m/>
    <s v="07"/>
    <n v="8328.52"/>
    <n v="238"/>
    <m/>
    <m/>
    <s v="Above Average"/>
    <n v="867"/>
  </r>
  <r>
    <s v="Brien Boise"/>
    <s v="New Zealand"/>
    <x v="9"/>
    <d v="2024-06-06T00:00:00"/>
    <s v="06/06/2024"/>
    <m/>
    <s v="06"/>
    <n v="1666.46"/>
    <n v="98"/>
    <m/>
    <m/>
    <s v="Below Average"/>
    <n v="2744"/>
  </r>
  <r>
    <s v="Dotty Strutley"/>
    <s v="Australia"/>
    <x v="16"/>
    <s v="13/05/2024"/>
    <s v="13/05/2024"/>
    <m/>
    <s v="13/05/2024"/>
    <n v="1754.11"/>
    <n v="95"/>
    <m/>
    <m/>
    <s v="Below Average"/>
    <n v="2709"/>
  </r>
  <r>
    <s v="Wilone O'Kielt"/>
    <s v="New Zealand"/>
    <x v="10"/>
    <s v="31/01/2024"/>
    <s v="31/01/2024"/>
    <m/>
    <s v="31/01/2024"/>
    <n v="2390.6999999999998"/>
    <n v="274"/>
    <m/>
    <m/>
    <s v="Below Average"/>
    <n v="2518"/>
  </r>
  <r>
    <s v="Ches Bonnell"/>
    <s v="New Zealand"/>
    <x v="20"/>
    <s v="30/06/2024"/>
    <s v="30/06/2024"/>
    <m/>
    <s v="30/06/2024"/>
    <n v="8546.7199999999993"/>
    <n v="41"/>
    <m/>
    <m/>
    <s v="Above Average"/>
    <n v="825"/>
  </r>
  <r>
    <s v="Barr Faughny"/>
    <s v="Canada"/>
    <x v="15"/>
    <s v="25/08/2024"/>
    <s v="25/08/2024"/>
    <m/>
    <s v="25/08/2024"/>
    <n v="4115.57"/>
    <n v="274"/>
    <m/>
    <m/>
    <s v="Below Average"/>
    <n v="1954"/>
  </r>
  <r>
    <s v="Gigi Bohling"/>
    <s v="New Zealand"/>
    <x v="3"/>
    <d v="2024-10-01T00:00:00"/>
    <s v="01/10/2024"/>
    <m/>
    <s v="01"/>
    <n v="787.38"/>
    <n v="95"/>
    <m/>
    <m/>
    <s v="Below Average"/>
    <n v="3031"/>
  </r>
  <r>
    <s v="Brien Boise"/>
    <s v="USA"/>
    <x v="15"/>
    <s v="22/08/2024"/>
    <s v="22/08/2024"/>
    <m/>
    <s v="22/08/2024"/>
    <n v="2095.7800000000002"/>
    <n v="8"/>
    <m/>
    <m/>
    <s v="Below Average"/>
    <n v="2604"/>
  </r>
  <r>
    <s v="Roddy Speechley"/>
    <s v="New Zealand"/>
    <x v="1"/>
    <s v="14/04/2024"/>
    <s v="14/04/2024"/>
    <m/>
    <s v="14/04/2024"/>
    <n v="5220.8"/>
    <n v="267"/>
    <m/>
    <m/>
    <s v="Below Average"/>
    <n v="1643"/>
  </r>
  <r>
    <s v="Oby Sorrel"/>
    <s v="UK"/>
    <x v="3"/>
    <s v="31/05/2024"/>
    <s v="31/05/2024"/>
    <m/>
    <s v="31/05/2024"/>
    <n v="11264.45"/>
    <n v="340"/>
    <m/>
    <m/>
    <s v="Above Average"/>
    <n v="419"/>
  </r>
  <r>
    <s v="Oby Sorrel"/>
    <s v="UK"/>
    <x v="17"/>
    <d v="2024-08-04T00:00:00"/>
    <s v="04/08/2024"/>
    <m/>
    <s v="04"/>
    <n v="5477.33"/>
    <n v="341"/>
    <m/>
    <m/>
    <s v="Below Average"/>
    <n v="1573"/>
  </r>
  <r>
    <s v="Roddy Speechley"/>
    <s v="USA"/>
    <x v="9"/>
    <s v="21/02/2024"/>
    <s v="21/02/2024"/>
    <m/>
    <s v="21/02/2024"/>
    <n v="3389"/>
    <n v="160"/>
    <m/>
    <m/>
    <s v="Below Average"/>
    <n v="2179"/>
  </r>
  <r>
    <s v="Andria Kimpton"/>
    <s v="Australia"/>
    <x v="15"/>
    <s v="30/03/2024"/>
    <s v="30/03/2024"/>
    <m/>
    <s v="30/03/2024"/>
    <n v="11559.52"/>
    <n v="413"/>
    <m/>
    <m/>
    <s v="Above Average"/>
    <n v="391"/>
  </r>
  <r>
    <s v="Mallorie Waber"/>
    <s v="India"/>
    <x v="17"/>
    <d v="2024-02-03T00:00:00"/>
    <s v="03/02/2024"/>
    <m/>
    <s v="03"/>
    <n v="1676.82"/>
    <n v="2"/>
    <m/>
    <m/>
    <s v="Below Average"/>
    <n v="2741"/>
  </r>
  <r>
    <s v="Jehu Rudeforth"/>
    <s v="USA"/>
    <x v="7"/>
    <s v="28/07/2024"/>
    <s v="28/07/2024"/>
    <m/>
    <s v="28/07/2024"/>
    <n v="437.48"/>
    <n v="174"/>
    <m/>
    <m/>
    <s v="Below Average"/>
    <n v="3154"/>
  </r>
  <r>
    <s v="Kaine Padly"/>
    <s v="New Zealand"/>
    <x v="21"/>
    <s v="24/03/2024"/>
    <s v="24/03/2024"/>
    <m/>
    <s v="24/03/2024"/>
    <n v="8487.6299999999992"/>
    <n v="40"/>
    <m/>
    <m/>
    <s v="Above Average"/>
    <n v="838"/>
  </r>
  <r>
    <s v="Curtice Advani"/>
    <s v="Australia"/>
    <x v="5"/>
    <d v="2024-11-08T00:00:00"/>
    <s v="08/11/2024"/>
    <m/>
    <s v="08"/>
    <n v="71.989999999999995"/>
    <n v="101"/>
    <m/>
    <m/>
    <s v="Below Average"/>
    <n v="3256"/>
  </r>
  <r>
    <s v="Husein Augar"/>
    <s v="UK"/>
    <x v="16"/>
    <s v="17/05/2024"/>
    <s v="17/05/2024"/>
    <m/>
    <s v="17/05/2024"/>
    <n v="9863.6200000000008"/>
    <n v="167"/>
    <m/>
    <m/>
    <s v="Above Average"/>
    <n v="604"/>
  </r>
  <r>
    <s v="Kaine Padly"/>
    <s v="Canada"/>
    <x v="18"/>
    <s v="18/05/2024"/>
    <s v="18/05/2024"/>
    <m/>
    <s v="18/05/2024"/>
    <n v="3468.53"/>
    <n v="166"/>
    <m/>
    <m/>
    <s v="Below Average"/>
    <n v="2151"/>
  </r>
  <r>
    <s v="Roddy Speechley"/>
    <s v="UK"/>
    <x v="2"/>
    <s v="17/08/2024"/>
    <s v="17/08/2024"/>
    <m/>
    <s v="17/08/2024"/>
    <n v="6770.35"/>
    <n v="173"/>
    <m/>
    <m/>
    <s v="Above Average"/>
    <n v="1247"/>
  </r>
  <r>
    <s v="Ches Bonnell"/>
    <s v="New Zealand"/>
    <x v="8"/>
    <d v="2024-04-04T00:00:00"/>
    <s v="04/04/2024"/>
    <m/>
    <s v="04"/>
    <n v="564.14"/>
    <n v="50"/>
    <m/>
    <m/>
    <s v="Below Average"/>
    <n v="3110"/>
  </r>
  <r>
    <s v="Brien Boise"/>
    <s v="India"/>
    <x v="1"/>
    <d v="2024-09-08T00:00:00"/>
    <s v="08/09/2024"/>
    <m/>
    <s v="08"/>
    <n v="21044.07"/>
    <n v="210"/>
    <m/>
    <m/>
    <s v="Above Average"/>
    <n v="13"/>
  </r>
  <r>
    <s v="Brien Boise"/>
    <s v="New Zealand"/>
    <x v="10"/>
    <s v="17/01/2024"/>
    <s v="17/01/2024"/>
    <m/>
    <s v="17/01/2024"/>
    <n v="677.38"/>
    <n v="327"/>
    <m/>
    <m/>
    <s v="Below Average"/>
    <n v="3075"/>
  </r>
  <r>
    <s v="Andria Kimpton"/>
    <s v="Canada"/>
    <x v="14"/>
    <s v="14/02/2024"/>
    <s v="14/02/2024"/>
    <m/>
    <s v="14/02/2024"/>
    <n v="4368.01"/>
    <n v="29"/>
    <m/>
    <m/>
    <s v="Below Average"/>
    <n v="1885"/>
  </r>
  <r>
    <s v="Gigi Bohling"/>
    <s v="New Zealand"/>
    <x v="7"/>
    <s v="16/05/2024"/>
    <s v="16/05/2024"/>
    <m/>
    <s v="16/05/2024"/>
    <n v="9866.2000000000007"/>
    <n v="306"/>
    <m/>
    <m/>
    <s v="Above Average"/>
    <n v="602"/>
  </r>
  <r>
    <s v="Ches Bonnell"/>
    <s v="Canada"/>
    <x v="3"/>
    <s v="16/03/2024"/>
    <s v="16/03/2024"/>
    <m/>
    <s v="16/03/2024"/>
    <n v="10723.86"/>
    <n v="125"/>
    <m/>
    <m/>
    <s v="Above Average"/>
    <n v="488"/>
  </r>
  <r>
    <s v="Husein Augar"/>
    <s v="Canada"/>
    <x v="21"/>
    <s v="31/01/2024"/>
    <s v="31/01/2024"/>
    <m/>
    <s v="31/01/2024"/>
    <n v="5443.42"/>
    <n v="284"/>
    <m/>
    <m/>
    <s v="Below Average"/>
    <n v="1583"/>
  </r>
  <r>
    <s v="Barr Faughny"/>
    <s v="Canada"/>
    <x v="10"/>
    <d v="2024-10-03T00:00:00"/>
    <s v="03/10/2024"/>
    <m/>
    <s v="03"/>
    <n v="1312.35"/>
    <n v="200"/>
    <m/>
    <m/>
    <s v="Below Average"/>
    <n v="2867"/>
  </r>
  <r>
    <s v="Oby Sorrel"/>
    <s v="UK"/>
    <x v="10"/>
    <s v="30/06/2024"/>
    <s v="30/06/2024"/>
    <m/>
    <s v="30/06/2024"/>
    <n v="8471.68"/>
    <n v="162"/>
    <m/>
    <m/>
    <s v="Above Average"/>
    <n v="842"/>
  </r>
  <r>
    <s v="Van Tuxwell"/>
    <s v="New Zealand"/>
    <x v="8"/>
    <d v="2024-01-03T00:00:00"/>
    <s v="03/01/2024"/>
    <m/>
    <s v="03"/>
    <n v="5774.6"/>
    <n v="178"/>
    <m/>
    <m/>
    <s v="Below Average"/>
    <n v="1497"/>
  </r>
  <r>
    <s v="Mallorie Waber"/>
    <s v="UK"/>
    <x v="9"/>
    <s v="27/05/2024"/>
    <s v="27/05/2024"/>
    <m/>
    <s v="27/05/2024"/>
    <n v="3780.02"/>
    <n v="97"/>
    <m/>
    <m/>
    <s v="Below Average"/>
    <n v="2044"/>
  </r>
  <r>
    <s v="Oby Sorrel"/>
    <s v="UK"/>
    <x v="11"/>
    <d v="2024-11-07T00:00:00"/>
    <s v="07/11/2024"/>
    <m/>
    <s v="07"/>
    <n v="6831.03"/>
    <n v="243"/>
    <m/>
    <m/>
    <s v="Above Average"/>
    <n v="1228"/>
  </r>
  <r>
    <s v="Karlen McCaffrey"/>
    <s v="New Zealand"/>
    <x v="0"/>
    <d v="2024-02-03T00:00:00"/>
    <s v="03/02/2024"/>
    <m/>
    <s v="03"/>
    <n v="4834.51"/>
    <n v="63"/>
    <m/>
    <m/>
    <s v="Below Average"/>
    <n v="1756"/>
  </r>
  <r>
    <s v="Jehu Rudeforth"/>
    <s v="USA"/>
    <x v="17"/>
    <d v="2024-04-03T00:00:00"/>
    <s v="03/04/2024"/>
    <m/>
    <s v="03"/>
    <n v="8119.65"/>
    <n v="143"/>
    <m/>
    <m/>
    <s v="Above Average"/>
    <n v="909"/>
  </r>
  <r>
    <s v="Kelci Walkden"/>
    <s v="UK"/>
    <x v="1"/>
    <s v="23/06/2024"/>
    <s v="23/06/2024"/>
    <m/>
    <s v="23/06/2024"/>
    <n v="4811.88"/>
    <n v="242"/>
    <m/>
    <m/>
    <s v="Below Average"/>
    <n v="1764"/>
  </r>
  <r>
    <s v="Kelci Walkden"/>
    <s v="USA"/>
    <x v="16"/>
    <s v="27/01/2024"/>
    <s v="27/01/2024"/>
    <m/>
    <s v="27/01/2024"/>
    <n v="5930.01"/>
    <n v="252"/>
    <m/>
    <m/>
    <s v="Below Average"/>
    <n v="1449"/>
  </r>
  <r>
    <s v="Marney O'Breen"/>
    <s v="Canada"/>
    <x v="7"/>
    <s v="14/01/2024"/>
    <s v="14/01/2024"/>
    <m/>
    <s v="14/01/2024"/>
    <n v="3040.05"/>
    <n v="426"/>
    <m/>
    <m/>
    <s v="Below Average"/>
    <n v="2290"/>
  </r>
  <r>
    <s v="Dennison Crosswaite"/>
    <s v="India"/>
    <x v="13"/>
    <s v="29/07/2024"/>
    <s v="29/07/2024"/>
    <m/>
    <s v="29/07/2024"/>
    <n v="1126.8699999999999"/>
    <n v="23"/>
    <m/>
    <m/>
    <s v="Below Average"/>
    <n v="2929"/>
  </r>
  <r>
    <s v="Brien Boise"/>
    <s v="Canada"/>
    <x v="3"/>
    <s v="13/05/2024"/>
    <s v="13/05/2024"/>
    <m/>
    <s v="13/05/2024"/>
    <n v="6051.65"/>
    <n v="490"/>
    <m/>
    <m/>
    <s v="Above Average"/>
    <n v="1422"/>
  </r>
  <r>
    <s v="Barr Faughny"/>
    <s v="Canada"/>
    <x v="19"/>
    <d v="2024-03-02T00:00:00"/>
    <s v="02/03/2024"/>
    <m/>
    <s v="02"/>
    <n v="12279.35"/>
    <n v="162"/>
    <m/>
    <m/>
    <s v="Above Average"/>
    <n v="320"/>
  </r>
  <r>
    <s v="Brien Boise"/>
    <s v="India"/>
    <x v="3"/>
    <s v="27/05/2024"/>
    <s v="27/05/2024"/>
    <m/>
    <s v="27/05/2024"/>
    <n v="7091.66"/>
    <n v="28"/>
    <m/>
    <m/>
    <s v="Above Average"/>
    <n v="1160"/>
  </r>
  <r>
    <s v="Jan Morforth"/>
    <s v="Australia"/>
    <x v="9"/>
    <s v="18/02/2024"/>
    <s v="18/02/2024"/>
    <m/>
    <s v="18/02/2024"/>
    <n v="3160.97"/>
    <n v="25"/>
    <m/>
    <m/>
    <s v="Below Average"/>
    <n v="2252"/>
  </r>
  <r>
    <s v="Brien Boise"/>
    <s v="India"/>
    <x v="12"/>
    <s v="28/01/2024"/>
    <s v="28/01/2024"/>
    <m/>
    <s v="28/01/2024"/>
    <n v="1408.28"/>
    <n v="35"/>
    <m/>
    <m/>
    <s v="Below Average"/>
    <n v="2838"/>
  </r>
  <r>
    <s v="Van Tuxwell"/>
    <s v="UK"/>
    <x v="8"/>
    <s v="29/06/2024"/>
    <s v="29/06/2024"/>
    <m/>
    <s v="29/06/2024"/>
    <n v="5776.61"/>
    <n v="114"/>
    <m/>
    <m/>
    <s v="Below Average"/>
    <n v="1493"/>
  </r>
  <r>
    <s v="Wilone O'Kielt"/>
    <s v="India"/>
    <x v="20"/>
    <s v="13/01/2024"/>
    <s v="13/01/2024"/>
    <m/>
    <s v="13/01/2024"/>
    <n v="4890.59"/>
    <n v="274"/>
    <m/>
    <m/>
    <s v="Below Average"/>
    <n v="1735"/>
  </r>
  <r>
    <s v="Jehu Rudeforth"/>
    <s v="UK"/>
    <x v="5"/>
    <s v="27/06/2024"/>
    <s v="27/06/2024"/>
    <m/>
    <s v="27/06/2024"/>
    <n v="2048.13"/>
    <n v="172"/>
    <m/>
    <m/>
    <s v="Below Average"/>
    <n v="2620"/>
  </r>
  <r>
    <s v="Barr Faughny"/>
    <s v="Canada"/>
    <x v="14"/>
    <s v="29/03/2024"/>
    <s v="29/03/2024"/>
    <m/>
    <s v="29/03/2024"/>
    <n v="4590.46"/>
    <n v="1"/>
    <m/>
    <m/>
    <s v="Below Average"/>
    <n v="1826"/>
  </r>
  <r>
    <s v="Gunar Cockshoot"/>
    <s v="India"/>
    <x v="10"/>
    <d v="2024-03-06T00:00:00"/>
    <s v="06/03/2024"/>
    <m/>
    <s v="06"/>
    <n v="8665.99"/>
    <n v="162"/>
    <m/>
    <m/>
    <s v="Above Average"/>
    <n v="805"/>
  </r>
  <r>
    <s v="Mallorie Waber"/>
    <s v="Canada"/>
    <x v="3"/>
    <s v="21/03/2024"/>
    <s v="21/03/2024"/>
    <m/>
    <s v="21/03/2024"/>
    <n v="2202.46"/>
    <n v="97"/>
    <m/>
    <m/>
    <s v="Below Average"/>
    <n v="2580"/>
  </r>
  <r>
    <s v="Mallorie Waber"/>
    <s v="India"/>
    <x v="8"/>
    <d v="2024-12-04T00:00:00"/>
    <s v="04/12/2024"/>
    <m/>
    <s v="04"/>
    <n v="11720.11"/>
    <n v="48"/>
    <m/>
    <m/>
    <s v="Above Average"/>
    <n v="370"/>
  </r>
  <r>
    <s v="Rafaelita Blaksland"/>
    <s v="Australia"/>
    <x v="17"/>
    <s v="19/01/2024"/>
    <s v="19/01/2024"/>
    <m/>
    <s v="19/01/2024"/>
    <n v="7884.86"/>
    <n v="266"/>
    <m/>
    <m/>
    <s v="Above Average"/>
    <n v="976"/>
  </r>
  <r>
    <s v="Karlen McCaffrey"/>
    <s v="UK"/>
    <x v="6"/>
    <d v="2024-06-04T00:00:00"/>
    <s v="04/06/2024"/>
    <m/>
    <s v="04"/>
    <n v="3857.88"/>
    <n v="303"/>
    <m/>
    <m/>
    <s v="Below Average"/>
    <n v="2022"/>
  </r>
  <r>
    <s v="Kaine Padly"/>
    <s v="Australia"/>
    <x v="6"/>
    <d v="2024-02-08T00:00:00"/>
    <s v="08/02/2024"/>
    <m/>
    <s v="08"/>
    <n v="10123.959999999999"/>
    <n v="84"/>
    <m/>
    <m/>
    <s v="Above Average"/>
    <n v="563"/>
  </r>
  <r>
    <s v="Gigi Bohling"/>
    <s v="Australia"/>
    <x v="8"/>
    <d v="2024-12-04T00:00:00"/>
    <s v="04/12/2024"/>
    <m/>
    <s v="04"/>
    <n v="8170.88"/>
    <n v="137"/>
    <m/>
    <m/>
    <s v="Above Average"/>
    <n v="899"/>
  </r>
  <r>
    <s v="Oby Sorrel"/>
    <s v="India"/>
    <x v="9"/>
    <s v="21/07/2024"/>
    <s v="21/07/2024"/>
    <m/>
    <s v="21/07/2024"/>
    <n v="19390.61"/>
    <n v="141"/>
    <m/>
    <m/>
    <s v="Above Average"/>
    <n v="23"/>
  </r>
  <r>
    <s v="Van Tuxwell"/>
    <s v="New Zealand"/>
    <x v="19"/>
    <s v="22/03/2024"/>
    <s v="22/03/2024"/>
    <m/>
    <s v="22/03/2024"/>
    <n v="10197.43"/>
    <n v="24"/>
    <m/>
    <m/>
    <s v="Above Average"/>
    <n v="552"/>
  </r>
  <r>
    <s v="Husein Augar"/>
    <s v="India"/>
    <x v="2"/>
    <d v="2024-09-05T00:00:00"/>
    <s v="05/09/2024"/>
    <m/>
    <s v="05"/>
    <n v="5188.18"/>
    <n v="5"/>
    <m/>
    <m/>
    <s v="Below Average"/>
    <n v="1651"/>
  </r>
  <r>
    <s v="Andria Kimpton"/>
    <s v="Australia"/>
    <x v="19"/>
    <d v="2024-09-08T00:00:00"/>
    <s v="08/09/2024"/>
    <m/>
    <s v="08"/>
    <n v="350.27"/>
    <n v="117"/>
    <m/>
    <m/>
    <s v="Below Average"/>
    <n v="3173"/>
  </r>
  <r>
    <s v="Madelene Upcott"/>
    <s v="Canada"/>
    <x v="18"/>
    <s v="20/07/2024"/>
    <s v="20/07/2024"/>
    <m/>
    <s v="20/07/2024"/>
    <n v="3766.32"/>
    <n v="300"/>
    <m/>
    <m/>
    <s v="Below Average"/>
    <n v="2049"/>
  </r>
  <r>
    <s v="Brien Boise"/>
    <s v="India"/>
    <x v="21"/>
    <s v="14/04/2024"/>
    <s v="14/04/2024"/>
    <m/>
    <s v="14/04/2024"/>
    <n v="4888.37"/>
    <n v="435"/>
    <m/>
    <m/>
    <s v="Below Average"/>
    <n v="1736"/>
  </r>
  <r>
    <s v="Jehu Rudeforth"/>
    <s v="Canada"/>
    <x v="14"/>
    <s v="25/01/2024"/>
    <s v="25/01/2024"/>
    <m/>
    <s v="25/01/2024"/>
    <n v="5230.3599999999997"/>
    <n v="142"/>
    <m/>
    <m/>
    <s v="Below Average"/>
    <n v="1640"/>
  </r>
  <r>
    <s v="Andria Kimpton"/>
    <s v="Australia"/>
    <x v="16"/>
    <s v="25/04/2024"/>
    <s v="25/04/2024"/>
    <m/>
    <s v="25/04/2024"/>
    <n v="3790.18"/>
    <n v="168"/>
    <m/>
    <m/>
    <s v="Below Average"/>
    <n v="2042"/>
  </r>
  <r>
    <s v="Dotty Strutley"/>
    <s v="Canada"/>
    <x v="5"/>
    <s v="17/01/2024"/>
    <s v="17/01/2024"/>
    <m/>
    <s v="17/01/2024"/>
    <n v="302.18"/>
    <n v="233"/>
    <m/>
    <m/>
    <s v="Below Average"/>
    <n v="3191"/>
  </r>
  <r>
    <s v="Karlen McCaffrey"/>
    <s v="USA"/>
    <x v="8"/>
    <s v="15/08/2024"/>
    <s v="15/08/2024"/>
    <m/>
    <s v="15/08/2024"/>
    <n v="1017.17"/>
    <n v="123"/>
    <m/>
    <m/>
    <s v="Below Average"/>
    <n v="2968"/>
  </r>
  <r>
    <s v="Karlen McCaffrey"/>
    <s v="Canada"/>
    <x v="13"/>
    <d v="2024-02-06T00:00:00"/>
    <s v="06/02/2024"/>
    <m/>
    <s v="06"/>
    <n v="241.36"/>
    <n v="17"/>
    <m/>
    <m/>
    <s v="Below Average"/>
    <n v="3209"/>
  </r>
  <r>
    <s v="Gunar Cockshoot"/>
    <s v="USA"/>
    <x v="1"/>
    <s v="30/06/2024"/>
    <s v="30/06/2024"/>
    <m/>
    <s v="30/06/2024"/>
    <n v="8347.2999999999993"/>
    <n v="138"/>
    <m/>
    <m/>
    <s v="Above Average"/>
    <n v="863"/>
  </r>
  <r>
    <s v="Dotty Strutley"/>
    <s v="New Zealand"/>
    <x v="17"/>
    <d v="2024-10-02T00:00:00"/>
    <s v="02/10/2024"/>
    <m/>
    <s v="02"/>
    <n v="6291.74"/>
    <n v="88"/>
    <m/>
    <m/>
    <s v="Above Average"/>
    <n v="1360"/>
  </r>
  <r>
    <s v="Marney O'Breen"/>
    <s v="Canada"/>
    <x v="20"/>
    <s v="23/02/2024"/>
    <s v="23/02/2024"/>
    <m/>
    <s v="23/02/2024"/>
    <n v="1543.77"/>
    <n v="674"/>
    <m/>
    <m/>
    <s v="Below Average"/>
    <n v="2790"/>
  </r>
  <r>
    <s v="Dennison Crosswaite"/>
    <s v="India"/>
    <x v="10"/>
    <s v="27/01/2024"/>
    <s v="27/01/2024"/>
    <m/>
    <s v="27/01/2024"/>
    <n v="9744.5"/>
    <n v="225"/>
    <m/>
    <m/>
    <s v="Above Average"/>
    <n v="623"/>
  </r>
  <r>
    <s v="Camilla Castle"/>
    <s v="UK"/>
    <x v="0"/>
    <s v="26/05/2024"/>
    <s v="26/05/2024"/>
    <m/>
    <s v="26/05/2024"/>
    <n v="5414.75"/>
    <n v="325"/>
    <m/>
    <m/>
    <s v="Below Average"/>
    <n v="1591"/>
  </r>
  <r>
    <s v="Brien Boise"/>
    <s v="USA"/>
    <x v="21"/>
    <s v="14/04/2024"/>
    <s v="14/04/2024"/>
    <m/>
    <s v="14/04/2024"/>
    <n v="1898.07"/>
    <n v="22"/>
    <m/>
    <m/>
    <s v="Below Average"/>
    <n v="2664"/>
  </r>
  <r>
    <s v="Madelene Upcott"/>
    <s v="Australia"/>
    <x v="4"/>
    <d v="2024-01-08T00:00:00"/>
    <s v="08/01/2024"/>
    <m/>
    <s v="08"/>
    <n v="4911.08"/>
    <n v="163"/>
    <m/>
    <m/>
    <s v="Below Average"/>
    <n v="1726"/>
  </r>
  <r>
    <s v="Mallorie Waber"/>
    <s v="Australia"/>
    <x v="8"/>
    <s v="22/08/2024"/>
    <s v="22/08/2024"/>
    <m/>
    <s v="22/08/2024"/>
    <n v="11293.17"/>
    <n v="219"/>
    <m/>
    <m/>
    <s v="Above Average"/>
    <n v="418"/>
  </r>
  <r>
    <s v="Marney O'Breen"/>
    <s v="India"/>
    <x v="4"/>
    <s v="22/07/2024"/>
    <s v="22/07/2024"/>
    <m/>
    <s v="22/07/2024"/>
    <n v="12398.37"/>
    <n v="161"/>
    <m/>
    <m/>
    <s v="Above Average"/>
    <n v="311"/>
  </r>
  <r>
    <s v="Husein Augar"/>
    <s v="USA"/>
    <x v="13"/>
    <s v="28/04/2024"/>
    <s v="28/04/2024"/>
    <m/>
    <s v="28/04/2024"/>
    <n v="1508.57"/>
    <n v="28"/>
    <m/>
    <m/>
    <s v="Below Average"/>
    <n v="2807"/>
  </r>
  <r>
    <s v="Kelci Walkden"/>
    <s v="Australia"/>
    <x v="16"/>
    <s v="30/05/2024"/>
    <s v="30/05/2024"/>
    <m/>
    <s v="30/05/2024"/>
    <n v="5869.09"/>
    <n v="354"/>
    <m/>
    <m/>
    <s v="Below Average"/>
    <n v="1467"/>
  </r>
  <r>
    <s v="Ches Bonnell"/>
    <s v="USA"/>
    <x v="11"/>
    <s v="21/07/2024"/>
    <s v="21/07/2024"/>
    <m/>
    <s v="21/07/2024"/>
    <n v="2770.47"/>
    <n v="159"/>
    <m/>
    <m/>
    <s v="Below Average"/>
    <n v="2383"/>
  </r>
  <r>
    <s v="Jan Morforth"/>
    <s v="UK"/>
    <x v="20"/>
    <d v="2024-02-08T00:00:00"/>
    <s v="08/02/2024"/>
    <m/>
    <s v="08"/>
    <n v="3541.73"/>
    <n v="494"/>
    <m/>
    <m/>
    <s v="Below Average"/>
    <n v="2130"/>
  </r>
  <r>
    <s v="Brien Boise"/>
    <s v="New Zealand"/>
    <x v="21"/>
    <s v="15/06/2024"/>
    <s v="15/06/2024"/>
    <m/>
    <s v="15/06/2024"/>
    <n v="7624.41"/>
    <n v="139"/>
    <m/>
    <m/>
    <s v="Above Average"/>
    <n v="1033"/>
  </r>
  <r>
    <s v="Oby Sorrel"/>
    <s v="India"/>
    <x v="1"/>
    <d v="2024-05-07T00:00:00"/>
    <s v="07/05/2024"/>
    <m/>
    <s v="07"/>
    <n v="9928.42"/>
    <n v="130"/>
    <m/>
    <m/>
    <s v="Above Average"/>
    <n v="592"/>
  </r>
  <r>
    <s v="Kaine Padly"/>
    <s v="New Zealand"/>
    <x v="3"/>
    <d v="2024-12-04T00:00:00"/>
    <s v="04/12/2024"/>
    <m/>
    <s v="04"/>
    <n v="7.67"/>
    <n v="548"/>
    <m/>
    <m/>
    <s v="Below Average"/>
    <n v="3280"/>
  </r>
  <r>
    <s v="Gigi Bohling"/>
    <s v="Australia"/>
    <x v="21"/>
    <s v="18/08/2024"/>
    <s v="18/08/2024"/>
    <m/>
    <s v="18/08/2024"/>
    <n v="1624.86"/>
    <n v="103"/>
    <m/>
    <m/>
    <s v="Below Average"/>
    <n v="2762"/>
  </r>
  <r>
    <s v="Jan Morforth"/>
    <s v="UK"/>
    <x v="6"/>
    <d v="2024-12-01T00:00:00"/>
    <s v="01/12/2024"/>
    <m/>
    <s v="01"/>
    <n v="6301.56"/>
    <n v="287"/>
    <m/>
    <m/>
    <s v="Above Average"/>
    <n v="1358"/>
  </r>
  <r>
    <s v="Gunar Cockshoot"/>
    <s v="Canada"/>
    <x v="14"/>
    <d v="2024-11-08T00:00:00"/>
    <s v="08/11/2024"/>
    <m/>
    <s v="08"/>
    <n v="8578.4"/>
    <n v="15"/>
    <m/>
    <m/>
    <s v="Above Average"/>
    <n v="816"/>
  </r>
  <r>
    <s v="Jehu Rudeforth"/>
    <s v="Australia"/>
    <x v="12"/>
    <s v="13/01/2024"/>
    <s v="13/01/2024"/>
    <m/>
    <s v="13/01/2024"/>
    <n v="5573.57"/>
    <n v="372"/>
    <m/>
    <m/>
    <s v="Below Average"/>
    <n v="1551"/>
  </r>
  <r>
    <s v="Husein Augar"/>
    <s v="UK"/>
    <x v="19"/>
    <s v="29/04/2024"/>
    <s v="29/04/2024"/>
    <m/>
    <s v="29/04/2024"/>
    <n v="3465.68"/>
    <n v="133"/>
    <m/>
    <m/>
    <s v="Below Average"/>
    <n v="2152"/>
  </r>
  <r>
    <s v="Rafaelita Blaksland"/>
    <s v="New Zealand"/>
    <x v="5"/>
    <d v="2024-07-07T00:00:00"/>
    <s v="07/07/2024"/>
    <m/>
    <s v="07"/>
    <n v="1245.9100000000001"/>
    <n v="90"/>
    <m/>
    <m/>
    <s v="Below Average"/>
    <n v="2894"/>
  </r>
  <r>
    <s v="Madelene Upcott"/>
    <s v="New Zealand"/>
    <x v="0"/>
    <d v="2024-11-03T00:00:00"/>
    <s v="03/11/2024"/>
    <m/>
    <s v="03"/>
    <n v="8888.61"/>
    <n v="4"/>
    <m/>
    <m/>
    <s v="Above Average"/>
    <n v="762"/>
  </r>
  <r>
    <s v="Madelene Upcott"/>
    <s v="UK"/>
    <x v="21"/>
    <s v="16/02/2024"/>
    <s v="16/02/2024"/>
    <m/>
    <s v="16/02/2024"/>
    <n v="5931.82"/>
    <n v="243"/>
    <m/>
    <m/>
    <s v="Below Average"/>
    <n v="1448"/>
  </r>
  <r>
    <s v="Barr Faughny"/>
    <s v="Australia"/>
    <x v="10"/>
    <d v="2024-07-01T00:00:00"/>
    <s v="01/07/2024"/>
    <m/>
    <s v="01"/>
    <n v="2620.66"/>
    <n v="34"/>
    <m/>
    <m/>
    <s v="Below Average"/>
    <n v="2434"/>
  </r>
  <r>
    <s v="Beverie Moffet"/>
    <s v="New Zealand"/>
    <x v="9"/>
    <d v="2024-12-01T00:00:00"/>
    <s v="01/12/2024"/>
    <m/>
    <s v="01"/>
    <n v="1284.3699999999999"/>
    <n v="560"/>
    <m/>
    <m/>
    <s v="Below Average"/>
    <n v="2881"/>
  </r>
  <r>
    <s v="Beverie Moffet"/>
    <s v="India"/>
    <x v="8"/>
    <d v="2024-09-06T00:00:00"/>
    <s v="06/09/2024"/>
    <m/>
    <s v="06"/>
    <n v="11033.61"/>
    <n v="155"/>
    <m/>
    <m/>
    <s v="Above Average"/>
    <n v="435"/>
  </r>
  <r>
    <s v="Andria Kimpton"/>
    <s v="India"/>
    <x v="8"/>
    <s v="16/05/2024"/>
    <s v="16/05/2024"/>
    <m/>
    <s v="16/05/2024"/>
    <n v="2413.0500000000002"/>
    <n v="82"/>
    <m/>
    <m/>
    <s v="Below Average"/>
    <n v="2511"/>
  </r>
  <r>
    <s v="Gigi Bohling"/>
    <s v="UK"/>
    <x v="1"/>
    <s v="23/06/2024"/>
    <s v="23/06/2024"/>
    <m/>
    <s v="23/06/2024"/>
    <n v="13136.08"/>
    <n v="90"/>
    <m/>
    <m/>
    <s v="Above Average"/>
    <n v="256"/>
  </r>
  <r>
    <s v="Roddy Speechley"/>
    <s v="UK"/>
    <x v="17"/>
    <s v="28/01/2024"/>
    <s v="28/01/2024"/>
    <m/>
    <s v="28/01/2024"/>
    <n v="14297.82"/>
    <n v="211"/>
    <m/>
    <m/>
    <s v="Above Average"/>
    <n v="191"/>
  </r>
  <r>
    <s v="Dotty Strutley"/>
    <s v="UK"/>
    <x v="0"/>
    <s v="14/07/2024"/>
    <s v="14/07/2024"/>
    <m/>
    <s v="14/07/2024"/>
    <n v="2837.65"/>
    <n v="212"/>
    <m/>
    <m/>
    <s v="Below Average"/>
    <n v="2357"/>
  </r>
  <r>
    <s v="Barr Faughny"/>
    <s v="Canada"/>
    <x v="9"/>
    <s v="18/04/2024"/>
    <s v="18/04/2024"/>
    <m/>
    <s v="18/04/2024"/>
    <n v="7496.03"/>
    <n v="259"/>
    <m/>
    <m/>
    <s v="Above Average"/>
    <n v="1063"/>
  </r>
  <r>
    <s v="Oby Sorrel"/>
    <s v="USA"/>
    <x v="11"/>
    <s v="14/06/2024"/>
    <s v="14/06/2024"/>
    <m/>
    <s v="14/06/2024"/>
    <n v="1815.29"/>
    <n v="79"/>
    <m/>
    <m/>
    <s v="Below Average"/>
    <n v="2697"/>
  </r>
  <r>
    <s v="Oby Sorrel"/>
    <s v="UK"/>
    <x v="7"/>
    <s v="15/04/2024"/>
    <s v="15/04/2024"/>
    <m/>
    <s v="15/04/2024"/>
    <n v="8250.0300000000007"/>
    <n v="228"/>
    <m/>
    <m/>
    <s v="Above Average"/>
    <n v="885"/>
  </r>
  <r>
    <s v="Curtice Advani"/>
    <s v="Canada"/>
    <x v="2"/>
    <s v="19/05/2024"/>
    <s v="19/05/2024"/>
    <m/>
    <s v="19/05/2024"/>
    <n v="5605.82"/>
    <n v="64"/>
    <m/>
    <m/>
    <s v="Below Average"/>
    <n v="1540"/>
  </r>
  <r>
    <s v="Gigi Bohling"/>
    <s v="India"/>
    <x v="14"/>
    <s v="13/04/2024"/>
    <s v="13/04/2024"/>
    <m/>
    <s v="13/04/2024"/>
    <n v="1563.39"/>
    <n v="179"/>
    <m/>
    <m/>
    <s v="Below Average"/>
    <n v="2783"/>
  </r>
  <r>
    <s v="Husein Augar"/>
    <s v="Canada"/>
    <x v="18"/>
    <s v="15/08/2024"/>
    <s v="15/08/2024"/>
    <m/>
    <s v="15/08/2024"/>
    <n v="3997.02"/>
    <n v="411"/>
    <m/>
    <m/>
    <s v="Below Average"/>
    <n v="1987"/>
  </r>
  <r>
    <s v="Wilone O'Kielt"/>
    <s v="India"/>
    <x v="18"/>
    <s v="22/08/2024"/>
    <s v="22/08/2024"/>
    <m/>
    <s v="22/08/2024"/>
    <n v="3284.22"/>
    <n v="230"/>
    <m/>
    <m/>
    <s v="Below Average"/>
    <n v="2214"/>
  </r>
  <r>
    <s v="Wilone O'Kielt"/>
    <s v="New Zealand"/>
    <x v="19"/>
    <s v="22/04/2024"/>
    <s v="22/04/2024"/>
    <m/>
    <s v="22/04/2024"/>
    <n v="4609.67"/>
    <n v="58"/>
    <m/>
    <m/>
    <s v="Below Average"/>
    <n v="1820"/>
  </r>
  <r>
    <s v="Kaine Padly"/>
    <s v="UK"/>
    <x v="18"/>
    <d v="2024-03-08T00:00:00"/>
    <s v="08/03/2024"/>
    <m/>
    <s v="08"/>
    <n v="9412.06"/>
    <n v="123"/>
    <m/>
    <m/>
    <s v="Above Average"/>
    <n v="672"/>
  </r>
  <r>
    <s v="Dennison Crosswaite"/>
    <s v="New Zealand"/>
    <x v="10"/>
    <d v="2024-04-01T00:00:00"/>
    <s v="01/04/2024"/>
    <m/>
    <s v="01"/>
    <n v="427.36"/>
    <n v="249"/>
    <m/>
    <m/>
    <s v="Below Average"/>
    <n v="3158"/>
  </r>
  <r>
    <s v="Kelci Walkden"/>
    <s v="Canada"/>
    <x v="5"/>
    <s v="13/01/2024"/>
    <s v="13/01/2024"/>
    <m/>
    <s v="13/01/2024"/>
    <n v="19449.02"/>
    <n v="204"/>
    <m/>
    <m/>
    <s v="Above Average"/>
    <n v="22"/>
  </r>
  <r>
    <s v="Van Tuxwell"/>
    <s v="Australia"/>
    <x v="19"/>
    <d v="2024-11-05T00:00:00"/>
    <s v="05/11/2024"/>
    <m/>
    <s v="05"/>
    <n v="14122.44"/>
    <n v="32"/>
    <m/>
    <m/>
    <s v="Above Average"/>
    <n v="202"/>
  </r>
  <r>
    <s v="Husein Augar"/>
    <s v="New Zealand"/>
    <x v="2"/>
    <s v="16/02/2024"/>
    <s v="16/02/2024"/>
    <m/>
    <s v="16/02/2024"/>
    <n v="2257.14"/>
    <n v="231"/>
    <m/>
    <m/>
    <s v="Below Average"/>
    <n v="2566"/>
  </r>
  <r>
    <s v="Kaine Padly"/>
    <s v="UK"/>
    <x v="20"/>
    <s v="20/05/2024"/>
    <s v="20/05/2024"/>
    <m/>
    <s v="20/05/2024"/>
    <n v="11334.21"/>
    <n v="72"/>
    <m/>
    <m/>
    <s v="Above Average"/>
    <n v="410"/>
  </r>
  <r>
    <s v="Jehu Rudeforth"/>
    <s v="UK"/>
    <x v="9"/>
    <d v="2024-03-02T00:00:00"/>
    <s v="02/03/2024"/>
    <m/>
    <s v="02"/>
    <n v="7865.93"/>
    <n v="436"/>
    <m/>
    <m/>
    <s v="Above Average"/>
    <n v="980"/>
  </r>
  <r>
    <s v="Beverie Moffet"/>
    <s v="India"/>
    <x v="15"/>
    <d v="2024-06-05T00:00:00"/>
    <s v="05/06/2024"/>
    <m/>
    <s v="05"/>
    <n v="11462.32"/>
    <n v="172"/>
    <m/>
    <m/>
    <s v="Above Average"/>
    <n v="400"/>
  </r>
  <r>
    <s v="Gunar Cockshoot"/>
    <s v="UK"/>
    <x v="18"/>
    <s v="30/06/2024"/>
    <s v="30/06/2024"/>
    <m/>
    <s v="30/06/2024"/>
    <n v="6154.53"/>
    <n v="132"/>
    <m/>
    <m/>
    <s v="Above Average"/>
    <n v="1394"/>
  </r>
  <r>
    <s v="Gunar Cockshoot"/>
    <s v="UK"/>
    <x v="3"/>
    <s v="22/03/2024"/>
    <s v="22/03/2024"/>
    <m/>
    <s v="22/03/2024"/>
    <n v="867.5"/>
    <n v="143"/>
    <m/>
    <m/>
    <s v="Below Average"/>
    <n v="3012"/>
  </r>
  <r>
    <s v="Camilla Castle"/>
    <s v="Canada"/>
    <x v="7"/>
    <s v="17/02/2024"/>
    <s v="17/02/2024"/>
    <m/>
    <s v="17/02/2024"/>
    <n v="9056.1"/>
    <n v="58"/>
    <m/>
    <m/>
    <s v="Above Average"/>
    <n v="728"/>
  </r>
  <r>
    <s v="Jehu Rudeforth"/>
    <s v="UK"/>
    <x v="1"/>
    <d v="2024-07-07T00:00:00"/>
    <s v="07/07/2024"/>
    <m/>
    <s v="07"/>
    <n v="6569.4"/>
    <n v="66"/>
    <m/>
    <m/>
    <s v="Above Average"/>
    <n v="1288"/>
  </r>
  <r>
    <s v="Oby Sorrel"/>
    <s v="UK"/>
    <x v="21"/>
    <s v="16/03/2024"/>
    <s v="16/03/2024"/>
    <m/>
    <s v="16/03/2024"/>
    <n v="7431"/>
    <n v="180"/>
    <m/>
    <m/>
    <s v="Above Average"/>
    <n v="1083"/>
  </r>
  <r>
    <s v="Kelci Walkden"/>
    <s v="UK"/>
    <x v="4"/>
    <d v="2024-12-08T00:00:00"/>
    <s v="08/12/2024"/>
    <m/>
    <s v="08"/>
    <n v="3672.65"/>
    <n v="124"/>
    <m/>
    <m/>
    <s v="Below Average"/>
    <n v="2080"/>
  </r>
  <r>
    <s v="Gigi Bohling"/>
    <s v="New Zealand"/>
    <x v="5"/>
    <s v="21/01/2024"/>
    <s v="21/01/2024"/>
    <m/>
    <s v="21/01/2024"/>
    <n v="6464.8"/>
    <n v="189"/>
    <m/>
    <m/>
    <s v="Above Average"/>
    <n v="1316"/>
  </r>
  <r>
    <s v="Oby Sorrel"/>
    <s v="Australia"/>
    <x v="6"/>
    <d v="2024-06-05T00:00:00"/>
    <s v="05/06/2024"/>
    <m/>
    <s v="05"/>
    <n v="813.58"/>
    <n v="163"/>
    <m/>
    <m/>
    <s v="Below Average"/>
    <n v="3023"/>
  </r>
  <r>
    <s v="Oby Sorrel"/>
    <s v="Canada"/>
    <x v="6"/>
    <s v="24/06/2024"/>
    <s v="24/06/2024"/>
    <m/>
    <s v="24/06/2024"/>
    <n v="7301.81"/>
    <n v="134"/>
    <m/>
    <m/>
    <s v="Above Average"/>
    <n v="1109"/>
  </r>
  <r>
    <s v="Barr Faughny"/>
    <s v="USA"/>
    <x v="14"/>
    <d v="2024-05-05T00:00:00"/>
    <s v="05/05/2024"/>
    <m/>
    <s v="05"/>
    <n v="8523.42"/>
    <n v="171"/>
    <m/>
    <m/>
    <s v="Above Average"/>
    <n v="827"/>
  </r>
  <r>
    <s v="Rafaelita Blaksland"/>
    <s v="New Zealand"/>
    <x v="4"/>
    <s v="25/03/2024"/>
    <s v="25/03/2024"/>
    <m/>
    <s v="25/03/2024"/>
    <n v="3822.64"/>
    <n v="85"/>
    <m/>
    <m/>
    <s v="Below Average"/>
    <n v="2032"/>
  </r>
  <r>
    <s v="Curtice Advani"/>
    <s v="Australia"/>
    <x v="20"/>
    <s v="14/02/2024"/>
    <s v="14/02/2024"/>
    <m/>
    <s v="14/02/2024"/>
    <n v="10219.39"/>
    <n v="139"/>
    <m/>
    <m/>
    <s v="Above Average"/>
    <n v="548"/>
  </r>
  <r>
    <s v="Curtice Advani"/>
    <s v="New Zealand"/>
    <x v="1"/>
    <d v="2024-12-05T00:00:00"/>
    <s v="05/12/2024"/>
    <m/>
    <s v="05"/>
    <n v="5798.43"/>
    <n v="206"/>
    <m/>
    <m/>
    <s v="Below Average"/>
    <n v="1489"/>
  </r>
  <r>
    <s v="Barr Faughny"/>
    <s v="New Zealand"/>
    <x v="3"/>
    <s v="25/01/2024"/>
    <s v="25/01/2024"/>
    <m/>
    <s v="25/01/2024"/>
    <n v="4487.01"/>
    <n v="184"/>
    <m/>
    <m/>
    <s v="Below Average"/>
    <n v="1855"/>
  </r>
  <r>
    <s v="Ches Bonnell"/>
    <s v="UK"/>
    <x v="1"/>
    <s v="28/06/2024"/>
    <s v="28/06/2024"/>
    <m/>
    <s v="28/06/2024"/>
    <n v="17237.669999999998"/>
    <n v="13"/>
    <m/>
    <m/>
    <s v="Above Average"/>
    <n v="61"/>
  </r>
  <r>
    <s v="Dennison Crosswaite"/>
    <s v="Australia"/>
    <x v="9"/>
    <s v="13/07/2024"/>
    <s v="13/07/2024"/>
    <m/>
    <s v="13/07/2024"/>
    <n v="7497.22"/>
    <n v="184"/>
    <m/>
    <m/>
    <s v="Above Average"/>
    <n v="1062"/>
  </r>
  <r>
    <s v="Roddy Speechley"/>
    <s v="USA"/>
    <x v="11"/>
    <s v="16/05/2024"/>
    <s v="16/05/2024"/>
    <m/>
    <s v="16/05/2024"/>
    <n v="3034.06"/>
    <n v="245"/>
    <m/>
    <m/>
    <s v="Below Average"/>
    <n v="2293"/>
  </r>
  <r>
    <s v="Jan Morforth"/>
    <s v="India"/>
    <x v="5"/>
    <s v="14/03/2024"/>
    <s v="14/03/2024"/>
    <m/>
    <s v="14/03/2024"/>
    <n v="6795.06"/>
    <n v="177"/>
    <m/>
    <m/>
    <s v="Above Average"/>
    <n v="1239"/>
  </r>
  <r>
    <s v="Gunar Cockshoot"/>
    <s v="USA"/>
    <x v="5"/>
    <s v="15/08/2024"/>
    <s v="15/08/2024"/>
    <m/>
    <s v="15/08/2024"/>
    <n v="4273.09"/>
    <n v="280"/>
    <m/>
    <m/>
    <s v="Below Average"/>
    <n v="1907"/>
  </r>
  <r>
    <s v="Ches Bonnell"/>
    <s v="India"/>
    <x v="7"/>
    <s v="16/02/2024"/>
    <s v="16/02/2024"/>
    <m/>
    <s v="16/02/2024"/>
    <n v="1412.6"/>
    <n v="278"/>
    <m/>
    <m/>
    <s v="Below Average"/>
    <n v="2836"/>
  </r>
  <r>
    <s v="Mallorie Waber"/>
    <s v="UK"/>
    <x v="15"/>
    <s v="15/06/2024"/>
    <s v="15/06/2024"/>
    <m/>
    <s v="15/06/2024"/>
    <n v="9852.89"/>
    <n v="43"/>
    <m/>
    <m/>
    <s v="Above Average"/>
    <n v="605"/>
  </r>
  <r>
    <s v="Barr Faughny"/>
    <s v="Australia"/>
    <x v="17"/>
    <s v="27/05/2024"/>
    <s v="27/05/2024"/>
    <m/>
    <s v="27/05/2024"/>
    <n v="10744.23"/>
    <n v="105"/>
    <m/>
    <m/>
    <s v="Above Average"/>
    <n v="485"/>
  </r>
  <r>
    <s v="Wilone O'Kielt"/>
    <s v="USA"/>
    <x v="9"/>
    <s v="14/06/2024"/>
    <s v="14/06/2024"/>
    <m/>
    <s v="14/06/2024"/>
    <n v="1213.6300000000001"/>
    <n v="101"/>
    <m/>
    <m/>
    <s v="Below Average"/>
    <n v="2904"/>
  </r>
  <r>
    <s v="Wilone O'Kielt"/>
    <s v="India"/>
    <x v="8"/>
    <s v="25/02/2024"/>
    <s v="25/02/2024"/>
    <m/>
    <s v="25/02/2024"/>
    <n v="4263.93"/>
    <n v="80"/>
    <m/>
    <m/>
    <s v="Below Average"/>
    <n v="1911"/>
  </r>
  <r>
    <s v="Wilone O'Kielt"/>
    <s v="India"/>
    <x v="5"/>
    <d v="2024-04-08T00:00:00"/>
    <s v="08/04/2024"/>
    <m/>
    <s v="08"/>
    <n v="13808.46"/>
    <n v="270"/>
    <m/>
    <m/>
    <s v="Above Average"/>
    <n v="216"/>
  </r>
  <r>
    <s v="Kelci Walkden"/>
    <s v="India"/>
    <x v="4"/>
    <s v="28/06/2024"/>
    <s v="28/06/2024"/>
    <m/>
    <s v="28/06/2024"/>
    <n v="2411.9299999999998"/>
    <n v="248"/>
    <m/>
    <m/>
    <s v="Below Average"/>
    <n v="2512"/>
  </r>
  <r>
    <s v="Gunar Cockshoot"/>
    <s v="Canada"/>
    <x v="12"/>
    <d v="2024-05-04T00:00:00"/>
    <s v="04/05/2024"/>
    <m/>
    <s v="04"/>
    <n v="14603.41"/>
    <n v="12"/>
    <m/>
    <m/>
    <s v="Above Average"/>
    <n v="172"/>
  </r>
  <r>
    <s v="Madelene Upcott"/>
    <s v="Canada"/>
    <x v="2"/>
    <d v="2024-05-07T00:00:00"/>
    <s v="07/05/2024"/>
    <m/>
    <s v="07"/>
    <n v="17813.77"/>
    <n v="120"/>
    <m/>
    <m/>
    <s v="Above Average"/>
    <n v="45"/>
  </r>
  <r>
    <s v="Kaine Padly"/>
    <s v="New Zealand"/>
    <x v="8"/>
    <s v="20/01/2024"/>
    <s v="20/01/2024"/>
    <m/>
    <s v="20/01/2024"/>
    <n v="14346.28"/>
    <n v="48"/>
    <m/>
    <m/>
    <s v="Above Average"/>
    <n v="187"/>
  </r>
  <r>
    <s v="Ches Bonnell"/>
    <s v="New Zealand"/>
    <x v="9"/>
    <s v="16/02/2024"/>
    <s v="16/02/2024"/>
    <m/>
    <s v="16/02/2024"/>
    <n v="10009.51"/>
    <n v="144"/>
    <m/>
    <m/>
    <s v="Above Average"/>
    <n v="579"/>
  </r>
  <r>
    <s v="Curtice Advani"/>
    <s v="UK"/>
    <x v="9"/>
    <d v="2024-12-07T00:00:00"/>
    <s v="07/12/2024"/>
    <m/>
    <s v="07"/>
    <n v="494.27"/>
    <n v="186"/>
    <m/>
    <m/>
    <s v="Below Average"/>
    <n v="3130"/>
  </r>
  <r>
    <s v="Kelci Walkden"/>
    <s v="India"/>
    <x v="17"/>
    <s v="16/06/2024"/>
    <s v="16/06/2024"/>
    <m/>
    <s v="16/06/2024"/>
    <n v="9118.67"/>
    <n v="253"/>
    <m/>
    <m/>
    <s v="Above Average"/>
    <n v="714"/>
  </r>
  <r>
    <s v="Dotty Strutley"/>
    <s v="Australia"/>
    <x v="18"/>
    <s v="13/04/2024"/>
    <s v="13/04/2024"/>
    <m/>
    <s v="13/04/2024"/>
    <n v="1751.26"/>
    <n v="293"/>
    <m/>
    <m/>
    <s v="Below Average"/>
    <n v="2710"/>
  </r>
  <r>
    <s v="Kaine Padly"/>
    <s v="UK"/>
    <x v="6"/>
    <s v="21/02/2024"/>
    <s v="21/02/2024"/>
    <m/>
    <s v="21/02/2024"/>
    <n v="3402.47"/>
    <n v="69"/>
    <m/>
    <m/>
    <s v="Below Average"/>
    <n v="2170"/>
  </r>
  <r>
    <s v="Roddy Speechley"/>
    <s v="Canada"/>
    <x v="18"/>
    <d v="2024-11-05T00:00:00"/>
    <s v="05/11/2024"/>
    <m/>
    <s v="05"/>
    <n v="6841.28"/>
    <n v="237"/>
    <m/>
    <m/>
    <s v="Above Average"/>
    <n v="1220"/>
  </r>
  <r>
    <s v="Ches Bonnell"/>
    <s v="India"/>
    <x v="6"/>
    <s v="15/04/2024"/>
    <s v="15/04/2024"/>
    <m/>
    <s v="15/04/2024"/>
    <n v="12584.46"/>
    <n v="328"/>
    <m/>
    <m/>
    <s v="Above Average"/>
    <n v="292"/>
  </r>
  <r>
    <s v="Oby Sorrel"/>
    <s v="Canada"/>
    <x v="2"/>
    <d v="2024-07-06T00:00:00"/>
    <s v="06/07/2024"/>
    <m/>
    <s v="06"/>
    <n v="14291.3"/>
    <n v="179"/>
    <m/>
    <m/>
    <s v="Above Average"/>
    <n v="192"/>
  </r>
  <r>
    <s v="Oby Sorrel"/>
    <s v="UK"/>
    <x v="14"/>
    <s v="27/06/2024"/>
    <s v="27/06/2024"/>
    <m/>
    <s v="27/06/2024"/>
    <n v="1998.41"/>
    <n v="303"/>
    <m/>
    <m/>
    <s v="Below Average"/>
    <n v="2636"/>
  </r>
  <r>
    <s v="Barr Faughny"/>
    <s v="India"/>
    <x v="5"/>
    <s v="29/07/2024"/>
    <s v="29/07/2024"/>
    <m/>
    <s v="29/07/2024"/>
    <n v="9558.06"/>
    <n v="117"/>
    <m/>
    <m/>
    <s v="Above Average"/>
    <n v="647"/>
  </r>
  <r>
    <s v="Wilone O'Kielt"/>
    <s v="Canada"/>
    <x v="3"/>
    <d v="2024-02-06T00:00:00"/>
    <s v="06/02/2024"/>
    <m/>
    <s v="06"/>
    <n v="5594.84"/>
    <n v="174"/>
    <m/>
    <m/>
    <s v="Below Average"/>
    <n v="1545"/>
  </r>
  <r>
    <s v="Rafaelita Blaksland"/>
    <s v="India"/>
    <x v="0"/>
    <s v="26/01/2024"/>
    <s v="26/01/2024"/>
    <m/>
    <s v="26/01/2024"/>
    <n v="16520.75"/>
    <n v="84"/>
    <m/>
    <m/>
    <s v="Above Average"/>
    <n v="82"/>
  </r>
  <r>
    <s v="Rafaelita Blaksland"/>
    <s v="Canada"/>
    <x v="4"/>
    <d v="2024-02-03T00:00:00"/>
    <s v="03/02/2024"/>
    <m/>
    <s v="03"/>
    <n v="5545.62"/>
    <n v="139"/>
    <m/>
    <m/>
    <s v="Below Average"/>
    <n v="1556"/>
  </r>
  <r>
    <s v="Van Tuxwell"/>
    <s v="Australia"/>
    <x v="21"/>
    <d v="2024-10-01T00:00:00"/>
    <s v="01/10/2024"/>
    <m/>
    <s v="01"/>
    <n v="8260.58"/>
    <n v="108"/>
    <m/>
    <m/>
    <s v="Above Average"/>
    <n v="882"/>
  </r>
  <r>
    <s v="Beverie Moffet"/>
    <s v="USA"/>
    <x v="21"/>
    <s v="27/06/2024"/>
    <s v="27/06/2024"/>
    <m/>
    <s v="27/06/2024"/>
    <n v="2636.16"/>
    <n v="110"/>
    <m/>
    <m/>
    <s v="Below Average"/>
    <n v="2429"/>
  </r>
  <r>
    <s v="Barr Faughny"/>
    <s v="Canada"/>
    <x v="7"/>
    <s v="30/06/2024"/>
    <s v="30/06/2024"/>
    <m/>
    <s v="30/06/2024"/>
    <n v="8285.3799999999992"/>
    <n v="18"/>
    <m/>
    <m/>
    <s v="Above Average"/>
    <n v="873"/>
  </r>
  <r>
    <s v="Roddy Speechley"/>
    <s v="Australia"/>
    <x v="1"/>
    <d v="2024-08-07T00:00:00"/>
    <s v="07/08/2024"/>
    <m/>
    <s v="07"/>
    <n v="4590"/>
    <n v="78"/>
    <m/>
    <m/>
    <s v="Below Average"/>
    <n v="1827"/>
  </r>
  <r>
    <s v="Oby Sorrel"/>
    <s v="India"/>
    <x v="12"/>
    <d v="2024-08-06T00:00:00"/>
    <s v="06/08/2024"/>
    <m/>
    <s v="06"/>
    <n v="13189.14"/>
    <n v="95"/>
    <m/>
    <m/>
    <s v="Above Average"/>
    <n v="253"/>
  </r>
  <r>
    <s v="Jan Morforth"/>
    <s v="UK"/>
    <x v="15"/>
    <s v="18/08/2024"/>
    <s v="18/08/2024"/>
    <m/>
    <s v="18/08/2024"/>
    <n v="3768.3"/>
    <n v="212"/>
    <m/>
    <m/>
    <s v="Below Average"/>
    <n v="2046"/>
  </r>
  <r>
    <s v="Kaine Padly"/>
    <s v="Australia"/>
    <x v="5"/>
    <d v="2024-08-04T00:00:00"/>
    <s v="04/08/2024"/>
    <m/>
    <s v="04"/>
    <n v="7962.71"/>
    <n v="293"/>
    <m/>
    <m/>
    <s v="Above Average"/>
    <n v="945"/>
  </r>
  <r>
    <s v="Wilone O'Kielt"/>
    <s v="Canada"/>
    <x v="13"/>
    <d v="2024-08-08T00:00:00"/>
    <s v="08/08/2024"/>
    <m/>
    <s v="08"/>
    <n v="3665.13"/>
    <n v="191"/>
    <m/>
    <m/>
    <s v="Below Average"/>
    <n v="2083"/>
  </r>
  <r>
    <s v="Wilone O'Kielt"/>
    <s v="UK"/>
    <x v="11"/>
    <s v="26/08/2024"/>
    <s v="26/08/2024"/>
    <m/>
    <s v="26/08/2024"/>
    <n v="334.81"/>
    <n v="66"/>
    <m/>
    <m/>
    <s v="Below Average"/>
    <n v="3178"/>
  </r>
  <r>
    <s v="Oby Sorrel"/>
    <s v="Canada"/>
    <x v="13"/>
    <s v="14/01/2024"/>
    <s v="14/01/2024"/>
    <m/>
    <s v="14/01/2024"/>
    <n v="2187.5"/>
    <n v="159"/>
    <m/>
    <m/>
    <s v="Below Average"/>
    <n v="2584"/>
  </r>
  <r>
    <s v="Dennison Crosswaite"/>
    <s v="USA"/>
    <x v="19"/>
    <d v="2024-11-08T00:00:00"/>
    <s v="08/11/2024"/>
    <m/>
    <s v="08"/>
    <n v="18481.73"/>
    <n v="295"/>
    <m/>
    <m/>
    <s v="Above Average"/>
    <n v="35"/>
  </r>
  <r>
    <s v="Madelene Upcott"/>
    <s v="USA"/>
    <x v="16"/>
    <s v="31/05/2024"/>
    <s v="31/05/2024"/>
    <m/>
    <s v="31/05/2024"/>
    <n v="11863.69"/>
    <n v="24"/>
    <m/>
    <m/>
    <s v="Above Average"/>
    <n v="354"/>
  </r>
  <r>
    <s v="Van Tuxwell"/>
    <s v="New Zealand"/>
    <x v="6"/>
    <d v="2024-11-07T00:00:00"/>
    <s v="07/11/2024"/>
    <m/>
    <s v="07"/>
    <n v="4332.41"/>
    <n v="10"/>
    <m/>
    <m/>
    <s v="Below Average"/>
    <n v="1898"/>
  </r>
  <r>
    <s v="Karlen McCaffrey"/>
    <s v="Canada"/>
    <x v="20"/>
    <d v="2024-02-03T00:00:00"/>
    <s v="03/02/2024"/>
    <m/>
    <s v="03"/>
    <n v="3653.33"/>
    <n v="327"/>
    <m/>
    <m/>
    <s v="Below Average"/>
    <n v="2087"/>
  </r>
  <r>
    <s v="Madelene Upcott"/>
    <s v="Australia"/>
    <x v="17"/>
    <s v="13/07/2024"/>
    <s v="13/07/2024"/>
    <m/>
    <s v="13/07/2024"/>
    <n v="7023.94"/>
    <n v="89"/>
    <m/>
    <m/>
    <s v="Above Average"/>
    <n v="1174"/>
  </r>
  <r>
    <s v="Rafaelita Blaksland"/>
    <s v="UK"/>
    <x v="12"/>
    <d v="2024-03-08T00:00:00"/>
    <s v="08/03/2024"/>
    <m/>
    <s v="08"/>
    <n v="10001.950000000001"/>
    <n v="132"/>
    <m/>
    <m/>
    <s v="Above Average"/>
    <n v="580"/>
  </r>
  <r>
    <s v="Curtice Advani"/>
    <s v="UK"/>
    <x v="2"/>
    <d v="2024-01-03T00:00:00"/>
    <s v="03/01/2024"/>
    <m/>
    <s v="03"/>
    <n v="16460.650000000001"/>
    <n v="171"/>
    <m/>
    <m/>
    <s v="Above Average"/>
    <n v="85"/>
  </r>
  <r>
    <s v="Kelci Walkden"/>
    <s v="New Zealand"/>
    <x v="14"/>
    <s v="13/04/2024"/>
    <s v="13/04/2024"/>
    <m/>
    <s v="13/04/2024"/>
    <n v="8575.27"/>
    <n v="165"/>
    <m/>
    <m/>
    <s v="Above Average"/>
    <n v="817"/>
  </r>
  <r>
    <s v="Beverie Moffet"/>
    <s v="Canada"/>
    <x v="13"/>
    <s v="14/02/2024"/>
    <s v="14/02/2024"/>
    <m/>
    <s v="14/02/2024"/>
    <n v="12191.42"/>
    <n v="177"/>
    <m/>
    <m/>
    <s v="Above Average"/>
    <n v="329"/>
  </r>
  <r>
    <s v="Mallorie Waber"/>
    <s v="India"/>
    <x v="14"/>
    <s v="26/07/2024"/>
    <s v="26/07/2024"/>
    <m/>
    <s v="26/07/2024"/>
    <n v="969.15"/>
    <n v="233"/>
    <m/>
    <m/>
    <s v="Below Average"/>
    <n v="2983"/>
  </r>
  <r>
    <s v="Brien Boise"/>
    <s v="UK"/>
    <x v="9"/>
    <s v="27/01/2024"/>
    <s v="27/01/2024"/>
    <m/>
    <s v="27/01/2024"/>
    <n v="6498.96"/>
    <n v="143"/>
    <m/>
    <m/>
    <s v="Above Average"/>
    <n v="1308"/>
  </r>
  <r>
    <s v="Jehu Rudeforth"/>
    <s v="India"/>
    <x v="2"/>
    <s v="14/04/2024"/>
    <s v="14/04/2024"/>
    <m/>
    <s v="14/04/2024"/>
    <n v="33.68"/>
    <n v="487"/>
    <m/>
    <m/>
    <s v="Below Average"/>
    <n v="3274"/>
  </r>
  <r>
    <s v="Oby Sorrel"/>
    <s v="USA"/>
    <x v="16"/>
    <s v="19/05/2024"/>
    <s v="19/05/2024"/>
    <m/>
    <s v="19/05/2024"/>
    <n v="7640.61"/>
    <n v="154"/>
    <m/>
    <m/>
    <s v="Above Average"/>
    <n v="1030"/>
  </r>
  <r>
    <s v="Husein Augar"/>
    <s v="India"/>
    <x v="8"/>
    <d v="2024-09-02T00:00:00"/>
    <s v="02/09/2024"/>
    <m/>
    <s v="02"/>
    <n v="5596.93"/>
    <n v="62"/>
    <m/>
    <m/>
    <s v="Below Average"/>
    <n v="1544"/>
  </r>
  <r>
    <s v="Brien Boise"/>
    <s v="UK"/>
    <x v="12"/>
    <s v="25/05/2024"/>
    <s v="25/05/2024"/>
    <m/>
    <s v="25/05/2024"/>
    <n v="2639.55"/>
    <n v="59"/>
    <m/>
    <m/>
    <s v="Below Average"/>
    <n v="2424"/>
  </r>
  <r>
    <s v="Oby Sorrel"/>
    <s v="Australia"/>
    <x v="15"/>
    <s v="26/01/2024"/>
    <s v="26/01/2024"/>
    <m/>
    <s v="26/01/2024"/>
    <n v="4626.87"/>
    <n v="78"/>
    <m/>
    <m/>
    <s v="Below Average"/>
    <n v="1816"/>
  </r>
  <r>
    <s v="Beverie Moffet"/>
    <s v="India"/>
    <x v="14"/>
    <d v="2024-04-07T00:00:00"/>
    <s v="07/04/2024"/>
    <m/>
    <s v="07"/>
    <n v="1900.09"/>
    <n v="297"/>
    <m/>
    <m/>
    <s v="Below Average"/>
    <n v="2663"/>
  </r>
  <r>
    <s v="Ches Bonnell"/>
    <s v="India"/>
    <x v="16"/>
    <s v="13/04/2024"/>
    <s v="13/04/2024"/>
    <m/>
    <s v="13/04/2024"/>
    <n v="13315.47"/>
    <n v="72"/>
    <m/>
    <m/>
    <s v="Above Average"/>
    <n v="248"/>
  </r>
  <r>
    <s v="Gigi Bohling"/>
    <s v="Australia"/>
    <x v="3"/>
    <s v="25/01/2024"/>
    <s v="25/01/2024"/>
    <m/>
    <s v="25/01/2024"/>
    <n v="6359.09"/>
    <n v="121"/>
    <m/>
    <m/>
    <s v="Above Average"/>
    <n v="1338"/>
  </r>
  <r>
    <s v="Camilla Castle"/>
    <s v="USA"/>
    <x v="1"/>
    <s v="25/04/2024"/>
    <s v="25/04/2024"/>
    <m/>
    <s v="25/04/2024"/>
    <n v="2644.65"/>
    <n v="83"/>
    <m/>
    <m/>
    <s v="Below Average"/>
    <n v="2423"/>
  </r>
  <r>
    <s v="Camilla Castle"/>
    <s v="USA"/>
    <x v="8"/>
    <d v="2024-10-06T00:00:00"/>
    <s v="06/10/2024"/>
    <m/>
    <s v="06"/>
    <n v="4879.55"/>
    <n v="427"/>
    <m/>
    <m/>
    <s v="Below Average"/>
    <n v="1739"/>
  </r>
  <r>
    <s v="Madelene Upcott"/>
    <s v="New Zealand"/>
    <x v="14"/>
    <s v="22/08/2024"/>
    <s v="22/08/2024"/>
    <m/>
    <s v="22/08/2024"/>
    <n v="11572.5"/>
    <n v="51"/>
    <m/>
    <m/>
    <s v="Above Average"/>
    <n v="388"/>
  </r>
  <r>
    <s v="Van Tuxwell"/>
    <s v="India"/>
    <x v="5"/>
    <s v="27/06/2024"/>
    <s v="27/06/2024"/>
    <m/>
    <s v="27/06/2024"/>
    <n v="15626.93"/>
    <n v="225"/>
    <m/>
    <m/>
    <s v="Above Average"/>
    <n v="117"/>
  </r>
  <r>
    <s v="Husein Augar"/>
    <s v="India"/>
    <x v="7"/>
    <s v="30/06/2024"/>
    <s v="30/06/2024"/>
    <m/>
    <s v="30/06/2024"/>
    <n v="4781.1400000000003"/>
    <n v="38"/>
    <m/>
    <m/>
    <s v="Below Average"/>
    <n v="1772"/>
  </r>
  <r>
    <s v="Jehu Rudeforth"/>
    <s v="India"/>
    <x v="16"/>
    <s v="30/08/2024"/>
    <s v="30/08/2024"/>
    <m/>
    <s v="30/08/2024"/>
    <n v="11793.4"/>
    <n v="101"/>
    <m/>
    <m/>
    <s v="Above Average"/>
    <n v="361"/>
  </r>
  <r>
    <s v="Karlen McCaffrey"/>
    <s v="Australia"/>
    <x v="17"/>
    <s v="23/08/2024"/>
    <s v="23/08/2024"/>
    <m/>
    <s v="23/08/2024"/>
    <n v="1061.03"/>
    <n v="58"/>
    <m/>
    <m/>
    <s v="Below Average"/>
    <n v="2955"/>
  </r>
  <r>
    <s v="Camilla Castle"/>
    <s v="New Zealand"/>
    <x v="4"/>
    <s v="26/08/2024"/>
    <s v="26/08/2024"/>
    <m/>
    <s v="26/08/2024"/>
    <n v="2499.92"/>
    <n v="44"/>
    <m/>
    <m/>
    <s v="Below Average"/>
    <n v="2472"/>
  </r>
  <r>
    <s v="Gigi Bohling"/>
    <s v="Australia"/>
    <x v="7"/>
    <d v="2024-09-03T00:00:00"/>
    <s v="03/09/2024"/>
    <m/>
    <s v="03"/>
    <n v="676.29"/>
    <n v="158"/>
    <m/>
    <m/>
    <s v="Below Average"/>
    <n v="3076"/>
  </r>
  <r>
    <s v="Kelci Walkden"/>
    <s v="UK"/>
    <x v="9"/>
    <s v="20/04/2024"/>
    <s v="20/04/2024"/>
    <m/>
    <s v="20/04/2024"/>
    <n v="1886.06"/>
    <n v="23"/>
    <m/>
    <m/>
    <s v="Below Average"/>
    <n v="2671"/>
  </r>
  <r>
    <s v="Mallorie Waber"/>
    <s v="Canada"/>
    <x v="20"/>
    <d v="2024-10-06T00:00:00"/>
    <s v="06/10/2024"/>
    <m/>
    <s v="06"/>
    <n v="5093.92"/>
    <n v="524"/>
    <m/>
    <m/>
    <s v="Below Average"/>
    <n v="1675"/>
  </r>
  <r>
    <s v="Husein Augar"/>
    <s v="Australia"/>
    <x v="10"/>
    <d v="2024-08-02T00:00:00"/>
    <s v="02/08/2024"/>
    <m/>
    <s v="02"/>
    <n v="1018.8"/>
    <n v="157"/>
    <m/>
    <m/>
    <s v="Below Average"/>
    <n v="2967"/>
  </r>
  <r>
    <s v="Brien Boise"/>
    <s v="Australia"/>
    <x v="14"/>
    <s v="25/08/2024"/>
    <s v="25/08/2024"/>
    <m/>
    <s v="25/08/2024"/>
    <n v="5616.77"/>
    <n v="23"/>
    <m/>
    <m/>
    <s v="Below Average"/>
    <n v="1536"/>
  </r>
  <r>
    <s v="Dotty Strutley"/>
    <s v="India"/>
    <x v="2"/>
    <s v="16/02/2024"/>
    <s v="16/02/2024"/>
    <m/>
    <s v="16/02/2024"/>
    <n v="10461.82"/>
    <n v="78"/>
    <m/>
    <m/>
    <s v="Above Average"/>
    <n v="515"/>
  </r>
  <r>
    <s v="Dennison Crosswaite"/>
    <s v="UK"/>
    <x v="4"/>
    <s v="30/05/2024"/>
    <s v="30/05/2024"/>
    <m/>
    <s v="30/05/2024"/>
    <n v="12841.79"/>
    <n v="26"/>
    <m/>
    <m/>
    <s v="Above Average"/>
    <n v="277"/>
  </r>
  <r>
    <s v="Gigi Bohling"/>
    <s v="New Zealand"/>
    <x v="6"/>
    <s v="29/06/2024"/>
    <s v="29/06/2024"/>
    <m/>
    <s v="29/06/2024"/>
    <n v="6723.42"/>
    <n v="67"/>
    <m/>
    <m/>
    <s v="Above Average"/>
    <n v="1255"/>
  </r>
  <r>
    <s v="Gigi Bohling"/>
    <s v="USA"/>
    <x v="11"/>
    <s v="16/06/2024"/>
    <s v="16/06/2024"/>
    <m/>
    <s v="16/06/2024"/>
    <n v="521.35"/>
    <n v="127"/>
    <m/>
    <m/>
    <s v="Below Average"/>
    <n v="3118"/>
  </r>
  <r>
    <s v="Brien Boise"/>
    <s v="UK"/>
    <x v="20"/>
    <d v="2024-04-03T00:00:00"/>
    <s v="03/04/2024"/>
    <m/>
    <s v="03"/>
    <n v="3106.11"/>
    <n v="159"/>
    <m/>
    <m/>
    <s v="Below Average"/>
    <n v="2267"/>
  </r>
  <r>
    <s v="Curtice Advani"/>
    <s v="New Zealand"/>
    <x v="2"/>
    <s v="15/03/2024"/>
    <s v="15/03/2024"/>
    <m/>
    <s v="15/03/2024"/>
    <n v="1684.28"/>
    <n v="419"/>
    <m/>
    <m/>
    <s v="Below Average"/>
    <n v="2737"/>
  </r>
  <r>
    <s v="Curtice Advani"/>
    <s v="New Zealand"/>
    <x v="6"/>
    <s v="27/01/2024"/>
    <s v="27/01/2024"/>
    <m/>
    <s v="27/01/2024"/>
    <n v="11226.14"/>
    <n v="84"/>
    <m/>
    <m/>
    <s v="Above Average"/>
    <n v="425"/>
  </r>
  <r>
    <s v="Beverie Moffet"/>
    <s v="Canada"/>
    <x v="9"/>
    <d v="2024-05-07T00:00:00"/>
    <s v="07/05/2024"/>
    <m/>
    <s v="07"/>
    <n v="1172.53"/>
    <n v="124"/>
    <m/>
    <m/>
    <s v="Below Average"/>
    <n v="2912"/>
  </r>
  <r>
    <s v="Barr Faughny"/>
    <s v="USA"/>
    <x v="20"/>
    <s v="29/03/2024"/>
    <s v="29/03/2024"/>
    <m/>
    <s v="29/03/2024"/>
    <n v="3917.13"/>
    <n v="287"/>
    <m/>
    <m/>
    <s v="Below Average"/>
    <n v="2007"/>
  </r>
  <r>
    <s v="Mallorie Waber"/>
    <s v="Canada"/>
    <x v="16"/>
    <d v="2024-12-05T00:00:00"/>
    <s v="05/12/2024"/>
    <m/>
    <s v="05"/>
    <n v="4871.07"/>
    <n v="33"/>
    <m/>
    <m/>
    <s v="Below Average"/>
    <n v="1744"/>
  </r>
  <r>
    <s v="Oby Sorrel"/>
    <s v="USA"/>
    <x v="9"/>
    <d v="2024-11-03T00:00:00"/>
    <s v="03/11/2024"/>
    <m/>
    <s v="03"/>
    <n v="9306.64"/>
    <n v="48"/>
    <m/>
    <m/>
    <s v="Above Average"/>
    <n v="690"/>
  </r>
  <r>
    <s v="Brien Boise"/>
    <s v="New Zealand"/>
    <x v="8"/>
    <d v="2024-11-07T00:00:00"/>
    <s v="07/11/2024"/>
    <m/>
    <s v="07"/>
    <n v="5270.33"/>
    <n v="323"/>
    <m/>
    <m/>
    <s v="Below Average"/>
    <n v="1626"/>
  </r>
  <r>
    <s v="Gunar Cockshoot"/>
    <s v="New Zealand"/>
    <x v="18"/>
    <d v="2024-01-08T00:00:00"/>
    <s v="08/01/2024"/>
    <m/>
    <s v="08"/>
    <n v="14722.35"/>
    <n v="61"/>
    <m/>
    <m/>
    <s v="Above Average"/>
    <n v="163"/>
  </r>
  <r>
    <s v="Gunar Cockshoot"/>
    <s v="UK"/>
    <x v="12"/>
    <s v="16/02/2024"/>
    <s v="16/02/2024"/>
    <m/>
    <s v="16/02/2024"/>
    <n v="13444.87"/>
    <n v="197"/>
    <m/>
    <m/>
    <s v="Above Average"/>
    <n v="239"/>
  </r>
  <r>
    <s v="Curtice Advani"/>
    <s v="USA"/>
    <x v="5"/>
    <s v="13/04/2024"/>
    <s v="13/04/2024"/>
    <m/>
    <s v="13/04/2024"/>
    <n v="14885.97"/>
    <n v="248"/>
    <m/>
    <m/>
    <s v="Above Average"/>
    <n v="156"/>
  </r>
  <r>
    <s v="Oby Sorrel"/>
    <s v="India"/>
    <x v="18"/>
    <s v="14/02/2024"/>
    <s v="14/02/2024"/>
    <m/>
    <s v="14/02/2024"/>
    <n v="53.31"/>
    <n v="371"/>
    <m/>
    <m/>
    <s v="Below Average"/>
    <n v="3269"/>
  </r>
  <r>
    <s v="Ches Bonnell"/>
    <s v="Australia"/>
    <x v="2"/>
    <s v="14/03/2024"/>
    <s v="14/03/2024"/>
    <m/>
    <s v="14/03/2024"/>
    <n v="11767.94"/>
    <n v="68"/>
    <m/>
    <m/>
    <s v="Above Average"/>
    <n v="365"/>
  </r>
  <r>
    <s v="Oby Sorrel"/>
    <s v="Australia"/>
    <x v="12"/>
    <s v="26/04/2024"/>
    <s v="26/04/2024"/>
    <m/>
    <s v="26/04/2024"/>
    <n v="12897.53"/>
    <n v="25"/>
    <m/>
    <m/>
    <s v="Above Average"/>
    <n v="272"/>
  </r>
  <r>
    <s v="Jehu Rudeforth"/>
    <s v="Canada"/>
    <x v="15"/>
    <d v="2024-05-04T00:00:00"/>
    <s v="04/05/2024"/>
    <m/>
    <s v="04"/>
    <n v="3867.62"/>
    <n v="214"/>
    <m/>
    <m/>
    <s v="Below Average"/>
    <n v="2019"/>
  </r>
  <r>
    <s v="Camilla Castle"/>
    <s v="Canada"/>
    <x v="9"/>
    <d v="2024-03-03T00:00:00"/>
    <s v="03/03/2024"/>
    <m/>
    <s v="03"/>
    <n v="13524.05"/>
    <n v="253"/>
    <m/>
    <m/>
    <s v="Above Average"/>
    <n v="233"/>
  </r>
  <r>
    <s v="Kaine Padly"/>
    <s v="USA"/>
    <x v="12"/>
    <s v="13/06/2024"/>
    <s v="13/06/2024"/>
    <m/>
    <s v="13/06/2024"/>
    <n v="2319.1"/>
    <n v="189"/>
    <m/>
    <m/>
    <s v="Below Average"/>
    <n v="2540"/>
  </r>
  <r>
    <s v="Marney O'Breen"/>
    <s v="New Zealand"/>
    <x v="21"/>
    <s v="14/02/2024"/>
    <s v="14/02/2024"/>
    <m/>
    <s v="14/02/2024"/>
    <n v="9036.58"/>
    <n v="377"/>
    <m/>
    <m/>
    <s v="Above Average"/>
    <n v="731"/>
  </r>
  <r>
    <s v="Roddy Speechley"/>
    <s v="New Zealand"/>
    <x v="4"/>
    <s v="18/04/2024"/>
    <s v="18/04/2024"/>
    <m/>
    <s v="18/04/2024"/>
    <n v="8905.5300000000007"/>
    <n v="201"/>
    <m/>
    <m/>
    <s v="Above Average"/>
    <n v="758"/>
  </r>
  <r>
    <s v="Oby Sorrel"/>
    <s v="New Zealand"/>
    <x v="1"/>
    <d v="2024-01-02T00:00:00"/>
    <s v="02/01/2024"/>
    <m/>
    <s v="02"/>
    <n v="4040.65"/>
    <n v="423"/>
    <m/>
    <m/>
    <s v="Below Average"/>
    <n v="1974"/>
  </r>
  <r>
    <s v="Dotty Strutley"/>
    <s v="New Zealand"/>
    <x v="7"/>
    <d v="2024-04-08T00:00:00"/>
    <s v="08/04/2024"/>
    <m/>
    <s v="08"/>
    <n v="2204.17"/>
    <n v="145"/>
    <m/>
    <m/>
    <s v="Below Average"/>
    <n v="2579"/>
  </r>
  <r>
    <s v="Andria Kimpton"/>
    <s v="New Zealand"/>
    <x v="16"/>
    <d v="2024-05-04T00:00:00"/>
    <s v="04/05/2024"/>
    <m/>
    <s v="04"/>
    <n v="7037.21"/>
    <n v="172"/>
    <m/>
    <m/>
    <s v="Above Average"/>
    <n v="1170"/>
  </r>
  <r>
    <s v="Karlen McCaffrey"/>
    <s v="Australia"/>
    <x v="4"/>
    <s v="26/01/2024"/>
    <s v="26/01/2024"/>
    <m/>
    <s v="26/01/2024"/>
    <n v="12285.41"/>
    <n v="175"/>
    <m/>
    <m/>
    <s v="Above Average"/>
    <n v="319"/>
  </r>
  <r>
    <s v="Kaine Padly"/>
    <s v="UK"/>
    <x v="5"/>
    <s v="21/01/2024"/>
    <s v="21/01/2024"/>
    <m/>
    <s v="21/01/2024"/>
    <n v="21812.86"/>
    <n v="183"/>
    <m/>
    <m/>
    <s v="Above Average"/>
    <n v="9"/>
  </r>
  <r>
    <s v="Kaine Padly"/>
    <s v="Canada"/>
    <x v="5"/>
    <s v="22/08/2024"/>
    <s v="22/08/2024"/>
    <m/>
    <s v="22/08/2024"/>
    <n v="6707.97"/>
    <n v="187"/>
    <m/>
    <m/>
    <s v="Above Average"/>
    <n v="1259"/>
  </r>
  <r>
    <s v="Kaine Padly"/>
    <s v="UK"/>
    <x v="9"/>
    <s v="27/01/2024"/>
    <s v="27/01/2024"/>
    <m/>
    <s v="27/01/2024"/>
    <n v="2513.58"/>
    <n v="226"/>
    <m/>
    <m/>
    <s v="Below Average"/>
    <n v="2467"/>
  </r>
  <r>
    <s v="Rafaelita Blaksland"/>
    <s v="UK"/>
    <x v="6"/>
    <s v="16/02/2024"/>
    <s v="16/02/2024"/>
    <m/>
    <s v="16/02/2024"/>
    <n v="11491.21"/>
    <n v="71"/>
    <m/>
    <m/>
    <s v="Above Average"/>
    <n v="399"/>
  </r>
  <r>
    <s v="Dotty Strutley"/>
    <s v="USA"/>
    <x v="17"/>
    <d v="2024-03-01T00:00:00"/>
    <s v="01/03/2024"/>
    <m/>
    <s v="01"/>
    <n v="3762.58"/>
    <n v="49"/>
    <m/>
    <m/>
    <s v="Below Average"/>
    <n v="2051"/>
  </r>
  <r>
    <s v="Karlen McCaffrey"/>
    <s v="USA"/>
    <x v="14"/>
    <s v="24/08/2024"/>
    <s v="24/08/2024"/>
    <m/>
    <s v="24/08/2024"/>
    <n v="5158.01"/>
    <n v="2"/>
    <m/>
    <m/>
    <s v="Below Average"/>
    <n v="1658"/>
  </r>
  <r>
    <s v="Oby Sorrel"/>
    <s v="USA"/>
    <x v="12"/>
    <d v="2024-07-02T00:00:00"/>
    <s v="02/07/2024"/>
    <m/>
    <s v="02"/>
    <n v="6660.69"/>
    <n v="418"/>
    <m/>
    <m/>
    <s v="Above Average"/>
    <n v="1270"/>
  </r>
  <r>
    <s v="Mallorie Waber"/>
    <s v="Australia"/>
    <x v="3"/>
    <d v="2024-11-02T00:00:00"/>
    <s v="02/11/2024"/>
    <m/>
    <s v="02"/>
    <n v="4786.05"/>
    <n v="107"/>
    <m/>
    <m/>
    <s v="Below Average"/>
    <n v="1771"/>
  </r>
  <r>
    <s v="Kaine Padly"/>
    <s v="Canada"/>
    <x v="10"/>
    <s v="29/03/2024"/>
    <s v="29/03/2024"/>
    <m/>
    <s v="29/03/2024"/>
    <n v="6797.67"/>
    <n v="82"/>
    <m/>
    <m/>
    <s v="Above Average"/>
    <n v="1237"/>
  </r>
  <r>
    <s v="Marney O'Breen"/>
    <s v="USA"/>
    <x v="2"/>
    <s v="15/06/2024"/>
    <s v="15/06/2024"/>
    <m/>
    <s v="15/06/2024"/>
    <n v="782.24"/>
    <n v="348"/>
    <m/>
    <m/>
    <s v="Below Average"/>
    <n v="3035"/>
  </r>
  <r>
    <s v="Dennison Crosswaite"/>
    <s v="UK"/>
    <x v="3"/>
    <s v="26/04/2024"/>
    <s v="26/04/2024"/>
    <m/>
    <s v="26/04/2024"/>
    <n v="653.1"/>
    <n v="136"/>
    <m/>
    <m/>
    <s v="Below Average"/>
    <n v="3083"/>
  </r>
  <r>
    <s v="Brien Boise"/>
    <s v="Australia"/>
    <x v="10"/>
    <s v="15/07/2024"/>
    <s v="15/07/2024"/>
    <m/>
    <s v="15/07/2024"/>
    <n v="4768.88"/>
    <n v="281"/>
    <m/>
    <m/>
    <s v="Below Average"/>
    <n v="1777"/>
  </r>
  <r>
    <s v="Beverie Moffet"/>
    <s v="India"/>
    <x v="10"/>
    <s v="23/06/2024"/>
    <s v="23/06/2024"/>
    <m/>
    <s v="23/06/2024"/>
    <n v="1123.57"/>
    <n v="19"/>
    <m/>
    <m/>
    <s v="Below Average"/>
    <n v="2932"/>
  </r>
  <r>
    <s v="Dennison Crosswaite"/>
    <s v="Australia"/>
    <x v="19"/>
    <d v="2024-11-01T00:00:00"/>
    <s v="01/11/2024"/>
    <m/>
    <s v="01"/>
    <n v="16435.38"/>
    <n v="425"/>
    <m/>
    <m/>
    <s v="Above Average"/>
    <n v="87"/>
  </r>
  <r>
    <s v="Beverie Moffet"/>
    <s v="UK"/>
    <x v="6"/>
    <d v="2024-09-02T00:00:00"/>
    <s v="02/09/2024"/>
    <m/>
    <s v="02"/>
    <n v="2922.18"/>
    <n v="289"/>
    <m/>
    <m/>
    <s v="Below Average"/>
    <n v="2338"/>
  </r>
  <r>
    <s v="Van Tuxwell"/>
    <s v="UK"/>
    <x v="16"/>
    <d v="2024-06-06T00:00:00"/>
    <s v="06/06/2024"/>
    <m/>
    <s v="06"/>
    <n v="12123.84"/>
    <n v="222"/>
    <m/>
    <m/>
    <s v="Above Average"/>
    <n v="336"/>
  </r>
  <r>
    <s v="Dotty Strutley"/>
    <s v="UK"/>
    <x v="20"/>
    <d v="2024-10-08T00:00:00"/>
    <s v="08/10/2024"/>
    <m/>
    <s v="08"/>
    <n v="6448.87"/>
    <n v="244"/>
    <m/>
    <m/>
    <s v="Above Average"/>
    <n v="1321"/>
  </r>
  <r>
    <s v="Wilone O'Kielt"/>
    <s v="Australia"/>
    <x v="3"/>
    <d v="2024-04-01T00:00:00"/>
    <s v="01/04/2024"/>
    <m/>
    <s v="01"/>
    <n v="2587.61"/>
    <n v="44"/>
    <m/>
    <m/>
    <s v="Below Average"/>
    <n v="2443"/>
  </r>
  <r>
    <s v="Andria Kimpton"/>
    <s v="Canada"/>
    <x v="21"/>
    <d v="2024-08-04T00:00:00"/>
    <s v="04/08/2024"/>
    <m/>
    <s v="04"/>
    <n v="12109"/>
    <n v="16"/>
    <m/>
    <m/>
    <s v="Above Average"/>
    <n v="337"/>
  </r>
  <r>
    <s v="Barr Faughny"/>
    <s v="UK"/>
    <x v="11"/>
    <d v="2024-02-03T00:00:00"/>
    <s v="03/02/2024"/>
    <m/>
    <s v="03"/>
    <n v="4482.33"/>
    <n v="467"/>
    <m/>
    <m/>
    <s v="Below Average"/>
    <n v="1858"/>
  </r>
  <r>
    <s v="Van Tuxwell"/>
    <s v="Canada"/>
    <x v="9"/>
    <s v="15/06/2024"/>
    <s v="15/06/2024"/>
    <m/>
    <s v="15/06/2024"/>
    <n v="5294.88"/>
    <n v="679"/>
    <m/>
    <m/>
    <s v="Below Average"/>
    <n v="1619"/>
  </r>
  <r>
    <s v="Jehu Rudeforth"/>
    <s v="Australia"/>
    <x v="5"/>
    <s v="14/02/2024"/>
    <s v="14/02/2024"/>
    <m/>
    <s v="14/02/2024"/>
    <n v="5512.57"/>
    <n v="46"/>
    <m/>
    <m/>
    <s v="Below Average"/>
    <n v="1562"/>
  </r>
  <r>
    <s v="Husein Augar"/>
    <s v="UK"/>
    <x v="5"/>
    <d v="2024-05-07T00:00:00"/>
    <s v="07/05/2024"/>
    <m/>
    <s v="07"/>
    <n v="3707.27"/>
    <n v="392"/>
    <m/>
    <m/>
    <s v="Below Average"/>
    <n v="2071"/>
  </r>
  <r>
    <s v="Barr Faughny"/>
    <s v="India"/>
    <x v="0"/>
    <d v="2024-12-01T00:00:00"/>
    <s v="01/12/2024"/>
    <m/>
    <s v="01"/>
    <n v="7899.01"/>
    <n v="461"/>
    <m/>
    <m/>
    <s v="Above Average"/>
    <n v="971"/>
  </r>
  <r>
    <s v="Curtice Advani"/>
    <s v="India"/>
    <x v="0"/>
    <d v="2024-03-03T00:00:00"/>
    <s v="03/03/2024"/>
    <m/>
    <s v="03"/>
    <n v="9813.42"/>
    <n v="100"/>
    <m/>
    <m/>
    <s v="Above Average"/>
    <n v="611"/>
  </r>
  <r>
    <s v="Jehu Rudeforth"/>
    <s v="New Zealand"/>
    <x v="11"/>
    <s v="18/05/2024"/>
    <s v="18/05/2024"/>
    <m/>
    <s v="18/05/2024"/>
    <n v="2845.74"/>
    <n v="197"/>
    <m/>
    <m/>
    <s v="Below Average"/>
    <n v="2355"/>
  </r>
  <r>
    <s v="Gunar Cockshoot"/>
    <s v="India"/>
    <x v="20"/>
    <s v="28/07/2024"/>
    <s v="28/07/2024"/>
    <m/>
    <s v="28/07/2024"/>
    <n v="2941.72"/>
    <n v="220"/>
    <m/>
    <m/>
    <s v="Below Average"/>
    <n v="2326"/>
  </r>
  <r>
    <s v="Curtice Advani"/>
    <s v="UK"/>
    <x v="15"/>
    <d v="2024-07-02T00:00:00"/>
    <s v="02/07/2024"/>
    <m/>
    <s v="02"/>
    <n v="1969.62"/>
    <n v="114"/>
    <m/>
    <m/>
    <s v="Below Average"/>
    <n v="2641"/>
  </r>
  <r>
    <s v="Andria Kimpton"/>
    <s v="India"/>
    <x v="7"/>
    <s v="30/05/2024"/>
    <s v="30/05/2024"/>
    <m/>
    <s v="30/05/2024"/>
    <n v="339.64"/>
    <n v="452"/>
    <m/>
    <m/>
    <s v="Below Average"/>
    <n v="3176"/>
  </r>
  <r>
    <s v="Mallorie Waber"/>
    <s v="Australia"/>
    <x v="17"/>
    <s v="25/04/2024"/>
    <s v="25/04/2024"/>
    <m/>
    <s v="25/04/2024"/>
    <n v="8818.17"/>
    <n v="29"/>
    <m/>
    <m/>
    <s v="Above Average"/>
    <n v="777"/>
  </r>
  <r>
    <s v="Beverie Moffet"/>
    <s v="Canada"/>
    <x v="1"/>
    <s v="16/02/2024"/>
    <s v="16/02/2024"/>
    <m/>
    <s v="16/02/2024"/>
    <n v="6829.86"/>
    <n v="46"/>
    <m/>
    <m/>
    <s v="Above Average"/>
    <n v="1229"/>
  </r>
  <r>
    <s v="Kelci Walkden"/>
    <s v="Australia"/>
    <x v="9"/>
    <d v="2024-04-05T00:00:00"/>
    <s v="05/04/2024"/>
    <m/>
    <s v="05"/>
    <n v="1370.19"/>
    <n v="58"/>
    <m/>
    <m/>
    <s v="Below Average"/>
    <n v="2853"/>
  </r>
  <r>
    <s v="Van Tuxwell"/>
    <s v="Canada"/>
    <x v="21"/>
    <d v="2024-02-06T00:00:00"/>
    <s v="06/02/2024"/>
    <m/>
    <s v="06"/>
    <n v="7731.47"/>
    <n v="77"/>
    <m/>
    <m/>
    <s v="Above Average"/>
    <n v="1003"/>
  </r>
  <r>
    <s v="Dennison Crosswaite"/>
    <s v="USA"/>
    <x v="20"/>
    <d v="2024-11-07T00:00:00"/>
    <s v="07/11/2024"/>
    <m/>
    <s v="07"/>
    <n v="2757.16"/>
    <n v="463"/>
    <m/>
    <m/>
    <s v="Below Average"/>
    <n v="2389"/>
  </r>
  <r>
    <s v="Beverie Moffet"/>
    <s v="New Zealand"/>
    <x v="12"/>
    <d v="2024-07-06T00:00:00"/>
    <s v="06/07/2024"/>
    <m/>
    <s v="06"/>
    <n v="70.19"/>
    <n v="63"/>
    <m/>
    <m/>
    <s v="Below Average"/>
    <n v="3259"/>
  </r>
  <r>
    <s v="Jan Morforth"/>
    <s v="UK"/>
    <x v="16"/>
    <d v="2024-06-07T00:00:00"/>
    <s v="07/06/2024"/>
    <m/>
    <s v="07"/>
    <n v="10817.45"/>
    <n v="151"/>
    <m/>
    <m/>
    <s v="Above Average"/>
    <n v="469"/>
  </r>
  <r>
    <s v="Husein Augar"/>
    <s v="India"/>
    <x v="17"/>
    <s v="15/06/2024"/>
    <s v="15/06/2024"/>
    <m/>
    <s v="15/06/2024"/>
    <n v="11595.41"/>
    <n v="153"/>
    <m/>
    <m/>
    <s v="Above Average"/>
    <n v="387"/>
  </r>
  <r>
    <s v="Dotty Strutley"/>
    <s v="India"/>
    <x v="0"/>
    <s v="14/04/2024"/>
    <s v="14/04/2024"/>
    <m/>
    <s v="14/04/2024"/>
    <n v="1375.22"/>
    <n v="231"/>
    <m/>
    <m/>
    <s v="Below Average"/>
    <n v="2849"/>
  </r>
  <r>
    <s v="Camilla Castle"/>
    <s v="India"/>
    <x v="9"/>
    <d v="2024-08-08T00:00:00"/>
    <s v="08/08/2024"/>
    <m/>
    <s v="08"/>
    <n v="503.52"/>
    <n v="167"/>
    <m/>
    <m/>
    <s v="Below Average"/>
    <n v="3126"/>
  </r>
  <r>
    <s v="Marney O'Breen"/>
    <s v="UK"/>
    <x v="9"/>
    <s v="29/03/2024"/>
    <s v="29/03/2024"/>
    <m/>
    <s v="29/03/2024"/>
    <n v="1135.1600000000001"/>
    <n v="27"/>
    <m/>
    <m/>
    <s v="Below Average"/>
    <n v="2924"/>
  </r>
  <r>
    <s v="Roddy Speechley"/>
    <s v="Australia"/>
    <x v="10"/>
    <d v="2024-04-07T00:00:00"/>
    <s v="07/04/2024"/>
    <m/>
    <s v="07"/>
    <n v="4375.45"/>
    <n v="79"/>
    <m/>
    <m/>
    <s v="Below Average"/>
    <n v="1883"/>
  </r>
  <r>
    <s v="Ches Bonnell"/>
    <s v="India"/>
    <x v="4"/>
    <s v="16/02/2024"/>
    <s v="16/02/2024"/>
    <m/>
    <s v="16/02/2024"/>
    <n v="536.74"/>
    <n v="102"/>
    <m/>
    <m/>
    <s v="Below Average"/>
    <n v="3117"/>
  </r>
  <r>
    <s v="Rafaelita Blaksland"/>
    <s v="Canada"/>
    <x v="12"/>
    <d v="2024-02-05T00:00:00"/>
    <s v="05/02/2024"/>
    <m/>
    <s v="05"/>
    <n v="2702.08"/>
    <n v="164"/>
    <m/>
    <m/>
    <s v="Below Average"/>
    <n v="2403"/>
  </r>
  <r>
    <s v="Van Tuxwell"/>
    <s v="India"/>
    <x v="8"/>
    <s v="21/07/2024"/>
    <s v="21/07/2024"/>
    <m/>
    <s v="21/07/2024"/>
    <n v="11064.27"/>
    <n v="104"/>
    <m/>
    <m/>
    <s v="Above Average"/>
    <n v="434"/>
  </r>
  <r>
    <s v="Gunar Cockshoot"/>
    <s v="Australia"/>
    <x v="4"/>
    <s v="18/08/2024"/>
    <s v="18/08/2024"/>
    <m/>
    <s v="18/08/2024"/>
    <n v="8861.83"/>
    <n v="226"/>
    <m/>
    <m/>
    <s v="Above Average"/>
    <n v="766"/>
  </r>
  <r>
    <s v="Kaine Padly"/>
    <s v="USA"/>
    <x v="1"/>
    <s v="22/06/2024"/>
    <s v="22/06/2024"/>
    <m/>
    <s v="22/06/2024"/>
    <n v="564.66999999999996"/>
    <n v="256"/>
    <m/>
    <m/>
    <s v="Below Average"/>
    <n v="3109"/>
  </r>
  <r>
    <s v="Camilla Castle"/>
    <s v="UK"/>
    <x v="2"/>
    <s v="19/07/2024"/>
    <s v="19/07/2024"/>
    <m/>
    <s v="19/07/2024"/>
    <n v="5267.69"/>
    <n v="120"/>
    <m/>
    <m/>
    <s v="Below Average"/>
    <n v="1627"/>
  </r>
  <r>
    <s v="Madelene Upcott"/>
    <s v="UK"/>
    <x v="2"/>
    <d v="2024-12-08T00:00:00"/>
    <s v="08/12/2024"/>
    <m/>
    <s v="08"/>
    <n v="8698.4699999999993"/>
    <n v="89"/>
    <m/>
    <m/>
    <s v="Above Average"/>
    <n v="797"/>
  </r>
  <r>
    <s v="Madelene Upcott"/>
    <s v="USA"/>
    <x v="18"/>
    <d v="2024-07-06T00:00:00"/>
    <s v="06/07/2024"/>
    <m/>
    <s v="06"/>
    <n v="6025.6"/>
    <n v="137"/>
    <m/>
    <m/>
    <s v="Below Average"/>
    <n v="1429"/>
  </r>
  <r>
    <s v="Marney O'Breen"/>
    <s v="Canada"/>
    <x v="2"/>
    <d v="2024-08-03T00:00:00"/>
    <s v="03/08/2024"/>
    <m/>
    <s v="03"/>
    <n v="7032.54"/>
    <n v="87"/>
    <m/>
    <m/>
    <s v="Above Average"/>
    <n v="1172"/>
  </r>
  <r>
    <s v="Ches Bonnell"/>
    <s v="Australia"/>
    <x v="18"/>
    <d v="2024-08-04T00:00:00"/>
    <s v="04/08/2024"/>
    <m/>
    <s v="04"/>
    <n v="1572.79"/>
    <n v="176"/>
    <m/>
    <m/>
    <s v="Below Average"/>
    <n v="2782"/>
  </r>
  <r>
    <s v="Curtice Advani"/>
    <s v="Canada"/>
    <x v="8"/>
    <d v="2024-06-05T00:00:00"/>
    <s v="05/06/2024"/>
    <m/>
    <s v="05"/>
    <n v="857.34"/>
    <n v="197"/>
    <m/>
    <m/>
    <s v="Below Average"/>
    <n v="3014"/>
  </r>
  <r>
    <s v="Roddy Speechley"/>
    <s v="India"/>
    <x v="9"/>
    <s v="31/05/2024"/>
    <s v="31/05/2024"/>
    <m/>
    <s v="31/05/2024"/>
    <n v="4899.47"/>
    <n v="11"/>
    <m/>
    <m/>
    <s v="Below Average"/>
    <n v="1733"/>
  </r>
  <r>
    <s v="Van Tuxwell"/>
    <s v="Australia"/>
    <x v="0"/>
    <s v="13/01/2024"/>
    <s v="13/01/2024"/>
    <m/>
    <s v="13/01/2024"/>
    <n v="2924.06"/>
    <n v="295"/>
    <m/>
    <m/>
    <s v="Below Average"/>
    <n v="2337"/>
  </r>
  <r>
    <s v="Dennison Crosswaite"/>
    <s v="USA"/>
    <x v="21"/>
    <s v="15/03/2024"/>
    <s v="15/03/2024"/>
    <m/>
    <s v="15/03/2024"/>
    <n v="730.06"/>
    <n v="78"/>
    <m/>
    <m/>
    <s v="Below Average"/>
    <n v="3051"/>
  </r>
  <r>
    <s v="Andria Kimpton"/>
    <s v="Canada"/>
    <x v="2"/>
    <s v="16/02/2024"/>
    <s v="16/02/2024"/>
    <m/>
    <s v="16/02/2024"/>
    <n v="1348.05"/>
    <n v="332"/>
    <m/>
    <m/>
    <s v="Below Average"/>
    <n v="2862"/>
  </r>
  <r>
    <s v="Gigi Bohling"/>
    <s v="USA"/>
    <x v="21"/>
    <s v="14/01/2024"/>
    <s v="14/01/2024"/>
    <m/>
    <s v="14/01/2024"/>
    <n v="8561.59"/>
    <n v="204"/>
    <m/>
    <m/>
    <s v="Above Average"/>
    <n v="820"/>
  </r>
  <r>
    <s v="Rafaelita Blaksland"/>
    <s v="Australia"/>
    <x v="14"/>
    <s v="21/03/2024"/>
    <s v="21/03/2024"/>
    <m/>
    <s v="21/03/2024"/>
    <n v="7326.91"/>
    <n v="102"/>
    <m/>
    <m/>
    <s v="Above Average"/>
    <n v="1103"/>
  </r>
  <r>
    <s v="Roddy Speechley"/>
    <s v="Canada"/>
    <x v="9"/>
    <s v="17/05/2024"/>
    <s v="17/05/2024"/>
    <m/>
    <s v="17/05/2024"/>
    <n v="8196.93"/>
    <n v="340"/>
    <m/>
    <m/>
    <s v="Above Average"/>
    <n v="894"/>
  </r>
  <r>
    <s v="Camilla Castle"/>
    <s v="New Zealand"/>
    <x v="1"/>
    <d v="2024-08-08T00:00:00"/>
    <s v="08/08/2024"/>
    <m/>
    <s v="08"/>
    <n v="17841.919999999998"/>
    <n v="53"/>
    <m/>
    <m/>
    <s v="Above Average"/>
    <n v="44"/>
  </r>
  <r>
    <s v="Madelene Upcott"/>
    <s v="Canada"/>
    <x v="11"/>
    <s v="26/04/2024"/>
    <s v="26/04/2024"/>
    <m/>
    <s v="26/04/2024"/>
    <n v="4285.13"/>
    <n v="87"/>
    <m/>
    <m/>
    <s v="Below Average"/>
    <n v="1905"/>
  </r>
  <r>
    <s v="Madelene Upcott"/>
    <s v="Australia"/>
    <x v="21"/>
    <s v="15/04/2024"/>
    <s v="15/04/2024"/>
    <m/>
    <s v="15/04/2024"/>
    <n v="4196.2299999999996"/>
    <n v="256"/>
    <m/>
    <m/>
    <s v="Below Average"/>
    <n v="1929"/>
  </r>
  <r>
    <s v="Oby Sorrel"/>
    <s v="Canada"/>
    <x v="8"/>
    <s v="19/05/2024"/>
    <s v="19/05/2024"/>
    <m/>
    <s v="19/05/2024"/>
    <n v="6409.31"/>
    <n v="621"/>
    <m/>
    <m/>
    <s v="Above Average"/>
    <n v="1331"/>
  </r>
  <r>
    <s v="Dennison Crosswaite"/>
    <s v="Canada"/>
    <x v="9"/>
    <d v="2024-10-01T00:00:00"/>
    <s v="01/10/2024"/>
    <m/>
    <s v="01"/>
    <n v="3010.07"/>
    <n v="24"/>
    <m/>
    <m/>
    <s v="Below Average"/>
    <n v="2303"/>
  </r>
  <r>
    <s v="Mallorie Waber"/>
    <s v="New Zealand"/>
    <x v="5"/>
    <d v="2024-04-05T00:00:00"/>
    <s v="05/04/2024"/>
    <m/>
    <s v="05"/>
    <n v="567.91"/>
    <n v="225"/>
    <m/>
    <m/>
    <s v="Below Average"/>
    <n v="3108"/>
  </r>
  <r>
    <s v="Roddy Speechley"/>
    <s v="Canada"/>
    <x v="14"/>
    <d v="2024-05-04T00:00:00"/>
    <s v="04/05/2024"/>
    <m/>
    <s v="04"/>
    <n v="6948.79"/>
    <n v="292"/>
    <m/>
    <m/>
    <s v="Above Average"/>
    <n v="1196"/>
  </r>
  <r>
    <s v="Andria Kimpton"/>
    <s v="India"/>
    <x v="5"/>
    <s v="17/01/2024"/>
    <s v="17/01/2024"/>
    <m/>
    <s v="17/01/2024"/>
    <n v="1009.28"/>
    <n v="69"/>
    <m/>
    <m/>
    <s v="Below Average"/>
    <n v="2972"/>
  </r>
  <r>
    <s v="Roddy Speechley"/>
    <s v="India"/>
    <x v="12"/>
    <s v="22/03/2024"/>
    <s v="22/03/2024"/>
    <m/>
    <s v="22/03/2024"/>
    <n v="12049.05"/>
    <n v="180"/>
    <m/>
    <m/>
    <s v="Above Average"/>
    <n v="343"/>
  </r>
  <r>
    <s v="Dotty Strutley"/>
    <s v="Australia"/>
    <x v="14"/>
    <d v="2024-05-07T00:00:00"/>
    <s v="07/05/2024"/>
    <m/>
    <s v="07"/>
    <n v="6969.38"/>
    <n v="102"/>
    <m/>
    <m/>
    <s v="Above Average"/>
    <n v="1193"/>
  </r>
  <r>
    <s v="Oby Sorrel"/>
    <s v="Canada"/>
    <x v="7"/>
    <s v="27/04/2024"/>
    <s v="27/04/2024"/>
    <m/>
    <s v="27/04/2024"/>
    <n v="10257.74"/>
    <n v="328"/>
    <m/>
    <m/>
    <s v="Above Average"/>
    <n v="542"/>
  </r>
  <r>
    <s v="Kaine Padly"/>
    <s v="Canada"/>
    <x v="16"/>
    <d v="2024-12-08T00:00:00"/>
    <s v="08/12/2024"/>
    <m/>
    <s v="08"/>
    <n v="7220.35"/>
    <n v="71"/>
    <m/>
    <m/>
    <s v="Above Average"/>
    <n v="1126"/>
  </r>
  <r>
    <s v="Jan Morforth"/>
    <s v="UK"/>
    <x v="19"/>
    <d v="2024-11-03T00:00:00"/>
    <s v="03/11/2024"/>
    <m/>
    <s v="03"/>
    <n v="783.35"/>
    <n v="273"/>
    <m/>
    <m/>
    <s v="Below Average"/>
    <n v="3034"/>
  </r>
  <r>
    <s v="Jehu Rudeforth"/>
    <s v="UK"/>
    <x v="13"/>
    <s v="13/05/2024"/>
    <s v="13/05/2024"/>
    <m/>
    <s v="13/05/2024"/>
    <n v="9434.44"/>
    <n v="221"/>
    <m/>
    <m/>
    <s v="Above Average"/>
    <n v="668"/>
  </r>
  <r>
    <s v="Dennison Crosswaite"/>
    <s v="USA"/>
    <x v="3"/>
    <d v="2024-12-05T00:00:00"/>
    <s v="05/12/2024"/>
    <m/>
    <s v="05"/>
    <n v="12755.99"/>
    <n v="99"/>
    <m/>
    <m/>
    <s v="Above Average"/>
    <n v="281"/>
  </r>
  <r>
    <s v="Brien Boise"/>
    <s v="USA"/>
    <x v="17"/>
    <d v="2024-12-01T00:00:00"/>
    <s v="01/12/2024"/>
    <m/>
    <s v="01"/>
    <n v="807.26"/>
    <n v="198"/>
    <m/>
    <m/>
    <s v="Below Average"/>
    <n v="3025"/>
  </r>
  <r>
    <s v="Madelene Upcott"/>
    <s v="New Zealand"/>
    <x v="11"/>
    <s v="29/03/2024"/>
    <s v="29/03/2024"/>
    <m/>
    <s v="29/03/2024"/>
    <n v="13541.21"/>
    <n v="434"/>
    <m/>
    <m/>
    <s v="Above Average"/>
    <n v="231"/>
  </r>
  <r>
    <s v="Roddy Speechley"/>
    <s v="India"/>
    <x v="6"/>
    <s v="14/03/2024"/>
    <s v="14/03/2024"/>
    <m/>
    <s v="14/03/2024"/>
    <n v="9976.2199999999993"/>
    <n v="12"/>
    <m/>
    <m/>
    <s v="Above Average"/>
    <n v="586"/>
  </r>
  <r>
    <s v="Barr Faughny"/>
    <s v="New Zealand"/>
    <x v="4"/>
    <s v="24/05/2024"/>
    <s v="24/05/2024"/>
    <m/>
    <s v="24/05/2024"/>
    <n v="9152.7199999999993"/>
    <n v="208"/>
    <m/>
    <m/>
    <s v="Above Average"/>
    <n v="711"/>
  </r>
  <r>
    <s v="Dennison Crosswaite"/>
    <s v="Canada"/>
    <x v="10"/>
    <s v="28/01/2024"/>
    <s v="28/01/2024"/>
    <m/>
    <s v="28/01/2024"/>
    <n v="9251.3700000000008"/>
    <n v="79"/>
    <m/>
    <m/>
    <s v="Above Average"/>
    <n v="698"/>
  </r>
  <r>
    <s v="Beverie Moffet"/>
    <s v="India"/>
    <x v="16"/>
    <s v="24/05/2024"/>
    <s v="24/05/2024"/>
    <m/>
    <s v="24/05/2024"/>
    <n v="3634.26"/>
    <n v="100"/>
    <m/>
    <m/>
    <s v="Below Average"/>
    <n v="2094"/>
  </r>
  <r>
    <s v="Brien Boise"/>
    <s v="Australia"/>
    <x v="2"/>
    <s v="19/08/2024"/>
    <s v="19/08/2024"/>
    <m/>
    <s v="19/08/2024"/>
    <n v="352.51"/>
    <n v="196"/>
    <m/>
    <m/>
    <s v="Below Average"/>
    <n v="3172"/>
  </r>
  <r>
    <s v="Karlen McCaffrey"/>
    <s v="Australia"/>
    <x v="12"/>
    <s v="17/05/2024"/>
    <s v="17/05/2024"/>
    <m/>
    <s v="17/05/2024"/>
    <n v="5303.58"/>
    <n v="354"/>
    <m/>
    <m/>
    <s v="Below Average"/>
    <n v="1615"/>
  </r>
  <r>
    <s v="Jehu Rudeforth"/>
    <s v="USA"/>
    <x v="14"/>
    <d v="2024-07-06T00:00:00"/>
    <s v="06/07/2024"/>
    <m/>
    <s v="06"/>
    <n v="7339.32"/>
    <n v="121"/>
    <m/>
    <m/>
    <s v="Above Average"/>
    <n v="1102"/>
  </r>
  <r>
    <s v="Ches Bonnell"/>
    <s v="Canada"/>
    <x v="10"/>
    <s v="26/07/2024"/>
    <s v="26/07/2024"/>
    <m/>
    <s v="26/07/2024"/>
    <n v="616.09"/>
    <n v="238"/>
    <m/>
    <m/>
    <s v="Below Average"/>
    <n v="3094"/>
  </r>
  <r>
    <s v="Dotty Strutley"/>
    <s v="India"/>
    <x v="8"/>
    <s v="28/07/2024"/>
    <s v="28/07/2024"/>
    <m/>
    <s v="28/07/2024"/>
    <n v="2504.62"/>
    <n v="397"/>
    <m/>
    <m/>
    <s v="Below Average"/>
    <n v="2471"/>
  </r>
  <r>
    <s v="Karlen McCaffrey"/>
    <s v="India"/>
    <x v="21"/>
    <s v="23/05/2024"/>
    <s v="23/05/2024"/>
    <m/>
    <s v="23/05/2024"/>
    <n v="5915.87"/>
    <n v="355"/>
    <m/>
    <m/>
    <s v="Below Average"/>
    <n v="14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3BC64-F4A8-451E-9305-46D0BB8E38CE}" name="PivotTable1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81:C104" firstHeaderRow="1" firstDataRow="1" firstDataCol="1"/>
  <pivotFields count="9">
    <pivotField compact="0" outline="0" showAll="0"/>
    <pivotField compact="0" outline="0" showAll="0"/>
    <pivotField axis="axisRow"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Amount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F90A4-5019-4BDA-8CB1-11FD4E97E5C4}" name="PivotTable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4:C77" firstHeaderRow="1" firstDataRow="1" firstDataCol="1"/>
  <pivotFields count="9">
    <pivotField compact="0" outline="0" showAll="0"/>
    <pivotField compact="0" outline="0" showAll="0"/>
    <pivotField axis="axisRow" compact="0" outline="0" showAll="0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Average of Boxes Shipped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BF2-EBFF-4F21-9338-013228ACF3C6}" name="PivotTable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5:J41" firstHeaderRow="1" firstDataRow="1" firstDataCol="1"/>
  <pivotFields count="9">
    <pivotField axis="axisRow" compact="0" outline="0" showAll="0" measureFilter="1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0"/>
  </rowFields>
  <rowItems count="6">
    <i>
      <x v="5"/>
    </i>
    <i>
      <x v="20"/>
    </i>
    <i>
      <x v="17"/>
    </i>
    <i>
      <x v="16"/>
    </i>
    <i>
      <x v="3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8E292-7104-45ED-9DCF-A2F768317A66}" name="PivotTable1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39:Q52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F7B91-3292-485F-B22D-A9E3B4413595}" name="PivotTable9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2:J69" firstHeaderRow="1" firstDataRow="1" firstDataCol="1"/>
  <pivotFields count="9">
    <pivotField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axis="axisRow" compact="0" outline="0" showAll="0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>
      <items count="3014">
        <item x="486"/>
        <item x="2784"/>
        <item x="1398"/>
        <item x="1692"/>
        <item x="2491"/>
        <item x="745"/>
        <item x="1787"/>
        <item x="2879"/>
        <item x="92"/>
        <item x="922"/>
        <item x="2016"/>
        <item x="2915"/>
        <item x="1823"/>
        <item x="79"/>
        <item x="1628"/>
        <item x="1869"/>
        <item x="909"/>
        <item x="234"/>
        <item x="2961"/>
        <item x="1077"/>
        <item x="2003"/>
        <item x="2720"/>
        <item x="2657"/>
        <item x="474"/>
        <item x="2171"/>
        <item x="1565"/>
        <item x="590"/>
        <item x="1382"/>
        <item x="1541"/>
        <item x="2475"/>
        <item x="49"/>
        <item x="879"/>
        <item x="2634"/>
        <item x="513"/>
        <item x="1973"/>
        <item x="1438"/>
        <item x="399"/>
        <item x="1286"/>
        <item x="1509"/>
        <item x="2531"/>
        <item x="2602"/>
        <item x="102"/>
        <item x="2380"/>
        <item x="932"/>
        <item x="35"/>
        <item x="864"/>
        <item x="2026"/>
        <item x="242"/>
        <item x="1170"/>
        <item x="12"/>
        <item x="1958"/>
        <item x="840"/>
        <item x="1088"/>
        <item x="1946"/>
        <item x="1934"/>
        <item x="2264"/>
        <item x="852"/>
        <item x="2182"/>
        <item x="625"/>
        <item x="1598"/>
        <item x="671"/>
        <item x="1676"/>
        <item x="2690"/>
        <item x="1276"/>
        <item x="392"/>
        <item x="2768"/>
        <item x="210"/>
        <item x="1048"/>
        <item x="1674"/>
        <item x="58"/>
        <item x="2370"/>
        <item x="78"/>
        <item x="908"/>
        <item x="1982"/>
        <item x="1396"/>
        <item x="1009"/>
        <item x="733"/>
        <item x="2766"/>
        <item x="2142"/>
        <item x="1774"/>
        <item x="888"/>
        <item x="527"/>
        <item x="2489"/>
        <item x="1915"/>
        <item x="2002"/>
        <item x="1863"/>
        <item x="2103"/>
        <item x="1605"/>
        <item x="2697"/>
        <item x="666"/>
        <item x="2866"/>
        <item x="2549"/>
        <item x="2955"/>
        <item x="1456"/>
        <item x="1669"/>
        <item x="2761"/>
        <item x="3007"/>
        <item x="638"/>
        <item x="694"/>
        <item x="222"/>
        <item x="539"/>
        <item x="1626"/>
        <item x="136"/>
        <item x="966"/>
        <item x="1063"/>
        <item x="1109"/>
        <item x="2157"/>
        <item x="290"/>
        <item x="1717"/>
        <item x="2809"/>
        <item x="1470"/>
        <item x="2060"/>
        <item x="2563"/>
        <item x="2718"/>
        <item x="52"/>
        <item x="232"/>
        <item x="270"/>
        <item x="1754"/>
        <item x="882"/>
        <item x="1075"/>
        <item x="2247"/>
        <item x="799"/>
        <item x="2203"/>
        <item x="1976"/>
        <item x="114"/>
        <item x="1153"/>
        <item x="604"/>
        <item x="1125"/>
        <item x="944"/>
        <item x="642"/>
        <item x="1873"/>
        <item x="2219"/>
        <item x="2846"/>
        <item x="2169"/>
        <item x="179"/>
        <item x="1899"/>
        <item x="2965"/>
        <item x="1876"/>
        <item x="533"/>
        <item x="1606"/>
        <item x="2038"/>
        <item x="1811"/>
        <item x="1560"/>
        <item x="2903"/>
        <item x="2968"/>
        <item x="1880"/>
        <item x="2698"/>
        <item x="1632"/>
        <item x="781"/>
        <item x="1463"/>
        <item x="1845"/>
        <item x="2724"/>
        <item x="2972"/>
        <item x="2991"/>
        <item x="2652"/>
        <item x="1015"/>
        <item x="755"/>
        <item x="180"/>
        <item x="408"/>
        <item x="1918"/>
        <item x="2109"/>
        <item x="1803"/>
        <item x="284"/>
        <item x="2556"/>
        <item x="1142"/>
        <item x="72"/>
        <item x="3010"/>
        <item x="111"/>
        <item x="941"/>
        <item x="89"/>
        <item x="2393"/>
        <item x="331"/>
        <item x="2110"/>
        <item x="623"/>
        <item x="434"/>
        <item x="2937"/>
        <item x="1016"/>
        <item x="529"/>
        <item x="2035"/>
        <item x="1299"/>
        <item x="820"/>
        <item x="2895"/>
        <item x="2726"/>
        <item x="352"/>
        <item x="902"/>
        <item x="2297"/>
        <item x="1909"/>
        <item x="1634"/>
        <item x="780"/>
        <item x="2551"/>
        <item x="1844"/>
        <item x="622"/>
        <item x="1203"/>
        <item x="2013"/>
        <item x="2236"/>
        <item x="1331"/>
        <item x="704"/>
        <item x="919"/>
        <item x="1996"/>
        <item x="1591"/>
        <item x="1593"/>
        <item x="1508"/>
        <item x="2981"/>
        <item x="1458"/>
        <item x="1731"/>
        <item x="204"/>
        <item x="1889"/>
        <item x="1886"/>
        <item x="700"/>
        <item x="2601"/>
        <item x="2683"/>
        <item x="1429"/>
        <item x="2135"/>
        <item x="2424"/>
        <item x="1226"/>
        <item x="453"/>
        <item x="1357"/>
        <item x="2685"/>
        <item x="2936"/>
        <item x="2998"/>
        <item x="201"/>
        <item x="2710"/>
        <item x="584"/>
        <item x="2320"/>
        <item x="1041"/>
        <item x="1618"/>
        <item x="1906"/>
        <item x="3001"/>
        <item x="2522"/>
        <item x="2823"/>
        <item x="743"/>
        <item x="624"/>
        <item x="298"/>
        <item x="1597"/>
        <item x="2695"/>
        <item x="119"/>
        <item x="2978"/>
        <item x="1725"/>
        <item x="2817"/>
        <item x="670"/>
        <item x="1785"/>
        <item x="1603"/>
        <item x="2689"/>
        <item x="1038"/>
        <item x="293"/>
        <item x="2450"/>
        <item x="2628"/>
        <item x="1535"/>
        <item x="2132"/>
        <item x="984"/>
        <item x="504"/>
        <item x="2043"/>
        <item x="2078"/>
        <item x="949"/>
        <item x="1058"/>
        <item x="38"/>
        <item x="2257"/>
        <item x="517"/>
        <item x="1163"/>
        <item x="652"/>
        <item x="70"/>
        <item x="1901"/>
        <item x="1806"/>
        <item x="368"/>
        <item x="2877"/>
        <item x="900"/>
        <item x="800"/>
        <item x="1244"/>
        <item x="333"/>
        <item x="321"/>
        <item x="1675"/>
        <item x="366"/>
        <item x="1427"/>
        <item x="2993"/>
        <item x="1577"/>
        <item x="142"/>
        <item x="1874"/>
        <item x="2767"/>
        <item x="2898"/>
        <item x="867"/>
        <item x="1156"/>
        <item x="715"/>
        <item x="2152"/>
        <item x="782"/>
        <item x="2250"/>
        <item x="1445"/>
        <item x="162"/>
        <item x="1249"/>
        <item x="1205"/>
        <item x="2893"/>
        <item x="1368"/>
        <item x="95"/>
        <item x="1746"/>
        <item x="1649"/>
        <item x="2299"/>
        <item x="2335"/>
        <item x="1961"/>
        <item x="2669"/>
        <item x="18"/>
        <item x="2520"/>
        <item x="1815"/>
        <item x="1847"/>
        <item x="684"/>
        <item x="2090"/>
        <item x="1191"/>
        <item x="2067"/>
        <item x="2538"/>
        <item x="925"/>
        <item x="2285"/>
        <item x="2019"/>
        <item x="1994"/>
        <item x="2939"/>
        <item x="1241"/>
        <item x="973"/>
        <item x="2741"/>
        <item x="523"/>
        <item x="1698"/>
        <item x="846"/>
        <item x="2966"/>
        <item x="645"/>
        <item x="2338"/>
        <item x="1801"/>
        <item x="556"/>
        <item x="2343"/>
        <item x="1890"/>
        <item x="1452"/>
        <item x="192"/>
        <item x="2907"/>
        <item x="996"/>
        <item x="1028"/>
        <item x="1494"/>
        <item x="713"/>
        <item x="603"/>
        <item x="2461"/>
        <item x="1940"/>
        <item x="2838"/>
        <item x="1743"/>
        <item x="312"/>
        <item x="2587"/>
        <item x="555"/>
        <item x="2545"/>
        <item x="1639"/>
        <item x="283"/>
        <item x="2790"/>
        <item x="2641"/>
        <item x="1872"/>
        <item x="798"/>
        <item x="2615"/>
        <item x="1471"/>
        <item x="1069"/>
        <item x="20"/>
        <item x="1702"/>
        <item x="73"/>
        <item x="1559"/>
        <item x="2794"/>
        <item x="325"/>
        <item x="1548"/>
        <item x="2122"/>
        <item x="655"/>
        <item x="1562"/>
        <item x="594"/>
        <item x="1294"/>
        <item x="1547"/>
        <item x="903"/>
        <item x="2446"/>
        <item x="2731"/>
        <item x="470"/>
        <item x="1196"/>
        <item x="1522"/>
        <item x="848"/>
        <item x="2982"/>
        <item x="1493"/>
        <item x="217"/>
        <item x="1866"/>
        <item x="620"/>
        <item x="396"/>
        <item x="1180"/>
        <item x="2651"/>
        <item x="1353"/>
        <item x="2958"/>
        <item x="203"/>
        <item x="2964"/>
        <item x="279"/>
        <item x="2586"/>
        <item x="2470"/>
        <item x="1686"/>
        <item x="2388"/>
        <item x="692"/>
        <item x="637"/>
        <item x="1282"/>
        <item x="2746"/>
        <item x="1141"/>
        <item x="2835"/>
        <item x="1997"/>
        <item x="264"/>
        <item x="1136"/>
        <item x="2290"/>
        <item x="436"/>
        <item x="1297"/>
        <item x="194"/>
        <item x="438"/>
        <item x="2274"/>
        <item x="2376"/>
        <item x="1942"/>
        <item x="11"/>
        <item x="1588"/>
        <item x="2150"/>
        <item x="2235"/>
        <item x="1040"/>
        <item x="2230"/>
        <item x="98"/>
        <item x="1377"/>
        <item x="562"/>
        <item x="1654"/>
        <item x="2654"/>
        <item x="806"/>
        <item x="1712"/>
        <item x="2564"/>
        <item x="113"/>
        <item x="2778"/>
        <item x="1679"/>
        <item x="1056"/>
        <item x="430"/>
        <item x="2163"/>
        <item x="2640"/>
        <item x="1625"/>
        <item x="2134"/>
        <item x="257"/>
        <item x="2680"/>
        <item x="761"/>
        <item x="2022"/>
        <item x="2391"/>
        <item x="281"/>
        <item x="2428"/>
        <item x="943"/>
        <item x="2771"/>
        <item x="1425"/>
        <item x="577"/>
        <item x="1693"/>
        <item x="367"/>
        <item x="954"/>
        <item x="124"/>
        <item x="2804"/>
        <item x="2977"/>
        <item x="296"/>
        <item x="1440"/>
        <item x="583"/>
        <item x="1335"/>
        <item x="928"/>
        <item x="2593"/>
        <item x="568"/>
        <item x="1885"/>
        <item x="1243"/>
        <item x="57"/>
        <item x="1327"/>
        <item x="1333"/>
        <item x="2533"/>
        <item x="1614"/>
        <item x="1613"/>
        <item x="628"/>
        <item x="2206"/>
        <item x="2785"/>
        <item x="1119"/>
        <item x="2233"/>
        <item x="1813"/>
        <item x="319"/>
        <item x="1031"/>
        <item x="1500"/>
        <item x="2048"/>
        <item x="1210"/>
        <item x="722"/>
        <item x="2426"/>
        <item x="24"/>
        <item x="839"/>
        <item x="887"/>
        <item x="853"/>
        <item x="2125"/>
        <item x="793"/>
        <item x="2705"/>
        <item x="1933"/>
        <item x="2213"/>
        <item x="2717"/>
        <item x="2254"/>
        <item x="2239"/>
        <item x="1521"/>
        <item x="2905"/>
        <item x="164"/>
        <item x="606"/>
        <item x="1862"/>
        <item x="1112"/>
        <item x="726"/>
        <item x="2518"/>
        <item x="28"/>
        <item x="1534"/>
        <item x="567"/>
        <item x="998"/>
        <item x="1278"/>
        <item x="362"/>
        <item x="2420"/>
        <item x="2304"/>
        <item x="90"/>
        <item x="2600"/>
        <item x="1761"/>
        <item x="418"/>
        <item x="2848"/>
        <item x="2706"/>
        <item x="2627"/>
        <item x="1160"/>
        <item x="1139"/>
        <item x="1145"/>
        <item x="756"/>
        <item x="1608"/>
        <item x="1981"/>
        <item x="522"/>
        <item x="1947"/>
        <item x="2037"/>
        <item x="749"/>
        <item x="2801"/>
        <item x="1507"/>
        <item x="2700"/>
        <item x="93"/>
        <item x="2337"/>
        <item x="1078"/>
        <item x="923"/>
        <item x="1099"/>
        <item x="857"/>
        <item x="2614"/>
        <item x="117"/>
        <item x="2387"/>
        <item x="2092"/>
        <item x="1804"/>
        <item x="2599"/>
        <item x="2172"/>
        <item x="573"/>
        <item x="1682"/>
        <item x="1756"/>
        <item x="1709"/>
        <item x="554"/>
        <item x="1188"/>
        <item x="273"/>
        <item x="2896"/>
        <item x="1411"/>
        <item x="1293"/>
        <item x="1517"/>
        <item x="920"/>
        <item x="1775"/>
        <item x="544"/>
        <item x="2774"/>
        <item x="2884"/>
        <item x="1314"/>
        <item x="633"/>
        <item x="1604"/>
        <item x="2656"/>
        <item x="1451"/>
        <item x="2544"/>
        <item x="1490"/>
        <item x="1561"/>
        <item x="106"/>
        <item x="2408"/>
        <item x="1564"/>
        <item x="2330"/>
        <item x="657"/>
        <item x="314"/>
        <item x="2696"/>
        <item x="2193"/>
        <item x="391"/>
        <item x="1236"/>
        <item x="2282"/>
        <item x="2399"/>
        <item x="2954"/>
        <item x="541"/>
        <item x="1506"/>
        <item x="1792"/>
        <item x="2583"/>
        <item x="2853"/>
        <item x="71"/>
        <item x="2014"/>
        <item x="1951"/>
        <item x="2372"/>
        <item x="2653"/>
        <item x="2610"/>
        <item x="631"/>
        <item x="62"/>
        <item x="2063"/>
        <item x="1305"/>
        <item x="947"/>
        <item x="608"/>
        <item x="1657"/>
        <item x="2749"/>
        <item x="2030"/>
        <item x="2223"/>
        <item x="2504"/>
        <item x="1660"/>
        <item x="268"/>
        <item x="901"/>
        <item x="1309"/>
        <item x="1619"/>
        <item x="1182"/>
        <item x="969"/>
        <item x="506"/>
        <item x="141"/>
        <item x="2711"/>
        <item x="1275"/>
        <item x="185"/>
        <item x="1129"/>
        <item x="1123"/>
        <item x="572"/>
        <item x="1473"/>
        <item x="2569"/>
        <item x="2017"/>
        <item x="688"/>
        <item x="1087"/>
        <item x="936"/>
        <item x="1615"/>
        <item x="426"/>
        <item x="32"/>
        <item x="1021"/>
        <item x="286"/>
        <item x="1476"/>
        <item x="2867"/>
        <item x="2041"/>
        <item x="384"/>
        <item x="2752"/>
        <item x="2924"/>
        <item x="51"/>
        <item x="2115"/>
        <item x="2276"/>
        <item x="2181"/>
        <item x="356"/>
        <item x="861"/>
        <item x="2245"/>
        <item x="786"/>
        <item x="972"/>
        <item x="246"/>
        <item x="1986"/>
        <item x="2369"/>
        <item x="2812"/>
        <item x="1515"/>
        <item x="1430"/>
        <item x="754"/>
        <item x="560"/>
        <item x="1498"/>
        <item x="2066"/>
        <item x="148"/>
        <item x="1832"/>
        <item x="229"/>
        <item x="443"/>
        <item x="2240"/>
        <item x="1995"/>
        <item x="1568"/>
        <item x="311"/>
        <item x="1720"/>
        <item x="2920"/>
        <item x="1955"/>
        <item x="505"/>
        <item x="1828"/>
        <item x="1837"/>
        <item x="1767"/>
        <item x="892"/>
        <item x="1179"/>
        <item x="326"/>
        <item x="1919"/>
        <item x="2417"/>
        <item x="747"/>
        <item x="2566"/>
        <item x="1323"/>
        <item x="405"/>
        <item x="1267"/>
        <item x="1151"/>
        <item x="1146"/>
        <item x="1097"/>
        <item x="427"/>
        <item x="1592"/>
        <item x="414"/>
        <item x="2707"/>
        <item x="1067"/>
        <item x="2361"/>
        <item x="752"/>
        <item x="679"/>
        <item x="2324"/>
        <item x="2841"/>
        <item x="2796"/>
        <item x="1587"/>
        <item x="250"/>
        <item x="1302"/>
        <item x="1230"/>
        <item x="2684"/>
        <item x="337"/>
        <item x="2403"/>
        <item x="881"/>
        <item x="2217"/>
        <item x="37"/>
        <item x="1688"/>
        <item x="2660"/>
        <item x="353"/>
        <item x="2161"/>
        <item x="1704"/>
        <item x="1749"/>
        <item x="1072"/>
        <item x="2273"/>
        <item x="1790"/>
        <item x="126"/>
        <item x="1103"/>
        <item x="792"/>
        <item x="791"/>
        <item x="1701"/>
        <item x="1342"/>
        <item x="484"/>
        <item x="866"/>
        <item x="2523"/>
        <item x="551"/>
        <item x="1308"/>
        <item x="1428"/>
        <item x="2521"/>
        <item x="1852"/>
        <item x="2608"/>
        <item x="784"/>
        <item x="2894"/>
        <item x="3011"/>
        <item x="2679"/>
        <item x="371"/>
        <item x="979"/>
        <item x="2929"/>
        <item x="1487"/>
        <item x="2591"/>
        <item x="1802"/>
        <item x="801"/>
        <item x="1439"/>
        <item x="263"/>
        <item x="2435"/>
        <item x="1849"/>
        <item x="503"/>
        <item x="134"/>
        <item x="1975"/>
        <item x="1292"/>
        <item x="2291"/>
        <item x="1202"/>
        <item x="1595"/>
        <item x="303"/>
        <item x="175"/>
        <item x="1868"/>
        <item x="2073"/>
        <item x="2944"/>
        <item x="1197"/>
        <item x="2386"/>
        <item x="355"/>
        <item x="239"/>
        <item x="2580"/>
        <item x="401"/>
        <item x="1209"/>
        <item x="1227"/>
        <item x="2793"/>
        <item x="1248"/>
        <item x="2487"/>
        <item x="261"/>
        <item x="1118"/>
        <item x="2859"/>
        <item x="1324"/>
        <item x="237"/>
        <item x="1795"/>
        <item x="2882"/>
        <item x="2887"/>
        <item x="1860"/>
        <item x="2166"/>
        <item x="34"/>
        <item x="2191"/>
        <item x="394"/>
        <item x="2396"/>
        <item x="2222"/>
        <item x="1371"/>
        <item x="2303"/>
        <item x="956"/>
        <item x="807"/>
        <item x="1566"/>
        <item x="760"/>
        <item x="1888"/>
        <item x="258"/>
        <item x="1171"/>
        <item x="1960"/>
        <item x="1116"/>
        <item x="815"/>
        <item x="2969"/>
        <item x="1861"/>
        <item x="2212"/>
        <item x="1128"/>
        <item x="2050"/>
        <item x="1415"/>
        <item x="497"/>
        <item x="2687"/>
        <item x="1083"/>
        <item x="545"/>
        <item x="441"/>
        <item x="2402"/>
        <item x="2177"/>
        <item x="2960"/>
        <item x="144"/>
        <item x="1707"/>
        <item x="128"/>
        <item x="1339"/>
        <item x="2197"/>
        <item x="2780"/>
        <item x="1011"/>
        <item x="156"/>
        <item x="442"/>
        <item x="2296"/>
        <item x="2058"/>
        <item x="1090"/>
        <item x="2658"/>
        <item x="2532"/>
        <item x="2342"/>
        <item x="69"/>
        <item x="1081"/>
        <item x="243"/>
        <item x="1424"/>
        <item x="2175"/>
        <item x="2323"/>
        <item x="1341"/>
        <item x="334"/>
        <item x="1653"/>
        <item x="990"/>
        <item x="1394"/>
        <item x="8"/>
        <item x="964"/>
        <item x="2799"/>
        <item x="2105"/>
        <item x="2952"/>
        <item x="2210"/>
        <item x="863"/>
        <item x="291"/>
        <item x="420"/>
        <item x="1812"/>
        <item x="1877"/>
        <item x="1648"/>
        <item x="564"/>
        <item x="1288"/>
        <item x="2373"/>
        <item x="323"/>
        <item x="260"/>
        <item x="91"/>
        <item x="958"/>
        <item x="2941"/>
        <item x="2980"/>
        <item x="1898"/>
        <item x="525"/>
        <item x="1957"/>
        <item x="2508"/>
        <item x="1567"/>
        <item x="607"/>
        <item x="1229"/>
        <item x="2184"/>
        <item x="2321"/>
        <item x="2953"/>
        <item x="1089"/>
        <item x="2183"/>
        <item x="2534"/>
        <item x="540"/>
        <item x="1575"/>
        <item x="921"/>
        <item x="2300"/>
        <item x="1441"/>
        <item x="477"/>
        <item x="2207"/>
        <item x="2464"/>
        <item x="595"/>
        <item x="1464"/>
        <item x="1472"/>
        <item x="336"/>
        <item x="2517"/>
        <item x="2052"/>
        <item x="22"/>
        <item x="280"/>
        <item x="2990"/>
        <item x="1316"/>
        <item x="2265"/>
        <item x="16"/>
        <item x="975"/>
        <item x="1159"/>
        <item x="2069"/>
        <item x="552"/>
        <item x="1454"/>
        <item x="2832"/>
        <item x="683"/>
        <item x="2570"/>
        <item x="2740"/>
        <item x="844"/>
        <item x="1488"/>
        <item x="1279"/>
        <item x="150"/>
        <item x="2547"/>
        <item x="825"/>
        <item x="1137"/>
        <item x="1697"/>
        <item x="2432"/>
        <item x="59"/>
        <item x="899"/>
        <item x="6"/>
        <item x="2248"/>
        <item x="1208"/>
        <item x="618"/>
        <item x="1113"/>
        <item x="421"/>
        <item x="1206"/>
        <item x="1740"/>
        <item x="2410"/>
        <item x="2904"/>
        <item x="220"/>
        <item x="2084"/>
        <item x="1026"/>
        <item x="2382"/>
        <item x="190"/>
        <item x="252"/>
        <item x="2565"/>
        <item x="1477"/>
        <item x="982"/>
        <item x="209"/>
        <item x="2253"/>
        <item x="1154"/>
        <item x="723"/>
        <item x="2302"/>
        <item x="2745"/>
        <item x="641"/>
        <item x="836"/>
        <item x="2287"/>
        <item x="1503"/>
        <item x="2434"/>
        <item x="218"/>
        <item x="1106"/>
        <item x="2557"/>
        <item x="1938"/>
        <item x="1689"/>
        <item x="304"/>
        <item x="1418"/>
        <item x="467"/>
        <item x="231"/>
        <item x="2659"/>
        <item x="206"/>
        <item x="1193"/>
        <item x="1399"/>
        <item x="166"/>
        <item x="1115"/>
        <item x="514"/>
        <item x="1714"/>
        <item x="1172"/>
        <item x="2015"/>
        <item x="834"/>
        <item x="1491"/>
        <item x="1047"/>
        <item x="173"/>
        <item x="1374"/>
        <item x="850"/>
        <item x="2677"/>
        <item x="1757"/>
        <item x="986"/>
        <item x="2806"/>
        <item x="1549"/>
        <item x="1623"/>
        <item x="145"/>
        <item x="2492"/>
        <item x="1993"/>
        <item x="599"/>
        <item x="2596"/>
        <item x="763"/>
        <item x="2155"/>
        <item x="183"/>
        <item x="428"/>
        <item x="1386"/>
        <item x="737"/>
        <item x="1930"/>
        <item x="2151"/>
        <item x="1576"/>
        <item x="1779"/>
        <item x="1061"/>
        <item x="2168"/>
        <item x="1057"/>
        <item x="1043"/>
        <item x="2080"/>
        <item x="289"/>
        <item x="2231"/>
        <item x="889"/>
        <item x="475"/>
        <item x="2209"/>
        <item x="224"/>
        <item x="2715"/>
        <item x="2667"/>
        <item x="1554"/>
        <item x="211"/>
        <item x="1383"/>
        <item x="1928"/>
        <item x="2511"/>
        <item x="387"/>
        <item x="2849"/>
        <item x="1816"/>
        <item x="2137"/>
        <item x="648"/>
        <item x="1000"/>
        <item x="2479"/>
        <item x="1585"/>
        <item x="1673"/>
        <item x="1831"/>
        <item x="1426"/>
        <item x="553"/>
        <item x="1008"/>
        <item x="1312"/>
        <item x="1019"/>
        <item x="1670"/>
        <item x="667"/>
        <item x="2789"/>
        <item x="2722"/>
        <item x="1044"/>
        <item x="181"/>
        <item x="1317"/>
        <item x="1914"/>
        <item x="200"/>
        <item x="1074"/>
        <item x="471"/>
        <item x="365"/>
        <item x="1325"/>
        <item x="528"/>
        <item x="2642"/>
        <item x="702"/>
        <item x="2418"/>
        <item x="2519"/>
        <item x="351"/>
        <item x="2266"/>
        <item x="2781"/>
        <item x="1630"/>
        <item x="158"/>
        <item x="1734"/>
        <item x="53"/>
        <item x="1771"/>
        <item x="1944"/>
        <item x="335"/>
        <item x="1225"/>
        <item x="1857"/>
        <item x="2076"/>
        <item x="2406"/>
        <item x="976"/>
        <item x="350"/>
        <item x="771"/>
        <item x="1773"/>
        <item x="2144"/>
        <item x="1839"/>
        <item x="1983"/>
        <item x="131"/>
        <item x="2120"/>
        <item x="2141"/>
        <item x="812"/>
        <item x="1617"/>
        <item x="2581"/>
        <item x="2584"/>
        <item x="327"/>
        <item x="736"/>
        <item x="2094"/>
        <item x="1385"/>
        <item x="3006"/>
        <item x="1065"/>
        <item x="269"/>
        <item x="661"/>
        <item x="992"/>
        <item x="2871"/>
        <item x="2102"/>
        <item x="36"/>
        <item x="2582"/>
        <item x="2865"/>
        <item x="1642"/>
        <item x="1826"/>
        <item x="2821"/>
        <item x="2070"/>
        <item x="1240"/>
        <item x="2411"/>
        <item x="1442"/>
        <item x="423"/>
        <item x="1378"/>
        <item x="10"/>
        <item x="2535"/>
        <item x="2949"/>
        <item x="813"/>
        <item x="2131"/>
        <item x="2542"/>
        <item x="2111"/>
        <item x="1457"/>
        <item x="340"/>
        <item x="2113"/>
        <item x="1255"/>
        <item x="2646"/>
        <item x="1207"/>
        <item x="712"/>
        <item x="1896"/>
        <item x="2244"/>
        <item x="236"/>
        <item x="2200"/>
        <item x="1150"/>
        <item x="227"/>
        <item x="2931"/>
        <item x="2550"/>
        <item x="2762"/>
        <item x="2124"/>
        <item x="2681"/>
        <item x="2863"/>
        <item x="587"/>
        <item x="2734"/>
        <item x="1253"/>
        <item x="2765"/>
        <item x="865"/>
        <item x="1050"/>
        <item x="2467"/>
        <item x="2476"/>
        <item x="2349"/>
        <item x="1238"/>
        <item x="1252"/>
        <item x="2471"/>
        <item x="457"/>
        <item x="2826"/>
        <item x="1198"/>
        <item x="432"/>
        <item x="454"/>
        <item x="1663"/>
        <item x="1037"/>
        <item x="561"/>
        <item x="2159"/>
        <item x="1358"/>
        <item x="2755"/>
        <item x="1713"/>
        <item x="788"/>
        <item x="2918"/>
        <item x="1977"/>
        <item x="2703"/>
        <item x="1165"/>
        <item x="2365"/>
        <item x="1747"/>
        <item x="1489"/>
        <item x="748"/>
        <item x="1895"/>
        <item x="2332"/>
        <item x="1124"/>
        <item x="2334"/>
        <item x="2908"/>
        <item x="1271"/>
        <item x="1729"/>
        <item x="1449"/>
        <item x="1352"/>
        <item x="2319"/>
        <item x="374"/>
        <item x="2412"/>
        <item x="2301"/>
        <item x="531"/>
        <item x="1030"/>
        <item x="1611"/>
        <item x="1080"/>
        <item x="2668"/>
        <item x="576"/>
        <item x="1461"/>
        <item x="7"/>
        <item x="650"/>
        <item x="2805"/>
        <item x="2347"/>
        <item x="1017"/>
        <item x="2218"/>
        <item x="2478"/>
        <item x="1854"/>
        <item x="2422"/>
        <item x="186"/>
        <item x="1589"/>
        <item x="25"/>
        <item x="1224"/>
        <item x="81"/>
        <item x="961"/>
        <item x="2923"/>
        <item x="883"/>
        <item x="409"/>
        <item x="1320"/>
        <item x="2308"/>
        <item x="213"/>
        <item x="2138"/>
        <item x="2292"/>
        <item x="2174"/>
        <item x="15"/>
        <item x="2259"/>
        <item x="1715"/>
        <item x="403"/>
        <item x="1329"/>
        <item x="1070"/>
        <item x="476"/>
        <item x="313"/>
        <item x="1875"/>
        <item x="2709"/>
        <item x="140"/>
        <item x="2631"/>
        <item x="1318"/>
        <item x="2445"/>
        <item x="2455"/>
        <item x="478"/>
        <item x="2451"/>
        <item x="100"/>
        <item x="2055"/>
        <item x="1290"/>
        <item x="1052"/>
        <item x="778"/>
        <item x="1778"/>
        <item x="1348"/>
        <item x="854"/>
        <item x="1214"/>
        <item x="2346"/>
        <item x="656"/>
        <item x="2318"/>
        <item x="1362"/>
        <item x="397"/>
        <item x="1646"/>
        <item x="300"/>
        <item x="1791"/>
        <item x="2988"/>
        <item x="2086"/>
        <item x="1022"/>
        <item x="731"/>
        <item x="1520"/>
        <item x="764"/>
        <item x="1538"/>
        <item x="88"/>
        <item x="1499"/>
        <item x="1932"/>
        <item x="1959"/>
        <item x="971"/>
        <item x="2494"/>
        <item x="838"/>
        <item x="534"/>
        <item x="130"/>
        <item x="2839"/>
        <item x="1742"/>
        <item x="911"/>
        <item x="233"/>
        <item x="2834"/>
        <item x="30"/>
        <item x="2987"/>
        <item x="658"/>
        <item x="1656"/>
        <item x="318"/>
        <item x="2275"/>
        <item x="649"/>
        <item x="2870"/>
        <item x="182"/>
        <item x="2592"/>
        <item x="521"/>
        <item x="266"/>
        <item x="1300"/>
        <item x="1929"/>
        <item x="149"/>
        <item x="1644"/>
        <item x="2727"/>
        <item x="1384"/>
        <item x="2967"/>
        <item x="45"/>
        <item x="1166"/>
        <item x="238"/>
        <item x="2414"/>
        <item x="488"/>
        <item x="1387"/>
        <item x="230"/>
        <item x="918"/>
        <item x="826"/>
        <item x="1635"/>
        <item x="1181"/>
        <item x="56"/>
        <item x="859"/>
        <item x="1769"/>
        <item x="1948"/>
        <item x="1465"/>
        <item x="1842"/>
        <item x="122"/>
        <item x="1082"/>
        <item x="1846"/>
        <item x="2946"/>
        <item x="1437"/>
        <item x="2394"/>
        <item x="2829"/>
        <item x="875"/>
        <item x="512"/>
        <item x="1283"/>
        <item x="2164"/>
        <item x="1401"/>
        <item x="2"/>
        <item x="1450"/>
        <item x="416"/>
        <item x="1799"/>
        <item x="665"/>
        <item x="1254"/>
        <item x="835"/>
        <item x="383"/>
        <item x="1737"/>
        <item x="2554"/>
        <item x="1533"/>
        <item x="588"/>
        <item x="1356"/>
        <item x="843"/>
        <item x="1311"/>
        <item x="207"/>
        <item x="2861"/>
        <item x="2750"/>
        <item x="1887"/>
        <item x="2543"/>
        <item x="777"/>
        <item x="635"/>
        <item x="121"/>
        <item x="2807"/>
        <item x="1622"/>
        <item x="1242"/>
        <item x="2281"/>
        <item x="2883"/>
        <item x="669"/>
        <item x="668"/>
        <item x="1187"/>
        <item x="930"/>
        <item x="2348"/>
        <item x="2384"/>
        <item x="829"/>
        <item x="322"/>
        <item x="2116"/>
        <item x="2477"/>
        <item x="305"/>
        <item x="1045"/>
        <item x="1018"/>
        <item x="765"/>
        <item x="1658"/>
        <item x="103"/>
        <item x="9"/>
        <item x="2260"/>
        <item x="1672"/>
        <item x="2215"/>
        <item x="75"/>
        <item x="1073"/>
        <item x="1668"/>
        <item x="2558"/>
        <item x="1432"/>
        <item x="466"/>
        <item x="2613"/>
        <item x="1594"/>
        <item x="591"/>
        <item x="21"/>
        <item x="1817"/>
        <item x="2012"/>
        <item x="288"/>
        <item x="2256"/>
        <item x="1105"/>
        <item x="2938"/>
        <item x="2185"/>
        <item x="40"/>
        <item x="2891"/>
        <item x="2934"/>
        <item x="2005"/>
        <item x="1916"/>
        <item x="177"/>
        <item x="1953"/>
        <item x="515"/>
        <item x="1404"/>
        <item x="2738"/>
        <item x="2441"/>
        <item x="2146"/>
        <item x="519"/>
        <item x="2336"/>
        <item x="1683"/>
        <item x="1543"/>
        <item x="127"/>
        <item x="2736"/>
        <item x="634"/>
        <item x="1121"/>
        <item x="1162"/>
        <item x="449"/>
        <item x="2626"/>
        <item x="2024"/>
        <item x="1937"/>
        <item x="47"/>
        <item x="837"/>
        <item x="2909"/>
        <item x="804"/>
        <item x="1076"/>
        <item x="678"/>
        <item x="2888"/>
        <item x="1479"/>
        <item x="2405"/>
        <item x="2763"/>
        <item x="2748"/>
        <item x="1478"/>
        <item x="2979"/>
        <item x="789"/>
        <item x="2377"/>
        <item x="960"/>
        <item x="2065"/>
        <item x="1266"/>
        <item x="1539"/>
        <item x="2775"/>
        <item x="617"/>
        <item x="1855"/>
        <item x="2480"/>
        <item x="2284"/>
        <item x="369"/>
        <item x="1257"/>
        <item x="1246"/>
        <item x="957"/>
        <item x="746"/>
        <item x="1350"/>
        <item x="675"/>
        <item x="1192"/>
        <item x="1819"/>
        <item x="1969"/>
        <item x="728"/>
        <item x="2054"/>
        <item x="905"/>
        <item x="2449"/>
        <item x="980"/>
        <item x="1148"/>
        <item x="507"/>
        <item x="1526"/>
        <item x="1096"/>
        <item x="951"/>
        <item x="1796"/>
        <item x="1492"/>
        <item x="1190"/>
        <item x="390"/>
        <item x="2686"/>
        <item x="1091"/>
        <item x="2045"/>
        <item x="2107"/>
        <item x="2112"/>
        <item x="27"/>
        <item x="1274"/>
        <item x="1013"/>
        <item x="933"/>
        <item x="1671"/>
        <item x="2530"/>
        <item x="221"/>
        <item x="2074"/>
        <item x="2636"/>
        <item x="1920"/>
        <item x="2525"/>
        <item x="886"/>
        <item x="2897"/>
        <item x="1002"/>
        <item x="729"/>
        <item x="1620"/>
        <item x="1062"/>
        <item x="133"/>
        <item x="2170"/>
        <item x="963"/>
        <item x="2167"/>
        <item x="199"/>
        <item x="2360"/>
        <item x="644"/>
        <item x="952"/>
        <item x="1696"/>
        <item x="877"/>
        <item x="480"/>
        <item x="2932"/>
        <item x="1923"/>
        <item x="502"/>
        <item x="651"/>
        <item x="2632"/>
        <item x="569"/>
        <item x="2571"/>
        <item x="2760"/>
        <item x="1443"/>
        <item x="167"/>
        <item x="1805"/>
        <item x="2267"/>
        <item x="1840"/>
        <item x="1980"/>
        <item x="1447"/>
        <item x="2712"/>
        <item x="424"/>
        <item x="647"/>
        <item x="2764"/>
        <item x="2046"/>
        <item x="2199"/>
        <item x="1881"/>
        <item x="46"/>
        <item x="2351"/>
        <item x="2497"/>
        <item x="681"/>
        <item x="2242"/>
        <item x="1584"/>
        <item x="2466"/>
        <item x="1763"/>
        <item x="2973"/>
        <item x="2911"/>
        <item x="375"/>
        <item x="1999"/>
        <item x="1931"/>
        <item x="1259"/>
        <item x="407"/>
        <item x="2947"/>
        <item x="2553"/>
        <item x="165"/>
        <item x="2540"/>
        <item x="3008"/>
        <item x="2176"/>
        <item x="1149"/>
        <item x="349"/>
        <item x="2096"/>
        <item x="2156"/>
        <item x="0"/>
        <item x="359"/>
        <item x="1460"/>
        <item x="99"/>
        <item x="929"/>
        <item x="869"/>
        <item x="2286"/>
        <item x="1807"/>
        <item x="1390"/>
        <item x="1173"/>
        <item x="5"/>
        <item x="1510"/>
        <item x="2572"/>
        <item x="2243"/>
        <item x="686"/>
        <item x="2186"/>
        <item x="708"/>
        <item x="2773"/>
        <item x="1092"/>
        <item x="1373"/>
        <item x="226"/>
        <item x="1647"/>
        <item x="2139"/>
        <item x="494"/>
        <item x="2190"/>
        <item x="2730"/>
        <item x="161"/>
        <item x="152"/>
        <item x="2095"/>
        <item x="1789"/>
        <item x="546"/>
        <item x="2368"/>
        <item x="2714"/>
        <item x="208"/>
        <item x="849"/>
        <item x="1245"/>
        <item x="1694"/>
        <item x="306"/>
        <item x="338"/>
        <item x="1687"/>
        <item x="1681"/>
        <item x="2948"/>
        <item x="2619"/>
        <item x="274"/>
        <item x="2130"/>
        <item x="1727"/>
        <item x="2585"/>
        <item x="2857"/>
        <item x="2390"/>
        <item x="272"/>
        <item x="214"/>
        <item x="1765"/>
        <item x="2788"/>
        <item x="2443"/>
        <item x="109"/>
        <item x="2395"/>
        <item x="276"/>
        <item x="2027"/>
        <item x="2855"/>
        <item x="2881"/>
        <item x="2051"/>
        <item x="703"/>
        <item x="1856"/>
        <item x="2803"/>
        <item x="1943"/>
        <item x="361"/>
        <item x="2340"/>
        <item x="2899"/>
        <item x="509"/>
        <item x="985"/>
        <item x="1485"/>
        <item x="1036"/>
        <item x="68"/>
        <item x="1711"/>
        <item x="135"/>
        <item x="1431"/>
        <item x="759"/>
        <item x="1235"/>
        <item x="516"/>
        <item x="2536"/>
        <item x="779"/>
        <item x="299"/>
        <item x="1970"/>
        <item x="1001"/>
        <item x="2524"/>
        <item x="550"/>
        <item x="1963"/>
        <item x="939"/>
        <item x="317"/>
        <item x="97"/>
        <item x="1265"/>
        <item x="382"/>
        <item x="1641"/>
        <item x="1186"/>
        <item x="1422"/>
        <item x="744"/>
        <item x="1444"/>
        <item x="751"/>
        <item x="832"/>
        <item x="856"/>
        <item x="2733"/>
        <item x="1380"/>
        <item x="345"/>
        <item x="2747"/>
        <item x="419"/>
        <item x="589"/>
        <item x="2828"/>
        <item x="2093"/>
        <item x="1360"/>
        <item x="308"/>
        <item x="1130"/>
        <item x="876"/>
        <item x="582"/>
        <item x="1486"/>
        <item x="2147"/>
        <item x="1301"/>
        <item x="965"/>
        <item x="1638"/>
        <item x="1730"/>
        <item x="999"/>
        <item x="673"/>
        <item x="417"/>
        <item x="1655"/>
        <item x="995"/>
        <item x="82"/>
        <item x="1233"/>
        <item x="2779"/>
        <item x="724"/>
        <item x="1971"/>
        <item x="1794"/>
        <item x="816"/>
        <item x="1531"/>
        <item x="627"/>
        <item x="1483"/>
        <item x="827"/>
        <item x="2676"/>
        <item x="461"/>
        <item x="2162"/>
        <item x="1223"/>
        <item x="3012"/>
        <item x="1480"/>
        <item x="1321"/>
        <item x="108"/>
        <item x="1810"/>
        <item x="2739"/>
        <item x="2792"/>
        <item x="2353"/>
        <item x="1950"/>
        <item x="292"/>
        <item x="1736"/>
        <item x="2317"/>
        <item x="1700"/>
        <item x="654"/>
        <item x="2578"/>
        <item x="1758"/>
        <item x="1268"/>
        <item x="358"/>
        <item x="927"/>
        <item x="112"/>
        <item x="2057"/>
        <item x="2515"/>
        <item x="1883"/>
        <item x="2140"/>
        <item x="360"/>
        <item x="2975"/>
        <item x="2483"/>
        <item x="1992"/>
        <item x="332"/>
        <item x="898"/>
        <item x="1164"/>
        <item x="146"/>
        <item x="2742"/>
        <item x="1631"/>
        <item x="1412"/>
        <item x="198"/>
        <item x="2143"/>
        <item x="1434"/>
        <item x="1903"/>
        <item x="1256"/>
        <item x="547"/>
        <item x="2023"/>
        <item x="1843"/>
        <item x="1212"/>
        <item x="912"/>
        <item x="60"/>
        <item x="2327"/>
        <item x="2674"/>
        <item x="1601"/>
        <item x="2362"/>
        <item x="1296"/>
        <item x="2033"/>
        <item x="814"/>
        <item x="1049"/>
        <item x="1068"/>
        <item x="795"/>
        <item x="2226"/>
        <item x="2816"/>
        <item x="1315"/>
        <item x="1174"/>
        <item x="2006"/>
        <item x="377"/>
        <item x="1053"/>
        <item x="2603"/>
        <item x="2329"/>
        <item x="2409"/>
        <item x="1851"/>
        <item x="65"/>
        <item x="87"/>
        <item x="890"/>
        <item x="1678"/>
        <item x="2079"/>
        <item x="1516"/>
        <item x="1897"/>
        <item x="1366"/>
        <item x="570"/>
        <item x="2624"/>
        <item x="1836"/>
        <item x="592"/>
        <item x="977"/>
        <item x="2089"/>
        <item x="2021"/>
        <item x="2224"/>
        <item x="251"/>
        <item x="1234"/>
        <item x="526"/>
        <item x="2473"/>
        <item x="2339"/>
        <item x="2770"/>
        <item x="1232"/>
        <item x="2786"/>
        <item x="41"/>
        <item x="2415"/>
        <item x="1481"/>
        <item x="1841"/>
        <item x="1168"/>
        <item x="1132"/>
        <item x="738"/>
        <item x="2350"/>
        <item x="2306"/>
        <item x="1046"/>
        <item x="262"/>
        <item x="1786"/>
        <item x="1921"/>
        <item x="458"/>
        <item x="1652"/>
        <item x="2574"/>
        <item x="2886"/>
        <item x="1127"/>
        <item x="363"/>
        <item x="1409"/>
        <item x="1176"/>
        <item x="1865"/>
        <item x="2270"/>
        <item x="2989"/>
        <item x="1650"/>
        <item x="1204"/>
        <item x="492"/>
        <item x="2221"/>
        <item x="1926"/>
        <item x="558"/>
        <item x="412"/>
        <item x="2943"/>
        <item x="189"/>
        <item x="2822"/>
        <item x="187"/>
        <item x="1989"/>
        <item x="191"/>
        <item x="2505"/>
        <item x="169"/>
        <item x="711"/>
        <item x="2878"/>
        <item x="2059"/>
        <item x="459"/>
        <item x="1708"/>
        <item x="372"/>
        <item x="2280"/>
        <item x="1306"/>
        <item x="942"/>
        <item x="205"/>
        <item x="1237"/>
        <item x="2527"/>
        <item x="1540"/>
        <item x="2359"/>
        <item x="774"/>
        <item x="870"/>
        <item x="1104"/>
        <item x="536"/>
        <item x="2819"/>
        <item x="2573"/>
        <item x="2693"/>
        <item x="1984"/>
        <item x="1155"/>
        <item x="598"/>
        <item x="805"/>
        <item x="1900"/>
        <item x="705"/>
        <item x="2258"/>
        <item x="1582"/>
        <item x="1724"/>
        <item x="2456"/>
        <item x="1917"/>
        <item x="2579"/>
        <item x="2268"/>
        <item x="1219"/>
        <item x="431"/>
        <item x="2933"/>
        <item x="895"/>
        <item x="1094"/>
        <item x="1313"/>
        <item x="415"/>
        <item x="1964"/>
        <item x="2011"/>
        <item x="435"/>
        <item x="1511"/>
        <item x="2928"/>
        <item x="411"/>
        <item x="1569"/>
        <item x="2902"/>
        <item x="2129"/>
        <item x="917"/>
        <item x="1004"/>
        <item x="235"/>
        <item x="2537"/>
        <item x="2331"/>
        <item x="452"/>
        <item x="2723"/>
        <item x="810"/>
        <item x="2262"/>
        <item x="938"/>
        <item x="14"/>
        <item x="2326"/>
        <item x="2833"/>
        <item x="315"/>
        <item x="2935"/>
        <item x="1728"/>
        <item x="557"/>
        <item x="1600"/>
        <item x="2354"/>
        <item x="809"/>
        <item x="950"/>
        <item x="2298"/>
        <item x="2957"/>
        <item x="2735"/>
        <item x="120"/>
        <item x="1423"/>
        <item x="2453"/>
        <item x="31"/>
        <item x="2850"/>
        <item x="1643"/>
        <item x="1905"/>
        <item x="310"/>
        <item x="2604"/>
        <item x="1455"/>
        <item x="2609"/>
        <item x="1260"/>
        <item x="2589"/>
        <item x="85"/>
        <item x="2032"/>
        <item x="2313"/>
        <item x="19"/>
        <item x="1086"/>
        <item x="2249"/>
        <item x="1027"/>
        <item x="282"/>
        <item x="1532"/>
        <item x="455"/>
        <item x="2407"/>
        <item x="548"/>
        <item x="2992"/>
        <item x="2459"/>
        <item x="406"/>
        <item x="2995"/>
        <item x="574"/>
        <item x="2633"/>
        <item x="44"/>
        <item x="872"/>
        <item x="1363"/>
        <item x="1035"/>
        <item x="1553"/>
        <item x="324"/>
        <item x="2645"/>
        <item x="330"/>
        <item x="1741"/>
        <item x="2576"/>
        <item x="2071"/>
        <item x="672"/>
        <item x="1310"/>
        <item x="1152"/>
        <item x="379"/>
        <item x="2872"/>
        <item x="2638"/>
        <item x="2976"/>
        <item x="1780"/>
        <item x="2925"/>
        <item x="410"/>
        <item x="1467"/>
        <item x="2036"/>
        <item x="2344"/>
        <item x="1495"/>
        <item x="730"/>
        <item x="796"/>
        <item x="1545"/>
        <item x="710"/>
        <item x="2744"/>
        <item x="1183"/>
        <item x="2548"/>
        <item x="1788"/>
        <item x="2121"/>
        <item x="2457"/>
        <item x="380"/>
        <item x="2188"/>
        <item x="129"/>
        <item x="341"/>
        <item x="698"/>
        <item x="1304"/>
        <item x="1523"/>
        <item x="1042"/>
        <item x="86"/>
        <item x="215"/>
        <item x="1732"/>
        <item x="2637"/>
        <item x="1328"/>
        <item x="566"/>
        <item x="84"/>
        <item x="2328"/>
        <item x="1215"/>
        <item x="2278"/>
        <item x="1833"/>
        <item x="2229"/>
        <item x="659"/>
        <item x="2400"/>
        <item x="154"/>
        <item x="2502"/>
        <item x="1184"/>
        <item x="1117"/>
        <item x="2997"/>
        <item x="1573"/>
        <item x="1514"/>
        <item x="639"/>
        <item x="1496"/>
        <item x="188"/>
        <item x="1408"/>
        <item x="663"/>
        <item x="1135"/>
        <item x="1178"/>
        <item x="1936"/>
        <item x="118"/>
        <item x="174"/>
        <item x="256"/>
        <item x="1201"/>
        <item x="2305"/>
        <item x="2824"/>
        <item x="1659"/>
        <item x="1079"/>
        <item x="2452"/>
        <item x="691"/>
        <item x="1355"/>
        <item x="2984"/>
        <item x="3009"/>
        <item x="223"/>
        <item x="1557"/>
        <item x="197"/>
        <item x="1023"/>
        <item x="1551"/>
        <item x="1364"/>
        <item x="808"/>
        <item x="1211"/>
        <item x="1138"/>
        <item x="1010"/>
        <item x="2289"/>
        <item x="2607"/>
        <item x="398"/>
        <item x="685"/>
        <item x="2398"/>
        <item x="706"/>
        <item x="2820"/>
        <item x="439"/>
        <item x="2665"/>
        <item x="1359"/>
        <item x="1250"/>
        <item x="1025"/>
        <item x="2501"/>
        <item x="2692"/>
        <item x="307"/>
        <item x="1968"/>
        <item x="1892"/>
        <item x="1064"/>
        <item x="2198"/>
        <item x="2397"/>
        <item x="593"/>
        <item x="847"/>
        <item x="2575"/>
        <item x="267"/>
        <item x="2800"/>
        <item x="2831"/>
        <item x="493"/>
        <item x="1884"/>
        <item x="2211"/>
        <item x="2616"/>
        <item x="520"/>
        <item x="2119"/>
        <item x="1544"/>
        <item x="682"/>
        <item x="2010"/>
        <item x="1966"/>
        <item x="2277"/>
        <item x="1677"/>
        <item x="632"/>
        <item x="1893"/>
        <item x="74"/>
        <item x="42"/>
        <item x="2598"/>
        <item x="741"/>
        <item x="1195"/>
        <item x="914"/>
        <item x="2104"/>
        <item x="2044"/>
        <item x="385"/>
        <item x="2136"/>
        <item x="2516"/>
        <item x="2782"/>
        <item x="1722"/>
        <item x="1665"/>
        <item x="2880"/>
        <item x="2649"/>
        <item x="2448"/>
        <item x="2404"/>
        <item x="2699"/>
        <item x="2117"/>
        <item x="23"/>
        <item x="851"/>
        <item x="1140"/>
        <item x="1336"/>
        <item x="1695"/>
        <item x="1645"/>
        <item x="2661"/>
        <item x="860"/>
        <item x="874"/>
        <item x="2272"/>
        <item x="265"/>
        <item x="2246"/>
        <item x="389"/>
        <item x="1739"/>
        <item x="1303"/>
        <item x="988"/>
        <item x="228"/>
        <item x="2959"/>
        <item x="1332"/>
        <item x="2625"/>
        <item x="450"/>
        <item x="2180"/>
        <item x="393"/>
        <item x="701"/>
        <item x="1098"/>
        <item x="1505"/>
        <item x="1662"/>
        <item x="1194"/>
        <item x="1518"/>
        <item x="104"/>
        <item x="1397"/>
        <item x="2098"/>
        <item x="1295"/>
        <item x="915"/>
        <item x="842"/>
        <item x="2148"/>
        <item x="2429"/>
        <item x="2425"/>
        <item x="2814"/>
        <item x="1024"/>
        <item x="1273"/>
        <item x="277"/>
        <item x="2754"/>
        <item x="1607"/>
        <item x="1772"/>
        <item x="1"/>
        <item x="2192"/>
        <item x="2950"/>
        <item x="1783"/>
        <item x="2421"/>
        <item x="1690"/>
        <item x="1733"/>
        <item x="981"/>
        <item x="219"/>
        <item x="1867"/>
        <item x="2560"/>
        <item x="2295"/>
        <item x="1882"/>
        <item x="2173"/>
        <item x="1262"/>
        <item x="563"/>
        <item x="2082"/>
        <item x="1111"/>
        <item x="1122"/>
        <item x="2389"/>
        <item x="1528"/>
        <item x="2053"/>
        <item x="2357"/>
        <item x="803"/>
        <item x="1482"/>
        <item x="542"/>
        <item x="2864"/>
        <item x="1175"/>
        <item x="1627"/>
        <item x="2490"/>
        <item x="646"/>
        <item x="1054"/>
        <item x="916"/>
        <item x="80"/>
        <item x="959"/>
        <item x="934"/>
        <item x="693"/>
        <item x="151"/>
        <item x="2541"/>
        <item x="253"/>
        <item x="2588"/>
        <item x="1269"/>
        <item x="1716"/>
        <item x="1107"/>
        <item x="195"/>
        <item x="828"/>
        <item x="2611"/>
        <item x="1891"/>
        <item x="2503"/>
        <item x="1474"/>
        <item x="329"/>
        <item x="613"/>
        <item x="1954"/>
        <item x="1612"/>
        <item x="101"/>
        <item x="1448"/>
        <item x="1071"/>
        <item x="1766"/>
        <item x="172"/>
        <item x="2737"/>
        <item x="2205"/>
        <item x="823"/>
        <item x="2363"/>
        <item x="1263"/>
        <item x="373"/>
        <item x="790"/>
        <item x="1512"/>
        <item x="948"/>
        <item x="559"/>
        <item x="2757"/>
        <item x="721"/>
        <item x="1616"/>
        <item x="727"/>
        <item x="1965"/>
        <item x="2985"/>
        <item x="297"/>
        <item x="400"/>
        <item x="1755"/>
        <item x="1284"/>
        <item x="1941"/>
        <item x="468"/>
        <item x="1501"/>
        <item x="2802"/>
        <item x="1120"/>
        <item x="1351"/>
        <item x="2858"/>
        <item x="2378"/>
        <item x="2639"/>
        <item x="2234"/>
        <item x="139"/>
        <item x="2227"/>
        <item x="2009"/>
        <item x="1818"/>
        <item x="871"/>
        <item x="2860"/>
        <item x="2158"/>
        <item x="720"/>
        <item x="640"/>
        <item x="1858"/>
        <item x="983"/>
        <item x="2704"/>
        <item x="2232"/>
        <item x="822"/>
        <item x="2118"/>
        <item x="2769"/>
        <item x="2075"/>
        <item x="1546"/>
        <item x="1410"/>
        <item x="1596"/>
        <item x="13"/>
        <item x="1945"/>
        <item x="1161"/>
        <item x="456"/>
        <item x="794"/>
        <item x="2216"/>
        <item x="2621"/>
        <item x="2356"/>
        <item x="674"/>
        <item x="1710"/>
        <item x="2643"/>
        <item x="1859"/>
        <item x="1034"/>
        <item x="616"/>
        <item x="473"/>
        <item x="2732"/>
        <item x="2309"/>
        <item x="245"/>
        <item x="2482"/>
        <item x="2719"/>
        <item x="824"/>
        <item x="970"/>
        <item x="1280"/>
        <item x="621"/>
        <item x="1699"/>
        <item x="2201"/>
        <item x="532"/>
        <item x="1744"/>
        <item x="2008"/>
        <item x="1133"/>
        <item x="2825"/>
        <item x="437"/>
        <item x="2708"/>
        <item x="2567"/>
        <item x="841"/>
        <item x="2436"/>
        <item x="878"/>
        <item x="2983"/>
        <item x="1879"/>
        <item x="48"/>
        <item x="2875"/>
        <item x="2787"/>
        <item x="1032"/>
        <item x="818"/>
        <item x="773"/>
        <item x="1830"/>
        <item x="342"/>
        <item x="602"/>
        <item x="2269"/>
        <item x="1768"/>
        <item x="1590"/>
        <item x="615"/>
        <item x="2751"/>
        <item x="1726"/>
        <item x="287"/>
        <item x="538"/>
        <item x="1602"/>
        <item x="249"/>
        <item x="904"/>
        <item x="1680"/>
        <item x="2974"/>
        <item x="485"/>
        <item x="610"/>
        <item x="1298"/>
        <item x="2042"/>
        <item x="2064"/>
        <item x="1911"/>
        <item x="2367"/>
        <item x="2165"/>
        <item x="518"/>
        <item x="1579"/>
        <item x="910"/>
        <item x="433"/>
        <item x="2605"/>
        <item x="1102"/>
        <item x="17"/>
        <item x="1287"/>
        <item x="2294"/>
        <item x="2956"/>
        <item x="1277"/>
        <item x="1913"/>
        <item x="1629"/>
        <item x="1361"/>
        <item x="1640"/>
        <item x="1375"/>
        <item x="499"/>
        <item x="2214"/>
        <item x="2128"/>
        <item x="1200"/>
        <item x="2971"/>
        <item x="2454"/>
        <item x="1395"/>
        <item x="216"/>
        <item x="2791"/>
        <item x="1059"/>
        <item x="125"/>
        <item x="487"/>
        <item x="2922"/>
        <item x="1904"/>
        <item x="153"/>
        <item x="255"/>
        <item x="1007"/>
        <item x="2671"/>
        <item x="931"/>
        <item x="2371"/>
        <item x="2255"/>
        <item x="425"/>
        <item x="1935"/>
        <item x="2594"/>
        <item x="1216"/>
        <item x="2126"/>
        <item x="1829"/>
        <item x="2694"/>
        <item x="680"/>
        <item x="2025"/>
        <item x="662"/>
        <item x="1998"/>
        <item x="1922"/>
        <item x="2288"/>
        <item x="301"/>
        <item x="1762"/>
        <item x="386"/>
        <item x="2921"/>
        <item x="66"/>
        <item x="2818"/>
        <item x="2189"/>
        <item x="157"/>
        <item x="1469"/>
        <item x="1691"/>
        <item x="2688"/>
        <item x="2555"/>
        <item x="585"/>
        <item x="757"/>
        <item x="1055"/>
        <item x="1636"/>
        <item x="707"/>
        <item x="2392"/>
        <item x="2847"/>
        <item x="1343"/>
        <item x="2675"/>
        <item x="3004"/>
        <item x="1389"/>
        <item x="1664"/>
        <item x="1334"/>
        <item x="2673"/>
        <item x="2077"/>
        <item x="1753"/>
        <item x="343"/>
        <item x="619"/>
        <item x="2444"/>
        <item x="2196"/>
        <item x="316"/>
        <item x="2374"/>
        <item x="3005"/>
        <item x="2241"/>
        <item x="714"/>
        <item x="64"/>
        <item x="138"/>
        <item x="1912"/>
        <item x="1497"/>
        <item x="2910"/>
        <item x="178"/>
        <item x="1251"/>
        <item x="2004"/>
        <item x="2663"/>
        <item x="170"/>
        <item x="2562"/>
        <item x="1417"/>
        <item x="955"/>
        <item x="2427"/>
        <item x="580"/>
        <item x="739"/>
        <item x="991"/>
        <item x="2028"/>
        <item x="1571"/>
        <item x="2101"/>
        <item x="105"/>
        <item x="2595"/>
        <item x="2808"/>
        <item x="2590"/>
        <item x="248"/>
        <item x="2310"/>
        <item x="2999"/>
        <item x="159"/>
        <item x="2149"/>
        <item x="2682"/>
        <item x="571"/>
        <item x="987"/>
        <item x="2345"/>
        <item x="2153"/>
        <item x="2510"/>
        <item x="2539"/>
        <item x="2381"/>
        <item x="1864"/>
        <item x="1558"/>
        <item x="26"/>
        <item x="565"/>
        <item x="1529"/>
        <item x="676"/>
        <item x="605"/>
        <item x="1462"/>
        <item x="479"/>
        <item x="1147"/>
        <item x="2854"/>
        <item x="2261"/>
        <item x="1330"/>
        <item x="33"/>
        <item x="1285"/>
        <item x="896"/>
        <item x="2085"/>
        <item x="596"/>
        <item x="2423"/>
        <item x="2468"/>
        <item x="1270"/>
        <item x="196"/>
        <item x="1185"/>
        <item x="76"/>
        <item x="1095"/>
        <item x="2416"/>
        <item x="463"/>
        <item x="1381"/>
        <item x="43"/>
        <item x="1419"/>
        <item x="636"/>
        <item x="2772"/>
        <item x="1583"/>
        <item x="2678"/>
        <item x="762"/>
        <item x="2311"/>
        <item x="2204"/>
        <item x="1972"/>
        <item x="490"/>
        <item x="845"/>
        <item x="1542"/>
        <item x="1808"/>
        <item x="1745"/>
        <item x="2951"/>
        <item x="1667"/>
        <item x="2474"/>
        <item x="699"/>
        <item x="1581"/>
        <item x="1907"/>
        <item x="2836"/>
        <item x="2721"/>
        <item x="1014"/>
        <item x="2728"/>
        <item x="302"/>
        <item x="2062"/>
        <item x="1563"/>
        <item x="586"/>
        <item x="2495"/>
        <item x="1781"/>
        <item x="1527"/>
        <item x="1167"/>
        <item x="2783"/>
        <item x="1513"/>
        <item x="797"/>
        <item x="1060"/>
        <item x="1012"/>
        <item x="2364"/>
        <item x="3003"/>
        <item x="176"/>
        <item x="1402"/>
        <item x="2622"/>
        <item x="465"/>
        <item x="1033"/>
        <item x="2873"/>
        <item x="2845"/>
        <item x="2655"/>
        <item x="370"/>
        <item x="597"/>
        <item x="1446"/>
        <item x="524"/>
        <item x="2481"/>
        <item x="1217"/>
        <item x="1502"/>
        <item x="2488"/>
        <item x="1369"/>
        <item x="1322"/>
        <item x="147"/>
        <item x="968"/>
        <item x="1949"/>
        <item x="753"/>
        <item x="2756"/>
        <item x="1939"/>
        <item x="2379"/>
        <item x="735"/>
        <item x="776"/>
        <item x="462"/>
        <item x="1723"/>
        <item x="460"/>
        <item x="285"/>
        <item x="1110"/>
        <item x="697"/>
        <item x="2759"/>
        <item x="769"/>
        <item x="2635"/>
        <item x="483"/>
        <item x="2827"/>
        <item x="575"/>
        <item x="993"/>
        <item x="278"/>
        <item x="1956"/>
        <item x="61"/>
        <item x="2996"/>
        <item x="787"/>
        <item x="1372"/>
        <item x="1144"/>
        <item x="873"/>
        <item x="1735"/>
        <item x="160"/>
        <item x="1536"/>
        <item x="1101"/>
        <item x="1134"/>
        <item x="2049"/>
        <item x="687"/>
        <item x="742"/>
        <item x="1552"/>
        <item x="2650"/>
        <item x="1365"/>
        <item x="1504"/>
        <item x="1637"/>
        <item x="1005"/>
        <item x="2108"/>
        <item x="1367"/>
        <item x="1406"/>
        <item x="1537"/>
        <item x="2606"/>
        <item x="660"/>
        <item x="1586"/>
        <item x="491"/>
        <item x="2900"/>
        <item x="1990"/>
        <item x="295"/>
        <item x="510"/>
        <item x="802"/>
        <item x="388"/>
        <item x="2081"/>
        <item x="894"/>
        <item x="2154"/>
        <item x="1621"/>
        <item x="2127"/>
        <item x="354"/>
        <item x="935"/>
        <item x="1988"/>
        <item x="855"/>
        <item x="2629"/>
        <item x="1169"/>
        <item x="578"/>
        <item x="1784"/>
        <item x="817"/>
        <item x="1870"/>
        <item x="1550"/>
        <item x="785"/>
        <item x="2512"/>
        <item x="1158"/>
        <item x="2620"/>
        <item x="2729"/>
        <item x="630"/>
        <item x="1721"/>
        <item x="2837"/>
        <item x="2099"/>
        <item x="2088"/>
        <item x="978"/>
        <item x="677"/>
        <item x="2630"/>
        <item x="1967"/>
        <item x="2263"/>
        <item x="1800"/>
        <item x="2462"/>
        <item x="1814"/>
        <item x="543"/>
        <item x="1388"/>
        <item x="448"/>
        <item x="320"/>
        <item x="2962"/>
        <item x="629"/>
        <item x="171"/>
        <item x="1189"/>
        <item x="1393"/>
        <item x="1407"/>
        <item x="1684"/>
        <item x="1824"/>
        <item x="2279"/>
        <item x="1624"/>
        <item x="413"/>
        <item x="906"/>
        <item x="2072"/>
        <item x="107"/>
        <item x="891"/>
        <item x="2238"/>
        <item x="2597"/>
        <item x="110"/>
        <item x="2087"/>
        <item x="2000"/>
        <item x="862"/>
        <item x="1853"/>
        <item x="1651"/>
        <item x="653"/>
        <item x="137"/>
        <item x="451"/>
        <item x="271"/>
        <item x="1871"/>
        <item x="2644"/>
        <item x="937"/>
        <item x="1661"/>
        <item x="2795"/>
        <item x="2970"/>
        <item x="83"/>
        <item x="1838"/>
        <item x="1777"/>
        <item x="481"/>
        <item x="1703"/>
        <item x="732"/>
        <item x="2612"/>
        <item x="275"/>
        <item x="2906"/>
        <item x="967"/>
        <item x="2341"/>
        <item x="1685"/>
        <item x="2195"/>
        <item x="1850"/>
        <item x="2713"/>
        <item x="2776"/>
        <item x="445"/>
        <item x="1834"/>
        <item x="2029"/>
        <item x="357"/>
        <item x="2546"/>
        <item x="2813"/>
        <item x="1307"/>
        <item x="1902"/>
        <item x="1126"/>
        <item x="770"/>
        <item x="1453"/>
        <item x="2528"/>
        <item x="1228"/>
        <item x="1247"/>
        <item x="2499"/>
        <item x="2815"/>
        <item x="2930"/>
        <item x="2431"/>
        <item x="2701"/>
        <item x="1797"/>
        <item x="2366"/>
        <item x="1475"/>
        <item x="115"/>
        <item x="2716"/>
        <item x="395"/>
        <item x="96"/>
        <item x="2889"/>
        <item x="2963"/>
        <item x="994"/>
        <item x="1391"/>
        <item x="2486"/>
        <item x="945"/>
        <item x="1519"/>
        <item x="2220"/>
        <item x="254"/>
        <item x="2500"/>
        <item x="1272"/>
        <item x="1143"/>
        <item x="2252"/>
        <item x="913"/>
        <item x="1349"/>
        <item x="2465"/>
        <item x="184"/>
        <item x="2401"/>
        <item x="2753"/>
        <item x="1435"/>
        <item x="2447"/>
        <item x="2007"/>
        <item x="1610"/>
        <item x="2916"/>
        <item x="819"/>
        <item x="2460"/>
        <item x="750"/>
        <item x="2892"/>
        <item x="1338"/>
        <item x="2458"/>
        <item x="344"/>
        <item x="1908"/>
        <item x="225"/>
        <item x="1878"/>
        <item x="2869"/>
        <item x="1403"/>
        <item x="1231"/>
        <item x="1020"/>
        <item x="2106"/>
        <item x="496"/>
        <item x="2442"/>
        <item x="2438"/>
        <item x="716"/>
        <item x="1524"/>
        <item x="1400"/>
        <item x="2994"/>
        <item x="489"/>
        <item x="1218"/>
        <item x="1759"/>
        <item x="2568"/>
        <item x="940"/>
        <item x="2945"/>
        <item x="2942"/>
        <item x="1793"/>
        <item x="1609"/>
        <item x="2100"/>
        <item x="2228"/>
        <item x="549"/>
        <item x="758"/>
        <item x="2876"/>
        <item x="1748"/>
        <item x="2237"/>
        <item x="1131"/>
        <item x="1985"/>
        <item x="404"/>
        <item x="2702"/>
        <item x="2617"/>
        <item x="444"/>
        <item x="2743"/>
        <item x="2926"/>
        <item x="67"/>
        <item x="2061"/>
        <item x="376"/>
        <item x="1258"/>
        <item x="689"/>
        <item x="1108"/>
        <item x="1760"/>
        <item x="2777"/>
        <item x="447"/>
        <item x="1825"/>
        <item x="725"/>
        <item x="29"/>
        <item x="1354"/>
        <item x="1006"/>
        <item x="2322"/>
        <item x="772"/>
        <item x="767"/>
        <item x="1066"/>
        <item x="143"/>
        <item x="2202"/>
        <item x="1770"/>
        <item x="1281"/>
        <item x="821"/>
        <item x="2031"/>
        <item x="530"/>
        <item x="1291"/>
        <item x="2851"/>
        <item x="163"/>
        <item x="1345"/>
        <item x="2034"/>
        <item x="690"/>
        <item x="858"/>
        <item x="609"/>
        <item x="3"/>
        <item x="1344"/>
        <item x="2375"/>
        <item x="3000"/>
        <item x="422"/>
        <item x="1705"/>
        <item x="2283"/>
        <item x="2901"/>
        <item x="2496"/>
        <item x="974"/>
        <item x="2225"/>
        <item x="719"/>
        <item x="2917"/>
        <item x="997"/>
        <item x="339"/>
        <item x="2352"/>
        <item x="94"/>
        <item x="897"/>
        <item x="244"/>
        <item x="926"/>
        <item x="766"/>
        <item x="2325"/>
        <item x="2437"/>
        <item x="482"/>
        <item x="2577"/>
        <item x="155"/>
        <item x="1821"/>
        <item x="346"/>
        <item x="2797"/>
        <item x="1347"/>
        <item x="1414"/>
        <item x="2862"/>
        <item x="1809"/>
        <item x="1340"/>
        <item x="696"/>
        <item x="1459"/>
        <item x="2885"/>
        <item x="2484"/>
        <item x="1706"/>
        <item x="626"/>
        <item x="1599"/>
        <item x="1924"/>
        <item x="717"/>
        <item x="1405"/>
        <item x="2091"/>
        <item x="2913"/>
        <item x="247"/>
        <item x="508"/>
        <item x="2413"/>
        <item x="537"/>
        <item x="1752"/>
        <item x="2919"/>
        <item x="1484"/>
        <item x="3002"/>
        <item x="1827"/>
        <item x="535"/>
        <item x="1719"/>
        <item x="2507"/>
        <item x="1433"/>
        <item x="4"/>
        <item x="2039"/>
        <item x="168"/>
        <item x="614"/>
        <item x="2307"/>
        <item x="2114"/>
        <item x="2840"/>
        <item x="783"/>
        <item x="309"/>
        <item x="472"/>
        <item x="1379"/>
        <item x="2493"/>
        <item x="1820"/>
        <item x="2020"/>
        <item x="1910"/>
        <item x="601"/>
        <item x="2440"/>
        <item x="1952"/>
        <item x="2160"/>
        <item x="830"/>
        <item x="2811"/>
        <item x="768"/>
        <item x="1991"/>
        <item x="831"/>
        <item x="2561"/>
        <item x="2691"/>
        <item x="1220"/>
        <item x="2312"/>
        <item x="193"/>
        <item x="347"/>
        <item x="2852"/>
        <item x="2798"/>
        <item x="469"/>
        <item x="500"/>
        <item x="2498"/>
        <item x="2844"/>
        <item x="2385"/>
        <item x="989"/>
        <item x="1213"/>
        <item x="1376"/>
        <item x="2083"/>
        <item x="77"/>
        <item x="581"/>
        <item x="1570"/>
        <item x="1003"/>
        <item x="364"/>
        <item x="1319"/>
        <item x="2666"/>
        <item x="924"/>
        <item x="2271"/>
        <item x="2842"/>
        <item x="1093"/>
        <item x="2552"/>
        <item x="1580"/>
        <item x="1100"/>
        <item x="241"/>
        <item x="833"/>
        <item x="2314"/>
        <item x="1466"/>
        <item x="2912"/>
        <item x="2662"/>
        <item x="39"/>
        <item x="718"/>
        <item x="1239"/>
        <item x="1925"/>
        <item x="50"/>
        <item x="2914"/>
        <item x="1750"/>
        <item x="259"/>
        <item x="709"/>
        <item x="212"/>
        <item x="1392"/>
        <item x="1114"/>
        <item x="1029"/>
        <item x="2068"/>
        <item x="429"/>
        <item x="2433"/>
        <item x="740"/>
        <item x="1798"/>
        <item x="579"/>
        <item x="811"/>
        <item x="2559"/>
        <item x="2485"/>
        <item x="1751"/>
        <item x="2194"/>
        <item x="440"/>
        <item x="600"/>
        <item x="1555"/>
        <item x="2123"/>
        <item x="868"/>
        <item x="1894"/>
        <item x="2187"/>
        <item x="55"/>
        <item x="1764"/>
        <item x="381"/>
        <item x="2672"/>
        <item x="1221"/>
        <item x="2001"/>
        <item x="2018"/>
        <item x="495"/>
        <item x="907"/>
        <item x="1574"/>
        <item x="1468"/>
        <item x="2208"/>
        <item x="2890"/>
        <item x="2623"/>
        <item x="402"/>
        <item x="1782"/>
        <item x="2472"/>
        <item x="1822"/>
        <item x="611"/>
        <item x="2526"/>
        <item x="2179"/>
        <item x="1177"/>
        <item x="1525"/>
        <item x="446"/>
        <item x="1848"/>
        <item x="1927"/>
        <item x="1556"/>
        <item x="1738"/>
        <item x="2469"/>
        <item x="294"/>
        <item x="2097"/>
        <item x="1085"/>
        <item x="123"/>
        <item x="880"/>
        <item x="1572"/>
        <item x="348"/>
        <item x="1530"/>
        <item x="1264"/>
        <item x="1413"/>
        <item x="664"/>
        <item x="501"/>
        <item x="1974"/>
        <item x="2940"/>
        <item x="2145"/>
        <item x="2874"/>
        <item x="1420"/>
        <item x="2648"/>
        <item x="2856"/>
        <item x="240"/>
        <item x="1979"/>
        <item x="2315"/>
        <item x="695"/>
        <item x="953"/>
        <item x="1084"/>
        <item x="2333"/>
        <item x="1337"/>
        <item x="1289"/>
        <item x="1421"/>
        <item x="54"/>
        <item x="2419"/>
        <item x="328"/>
        <item x="1962"/>
        <item x="1051"/>
        <item x="1718"/>
        <item x="2513"/>
        <item x="2430"/>
        <item x="2047"/>
        <item x="1326"/>
        <item x="2830"/>
        <item x="885"/>
        <item x="946"/>
        <item x="116"/>
        <item x="2647"/>
        <item x="1222"/>
        <item x="2316"/>
        <item x="734"/>
        <item x="2506"/>
        <item x="2251"/>
        <item x="1346"/>
        <item x="511"/>
        <item x="2618"/>
        <item x="884"/>
        <item x="1157"/>
        <item x="1978"/>
        <item x="2843"/>
        <item x="2986"/>
        <item x="2383"/>
        <item x="2178"/>
        <item x="643"/>
        <item x="1666"/>
        <item x="378"/>
        <item x="2439"/>
        <item x="2358"/>
        <item x="2664"/>
        <item x="2868"/>
        <item x="1776"/>
        <item x="2293"/>
        <item x="1199"/>
        <item x="775"/>
        <item x="1633"/>
        <item x="1835"/>
        <item x="2514"/>
        <item x="202"/>
        <item x="2529"/>
        <item x="1416"/>
        <item x="498"/>
        <item x="2758"/>
        <item x="2810"/>
        <item x="63"/>
        <item x="612"/>
        <item x="132"/>
        <item x="2040"/>
        <item x="1436"/>
        <item x="1261"/>
        <item x="1578"/>
        <item x="2670"/>
        <item x="2725"/>
        <item x="1039"/>
        <item x="2355"/>
        <item x="893"/>
        <item x="2927"/>
        <item x="464"/>
        <item x="2133"/>
        <item x="2056"/>
        <item x="2509"/>
        <item x="962"/>
        <item x="1987"/>
        <item x="1370"/>
        <item x="2463"/>
        <item t="default"/>
      </items>
    </pivotField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D4DA5-D9AD-44C0-84A4-5D40500F8178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:C12" firstHeaderRow="1" firstDataRow="1" firstDataCol="1"/>
  <pivotFields count="9">
    <pivotField compact="0" outline="0" showAll="0"/>
    <pivotField axis="axisRow" compact="0" outline="0" showAll="0" insertBlankRow="1">
      <items count="7">
        <item x="2"/>
        <item x="5"/>
        <item x="1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30849-0A07-4CB2-A9B2-B5AB63801EFB}" name="PivotTable16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22:Q35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E6D41-E02D-4E6F-86AA-84CC7B89524E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5:J31" firstHeaderRow="1" firstDataRow="1" firstDataCol="1"/>
  <pivotFields count="9">
    <pivotField axis="axisRow"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Transaction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41326-B869-42DD-A0E1-B5A260A392E9}" name="PivotTable1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5:Q18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59CFB-6F3D-4CE4-80CB-05EC9D193989}" name="PivotTable2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45:I169" firstHeaderRow="1" firstDataRow="2" firstDataCol="1"/>
  <pivotFields count="9">
    <pivotField compact="0" outline="0" showAll="0"/>
    <pivotField axis="axisCol" compact="0" outline="0" showAll="0" sortType="ascending">
      <items count="7">
        <item x="2"/>
        <item x="5"/>
        <item x="1"/>
        <item x="3"/>
        <item x="0"/>
        <item x="4"/>
        <item t="default"/>
      </items>
    </pivotField>
    <pivotField axis="axisRow" compact="0" outline="0" showAll="0" sortType="descending">
      <items count="23">
        <item x="14"/>
        <item x="12"/>
        <item x="3"/>
        <item x="17"/>
        <item x="2"/>
        <item x="10"/>
        <item x="7"/>
        <item x="0"/>
        <item x="11"/>
        <item x="15"/>
        <item x="13"/>
        <item x="8"/>
        <item x="9"/>
        <item x="18"/>
        <item x="20"/>
        <item x="19"/>
        <item x="16"/>
        <item x="5"/>
        <item x="4"/>
        <item x="1"/>
        <item x="2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2"/>
  </rowFields>
  <rowItems count="23">
    <i>
      <x v="2"/>
    </i>
    <i>
      <x v="21"/>
    </i>
    <i>
      <x/>
    </i>
    <i>
      <x v="4"/>
    </i>
    <i>
      <x v="11"/>
    </i>
    <i>
      <x v="18"/>
    </i>
    <i>
      <x v="19"/>
    </i>
    <i>
      <x v="5"/>
    </i>
    <i>
      <x v="1"/>
    </i>
    <i>
      <x v="7"/>
    </i>
    <i>
      <x v="16"/>
    </i>
    <i>
      <x v="9"/>
    </i>
    <i>
      <x v="8"/>
    </i>
    <i>
      <x v="3"/>
    </i>
    <i>
      <x v="17"/>
    </i>
    <i>
      <x v="10"/>
    </i>
    <i>
      <x v="6"/>
    </i>
    <i>
      <x v="12"/>
    </i>
    <i>
      <x v="15"/>
    </i>
    <i>
      <x v="13"/>
    </i>
    <i>
      <x v="14"/>
    </i>
    <i>
      <x v="2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1ACDC9-5F4B-435F-A2E4-FE68398CD312}" name="PivotTable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6:C39" firstHeaderRow="1" firstDataRow="1" firstDataCol="1"/>
  <pivotFields count="9">
    <pivotField compact="0" outline="0" showAll="0"/>
    <pivotField compact="0" outline="0" showAll="0"/>
    <pivotField axis="axisRow" compact="0" outline="0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15"/>
    </i>
    <i>
      <x v="9"/>
    </i>
    <i>
      <x v="6"/>
    </i>
    <i>
      <x v="8"/>
    </i>
    <i>
      <x v="7"/>
    </i>
    <i>
      <x v="1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5BD9E-22B2-4820-AD53-30265050B2FA}" name="PivotTable2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34:O142" firstHeaderRow="1" firstDataRow="2" firstDataCol="1"/>
  <pivotFields count="9">
    <pivotField compact="0" outline="0" showAll="0"/>
    <pivotField axis="axisRow" compact="0" outline="0"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70382-B813-40B4-8706-0E8E7FE43E24}" name="PivotTable7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45:J58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50C1D-26F2-454E-9BAA-26436FD9A1F9}" name="PivotTable12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08:D131" firstHeaderRow="0" firstDataRow="1" firstDataCol="1"/>
  <pivotFields count="13">
    <pivotField compact="0" outline="0" showAll="0"/>
    <pivotField compact="0" outline="0" showAll="0"/>
    <pivotField axis="axisRow" compact="0" outline="0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15"/>
    </i>
    <i>
      <x v="9"/>
    </i>
    <i>
      <x v="6"/>
    </i>
    <i>
      <x v="8"/>
    </i>
    <i>
      <x v="7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 numFmtId="164"/>
    <dataField name="Product Rank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A7D06-C095-48F4-9299-A74F032BF2B6}" name="PivotTable10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73:J99" firstHeaderRow="1" firstDataRow="1" firstDataCol="1"/>
  <pivotFields count="9">
    <pivotField axis="axisRow" compact="0" outline="0" showAll="0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Boxes Shipp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49676-814C-4CB4-9480-102824DB69A6}" name="PivotTable18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R59:S567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axis="axisRow" compact="0" outline="0" showAll="0">
      <items count="508">
        <item x="347"/>
        <item x="236"/>
        <item x="186"/>
        <item x="247"/>
        <item x="262"/>
        <item x="83"/>
        <item x="113"/>
        <item x="305"/>
        <item x="62"/>
        <item x="71"/>
        <item x="11"/>
        <item x="129"/>
        <item x="235"/>
        <item x="37"/>
        <item x="303"/>
        <item x="39"/>
        <item x="390"/>
        <item x="45"/>
        <item x="166"/>
        <item x="332"/>
        <item x="69"/>
        <item x="108"/>
        <item x="47"/>
        <item x="51"/>
        <item x="217"/>
        <item x="135"/>
        <item x="103"/>
        <item x="206"/>
        <item x="334"/>
        <item x="117"/>
        <item x="86"/>
        <item x="65"/>
        <item x="314"/>
        <item x="283"/>
        <item x="370"/>
        <item x="487"/>
        <item x="175"/>
        <item x="5"/>
        <item x="240"/>
        <item x="91"/>
        <item x="137"/>
        <item x="16"/>
        <item x="146"/>
        <item x="110"/>
        <item x="121"/>
        <item x="106"/>
        <item x="99"/>
        <item x="55"/>
        <item x="282"/>
        <item x="112"/>
        <item x="194"/>
        <item x="193"/>
        <item x="198"/>
        <item x="138"/>
        <item x="53"/>
        <item x="60"/>
        <item x="107"/>
        <item x="204"/>
        <item x="8"/>
        <item x="203"/>
        <item x="169"/>
        <item x="10"/>
        <item x="357"/>
        <item x="360"/>
        <item x="81"/>
        <item x="150"/>
        <item x="274"/>
        <item x="238"/>
        <item x="162"/>
        <item x="33"/>
        <item x="271"/>
        <item x="36"/>
        <item x="7"/>
        <item x="220"/>
        <item x="207"/>
        <item x="151"/>
        <item x="376"/>
        <item x="148"/>
        <item x="159"/>
        <item x="88"/>
        <item x="125"/>
        <item x="72"/>
        <item x="49"/>
        <item x="147"/>
        <item x="243"/>
        <item x="189"/>
        <item x="102"/>
        <item x="20"/>
        <item x="293"/>
        <item x="114"/>
        <item x="2"/>
        <item x="96"/>
        <item x="266"/>
        <item x="1"/>
        <item x="187"/>
        <item x="109"/>
        <item x="82"/>
        <item x="325"/>
        <item x="164"/>
        <item x="149"/>
        <item x="90"/>
        <item x="9"/>
        <item x="61"/>
        <item x="130"/>
        <item x="239"/>
        <item x="85"/>
        <item x="200"/>
        <item x="73"/>
        <item x="176"/>
        <item x="116"/>
        <item x="80"/>
        <item x="27"/>
        <item x="23"/>
        <item x="280"/>
        <item x="24"/>
        <item x="131"/>
        <item x="118"/>
        <item x="105"/>
        <item x="366"/>
        <item x="241"/>
        <item x="30"/>
        <item x="160"/>
        <item x="358"/>
        <item x="328"/>
        <item x="100"/>
        <item x="179"/>
        <item x="197"/>
        <item x="120"/>
        <item x="264"/>
        <item x="284"/>
        <item x="295"/>
        <item x="378"/>
        <item x="32"/>
        <item x="154"/>
        <item x="48"/>
        <item x="128"/>
        <item x="68"/>
        <item x="93"/>
        <item x="182"/>
        <item x="17"/>
        <item x="97"/>
        <item x="42"/>
        <item x="418"/>
        <item x="157"/>
        <item x="181"/>
        <item x="136"/>
        <item x="234"/>
        <item x="265"/>
        <item x="58"/>
        <item x="31"/>
        <item x="28"/>
        <item x="212"/>
        <item x="273"/>
        <item x="163"/>
        <item x="277"/>
        <item x="13"/>
        <item x="21"/>
        <item x="191"/>
        <item x="141"/>
        <item x="44"/>
        <item x="412"/>
        <item x="306"/>
        <item x="22"/>
        <item x="223"/>
        <item x="364"/>
        <item x="185"/>
        <item x="92"/>
        <item x="291"/>
        <item x="225"/>
        <item x="178"/>
        <item x="333"/>
        <item x="19"/>
        <item x="14"/>
        <item x="56"/>
        <item x="95"/>
        <item x="6"/>
        <item x="233"/>
        <item x="124"/>
        <item x="50"/>
        <item x="0"/>
        <item x="67"/>
        <item x="251"/>
        <item x="215"/>
        <item x="4"/>
        <item x="177"/>
        <item x="26"/>
        <item x="142"/>
        <item x="43"/>
        <item x="302"/>
        <item x="152"/>
        <item x="253"/>
        <item x="397"/>
        <item x="386"/>
        <item x="275"/>
        <item x="210"/>
        <item x="126"/>
        <item x="216"/>
        <item x="304"/>
        <item x="294"/>
        <item x="168"/>
        <item x="315"/>
        <item x="132"/>
        <item x="214"/>
        <item x="259"/>
        <item x="342"/>
        <item x="401"/>
        <item x="307"/>
        <item x="267"/>
        <item x="192"/>
        <item x="140"/>
        <item x="219"/>
        <item x="122"/>
        <item x="261"/>
        <item x="64"/>
        <item x="230"/>
        <item x="174"/>
        <item x="384"/>
        <item x="202"/>
        <item x="301"/>
        <item x="317"/>
        <item x="433"/>
        <item x="353"/>
        <item x="226"/>
        <item x="272"/>
        <item x="476"/>
        <item x="244"/>
        <item x="54"/>
        <item x="344"/>
        <item x="299"/>
        <item x="457"/>
        <item x="391"/>
        <item x="257"/>
        <item x="143"/>
        <item x="229"/>
        <item x="309"/>
        <item x="290"/>
        <item x="351"/>
        <item x="196"/>
        <item x="312"/>
        <item x="409"/>
        <item x="41"/>
        <item x="190"/>
        <item x="324"/>
        <item x="66"/>
        <item x="415"/>
        <item x="170"/>
        <item x="356"/>
        <item x="263"/>
        <item x="156"/>
        <item x="18"/>
        <item x="310"/>
        <item x="171"/>
        <item x="443"/>
        <item x="256"/>
        <item x="395"/>
        <item x="172"/>
        <item x="242"/>
        <item x="167"/>
        <item x="199"/>
        <item x="270"/>
        <item x="237"/>
        <item x="361"/>
        <item x="466"/>
        <item x="79"/>
        <item x="63"/>
        <item x="435"/>
        <item x="486"/>
        <item x="382"/>
        <item x="298"/>
        <item x="78"/>
        <item x="322"/>
        <item x="119"/>
        <item x="205"/>
        <item x="407"/>
        <item x="180"/>
        <item x="321"/>
        <item x="173"/>
        <item x="482"/>
        <item x="416"/>
        <item x="232"/>
        <item x="249"/>
        <item x="144"/>
        <item x="98"/>
        <item x="227"/>
        <item x="248"/>
        <item x="12"/>
        <item x="297"/>
        <item x="201"/>
        <item x="331"/>
        <item x="447"/>
        <item x="392"/>
        <item x="505"/>
        <item x="300"/>
        <item x="349"/>
        <item x="379"/>
        <item x="89"/>
        <item x="421"/>
        <item x="452"/>
        <item x="369"/>
        <item x="308"/>
        <item x="29"/>
        <item x="57"/>
        <item x="46"/>
        <item x="363"/>
        <item x="339"/>
        <item x="362"/>
        <item x="343"/>
        <item x="326"/>
        <item x="228"/>
        <item x="348"/>
        <item x="70"/>
        <item x="188"/>
        <item x="340"/>
        <item x="35"/>
        <item x="34"/>
        <item x="268"/>
        <item x="254"/>
        <item x="195"/>
        <item x="380"/>
        <item x="281"/>
        <item x="25"/>
        <item x="250"/>
        <item x="316"/>
        <item x="429"/>
        <item x="387"/>
        <item x="475"/>
        <item x="393"/>
        <item x="208"/>
        <item x="246"/>
        <item x="446"/>
        <item x="426"/>
        <item x="288"/>
        <item x="276"/>
        <item x="444"/>
        <item x="231"/>
        <item x="388"/>
        <item x="383"/>
        <item x="285"/>
        <item x="419"/>
        <item x="245"/>
        <item x="3"/>
        <item x="394"/>
        <item x="319"/>
        <item x="287"/>
        <item x="77"/>
        <item x="420"/>
        <item x="313"/>
        <item x="329"/>
        <item x="224"/>
        <item x="279"/>
        <item x="40"/>
        <item x="385"/>
        <item x="15"/>
        <item x="155"/>
        <item x="87"/>
        <item x="427"/>
        <item x="311"/>
        <item x="371"/>
        <item x="430"/>
        <item x="480"/>
        <item x="485"/>
        <item x="221"/>
        <item x="478"/>
        <item x="139"/>
        <item x="213"/>
        <item x="408"/>
        <item x="404"/>
        <item x="400"/>
        <item x="341"/>
        <item x="438"/>
        <item x="374"/>
        <item x="493"/>
        <item x="489"/>
        <item x="479"/>
        <item x="269"/>
        <item x="463"/>
        <item x="405"/>
        <item x="111"/>
        <item x="462"/>
        <item x="134"/>
        <item x="158"/>
        <item x="286"/>
        <item x="445"/>
        <item x="209"/>
        <item x="101"/>
        <item x="506"/>
        <item x="327"/>
        <item x="432"/>
        <item x="410"/>
        <item x="74"/>
        <item x="292"/>
        <item x="115"/>
        <item x="437"/>
        <item x="183"/>
        <item x="278"/>
        <item x="75"/>
        <item x="222"/>
        <item x="255"/>
        <item x="59"/>
        <item x="350"/>
        <item x="218"/>
        <item x="52"/>
        <item x="184"/>
        <item x="133"/>
        <item x="335"/>
        <item x="76"/>
        <item x="372"/>
        <item x="403"/>
        <item x="468"/>
        <item x="153"/>
        <item x="345"/>
        <item x="470"/>
        <item x="501"/>
        <item x="161"/>
        <item x="398"/>
        <item x="289"/>
        <item x="165"/>
        <item x="368"/>
        <item x="414"/>
        <item x="428"/>
        <item x="359"/>
        <item x="449"/>
        <item x="411"/>
        <item x="495"/>
        <item x="474"/>
        <item x="465"/>
        <item x="423"/>
        <item x="365"/>
        <item x="127"/>
        <item x="456"/>
        <item x="473"/>
        <item x="453"/>
        <item x="455"/>
        <item x="440"/>
        <item x="454"/>
        <item x="413"/>
        <item x="336"/>
        <item x="472"/>
        <item x="431"/>
        <item x="503"/>
        <item x="377"/>
        <item x="375"/>
        <item x="252"/>
        <item x="354"/>
        <item x="260"/>
        <item x="145"/>
        <item x="123"/>
        <item x="296"/>
        <item x="84"/>
        <item x="488"/>
        <item x="500"/>
        <item x="318"/>
        <item x="406"/>
        <item x="497"/>
        <item x="481"/>
        <item x="490"/>
        <item x="459"/>
        <item x="484"/>
        <item x="346"/>
        <item x="448"/>
        <item x="469"/>
        <item x="460"/>
        <item x="422"/>
        <item x="451"/>
        <item x="323"/>
        <item x="396"/>
        <item x="320"/>
        <item x="425"/>
        <item x="355"/>
        <item x="94"/>
        <item x="467"/>
        <item x="337"/>
        <item x="491"/>
        <item x="402"/>
        <item x="496"/>
        <item x="436"/>
        <item x="492"/>
        <item x="367"/>
        <item x="441"/>
        <item x="258"/>
        <item x="104"/>
        <item x="434"/>
        <item x="483"/>
        <item x="211"/>
        <item x="499"/>
        <item x="461"/>
        <item x="424"/>
        <item x="471"/>
        <item x="399"/>
        <item x="38"/>
        <item x="389"/>
        <item x="381"/>
        <item x="477"/>
        <item x="338"/>
        <item x="417"/>
        <item x="450"/>
        <item x="464"/>
        <item x="352"/>
        <item x="504"/>
        <item x="442"/>
        <item x="498"/>
        <item x="502"/>
        <item x="330"/>
        <item x="373"/>
        <item x="458"/>
        <item x="439"/>
        <item x="494"/>
        <item t="default"/>
      </items>
    </pivotField>
  </pivotFields>
  <rowFields count="1">
    <field x="8"/>
  </rowFields>
  <rowItems count="5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 t="grand">
      <x/>
    </i>
  </rowItems>
  <colItems count="1">
    <i/>
  </colItems>
  <dataFields count="1">
    <dataField name="Sum of Amount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B1644-C1DB-4AF1-99B1-A593B7C66CA9}" name="PivotTable5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3:C50" firstHeaderRow="1" firstDataRow="1" firstDataCol="1"/>
  <pivotFields count="9">
    <pivotField compact="0" outline="0" showAll="0"/>
    <pivotField axis="axisRow" compact="0" outline="0"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7">
    <i>
      <x v="4"/>
    </i>
    <i>
      <x v="5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Average of Amount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AAFD1-0A8C-431B-903A-B616DC9927D1}" name="PivotTable1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103:J116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1"/>
        <item x="3"/>
        <item x="5"/>
        <item x="0"/>
        <item x="7"/>
        <item x="4"/>
        <item x="2"/>
        <item x="8"/>
        <item x="9"/>
        <item x="6"/>
        <item x="10"/>
        <item x="11"/>
        <item t="default"/>
      </items>
    </pivotField>
    <pivotField dataField="1" compact="0" numFmtId="164" outline="0" showAll="0"/>
    <pivotField compact="0" outline="0"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mount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136890-5BA1-4DA4-8526-2D425C18F15C}" name="PivotTable1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6:B29" firstHeaderRow="1" firstDataRow="1" firstDataCol="1"/>
  <pivotFields count="9">
    <pivotField compact="0" outline="0" showAll="0"/>
    <pivotField compact="0" outline="0" showAll="0"/>
    <pivotField axis="axisRow" compact="0" outline="0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15"/>
    </i>
    <i>
      <x v="9"/>
    </i>
    <i>
      <x v="6"/>
    </i>
    <i>
      <x v="8"/>
    </i>
    <i>
      <x v="7"/>
    </i>
    <i>
      <x v="1"/>
    </i>
    <i t="grand">
      <x/>
    </i>
  </rowItems>
  <colItems count="1">
    <i/>
  </colItems>
  <dataFields count="1">
    <dataField name="Sum of Amount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281BB-56EE-43B0-8B25-6E3172549FA9}" name="PivotTable14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2:B39" firstHeaderRow="1" firstDataRow="1" firstDataCol="1"/>
  <pivotFields count="9">
    <pivotField compact="0" outline="0" showAll="0"/>
    <pivotField axis="axisRow" compact="0" outline="0"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Sum of Amount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9C8E28-5035-4FA7-BF16-10A42CFC6E6E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42:B68" firstHeaderRow="1" firstDataRow="1" firstDataCol="1"/>
  <pivotFields count="9">
    <pivotField axis="axisRow" compact="0" outline="0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0"/>
  </rowFields>
  <rowItems count="26">
    <i>
      <x v="5"/>
    </i>
    <i>
      <x v="20"/>
    </i>
    <i>
      <x v="17"/>
    </i>
    <i>
      <x v="16"/>
    </i>
    <i>
      <x v="3"/>
    </i>
    <i>
      <x v="23"/>
    </i>
    <i>
      <x v="7"/>
    </i>
    <i>
      <x v="2"/>
    </i>
    <i>
      <x v="14"/>
    </i>
    <i>
      <x v="19"/>
    </i>
    <i>
      <x v="1"/>
    </i>
    <i>
      <x v="22"/>
    </i>
    <i>
      <x v="10"/>
    </i>
    <i>
      <x v="9"/>
    </i>
    <i>
      <x v="15"/>
    </i>
    <i>
      <x v="13"/>
    </i>
    <i>
      <x v="12"/>
    </i>
    <i>
      <x v="6"/>
    </i>
    <i>
      <x v="21"/>
    </i>
    <i>
      <x v="11"/>
    </i>
    <i>
      <x/>
    </i>
    <i>
      <x v="18"/>
    </i>
    <i>
      <x v="4"/>
    </i>
    <i>
      <x v="8"/>
    </i>
    <i>
      <x v="24"/>
    </i>
    <i t="grand">
      <x/>
    </i>
  </rowItems>
  <colItems count="1">
    <i/>
  </colItems>
  <dataFields count="1">
    <dataField name="Sum of Amount" fld="7" baseField="0" baseItem="0" numFmtId="164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3B8DC-388E-4C2C-9351-F371CF9E010B}" name="Table1" displayName="Table1" ref="S4:T9" totalsRowShown="0">
  <autoFilter ref="S4:T9" xr:uid="{3D03B8DC-388E-4C2C-9351-F371CF9E010B}"/>
  <tableColumns count="2">
    <tableColumn id="1" xr3:uid="{9F49D4B6-1200-45BA-BB3A-0D6C1822493E}" name="KPI"/>
    <tableColumn id="2" xr3:uid="{BC5E00D4-BBF2-4A4B-B714-ABCD28095CAC}" name="Formula" dataDxfId="0">
      <calculatedColumnFormula>SUM('Working Sheet'!H2:H3283)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1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B4D8-2695-4555-814A-61EA78F7C3C1}">
  <dimension ref="A1:F3283"/>
  <sheetViews>
    <sheetView workbookViewId="0">
      <selection activeCell="M9" sqref="M9"/>
    </sheetView>
  </sheetViews>
  <sheetFormatPr defaultRowHeight="15"/>
  <cols>
    <col min="2" max="2" width="5.28515625" customWidth="1"/>
    <col min="3" max="3" width="10.28515625" customWidth="1"/>
    <col min="4" max="4" width="9.5703125" customWidth="1"/>
    <col min="5" max="5" width="8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44652</v>
      </c>
      <c r="E2" s="2">
        <v>5320</v>
      </c>
      <c r="F2">
        <v>180</v>
      </c>
    </row>
    <row r="3" spans="1:6">
      <c r="A3" t="s">
        <v>9</v>
      </c>
      <c r="B3" t="s">
        <v>10</v>
      </c>
      <c r="C3" t="s">
        <v>11</v>
      </c>
      <c r="D3" s="1">
        <v>44569</v>
      </c>
      <c r="E3" s="2">
        <v>7896</v>
      </c>
      <c r="F3">
        <v>94</v>
      </c>
    </row>
    <row r="4" spans="1:6">
      <c r="A4" t="s">
        <v>12</v>
      </c>
      <c r="B4" t="s">
        <v>10</v>
      </c>
      <c r="C4" t="s">
        <v>13</v>
      </c>
      <c r="D4" s="1">
        <v>44749</v>
      </c>
      <c r="E4" s="2">
        <v>4501</v>
      </c>
      <c r="F4">
        <v>91</v>
      </c>
    </row>
    <row r="5" spans="1:6">
      <c r="A5" t="s">
        <v>14</v>
      </c>
      <c r="B5" t="s">
        <v>15</v>
      </c>
      <c r="C5" t="s">
        <v>13</v>
      </c>
      <c r="D5" t="s">
        <v>16</v>
      </c>
      <c r="E5" s="2">
        <v>12726</v>
      </c>
      <c r="F5">
        <v>342</v>
      </c>
    </row>
    <row r="6" spans="1:6">
      <c r="A6" t="s">
        <v>6</v>
      </c>
      <c r="B6" t="s">
        <v>7</v>
      </c>
      <c r="C6" t="s">
        <v>13</v>
      </c>
      <c r="D6" t="s">
        <v>17</v>
      </c>
      <c r="E6" s="2">
        <v>13685</v>
      </c>
      <c r="F6">
        <v>184</v>
      </c>
    </row>
    <row r="7" spans="1:6">
      <c r="A7" t="s">
        <v>9</v>
      </c>
      <c r="B7" t="s">
        <v>10</v>
      </c>
      <c r="C7" t="s">
        <v>18</v>
      </c>
      <c r="D7" s="1">
        <v>44718</v>
      </c>
      <c r="E7" s="2">
        <v>5376</v>
      </c>
      <c r="F7">
        <v>38</v>
      </c>
    </row>
    <row r="8" spans="1:6">
      <c r="A8" t="s">
        <v>19</v>
      </c>
      <c r="B8" t="s">
        <v>7</v>
      </c>
      <c r="C8" t="s">
        <v>20</v>
      </c>
      <c r="D8" t="s">
        <v>21</v>
      </c>
      <c r="E8" s="2">
        <v>13685</v>
      </c>
      <c r="F8">
        <v>176</v>
      </c>
    </row>
    <row r="9" spans="1:6">
      <c r="A9" t="s">
        <v>22</v>
      </c>
      <c r="B9" t="s">
        <v>15</v>
      </c>
      <c r="C9" t="s">
        <v>23</v>
      </c>
      <c r="D9" t="s">
        <v>24</v>
      </c>
      <c r="E9" s="2">
        <v>3080</v>
      </c>
      <c r="F9">
        <v>73</v>
      </c>
    </row>
    <row r="10" spans="1:6">
      <c r="A10" t="s">
        <v>6</v>
      </c>
      <c r="B10" t="s">
        <v>25</v>
      </c>
      <c r="C10" t="s">
        <v>26</v>
      </c>
      <c r="D10" t="s">
        <v>27</v>
      </c>
      <c r="E10" s="2">
        <v>3990</v>
      </c>
      <c r="F10">
        <v>59</v>
      </c>
    </row>
    <row r="11" spans="1:6">
      <c r="A11" t="s">
        <v>28</v>
      </c>
      <c r="B11" t="s">
        <v>15</v>
      </c>
      <c r="C11" t="s">
        <v>20</v>
      </c>
      <c r="D11" s="1">
        <v>44658</v>
      </c>
      <c r="E11" s="2">
        <v>2835</v>
      </c>
      <c r="F11">
        <v>102</v>
      </c>
    </row>
    <row r="12" spans="1:6">
      <c r="A12" t="s">
        <v>29</v>
      </c>
      <c r="B12" t="s">
        <v>7</v>
      </c>
      <c r="C12" t="s">
        <v>18</v>
      </c>
      <c r="D12" t="s">
        <v>30</v>
      </c>
      <c r="E12" s="2">
        <v>4704</v>
      </c>
      <c r="F12">
        <v>62</v>
      </c>
    </row>
    <row r="13" spans="1:6">
      <c r="A13" t="s">
        <v>31</v>
      </c>
      <c r="B13" t="s">
        <v>32</v>
      </c>
      <c r="C13" t="s">
        <v>33</v>
      </c>
      <c r="D13" s="1">
        <v>44837</v>
      </c>
      <c r="E13" s="2">
        <v>3703</v>
      </c>
      <c r="F13">
        <v>11</v>
      </c>
    </row>
    <row r="14" spans="1:6">
      <c r="A14" t="s">
        <v>34</v>
      </c>
      <c r="B14" t="s">
        <v>35</v>
      </c>
      <c r="C14" t="s">
        <v>36</v>
      </c>
      <c r="D14" t="s">
        <v>30</v>
      </c>
      <c r="E14" s="2">
        <v>1442</v>
      </c>
      <c r="F14">
        <v>286</v>
      </c>
    </row>
    <row r="15" spans="1:6">
      <c r="A15" t="s">
        <v>37</v>
      </c>
      <c r="B15" t="s">
        <v>25</v>
      </c>
      <c r="C15" t="s">
        <v>38</v>
      </c>
      <c r="D15" t="s">
        <v>39</v>
      </c>
      <c r="E15" s="2">
        <v>168</v>
      </c>
      <c r="F15">
        <v>156</v>
      </c>
    </row>
    <row r="16" spans="1:6">
      <c r="A16" t="s">
        <v>40</v>
      </c>
      <c r="B16" t="s">
        <v>25</v>
      </c>
      <c r="C16" t="s">
        <v>13</v>
      </c>
      <c r="D16" s="1">
        <v>44628</v>
      </c>
      <c r="E16" s="2">
        <v>8379</v>
      </c>
      <c r="F16">
        <v>173</v>
      </c>
    </row>
    <row r="17" spans="1:6">
      <c r="A17" t="s">
        <v>41</v>
      </c>
      <c r="B17" t="s">
        <v>15</v>
      </c>
      <c r="C17" t="s">
        <v>42</v>
      </c>
      <c r="D17" t="s">
        <v>43</v>
      </c>
      <c r="E17" s="2">
        <v>6790</v>
      </c>
      <c r="F17">
        <v>356</v>
      </c>
    </row>
    <row r="18" spans="1:6">
      <c r="A18" t="s">
        <v>9</v>
      </c>
      <c r="B18" t="s">
        <v>35</v>
      </c>
      <c r="C18" t="s">
        <v>42</v>
      </c>
      <c r="D18" t="s">
        <v>44</v>
      </c>
      <c r="E18" s="2">
        <v>4067</v>
      </c>
      <c r="F18">
        <v>42</v>
      </c>
    </row>
    <row r="19" spans="1:6">
      <c r="A19" t="s">
        <v>45</v>
      </c>
      <c r="B19" t="s">
        <v>32</v>
      </c>
      <c r="C19" t="s">
        <v>18</v>
      </c>
      <c r="D19" s="1">
        <v>44685</v>
      </c>
      <c r="E19" s="2">
        <v>3017</v>
      </c>
      <c r="F19">
        <v>140</v>
      </c>
    </row>
    <row r="20" spans="1:6">
      <c r="A20" t="s">
        <v>41</v>
      </c>
      <c r="B20" t="s">
        <v>35</v>
      </c>
      <c r="C20" t="s">
        <v>46</v>
      </c>
      <c r="D20" t="s">
        <v>47</v>
      </c>
      <c r="E20" s="2">
        <v>8799</v>
      </c>
      <c r="F20">
        <v>250</v>
      </c>
    </row>
    <row r="21" spans="1:6">
      <c r="A21" t="s">
        <v>48</v>
      </c>
      <c r="B21" t="s">
        <v>7</v>
      </c>
      <c r="C21" t="s">
        <v>11</v>
      </c>
      <c r="D21" s="1">
        <v>44779</v>
      </c>
      <c r="E21" s="2">
        <v>1085</v>
      </c>
      <c r="F21">
        <v>172</v>
      </c>
    </row>
    <row r="22" spans="1:6">
      <c r="A22" t="s">
        <v>28</v>
      </c>
      <c r="B22" t="s">
        <v>15</v>
      </c>
      <c r="C22" t="s">
        <v>36</v>
      </c>
      <c r="D22" t="s">
        <v>49</v>
      </c>
      <c r="E22" s="2">
        <v>6888</v>
      </c>
      <c r="F22">
        <v>88</v>
      </c>
    </row>
    <row r="23" spans="1:6">
      <c r="A23" t="s">
        <v>22</v>
      </c>
      <c r="B23" t="s">
        <v>32</v>
      </c>
      <c r="C23" t="s">
        <v>50</v>
      </c>
      <c r="D23" t="s">
        <v>51</v>
      </c>
      <c r="E23" s="2">
        <v>1267</v>
      </c>
      <c r="F23">
        <v>157</v>
      </c>
    </row>
    <row r="24" spans="1:6">
      <c r="A24" t="s">
        <v>40</v>
      </c>
      <c r="B24" t="s">
        <v>32</v>
      </c>
      <c r="C24" t="s">
        <v>23</v>
      </c>
      <c r="D24" t="s">
        <v>52</v>
      </c>
      <c r="E24" s="2">
        <v>4753</v>
      </c>
      <c r="F24">
        <v>163</v>
      </c>
    </row>
    <row r="25" spans="1:6">
      <c r="A25" t="s">
        <v>53</v>
      </c>
      <c r="B25" t="s">
        <v>7</v>
      </c>
      <c r="C25" t="s">
        <v>38</v>
      </c>
      <c r="D25" t="s">
        <v>54</v>
      </c>
      <c r="E25" s="2">
        <v>3003</v>
      </c>
      <c r="F25">
        <v>113</v>
      </c>
    </row>
    <row r="26" spans="1:6">
      <c r="A26" t="s">
        <v>55</v>
      </c>
      <c r="B26" t="s">
        <v>15</v>
      </c>
      <c r="C26" t="s">
        <v>36</v>
      </c>
      <c r="D26" t="s">
        <v>56</v>
      </c>
      <c r="E26" s="2">
        <v>7672</v>
      </c>
      <c r="F26">
        <v>115</v>
      </c>
    </row>
    <row r="27" spans="1:6">
      <c r="A27" t="s">
        <v>37</v>
      </c>
      <c r="B27" t="s">
        <v>10</v>
      </c>
      <c r="C27" t="s">
        <v>57</v>
      </c>
      <c r="D27" t="s">
        <v>43</v>
      </c>
      <c r="E27" s="2">
        <v>168</v>
      </c>
      <c r="F27">
        <v>321</v>
      </c>
    </row>
    <row r="28" spans="1:6">
      <c r="A28" t="s">
        <v>45</v>
      </c>
      <c r="B28" t="s">
        <v>35</v>
      </c>
      <c r="C28" t="s">
        <v>50</v>
      </c>
      <c r="D28" s="1">
        <v>44806</v>
      </c>
      <c r="E28" s="2">
        <v>1652</v>
      </c>
      <c r="F28">
        <v>186</v>
      </c>
    </row>
    <row r="29" spans="1:6">
      <c r="A29" t="s">
        <v>53</v>
      </c>
      <c r="B29" t="s">
        <v>32</v>
      </c>
      <c r="C29" t="s">
        <v>36</v>
      </c>
      <c r="D29" s="1">
        <v>44749</v>
      </c>
      <c r="E29" s="2">
        <v>4025</v>
      </c>
      <c r="F29">
        <v>112</v>
      </c>
    </row>
    <row r="30" spans="1:6">
      <c r="A30" t="s">
        <v>58</v>
      </c>
      <c r="B30" t="s">
        <v>25</v>
      </c>
      <c r="C30" t="s">
        <v>59</v>
      </c>
      <c r="D30" s="1">
        <v>44688</v>
      </c>
      <c r="E30" s="2">
        <v>9492</v>
      </c>
      <c r="F30">
        <v>151</v>
      </c>
    </row>
    <row r="31" spans="1:6">
      <c r="A31" t="s">
        <v>58</v>
      </c>
      <c r="B31" t="s">
        <v>25</v>
      </c>
      <c r="C31" t="s">
        <v>60</v>
      </c>
      <c r="D31" t="s">
        <v>61</v>
      </c>
      <c r="E31" s="2">
        <v>5061</v>
      </c>
      <c r="F31">
        <v>301</v>
      </c>
    </row>
    <row r="32" spans="1:6">
      <c r="A32" t="s">
        <v>9</v>
      </c>
      <c r="B32" t="s">
        <v>25</v>
      </c>
      <c r="C32" t="s">
        <v>11</v>
      </c>
      <c r="D32" t="s">
        <v>62</v>
      </c>
      <c r="E32" s="2">
        <v>1722</v>
      </c>
      <c r="F32">
        <v>121</v>
      </c>
    </row>
    <row r="33" spans="1:6">
      <c r="A33" t="s">
        <v>29</v>
      </c>
      <c r="B33" t="s">
        <v>7</v>
      </c>
      <c r="C33" t="s">
        <v>20</v>
      </c>
      <c r="D33" t="s">
        <v>63</v>
      </c>
      <c r="E33" s="2">
        <v>12446</v>
      </c>
      <c r="F33">
        <v>150</v>
      </c>
    </row>
    <row r="34" spans="1:6">
      <c r="A34" t="s">
        <v>64</v>
      </c>
      <c r="B34" t="s">
        <v>15</v>
      </c>
      <c r="C34" t="s">
        <v>60</v>
      </c>
      <c r="D34" s="1">
        <v>44870</v>
      </c>
      <c r="E34" s="2">
        <v>4284</v>
      </c>
      <c r="F34">
        <v>94</v>
      </c>
    </row>
    <row r="35" spans="1:6">
      <c r="A35" t="s">
        <v>37</v>
      </c>
      <c r="B35" t="s">
        <v>7</v>
      </c>
      <c r="C35" t="s">
        <v>65</v>
      </c>
      <c r="D35" t="s">
        <v>66</v>
      </c>
      <c r="E35" s="2">
        <v>6839</v>
      </c>
      <c r="F35">
        <v>133</v>
      </c>
    </row>
    <row r="36" spans="1:6">
      <c r="A36" t="s">
        <v>67</v>
      </c>
      <c r="B36" t="s">
        <v>35</v>
      </c>
      <c r="C36" t="s">
        <v>23</v>
      </c>
      <c r="D36" s="1">
        <v>44870</v>
      </c>
      <c r="E36" s="2">
        <v>2163</v>
      </c>
      <c r="F36">
        <v>70</v>
      </c>
    </row>
    <row r="37" spans="1:6">
      <c r="A37" t="s">
        <v>45</v>
      </c>
      <c r="B37" t="s">
        <v>32</v>
      </c>
      <c r="C37" t="s">
        <v>60</v>
      </c>
      <c r="D37" t="s">
        <v>68</v>
      </c>
      <c r="E37" s="2">
        <v>9583</v>
      </c>
      <c r="F37">
        <v>315</v>
      </c>
    </row>
    <row r="38" spans="1:6">
      <c r="A38" t="s">
        <v>67</v>
      </c>
      <c r="B38" t="s">
        <v>7</v>
      </c>
      <c r="C38" t="s">
        <v>26</v>
      </c>
      <c r="D38" t="s">
        <v>69</v>
      </c>
      <c r="E38" s="2">
        <v>2653</v>
      </c>
      <c r="F38">
        <v>314</v>
      </c>
    </row>
    <row r="39" spans="1:6">
      <c r="A39" t="s">
        <v>70</v>
      </c>
      <c r="B39" t="s">
        <v>25</v>
      </c>
      <c r="C39" t="s">
        <v>23</v>
      </c>
      <c r="D39" s="1">
        <v>44749</v>
      </c>
      <c r="E39" s="2">
        <v>147</v>
      </c>
      <c r="F39">
        <v>72</v>
      </c>
    </row>
    <row r="40" spans="1:6">
      <c r="A40" t="s">
        <v>71</v>
      </c>
      <c r="B40" t="s">
        <v>15</v>
      </c>
      <c r="C40" t="s">
        <v>11</v>
      </c>
      <c r="D40" t="s">
        <v>72</v>
      </c>
      <c r="E40" s="2">
        <v>3654</v>
      </c>
      <c r="F40">
        <v>14</v>
      </c>
    </row>
    <row r="41" spans="1:6">
      <c r="A41" t="s">
        <v>37</v>
      </c>
      <c r="B41" t="s">
        <v>10</v>
      </c>
      <c r="C41" t="s">
        <v>60</v>
      </c>
      <c r="D41" s="1">
        <v>44658</v>
      </c>
      <c r="E41" s="2">
        <v>2443</v>
      </c>
      <c r="F41">
        <v>581</v>
      </c>
    </row>
    <row r="42" spans="1:6">
      <c r="A42" t="s">
        <v>70</v>
      </c>
      <c r="B42" t="s">
        <v>32</v>
      </c>
      <c r="C42" t="s">
        <v>23</v>
      </c>
      <c r="D42" s="1">
        <v>44598</v>
      </c>
      <c r="E42" s="2">
        <v>938</v>
      </c>
      <c r="F42">
        <v>16</v>
      </c>
    </row>
    <row r="43" spans="1:6">
      <c r="A43" t="s">
        <v>37</v>
      </c>
      <c r="B43" t="s">
        <v>32</v>
      </c>
      <c r="C43" t="s">
        <v>73</v>
      </c>
      <c r="D43" t="s">
        <v>74</v>
      </c>
      <c r="E43" s="2">
        <v>14749</v>
      </c>
      <c r="F43">
        <v>354</v>
      </c>
    </row>
    <row r="44" spans="1:6">
      <c r="A44" t="s">
        <v>34</v>
      </c>
      <c r="B44" t="s">
        <v>35</v>
      </c>
      <c r="C44" t="s">
        <v>75</v>
      </c>
      <c r="D44" s="1">
        <v>44872</v>
      </c>
      <c r="E44" s="2">
        <v>4781</v>
      </c>
      <c r="F44">
        <v>241</v>
      </c>
    </row>
    <row r="45" spans="1:6">
      <c r="A45" t="s">
        <v>67</v>
      </c>
      <c r="B45" t="s">
        <v>10</v>
      </c>
      <c r="C45" t="s">
        <v>50</v>
      </c>
      <c r="D45" t="s">
        <v>76</v>
      </c>
      <c r="E45" s="2">
        <v>6307</v>
      </c>
      <c r="F45">
        <v>142</v>
      </c>
    </row>
    <row r="46" spans="1:6">
      <c r="A46" t="s">
        <v>77</v>
      </c>
      <c r="B46" t="s">
        <v>35</v>
      </c>
      <c r="C46" t="s">
        <v>65</v>
      </c>
      <c r="D46" t="s">
        <v>78</v>
      </c>
      <c r="E46" s="2">
        <v>7602</v>
      </c>
      <c r="F46">
        <v>102</v>
      </c>
    </row>
    <row r="47" spans="1:6">
      <c r="A47" t="s">
        <v>55</v>
      </c>
      <c r="B47" t="s">
        <v>32</v>
      </c>
      <c r="C47" t="s">
        <v>13</v>
      </c>
      <c r="D47" t="s">
        <v>47</v>
      </c>
      <c r="E47" s="2">
        <v>6790</v>
      </c>
      <c r="F47">
        <v>188</v>
      </c>
    </row>
    <row r="48" spans="1:6">
      <c r="A48" t="s">
        <v>9</v>
      </c>
      <c r="B48" t="s">
        <v>32</v>
      </c>
      <c r="C48" t="s">
        <v>26</v>
      </c>
      <c r="D48" t="s">
        <v>30</v>
      </c>
      <c r="E48" s="2">
        <v>9737</v>
      </c>
      <c r="F48">
        <v>160</v>
      </c>
    </row>
    <row r="49" spans="1:6">
      <c r="A49" t="s">
        <v>48</v>
      </c>
      <c r="B49" t="s">
        <v>15</v>
      </c>
      <c r="C49" t="s">
        <v>46</v>
      </c>
      <c r="D49" t="s">
        <v>44</v>
      </c>
      <c r="E49" s="2">
        <v>6979</v>
      </c>
      <c r="F49">
        <v>18</v>
      </c>
    </row>
    <row r="50" spans="1:6">
      <c r="A50" t="s">
        <v>45</v>
      </c>
      <c r="B50" t="s">
        <v>10</v>
      </c>
      <c r="C50" t="s">
        <v>36</v>
      </c>
      <c r="D50" s="1">
        <v>44840</v>
      </c>
      <c r="E50" s="2">
        <v>4382</v>
      </c>
      <c r="F50">
        <v>303</v>
      </c>
    </row>
    <row r="51" spans="1:6">
      <c r="A51" t="s">
        <v>48</v>
      </c>
      <c r="B51" t="s">
        <v>10</v>
      </c>
      <c r="C51" t="s">
        <v>57</v>
      </c>
      <c r="D51" s="1">
        <v>44749</v>
      </c>
      <c r="E51" s="2">
        <v>5243</v>
      </c>
      <c r="F51">
        <v>176</v>
      </c>
    </row>
    <row r="52" spans="1:6">
      <c r="A52" t="s">
        <v>48</v>
      </c>
      <c r="B52" t="s">
        <v>35</v>
      </c>
      <c r="C52" t="s">
        <v>65</v>
      </c>
      <c r="D52" t="s">
        <v>24</v>
      </c>
      <c r="E52" s="2">
        <v>4865</v>
      </c>
      <c r="F52">
        <v>70</v>
      </c>
    </row>
    <row r="53" spans="1:6">
      <c r="A53" t="s">
        <v>28</v>
      </c>
      <c r="B53" t="s">
        <v>15</v>
      </c>
      <c r="C53" t="s">
        <v>57</v>
      </c>
      <c r="D53" s="1">
        <v>44718</v>
      </c>
      <c r="E53" s="2">
        <v>8575</v>
      </c>
      <c r="F53">
        <v>23</v>
      </c>
    </row>
    <row r="54" spans="1:6">
      <c r="A54" t="s">
        <v>79</v>
      </c>
      <c r="B54" t="s">
        <v>15</v>
      </c>
      <c r="C54" t="s">
        <v>38</v>
      </c>
      <c r="D54" t="s">
        <v>80</v>
      </c>
      <c r="E54" s="2">
        <v>91</v>
      </c>
      <c r="F54">
        <v>135</v>
      </c>
    </row>
    <row r="55" spans="1:6">
      <c r="A55" t="s">
        <v>41</v>
      </c>
      <c r="B55" t="s">
        <v>32</v>
      </c>
      <c r="C55" t="s">
        <v>73</v>
      </c>
      <c r="D55" t="s">
        <v>81</v>
      </c>
      <c r="E55" s="2">
        <v>14798</v>
      </c>
      <c r="F55">
        <v>83</v>
      </c>
    </row>
    <row r="56" spans="1:6">
      <c r="A56" t="s">
        <v>40</v>
      </c>
      <c r="B56" t="s">
        <v>10</v>
      </c>
      <c r="C56" t="s">
        <v>11</v>
      </c>
      <c r="D56" t="s">
        <v>80</v>
      </c>
      <c r="E56" s="2">
        <v>2205</v>
      </c>
      <c r="F56">
        <v>179</v>
      </c>
    </row>
    <row r="57" spans="1:6">
      <c r="A57" t="s">
        <v>6</v>
      </c>
      <c r="B57" t="s">
        <v>35</v>
      </c>
      <c r="C57" t="s">
        <v>38</v>
      </c>
      <c r="D57" t="s">
        <v>82</v>
      </c>
      <c r="E57" s="2">
        <v>441</v>
      </c>
      <c r="F57">
        <v>24</v>
      </c>
    </row>
    <row r="58" spans="1:6">
      <c r="A58" t="s">
        <v>83</v>
      </c>
      <c r="B58" t="s">
        <v>25</v>
      </c>
      <c r="C58" t="s">
        <v>50</v>
      </c>
      <c r="D58" t="s">
        <v>44</v>
      </c>
      <c r="E58" s="2">
        <v>3556</v>
      </c>
      <c r="F58">
        <v>18</v>
      </c>
    </row>
    <row r="59" spans="1:6">
      <c r="A59" t="s">
        <v>28</v>
      </c>
      <c r="B59" t="s">
        <v>35</v>
      </c>
      <c r="C59" t="s">
        <v>20</v>
      </c>
      <c r="D59" t="s">
        <v>84</v>
      </c>
      <c r="E59" s="2">
        <v>16793</v>
      </c>
      <c r="F59">
        <v>416</v>
      </c>
    </row>
    <row r="60" spans="1:6">
      <c r="A60" t="s">
        <v>31</v>
      </c>
      <c r="B60" t="s">
        <v>15</v>
      </c>
      <c r="C60" t="s">
        <v>57</v>
      </c>
      <c r="D60" t="s">
        <v>66</v>
      </c>
      <c r="E60" s="2">
        <v>15421</v>
      </c>
      <c r="F60">
        <v>55</v>
      </c>
    </row>
    <row r="61" spans="1:6">
      <c r="A61" t="s">
        <v>67</v>
      </c>
      <c r="B61" t="s">
        <v>15</v>
      </c>
      <c r="C61" t="s">
        <v>26</v>
      </c>
      <c r="D61" s="1">
        <v>44598</v>
      </c>
      <c r="E61" s="2">
        <v>4438</v>
      </c>
      <c r="F61">
        <v>227</v>
      </c>
    </row>
    <row r="62" spans="1:6">
      <c r="A62" t="s">
        <v>67</v>
      </c>
      <c r="B62" t="s">
        <v>15</v>
      </c>
      <c r="C62" t="s">
        <v>38</v>
      </c>
      <c r="D62" t="s">
        <v>85</v>
      </c>
      <c r="E62" s="2">
        <v>1603</v>
      </c>
      <c r="F62">
        <v>48</v>
      </c>
    </row>
    <row r="63" spans="1:6">
      <c r="A63" t="s">
        <v>40</v>
      </c>
      <c r="B63" t="s">
        <v>15</v>
      </c>
      <c r="C63" t="s">
        <v>42</v>
      </c>
      <c r="D63" t="s">
        <v>86</v>
      </c>
      <c r="E63" s="2">
        <v>273</v>
      </c>
      <c r="F63">
        <v>174</v>
      </c>
    </row>
    <row r="64" spans="1:6">
      <c r="A64" t="s">
        <v>70</v>
      </c>
      <c r="B64" t="s">
        <v>35</v>
      </c>
      <c r="C64" t="s">
        <v>87</v>
      </c>
      <c r="D64" t="s">
        <v>88</v>
      </c>
      <c r="E64" s="2">
        <v>3073</v>
      </c>
      <c r="F64">
        <v>302</v>
      </c>
    </row>
    <row r="65" spans="1:6">
      <c r="A65" t="s">
        <v>37</v>
      </c>
      <c r="B65" t="s">
        <v>10</v>
      </c>
      <c r="C65" t="s">
        <v>65</v>
      </c>
      <c r="D65" s="1">
        <v>44719</v>
      </c>
      <c r="E65" s="2">
        <v>6090</v>
      </c>
      <c r="F65">
        <v>149</v>
      </c>
    </row>
    <row r="66" spans="1:6">
      <c r="A66" t="s">
        <v>19</v>
      </c>
      <c r="B66" t="s">
        <v>10</v>
      </c>
      <c r="C66" t="s">
        <v>20</v>
      </c>
      <c r="D66" t="s">
        <v>89</v>
      </c>
      <c r="E66" s="2">
        <v>10255</v>
      </c>
      <c r="F66">
        <v>11</v>
      </c>
    </row>
    <row r="67" spans="1:6">
      <c r="A67" t="s">
        <v>64</v>
      </c>
      <c r="B67" t="s">
        <v>15</v>
      </c>
      <c r="C67" t="s">
        <v>90</v>
      </c>
      <c r="D67" t="s">
        <v>91</v>
      </c>
      <c r="E67" s="2">
        <v>2030</v>
      </c>
      <c r="F67">
        <v>11</v>
      </c>
    </row>
    <row r="68" spans="1:6">
      <c r="A68" t="s">
        <v>9</v>
      </c>
      <c r="B68" t="s">
        <v>15</v>
      </c>
      <c r="C68" t="s">
        <v>42</v>
      </c>
      <c r="D68" s="1">
        <v>44842</v>
      </c>
      <c r="E68" s="2">
        <v>19453</v>
      </c>
      <c r="F68">
        <v>14</v>
      </c>
    </row>
    <row r="69" spans="1:6">
      <c r="A69" t="s">
        <v>71</v>
      </c>
      <c r="B69" t="s">
        <v>10</v>
      </c>
      <c r="C69" t="s">
        <v>26</v>
      </c>
      <c r="D69" s="1">
        <v>44658</v>
      </c>
      <c r="E69" s="2">
        <v>9275</v>
      </c>
      <c r="F69">
        <v>411</v>
      </c>
    </row>
    <row r="70" spans="1:6">
      <c r="A70" t="s">
        <v>19</v>
      </c>
      <c r="B70" t="s">
        <v>10</v>
      </c>
      <c r="C70" t="s">
        <v>42</v>
      </c>
      <c r="D70" s="1">
        <v>44780</v>
      </c>
      <c r="E70" s="2">
        <v>6181</v>
      </c>
      <c r="F70">
        <v>56</v>
      </c>
    </row>
    <row r="71" spans="1:6">
      <c r="A71" t="s">
        <v>14</v>
      </c>
      <c r="B71" t="s">
        <v>32</v>
      </c>
      <c r="C71" t="s">
        <v>13</v>
      </c>
      <c r="D71" t="s">
        <v>68</v>
      </c>
      <c r="E71" s="2">
        <v>9037</v>
      </c>
      <c r="F71">
        <v>102</v>
      </c>
    </row>
    <row r="72" spans="1:6">
      <c r="A72" t="s">
        <v>12</v>
      </c>
      <c r="B72" t="s">
        <v>32</v>
      </c>
      <c r="C72" t="s">
        <v>75</v>
      </c>
      <c r="D72" s="1">
        <v>44595</v>
      </c>
      <c r="E72" s="2">
        <v>12313</v>
      </c>
      <c r="F72">
        <v>103</v>
      </c>
    </row>
    <row r="73" spans="1:6">
      <c r="A73" t="s">
        <v>12</v>
      </c>
      <c r="B73" t="s">
        <v>7</v>
      </c>
      <c r="C73" t="s">
        <v>65</v>
      </c>
      <c r="D73" s="1">
        <v>44835</v>
      </c>
      <c r="E73" s="2">
        <v>5642</v>
      </c>
      <c r="F73">
        <v>9</v>
      </c>
    </row>
    <row r="74" spans="1:6">
      <c r="A74" t="s">
        <v>6</v>
      </c>
      <c r="B74" t="s">
        <v>25</v>
      </c>
      <c r="C74" t="s">
        <v>59</v>
      </c>
      <c r="D74" s="1">
        <v>44868</v>
      </c>
      <c r="E74" s="2">
        <v>2800</v>
      </c>
      <c r="F74">
        <v>241</v>
      </c>
    </row>
    <row r="75" spans="1:6">
      <c r="A75" t="s">
        <v>67</v>
      </c>
      <c r="B75" t="s">
        <v>25</v>
      </c>
      <c r="C75" t="s">
        <v>13</v>
      </c>
      <c r="D75" t="s">
        <v>92</v>
      </c>
      <c r="E75" s="2">
        <v>959</v>
      </c>
      <c r="F75">
        <v>265</v>
      </c>
    </row>
    <row r="76" spans="1:6">
      <c r="A76" t="s">
        <v>9</v>
      </c>
      <c r="B76" t="s">
        <v>7</v>
      </c>
      <c r="C76" t="s">
        <v>42</v>
      </c>
      <c r="D76" t="s">
        <v>93</v>
      </c>
      <c r="E76" s="2">
        <v>2002</v>
      </c>
      <c r="F76">
        <v>214</v>
      </c>
    </row>
    <row r="77" spans="1:6">
      <c r="A77" t="s">
        <v>45</v>
      </c>
      <c r="B77" t="s">
        <v>35</v>
      </c>
      <c r="C77" t="s">
        <v>46</v>
      </c>
      <c r="D77" t="s">
        <v>94</v>
      </c>
      <c r="E77" s="2">
        <v>609</v>
      </c>
      <c r="F77">
        <v>32</v>
      </c>
    </row>
    <row r="78" spans="1:6">
      <c r="A78" t="s">
        <v>71</v>
      </c>
      <c r="B78" t="s">
        <v>32</v>
      </c>
      <c r="C78" t="s">
        <v>50</v>
      </c>
      <c r="D78" s="1">
        <v>44867</v>
      </c>
      <c r="E78" s="2">
        <v>1274</v>
      </c>
      <c r="F78">
        <v>244</v>
      </c>
    </row>
    <row r="79" spans="1:6">
      <c r="A79" t="s">
        <v>40</v>
      </c>
      <c r="B79" t="s">
        <v>32</v>
      </c>
      <c r="C79" t="s">
        <v>33</v>
      </c>
      <c r="D79" t="s">
        <v>95</v>
      </c>
      <c r="E79" s="2">
        <v>7595</v>
      </c>
      <c r="F79">
        <v>181</v>
      </c>
    </row>
    <row r="80" spans="1:6">
      <c r="A80" t="s">
        <v>9</v>
      </c>
      <c r="B80" t="s">
        <v>7</v>
      </c>
      <c r="C80" t="s">
        <v>20</v>
      </c>
      <c r="D80" t="s">
        <v>96</v>
      </c>
      <c r="E80" s="2">
        <v>4725</v>
      </c>
      <c r="F80">
        <v>137</v>
      </c>
    </row>
    <row r="81" spans="1:6">
      <c r="A81" t="s">
        <v>71</v>
      </c>
      <c r="B81" t="s">
        <v>32</v>
      </c>
      <c r="C81" t="s">
        <v>59</v>
      </c>
      <c r="D81" t="s">
        <v>97</v>
      </c>
      <c r="E81" s="2">
        <v>9681</v>
      </c>
      <c r="F81">
        <v>24</v>
      </c>
    </row>
    <row r="82" spans="1:6">
      <c r="A82" t="s">
        <v>67</v>
      </c>
      <c r="B82" t="s">
        <v>32</v>
      </c>
      <c r="C82" t="s">
        <v>73</v>
      </c>
      <c r="D82" t="s">
        <v>66</v>
      </c>
      <c r="E82" s="2">
        <v>14504</v>
      </c>
      <c r="F82">
        <v>21</v>
      </c>
    </row>
    <row r="83" spans="1:6">
      <c r="A83" t="s">
        <v>79</v>
      </c>
      <c r="B83" t="s">
        <v>15</v>
      </c>
      <c r="C83" t="s">
        <v>57</v>
      </c>
      <c r="D83" t="s">
        <v>98</v>
      </c>
      <c r="E83" s="2">
        <v>280</v>
      </c>
      <c r="F83">
        <v>311</v>
      </c>
    </row>
    <row r="84" spans="1:6">
      <c r="A84" t="s">
        <v>28</v>
      </c>
      <c r="B84" t="s">
        <v>25</v>
      </c>
      <c r="C84" t="s">
        <v>8</v>
      </c>
      <c r="D84" s="1">
        <v>44569</v>
      </c>
      <c r="E84" s="2">
        <v>63</v>
      </c>
      <c r="F84">
        <v>181</v>
      </c>
    </row>
    <row r="85" spans="1:6">
      <c r="A85" t="s">
        <v>45</v>
      </c>
      <c r="B85" t="s">
        <v>25</v>
      </c>
      <c r="C85" t="s">
        <v>23</v>
      </c>
      <c r="D85" t="s">
        <v>99</v>
      </c>
      <c r="E85" s="2">
        <v>8001</v>
      </c>
      <c r="F85">
        <v>10</v>
      </c>
    </row>
    <row r="86" spans="1:6">
      <c r="A86" t="s">
        <v>45</v>
      </c>
      <c r="B86" t="s">
        <v>35</v>
      </c>
      <c r="C86" t="s">
        <v>42</v>
      </c>
      <c r="D86" s="1">
        <v>44835</v>
      </c>
      <c r="E86" s="2">
        <v>4032</v>
      </c>
      <c r="F86">
        <v>82</v>
      </c>
    </row>
    <row r="87" spans="1:6">
      <c r="A87" t="s">
        <v>58</v>
      </c>
      <c r="B87" t="s">
        <v>15</v>
      </c>
      <c r="C87" t="s">
        <v>100</v>
      </c>
      <c r="D87" s="1">
        <v>44744</v>
      </c>
      <c r="E87" s="2">
        <v>5859</v>
      </c>
      <c r="F87">
        <v>108</v>
      </c>
    </row>
    <row r="88" spans="1:6">
      <c r="A88" t="s">
        <v>37</v>
      </c>
      <c r="B88" t="s">
        <v>32</v>
      </c>
      <c r="C88" t="s">
        <v>33</v>
      </c>
      <c r="D88" s="1">
        <v>44900</v>
      </c>
      <c r="E88" s="2">
        <v>11095</v>
      </c>
      <c r="F88">
        <v>401</v>
      </c>
    </row>
    <row r="89" spans="1:6">
      <c r="A89" t="s">
        <v>77</v>
      </c>
      <c r="B89" t="s">
        <v>15</v>
      </c>
      <c r="C89" t="s">
        <v>50</v>
      </c>
      <c r="D89" s="1">
        <v>44745</v>
      </c>
      <c r="E89" s="2">
        <v>7182</v>
      </c>
      <c r="F89">
        <v>408</v>
      </c>
    </row>
    <row r="90" spans="1:6">
      <c r="A90" t="s">
        <v>58</v>
      </c>
      <c r="B90" t="s">
        <v>15</v>
      </c>
      <c r="C90" t="s">
        <v>11</v>
      </c>
      <c r="D90" s="1">
        <v>44685</v>
      </c>
      <c r="E90" s="2">
        <v>6881</v>
      </c>
      <c r="F90">
        <v>420</v>
      </c>
    </row>
    <row r="91" spans="1:6">
      <c r="A91" t="s">
        <v>67</v>
      </c>
      <c r="B91" t="s">
        <v>35</v>
      </c>
      <c r="C91" t="s">
        <v>90</v>
      </c>
      <c r="D91" s="1">
        <v>44621</v>
      </c>
      <c r="E91" s="2">
        <v>7154</v>
      </c>
      <c r="F91">
        <v>348</v>
      </c>
    </row>
    <row r="92" spans="1:6">
      <c r="A92" t="s">
        <v>58</v>
      </c>
      <c r="B92" t="s">
        <v>7</v>
      </c>
      <c r="C92" t="s">
        <v>36</v>
      </c>
      <c r="D92" t="s">
        <v>24</v>
      </c>
      <c r="E92" s="2">
        <v>6188</v>
      </c>
      <c r="F92">
        <v>270</v>
      </c>
    </row>
    <row r="93" spans="1:6">
      <c r="A93" t="s">
        <v>77</v>
      </c>
      <c r="B93" t="s">
        <v>10</v>
      </c>
      <c r="C93" t="s">
        <v>73</v>
      </c>
      <c r="D93" s="1">
        <v>44749</v>
      </c>
      <c r="E93" s="2">
        <v>4221</v>
      </c>
      <c r="F93">
        <v>9</v>
      </c>
    </row>
    <row r="94" spans="1:6">
      <c r="A94" t="s">
        <v>9</v>
      </c>
      <c r="B94" t="s">
        <v>32</v>
      </c>
      <c r="C94" t="s">
        <v>23</v>
      </c>
      <c r="D94" t="s">
        <v>101</v>
      </c>
      <c r="E94" s="2">
        <v>630</v>
      </c>
      <c r="F94">
        <v>264</v>
      </c>
    </row>
    <row r="95" spans="1:6">
      <c r="A95" t="s">
        <v>64</v>
      </c>
      <c r="B95" t="s">
        <v>15</v>
      </c>
      <c r="C95" t="s">
        <v>42</v>
      </c>
      <c r="D95" s="1">
        <v>44749</v>
      </c>
      <c r="E95" s="2">
        <v>1743</v>
      </c>
      <c r="F95">
        <v>111</v>
      </c>
    </row>
    <row r="96" spans="1:6">
      <c r="A96" t="s">
        <v>37</v>
      </c>
      <c r="B96" t="s">
        <v>35</v>
      </c>
      <c r="C96" t="s">
        <v>26</v>
      </c>
      <c r="D96" t="s">
        <v>82</v>
      </c>
      <c r="E96" s="2">
        <v>2919</v>
      </c>
      <c r="F96">
        <v>65</v>
      </c>
    </row>
    <row r="97" spans="1:6">
      <c r="A97" t="s">
        <v>45</v>
      </c>
      <c r="B97" t="s">
        <v>25</v>
      </c>
      <c r="C97" t="s">
        <v>33</v>
      </c>
      <c r="D97" s="1">
        <v>44565</v>
      </c>
      <c r="E97" s="2">
        <v>49</v>
      </c>
      <c r="F97">
        <v>97</v>
      </c>
    </row>
    <row r="98" spans="1:6">
      <c r="A98" t="s">
        <v>41</v>
      </c>
      <c r="B98" t="s">
        <v>15</v>
      </c>
      <c r="C98" t="s">
        <v>36</v>
      </c>
      <c r="D98" t="s">
        <v>92</v>
      </c>
      <c r="E98" s="2">
        <v>1827</v>
      </c>
      <c r="F98">
        <v>6</v>
      </c>
    </row>
    <row r="99" spans="1:6">
      <c r="A99" t="s">
        <v>70</v>
      </c>
      <c r="B99" t="s">
        <v>7</v>
      </c>
      <c r="C99" t="s">
        <v>57</v>
      </c>
      <c r="D99" t="s">
        <v>63</v>
      </c>
      <c r="E99" s="2">
        <v>13006</v>
      </c>
      <c r="F99">
        <v>482</v>
      </c>
    </row>
    <row r="100" spans="1:6">
      <c r="A100" t="s">
        <v>40</v>
      </c>
      <c r="B100" t="s">
        <v>32</v>
      </c>
      <c r="C100" t="s">
        <v>26</v>
      </c>
      <c r="D100" t="s">
        <v>61</v>
      </c>
      <c r="E100" s="2">
        <v>1064</v>
      </c>
      <c r="F100">
        <v>106</v>
      </c>
    </row>
    <row r="101" spans="1:6">
      <c r="A101" t="s">
        <v>53</v>
      </c>
      <c r="B101" t="s">
        <v>32</v>
      </c>
      <c r="C101" t="s">
        <v>23</v>
      </c>
      <c r="D101" s="1">
        <v>44777</v>
      </c>
      <c r="E101" s="2">
        <v>11571</v>
      </c>
      <c r="F101">
        <v>180</v>
      </c>
    </row>
    <row r="102" spans="1:6">
      <c r="A102" t="s">
        <v>58</v>
      </c>
      <c r="B102" t="s">
        <v>15</v>
      </c>
      <c r="C102" t="s">
        <v>73</v>
      </c>
      <c r="D102" t="s">
        <v>54</v>
      </c>
      <c r="E102" s="2">
        <v>5740</v>
      </c>
      <c r="F102">
        <v>31</v>
      </c>
    </row>
    <row r="103" spans="1:6">
      <c r="A103" t="s">
        <v>67</v>
      </c>
      <c r="B103" t="s">
        <v>32</v>
      </c>
      <c r="C103" t="s">
        <v>57</v>
      </c>
      <c r="D103" t="s">
        <v>82</v>
      </c>
      <c r="E103" s="2">
        <v>1456</v>
      </c>
      <c r="F103">
        <v>359</v>
      </c>
    </row>
    <row r="104" spans="1:6">
      <c r="A104" t="s">
        <v>70</v>
      </c>
      <c r="B104" t="s">
        <v>10</v>
      </c>
      <c r="C104" t="s">
        <v>36</v>
      </c>
      <c r="D104" t="s">
        <v>81</v>
      </c>
      <c r="E104" s="2">
        <v>5334</v>
      </c>
      <c r="F104">
        <v>80</v>
      </c>
    </row>
    <row r="105" spans="1:6">
      <c r="A105" t="s">
        <v>40</v>
      </c>
      <c r="B105" t="s">
        <v>32</v>
      </c>
      <c r="C105" t="s">
        <v>20</v>
      </c>
      <c r="D105" t="s">
        <v>102</v>
      </c>
      <c r="E105" s="2">
        <v>4151</v>
      </c>
      <c r="F105">
        <v>296</v>
      </c>
    </row>
    <row r="106" spans="1:6">
      <c r="A106" t="s">
        <v>28</v>
      </c>
      <c r="B106" t="s">
        <v>35</v>
      </c>
      <c r="C106" t="s">
        <v>50</v>
      </c>
      <c r="D106" s="1">
        <v>44654</v>
      </c>
      <c r="E106" s="2">
        <v>8106</v>
      </c>
      <c r="F106">
        <v>101</v>
      </c>
    </row>
    <row r="107" spans="1:6">
      <c r="A107" t="s">
        <v>37</v>
      </c>
      <c r="B107" t="s">
        <v>25</v>
      </c>
      <c r="C107" t="s">
        <v>100</v>
      </c>
      <c r="D107" s="1">
        <v>44600</v>
      </c>
      <c r="E107" s="2">
        <v>126</v>
      </c>
      <c r="F107">
        <v>40</v>
      </c>
    </row>
    <row r="108" spans="1:6">
      <c r="A108" t="s">
        <v>53</v>
      </c>
      <c r="B108" t="s">
        <v>7</v>
      </c>
      <c r="C108" t="s">
        <v>50</v>
      </c>
      <c r="D108" t="s">
        <v>103</v>
      </c>
      <c r="E108" s="2">
        <v>4697</v>
      </c>
      <c r="F108">
        <v>42</v>
      </c>
    </row>
    <row r="109" spans="1:6">
      <c r="A109" t="s">
        <v>40</v>
      </c>
      <c r="B109" t="s">
        <v>32</v>
      </c>
      <c r="C109" t="s">
        <v>65</v>
      </c>
      <c r="D109" t="s">
        <v>104</v>
      </c>
      <c r="E109" s="2">
        <v>7798</v>
      </c>
      <c r="F109">
        <v>167</v>
      </c>
    </row>
    <row r="110" spans="1:6">
      <c r="A110" t="s">
        <v>70</v>
      </c>
      <c r="B110" t="s">
        <v>10</v>
      </c>
      <c r="C110" t="s">
        <v>33</v>
      </c>
      <c r="D110" s="1">
        <v>44748</v>
      </c>
      <c r="E110" s="2">
        <v>9408</v>
      </c>
      <c r="F110">
        <v>138</v>
      </c>
    </row>
    <row r="111" spans="1:6">
      <c r="A111" t="s">
        <v>14</v>
      </c>
      <c r="B111" t="s">
        <v>10</v>
      </c>
      <c r="C111" t="s">
        <v>50</v>
      </c>
      <c r="D111" s="1">
        <v>44899</v>
      </c>
      <c r="E111" s="2">
        <v>1939</v>
      </c>
      <c r="F111">
        <v>520</v>
      </c>
    </row>
    <row r="112" spans="1:6">
      <c r="A112" t="s">
        <v>83</v>
      </c>
      <c r="B112" t="s">
        <v>10</v>
      </c>
      <c r="C112" t="s">
        <v>50</v>
      </c>
      <c r="D112" s="1">
        <v>44719</v>
      </c>
      <c r="E112" s="2">
        <v>10906</v>
      </c>
      <c r="F112">
        <v>94</v>
      </c>
    </row>
    <row r="113" spans="1:6">
      <c r="A113" t="s">
        <v>70</v>
      </c>
      <c r="B113" t="s">
        <v>7</v>
      </c>
      <c r="C113" t="s">
        <v>18</v>
      </c>
      <c r="D113" t="s">
        <v>105</v>
      </c>
      <c r="E113" s="2">
        <v>5929</v>
      </c>
      <c r="F113">
        <v>175</v>
      </c>
    </row>
    <row r="114" spans="1:6">
      <c r="A114" t="s">
        <v>77</v>
      </c>
      <c r="B114" t="s">
        <v>15</v>
      </c>
      <c r="C114" t="s">
        <v>57</v>
      </c>
      <c r="D114" s="1">
        <v>44682</v>
      </c>
      <c r="E114" s="2">
        <v>5579</v>
      </c>
      <c r="F114">
        <v>92</v>
      </c>
    </row>
    <row r="115" spans="1:6">
      <c r="A115" t="s">
        <v>77</v>
      </c>
      <c r="B115" t="s">
        <v>35</v>
      </c>
      <c r="C115" t="s">
        <v>100</v>
      </c>
      <c r="D115" t="s">
        <v>106</v>
      </c>
      <c r="E115" s="2">
        <v>10927</v>
      </c>
      <c r="F115">
        <v>141</v>
      </c>
    </row>
    <row r="116" spans="1:6">
      <c r="A116" t="s">
        <v>64</v>
      </c>
      <c r="B116" t="s">
        <v>15</v>
      </c>
      <c r="C116" t="s">
        <v>38</v>
      </c>
      <c r="D116" s="1">
        <v>44716</v>
      </c>
      <c r="E116" s="2">
        <v>623</v>
      </c>
      <c r="F116">
        <v>283</v>
      </c>
    </row>
    <row r="117" spans="1:6">
      <c r="A117" t="s">
        <v>22</v>
      </c>
      <c r="B117" t="s">
        <v>15</v>
      </c>
      <c r="C117" t="s">
        <v>57</v>
      </c>
      <c r="D117" t="s">
        <v>61</v>
      </c>
      <c r="E117" s="2">
        <v>6013</v>
      </c>
      <c r="F117">
        <v>21</v>
      </c>
    </row>
    <row r="118" spans="1:6">
      <c r="A118" t="s">
        <v>12</v>
      </c>
      <c r="B118" t="s">
        <v>35</v>
      </c>
      <c r="C118" t="s">
        <v>87</v>
      </c>
      <c r="D118" t="s">
        <v>107</v>
      </c>
      <c r="E118" s="2">
        <v>1505</v>
      </c>
      <c r="F118">
        <v>47</v>
      </c>
    </row>
    <row r="119" spans="1:6">
      <c r="A119" t="s">
        <v>70</v>
      </c>
      <c r="B119" t="s">
        <v>10</v>
      </c>
      <c r="C119" t="s">
        <v>90</v>
      </c>
      <c r="D119" t="s">
        <v>108</v>
      </c>
      <c r="E119" s="2">
        <v>476</v>
      </c>
      <c r="F119">
        <v>125</v>
      </c>
    </row>
    <row r="120" spans="1:6">
      <c r="A120" t="s">
        <v>29</v>
      </c>
      <c r="B120" t="s">
        <v>15</v>
      </c>
      <c r="C120" t="s">
        <v>38</v>
      </c>
      <c r="D120" t="s">
        <v>109</v>
      </c>
      <c r="E120" s="2">
        <v>11550</v>
      </c>
      <c r="F120">
        <v>396</v>
      </c>
    </row>
    <row r="121" spans="1:6">
      <c r="A121" t="s">
        <v>70</v>
      </c>
      <c r="B121" t="s">
        <v>32</v>
      </c>
      <c r="C121" t="s">
        <v>60</v>
      </c>
      <c r="D121" t="s">
        <v>47</v>
      </c>
      <c r="E121" s="2">
        <v>17318</v>
      </c>
      <c r="F121">
        <v>87</v>
      </c>
    </row>
    <row r="122" spans="1:6">
      <c r="A122" t="s">
        <v>6</v>
      </c>
      <c r="B122" t="s">
        <v>35</v>
      </c>
      <c r="C122" t="s">
        <v>50</v>
      </c>
      <c r="D122" t="s">
        <v>30</v>
      </c>
      <c r="E122" s="2">
        <v>1848</v>
      </c>
      <c r="F122">
        <v>27</v>
      </c>
    </row>
    <row r="123" spans="1:6">
      <c r="A123" t="s">
        <v>70</v>
      </c>
      <c r="B123" t="s">
        <v>15</v>
      </c>
      <c r="C123" t="s">
        <v>36</v>
      </c>
      <c r="D123" t="s">
        <v>110</v>
      </c>
      <c r="E123" s="2">
        <v>7273</v>
      </c>
      <c r="F123">
        <v>547</v>
      </c>
    </row>
    <row r="124" spans="1:6">
      <c r="A124" t="s">
        <v>48</v>
      </c>
      <c r="B124" t="s">
        <v>35</v>
      </c>
      <c r="C124" t="s">
        <v>50</v>
      </c>
      <c r="D124" t="s">
        <v>111</v>
      </c>
      <c r="E124" s="2">
        <v>854</v>
      </c>
      <c r="F124">
        <v>118</v>
      </c>
    </row>
    <row r="125" spans="1:6">
      <c r="A125" t="s">
        <v>19</v>
      </c>
      <c r="B125" t="s">
        <v>10</v>
      </c>
      <c r="C125" t="s">
        <v>73</v>
      </c>
      <c r="D125" t="s">
        <v>91</v>
      </c>
      <c r="E125" s="2">
        <v>6832</v>
      </c>
      <c r="F125">
        <v>46</v>
      </c>
    </row>
    <row r="126" spans="1:6">
      <c r="A126" t="s">
        <v>70</v>
      </c>
      <c r="B126" t="s">
        <v>7</v>
      </c>
      <c r="C126" t="s">
        <v>36</v>
      </c>
      <c r="D126" t="s">
        <v>21</v>
      </c>
      <c r="E126" s="2">
        <v>4606</v>
      </c>
      <c r="F126">
        <v>57</v>
      </c>
    </row>
    <row r="127" spans="1:6">
      <c r="A127" t="s">
        <v>14</v>
      </c>
      <c r="B127" t="s">
        <v>10</v>
      </c>
      <c r="C127" t="s">
        <v>65</v>
      </c>
      <c r="D127" s="1">
        <v>44868</v>
      </c>
      <c r="E127" s="2">
        <v>4466</v>
      </c>
      <c r="F127">
        <v>22</v>
      </c>
    </row>
    <row r="128" spans="1:6">
      <c r="A128" t="s">
        <v>79</v>
      </c>
      <c r="B128" t="s">
        <v>7</v>
      </c>
      <c r="C128" t="s">
        <v>65</v>
      </c>
      <c r="D128" t="s">
        <v>39</v>
      </c>
      <c r="E128" s="2">
        <v>16114</v>
      </c>
      <c r="F128">
        <v>96</v>
      </c>
    </row>
    <row r="129" spans="1:6">
      <c r="A129" t="s">
        <v>40</v>
      </c>
      <c r="B129" t="s">
        <v>25</v>
      </c>
      <c r="C129" t="s">
        <v>23</v>
      </c>
      <c r="D129" s="1">
        <v>44807</v>
      </c>
      <c r="E129" s="2">
        <v>1561</v>
      </c>
      <c r="F129">
        <v>44</v>
      </c>
    </row>
    <row r="130" spans="1:6">
      <c r="A130" t="s">
        <v>53</v>
      </c>
      <c r="B130" t="s">
        <v>15</v>
      </c>
      <c r="C130" t="s">
        <v>33</v>
      </c>
      <c r="D130" t="s">
        <v>85</v>
      </c>
      <c r="E130" s="2">
        <v>8897</v>
      </c>
      <c r="F130">
        <v>188</v>
      </c>
    </row>
    <row r="131" spans="1:6">
      <c r="A131" t="s">
        <v>40</v>
      </c>
      <c r="B131" t="s">
        <v>15</v>
      </c>
      <c r="C131" t="s">
        <v>46</v>
      </c>
      <c r="D131" t="s">
        <v>39</v>
      </c>
      <c r="E131" s="2">
        <v>2464</v>
      </c>
      <c r="F131">
        <v>387</v>
      </c>
    </row>
    <row r="132" spans="1:6">
      <c r="A132" t="s">
        <v>70</v>
      </c>
      <c r="B132" t="s">
        <v>35</v>
      </c>
      <c r="C132" t="s">
        <v>20</v>
      </c>
      <c r="D132" t="s">
        <v>112</v>
      </c>
      <c r="E132" s="2">
        <v>4830</v>
      </c>
      <c r="F132">
        <v>50</v>
      </c>
    </row>
    <row r="133" spans="1:6">
      <c r="A133" t="s">
        <v>55</v>
      </c>
      <c r="B133" t="s">
        <v>15</v>
      </c>
      <c r="C133" t="s">
        <v>60</v>
      </c>
      <c r="D133" s="1">
        <v>44896</v>
      </c>
      <c r="E133" s="2">
        <v>2765</v>
      </c>
      <c r="F133">
        <v>264</v>
      </c>
    </row>
    <row r="134" spans="1:6">
      <c r="A134" t="s">
        <v>41</v>
      </c>
      <c r="B134" t="s">
        <v>25</v>
      </c>
      <c r="C134" t="s">
        <v>59</v>
      </c>
      <c r="D134" t="s">
        <v>24</v>
      </c>
      <c r="E134" s="2">
        <v>7126</v>
      </c>
      <c r="F134">
        <v>7</v>
      </c>
    </row>
    <row r="135" spans="1:6">
      <c r="A135" t="s">
        <v>9</v>
      </c>
      <c r="B135" t="s">
        <v>7</v>
      </c>
      <c r="C135" t="s">
        <v>46</v>
      </c>
      <c r="D135" t="s">
        <v>113</v>
      </c>
      <c r="E135" s="2">
        <v>4263</v>
      </c>
      <c r="F135">
        <v>90</v>
      </c>
    </row>
    <row r="136" spans="1:6">
      <c r="A136" t="s">
        <v>19</v>
      </c>
      <c r="B136" t="s">
        <v>35</v>
      </c>
      <c r="C136" t="s">
        <v>20</v>
      </c>
      <c r="D136" s="1">
        <v>44569</v>
      </c>
      <c r="E136" s="2">
        <v>3605</v>
      </c>
      <c r="F136">
        <v>403</v>
      </c>
    </row>
    <row r="137" spans="1:6">
      <c r="A137" t="s">
        <v>9</v>
      </c>
      <c r="B137" t="s">
        <v>10</v>
      </c>
      <c r="C137" t="s">
        <v>42</v>
      </c>
      <c r="D137" t="s">
        <v>86</v>
      </c>
      <c r="E137" s="2">
        <v>19929</v>
      </c>
      <c r="F137">
        <v>174</v>
      </c>
    </row>
    <row r="138" spans="1:6">
      <c r="A138" t="s">
        <v>45</v>
      </c>
      <c r="B138" t="s">
        <v>10</v>
      </c>
      <c r="C138" t="s">
        <v>18</v>
      </c>
      <c r="D138" s="1">
        <v>44842</v>
      </c>
      <c r="E138" s="2">
        <v>5103</v>
      </c>
      <c r="F138">
        <v>140</v>
      </c>
    </row>
    <row r="139" spans="1:6">
      <c r="A139" t="s">
        <v>14</v>
      </c>
      <c r="B139" t="s">
        <v>10</v>
      </c>
      <c r="C139" t="s">
        <v>36</v>
      </c>
      <c r="D139" s="1">
        <v>44682</v>
      </c>
      <c r="E139" s="2">
        <v>2541</v>
      </c>
      <c r="F139">
        <v>27</v>
      </c>
    </row>
    <row r="140" spans="1:6">
      <c r="A140" t="s">
        <v>83</v>
      </c>
      <c r="B140" t="s">
        <v>7</v>
      </c>
      <c r="C140" t="s">
        <v>18</v>
      </c>
      <c r="D140" s="1">
        <v>44872</v>
      </c>
      <c r="E140" s="2">
        <v>5663</v>
      </c>
      <c r="F140">
        <v>110</v>
      </c>
    </row>
    <row r="141" spans="1:6">
      <c r="A141" t="s">
        <v>64</v>
      </c>
      <c r="B141" t="s">
        <v>32</v>
      </c>
      <c r="C141" t="s">
        <v>23</v>
      </c>
      <c r="D141" t="s">
        <v>114</v>
      </c>
      <c r="E141" s="2">
        <v>392</v>
      </c>
      <c r="F141">
        <v>30</v>
      </c>
    </row>
    <row r="142" spans="1:6">
      <c r="A142" t="s">
        <v>12</v>
      </c>
      <c r="B142" t="s">
        <v>25</v>
      </c>
      <c r="C142" t="s">
        <v>57</v>
      </c>
      <c r="D142" s="1">
        <v>44655</v>
      </c>
      <c r="E142" s="2">
        <v>10976</v>
      </c>
      <c r="F142">
        <v>121</v>
      </c>
    </row>
    <row r="143" spans="1:6">
      <c r="A143" t="s">
        <v>31</v>
      </c>
      <c r="B143" t="s">
        <v>32</v>
      </c>
      <c r="C143" t="s">
        <v>73</v>
      </c>
      <c r="D143" s="1">
        <v>44899</v>
      </c>
      <c r="E143" s="2">
        <v>9282</v>
      </c>
      <c r="F143">
        <v>101</v>
      </c>
    </row>
    <row r="144" spans="1:6">
      <c r="A144" t="s">
        <v>64</v>
      </c>
      <c r="B144" t="s">
        <v>25</v>
      </c>
      <c r="C144" t="s">
        <v>11</v>
      </c>
      <c r="D144" s="1">
        <v>44600</v>
      </c>
      <c r="E144" s="2">
        <v>1827</v>
      </c>
      <c r="F144">
        <v>117</v>
      </c>
    </row>
    <row r="145" spans="1:6">
      <c r="A145" t="s">
        <v>12</v>
      </c>
      <c r="B145" t="s">
        <v>25</v>
      </c>
      <c r="C145" t="s">
        <v>60</v>
      </c>
      <c r="D145" t="s">
        <v>85</v>
      </c>
      <c r="E145" s="2">
        <v>8267</v>
      </c>
      <c r="F145">
        <v>272</v>
      </c>
    </row>
    <row r="146" spans="1:6">
      <c r="A146" t="s">
        <v>83</v>
      </c>
      <c r="B146" t="s">
        <v>15</v>
      </c>
      <c r="C146" t="s">
        <v>36</v>
      </c>
      <c r="D146" s="1">
        <v>44688</v>
      </c>
      <c r="E146" s="2">
        <v>4116</v>
      </c>
      <c r="F146">
        <v>128</v>
      </c>
    </row>
    <row r="147" spans="1:6">
      <c r="A147" t="s">
        <v>29</v>
      </c>
      <c r="B147" t="s">
        <v>25</v>
      </c>
      <c r="C147" t="s">
        <v>75</v>
      </c>
      <c r="D147" s="1">
        <v>44748</v>
      </c>
      <c r="E147" s="2">
        <v>2093</v>
      </c>
      <c r="F147">
        <v>45</v>
      </c>
    </row>
    <row r="148" spans="1:6">
      <c r="A148" t="s">
        <v>28</v>
      </c>
      <c r="B148" t="s">
        <v>25</v>
      </c>
      <c r="C148" t="s">
        <v>18</v>
      </c>
      <c r="D148" t="s">
        <v>115</v>
      </c>
      <c r="E148" s="2">
        <v>1015</v>
      </c>
      <c r="F148">
        <v>27</v>
      </c>
    </row>
    <row r="149" spans="1:6">
      <c r="A149" t="s">
        <v>28</v>
      </c>
      <c r="B149" t="s">
        <v>15</v>
      </c>
      <c r="C149" t="s">
        <v>87</v>
      </c>
      <c r="D149" s="1">
        <v>44652</v>
      </c>
      <c r="E149" s="2">
        <v>12516</v>
      </c>
      <c r="F149">
        <v>212</v>
      </c>
    </row>
    <row r="150" spans="1:6">
      <c r="A150" t="s">
        <v>58</v>
      </c>
      <c r="B150" t="s">
        <v>15</v>
      </c>
      <c r="C150" t="s">
        <v>20</v>
      </c>
      <c r="D150" t="s">
        <v>96</v>
      </c>
      <c r="E150" s="2">
        <v>2758</v>
      </c>
      <c r="F150">
        <v>18</v>
      </c>
    </row>
    <row r="151" spans="1:6">
      <c r="A151" t="s">
        <v>70</v>
      </c>
      <c r="B151" t="s">
        <v>10</v>
      </c>
      <c r="C151" t="s">
        <v>65</v>
      </c>
      <c r="D151" t="s">
        <v>54</v>
      </c>
      <c r="E151" s="2">
        <v>3297</v>
      </c>
      <c r="F151">
        <v>149</v>
      </c>
    </row>
    <row r="152" spans="1:6">
      <c r="A152" t="s">
        <v>71</v>
      </c>
      <c r="B152" t="s">
        <v>15</v>
      </c>
      <c r="C152" t="s">
        <v>100</v>
      </c>
      <c r="D152" t="s">
        <v>116</v>
      </c>
      <c r="E152" s="2">
        <v>6048</v>
      </c>
      <c r="F152">
        <v>477</v>
      </c>
    </row>
    <row r="153" spans="1:6">
      <c r="A153" t="s">
        <v>19</v>
      </c>
      <c r="B153" t="s">
        <v>10</v>
      </c>
      <c r="C153" t="s">
        <v>18</v>
      </c>
      <c r="D153" s="1">
        <v>44744</v>
      </c>
      <c r="E153" s="2">
        <v>10101</v>
      </c>
      <c r="F153">
        <v>108</v>
      </c>
    </row>
    <row r="154" spans="1:6">
      <c r="A154" t="s">
        <v>55</v>
      </c>
      <c r="B154" t="s">
        <v>7</v>
      </c>
      <c r="C154" t="s">
        <v>42</v>
      </c>
      <c r="D154" t="s">
        <v>117</v>
      </c>
      <c r="E154" s="2">
        <v>2282</v>
      </c>
      <c r="F154">
        <v>178</v>
      </c>
    </row>
    <row r="155" spans="1:6">
      <c r="A155" t="s">
        <v>40</v>
      </c>
      <c r="B155" t="s">
        <v>10</v>
      </c>
      <c r="C155" t="s">
        <v>90</v>
      </c>
      <c r="D155" t="s">
        <v>108</v>
      </c>
      <c r="E155" s="2">
        <v>4361</v>
      </c>
      <c r="F155">
        <v>81</v>
      </c>
    </row>
    <row r="156" spans="1:6">
      <c r="A156" t="s">
        <v>37</v>
      </c>
      <c r="B156" t="s">
        <v>7</v>
      </c>
      <c r="C156" t="s">
        <v>36</v>
      </c>
      <c r="D156" t="s">
        <v>21</v>
      </c>
      <c r="E156" s="2">
        <v>7798</v>
      </c>
      <c r="F156">
        <v>196</v>
      </c>
    </row>
    <row r="157" spans="1:6">
      <c r="A157" t="s">
        <v>9</v>
      </c>
      <c r="B157" t="s">
        <v>10</v>
      </c>
      <c r="C157" t="s">
        <v>87</v>
      </c>
      <c r="D157" t="s">
        <v>92</v>
      </c>
      <c r="E157" s="2">
        <v>3052</v>
      </c>
      <c r="F157">
        <v>447</v>
      </c>
    </row>
    <row r="158" spans="1:6">
      <c r="A158" t="s">
        <v>12</v>
      </c>
      <c r="B158" t="s">
        <v>7</v>
      </c>
      <c r="C158" t="s">
        <v>23</v>
      </c>
      <c r="D158" t="s">
        <v>118</v>
      </c>
      <c r="E158" s="2">
        <v>8029</v>
      </c>
      <c r="F158">
        <v>175</v>
      </c>
    </row>
    <row r="159" spans="1:6">
      <c r="A159" t="s">
        <v>48</v>
      </c>
      <c r="B159" t="s">
        <v>15</v>
      </c>
      <c r="C159" t="s">
        <v>33</v>
      </c>
      <c r="D159" s="1">
        <v>44902</v>
      </c>
      <c r="E159" s="2">
        <v>854</v>
      </c>
      <c r="F159">
        <v>136</v>
      </c>
    </row>
    <row r="160" spans="1:6">
      <c r="A160" t="s">
        <v>6</v>
      </c>
      <c r="B160" t="s">
        <v>35</v>
      </c>
      <c r="C160" t="s">
        <v>18</v>
      </c>
      <c r="D160" s="1">
        <v>44872</v>
      </c>
      <c r="E160" s="2">
        <v>5460</v>
      </c>
      <c r="F160">
        <v>138</v>
      </c>
    </row>
    <row r="161" spans="1:6">
      <c r="A161" t="s">
        <v>37</v>
      </c>
      <c r="B161" t="s">
        <v>35</v>
      </c>
      <c r="C161" t="s">
        <v>18</v>
      </c>
      <c r="D161" t="s">
        <v>105</v>
      </c>
      <c r="E161" s="2">
        <v>3017</v>
      </c>
      <c r="F161">
        <v>184</v>
      </c>
    </row>
    <row r="162" spans="1:6">
      <c r="A162" t="s">
        <v>67</v>
      </c>
      <c r="B162" t="s">
        <v>32</v>
      </c>
      <c r="C162" t="s">
        <v>11</v>
      </c>
      <c r="D162" s="1">
        <v>44685</v>
      </c>
      <c r="E162" s="2">
        <v>8911</v>
      </c>
      <c r="F162">
        <v>82</v>
      </c>
    </row>
    <row r="163" spans="1:6">
      <c r="A163" t="s">
        <v>6</v>
      </c>
      <c r="B163" t="s">
        <v>35</v>
      </c>
      <c r="C163" t="s">
        <v>46</v>
      </c>
      <c r="D163" t="s">
        <v>109</v>
      </c>
      <c r="E163" s="2">
        <v>7203</v>
      </c>
      <c r="F163">
        <v>12</v>
      </c>
    </row>
    <row r="164" spans="1:6">
      <c r="A164" t="s">
        <v>29</v>
      </c>
      <c r="B164" t="s">
        <v>25</v>
      </c>
      <c r="C164" t="s">
        <v>90</v>
      </c>
      <c r="D164" t="s">
        <v>119</v>
      </c>
      <c r="E164" s="2">
        <v>13083</v>
      </c>
      <c r="F164">
        <v>14</v>
      </c>
    </row>
    <row r="165" spans="1:6">
      <c r="A165" t="s">
        <v>34</v>
      </c>
      <c r="B165" t="s">
        <v>15</v>
      </c>
      <c r="C165" t="s">
        <v>46</v>
      </c>
      <c r="D165" t="s">
        <v>120</v>
      </c>
      <c r="E165" s="2">
        <v>2779</v>
      </c>
      <c r="F165">
        <v>104</v>
      </c>
    </row>
    <row r="166" spans="1:6">
      <c r="A166" t="s">
        <v>31</v>
      </c>
      <c r="B166" t="s">
        <v>32</v>
      </c>
      <c r="C166" t="s">
        <v>57</v>
      </c>
      <c r="D166" t="s">
        <v>107</v>
      </c>
      <c r="E166" s="2">
        <v>9058</v>
      </c>
      <c r="F166">
        <v>46</v>
      </c>
    </row>
    <row r="167" spans="1:6">
      <c r="A167" t="s">
        <v>40</v>
      </c>
      <c r="B167" t="s">
        <v>7</v>
      </c>
      <c r="C167" t="s">
        <v>90</v>
      </c>
      <c r="D167" t="s">
        <v>80</v>
      </c>
      <c r="E167" s="2">
        <v>3549</v>
      </c>
      <c r="F167">
        <v>112</v>
      </c>
    </row>
    <row r="168" spans="1:6">
      <c r="A168" t="s">
        <v>34</v>
      </c>
      <c r="B168" t="s">
        <v>25</v>
      </c>
      <c r="C168" t="s">
        <v>60</v>
      </c>
      <c r="D168" t="s">
        <v>121</v>
      </c>
      <c r="E168" s="2">
        <v>9436</v>
      </c>
      <c r="F168">
        <v>11</v>
      </c>
    </row>
    <row r="169" spans="1:6">
      <c r="A169" t="s">
        <v>45</v>
      </c>
      <c r="B169" t="s">
        <v>10</v>
      </c>
      <c r="C169" t="s">
        <v>13</v>
      </c>
      <c r="D169" s="1">
        <v>44867</v>
      </c>
      <c r="E169" s="2">
        <v>10283</v>
      </c>
      <c r="F169">
        <v>21</v>
      </c>
    </row>
    <row r="170" spans="1:6">
      <c r="A170" t="s">
        <v>45</v>
      </c>
      <c r="B170" t="s">
        <v>25</v>
      </c>
      <c r="C170" t="s">
        <v>46</v>
      </c>
      <c r="D170" s="1">
        <v>44595</v>
      </c>
      <c r="E170" s="2">
        <v>5446</v>
      </c>
      <c r="F170">
        <v>116</v>
      </c>
    </row>
    <row r="171" spans="1:6">
      <c r="A171" t="s">
        <v>83</v>
      </c>
      <c r="B171" t="s">
        <v>15</v>
      </c>
      <c r="C171" t="s">
        <v>59</v>
      </c>
      <c r="D171" s="1">
        <v>44595</v>
      </c>
      <c r="E171" s="2">
        <v>1043</v>
      </c>
      <c r="F171">
        <v>202</v>
      </c>
    </row>
    <row r="172" spans="1:6">
      <c r="A172" t="s">
        <v>9</v>
      </c>
      <c r="B172" t="s">
        <v>32</v>
      </c>
      <c r="C172" t="s">
        <v>20</v>
      </c>
      <c r="D172" t="s">
        <v>39</v>
      </c>
      <c r="E172" s="2">
        <v>12586</v>
      </c>
      <c r="F172">
        <v>6</v>
      </c>
    </row>
    <row r="173" spans="1:6">
      <c r="A173" t="s">
        <v>70</v>
      </c>
      <c r="B173" t="s">
        <v>10</v>
      </c>
      <c r="C173" t="s">
        <v>23</v>
      </c>
      <c r="D173" s="1">
        <v>44743</v>
      </c>
      <c r="E173" s="2">
        <v>1687</v>
      </c>
      <c r="F173">
        <v>520</v>
      </c>
    </row>
    <row r="174" spans="1:6">
      <c r="A174" t="s">
        <v>28</v>
      </c>
      <c r="B174" t="s">
        <v>7</v>
      </c>
      <c r="C174" t="s">
        <v>59</v>
      </c>
      <c r="D174" s="1">
        <v>44899</v>
      </c>
      <c r="E174" s="2">
        <v>5299</v>
      </c>
      <c r="F174">
        <v>167</v>
      </c>
    </row>
    <row r="175" spans="1:6">
      <c r="A175" t="s">
        <v>9</v>
      </c>
      <c r="B175" t="s">
        <v>35</v>
      </c>
      <c r="C175" t="s">
        <v>65</v>
      </c>
      <c r="D175" t="s">
        <v>49</v>
      </c>
      <c r="E175" s="2">
        <v>3213</v>
      </c>
      <c r="F175">
        <v>72</v>
      </c>
    </row>
    <row r="176" spans="1:6">
      <c r="A176" t="s">
        <v>6</v>
      </c>
      <c r="B176" t="s">
        <v>15</v>
      </c>
      <c r="C176" t="s">
        <v>26</v>
      </c>
      <c r="D176" t="s">
        <v>122</v>
      </c>
      <c r="E176" s="2">
        <v>5194</v>
      </c>
      <c r="F176">
        <v>418</v>
      </c>
    </row>
    <row r="177" spans="1:6">
      <c r="A177" t="s">
        <v>37</v>
      </c>
      <c r="B177" t="s">
        <v>7</v>
      </c>
      <c r="C177" t="s">
        <v>87</v>
      </c>
      <c r="D177" s="1">
        <v>44744</v>
      </c>
      <c r="E177" s="2">
        <v>4753</v>
      </c>
      <c r="F177">
        <v>389</v>
      </c>
    </row>
    <row r="178" spans="1:6">
      <c r="A178" t="s">
        <v>6</v>
      </c>
      <c r="B178" t="s">
        <v>15</v>
      </c>
      <c r="C178" t="s">
        <v>33</v>
      </c>
      <c r="D178" t="s">
        <v>110</v>
      </c>
      <c r="E178" s="2">
        <v>13706</v>
      </c>
      <c r="F178">
        <v>26</v>
      </c>
    </row>
    <row r="179" spans="1:6">
      <c r="A179" t="s">
        <v>40</v>
      </c>
      <c r="B179" t="s">
        <v>10</v>
      </c>
      <c r="C179" t="s">
        <v>13</v>
      </c>
      <c r="D179" s="1">
        <v>44835</v>
      </c>
      <c r="E179" s="2">
        <v>6489</v>
      </c>
      <c r="F179">
        <v>146</v>
      </c>
    </row>
    <row r="180" spans="1:6">
      <c r="A180" t="s">
        <v>19</v>
      </c>
      <c r="B180" t="s">
        <v>7</v>
      </c>
      <c r="C180" t="s">
        <v>75</v>
      </c>
      <c r="D180" t="s">
        <v>123</v>
      </c>
      <c r="E180" s="2">
        <v>9324</v>
      </c>
      <c r="F180">
        <v>41</v>
      </c>
    </row>
    <row r="181" spans="1:6">
      <c r="A181" t="s">
        <v>12</v>
      </c>
      <c r="B181" t="s">
        <v>32</v>
      </c>
      <c r="C181" t="s">
        <v>50</v>
      </c>
      <c r="D181" t="s">
        <v>124</v>
      </c>
      <c r="E181" s="2">
        <v>10829</v>
      </c>
      <c r="F181">
        <v>54</v>
      </c>
    </row>
    <row r="182" spans="1:6">
      <c r="A182" t="s">
        <v>31</v>
      </c>
      <c r="B182" t="s">
        <v>15</v>
      </c>
      <c r="C182" t="s">
        <v>59</v>
      </c>
      <c r="D182" s="1">
        <v>44658</v>
      </c>
      <c r="E182" s="2">
        <v>8113</v>
      </c>
      <c r="F182">
        <v>370</v>
      </c>
    </row>
    <row r="183" spans="1:6">
      <c r="A183" t="s">
        <v>55</v>
      </c>
      <c r="B183" t="s">
        <v>35</v>
      </c>
      <c r="C183" t="s">
        <v>13</v>
      </c>
      <c r="D183" s="1">
        <v>44658</v>
      </c>
      <c r="E183" s="2">
        <v>3269</v>
      </c>
      <c r="F183">
        <v>176</v>
      </c>
    </row>
    <row r="184" spans="1:6">
      <c r="A184" t="s">
        <v>79</v>
      </c>
      <c r="B184" t="s">
        <v>32</v>
      </c>
      <c r="C184" t="s">
        <v>60</v>
      </c>
      <c r="D184" s="1">
        <v>44842</v>
      </c>
      <c r="E184" s="2">
        <v>273</v>
      </c>
      <c r="F184">
        <v>210</v>
      </c>
    </row>
    <row r="185" spans="1:6">
      <c r="A185" t="s">
        <v>58</v>
      </c>
      <c r="B185" t="s">
        <v>15</v>
      </c>
      <c r="C185" t="s">
        <v>26</v>
      </c>
      <c r="D185" s="1">
        <v>44565</v>
      </c>
      <c r="E185" s="2">
        <v>7287</v>
      </c>
      <c r="F185">
        <v>12</v>
      </c>
    </row>
    <row r="186" spans="1:6">
      <c r="A186" t="s">
        <v>12</v>
      </c>
      <c r="B186" t="s">
        <v>10</v>
      </c>
      <c r="C186" t="s">
        <v>73</v>
      </c>
      <c r="D186" t="s">
        <v>125</v>
      </c>
      <c r="E186" s="2">
        <v>2583</v>
      </c>
      <c r="F186">
        <v>159</v>
      </c>
    </row>
    <row r="187" spans="1:6">
      <c r="A187" t="s">
        <v>71</v>
      </c>
      <c r="B187" t="s">
        <v>7</v>
      </c>
      <c r="C187" t="s">
        <v>59</v>
      </c>
      <c r="D187" s="1">
        <v>44621</v>
      </c>
      <c r="E187" s="2">
        <v>9982</v>
      </c>
      <c r="F187">
        <v>187</v>
      </c>
    </row>
    <row r="188" spans="1:6">
      <c r="A188" t="s">
        <v>37</v>
      </c>
      <c r="B188" t="s">
        <v>10</v>
      </c>
      <c r="C188" t="s">
        <v>38</v>
      </c>
      <c r="D188" t="s">
        <v>126</v>
      </c>
      <c r="E188" s="2">
        <v>4795</v>
      </c>
      <c r="F188">
        <v>233</v>
      </c>
    </row>
    <row r="189" spans="1:6">
      <c r="A189" t="s">
        <v>79</v>
      </c>
      <c r="B189" t="s">
        <v>7</v>
      </c>
      <c r="C189" t="s">
        <v>20</v>
      </c>
      <c r="D189" s="1">
        <v>44621</v>
      </c>
      <c r="E189" s="2">
        <v>9310</v>
      </c>
      <c r="F189">
        <v>282</v>
      </c>
    </row>
    <row r="190" spans="1:6">
      <c r="A190" t="s">
        <v>53</v>
      </c>
      <c r="B190" t="s">
        <v>25</v>
      </c>
      <c r="C190" t="s">
        <v>90</v>
      </c>
      <c r="D190" t="s">
        <v>95</v>
      </c>
      <c r="E190" s="2">
        <v>497</v>
      </c>
      <c r="F190">
        <v>475</v>
      </c>
    </row>
    <row r="191" spans="1:6">
      <c r="A191" t="s">
        <v>31</v>
      </c>
      <c r="B191" t="s">
        <v>7</v>
      </c>
      <c r="C191" t="s">
        <v>26</v>
      </c>
      <c r="D191" t="s">
        <v>107</v>
      </c>
      <c r="E191" s="2">
        <v>581</v>
      </c>
      <c r="F191">
        <v>65</v>
      </c>
    </row>
    <row r="192" spans="1:6">
      <c r="A192" t="s">
        <v>48</v>
      </c>
      <c r="B192" t="s">
        <v>15</v>
      </c>
      <c r="C192" t="s">
        <v>42</v>
      </c>
      <c r="D192" t="s">
        <v>85</v>
      </c>
      <c r="E192" s="2">
        <v>3472</v>
      </c>
      <c r="F192">
        <v>311</v>
      </c>
    </row>
    <row r="193" spans="1:6">
      <c r="A193" t="s">
        <v>53</v>
      </c>
      <c r="B193" t="s">
        <v>7</v>
      </c>
      <c r="C193" t="s">
        <v>75</v>
      </c>
      <c r="D193" s="1">
        <v>44595</v>
      </c>
      <c r="E193" s="2">
        <v>4333</v>
      </c>
      <c r="F193">
        <v>43</v>
      </c>
    </row>
    <row r="194" spans="1:6">
      <c r="A194" t="s">
        <v>64</v>
      </c>
      <c r="B194" t="s">
        <v>15</v>
      </c>
      <c r="C194" t="s">
        <v>23</v>
      </c>
      <c r="D194" t="s">
        <v>89</v>
      </c>
      <c r="E194" s="2">
        <v>3325</v>
      </c>
      <c r="F194">
        <v>26</v>
      </c>
    </row>
    <row r="195" spans="1:6">
      <c r="A195" t="s">
        <v>58</v>
      </c>
      <c r="B195" t="s">
        <v>32</v>
      </c>
      <c r="C195" t="s">
        <v>65</v>
      </c>
      <c r="D195" t="s">
        <v>66</v>
      </c>
      <c r="E195" s="2">
        <v>11718</v>
      </c>
      <c r="F195">
        <v>84</v>
      </c>
    </row>
    <row r="196" spans="1:6">
      <c r="A196" t="s">
        <v>31</v>
      </c>
      <c r="B196" t="s">
        <v>35</v>
      </c>
      <c r="C196" t="s">
        <v>13</v>
      </c>
      <c r="D196" s="1">
        <v>44748</v>
      </c>
      <c r="E196" s="2">
        <v>2100</v>
      </c>
      <c r="F196">
        <v>78</v>
      </c>
    </row>
    <row r="197" spans="1:6">
      <c r="A197" t="s">
        <v>55</v>
      </c>
      <c r="B197" t="s">
        <v>32</v>
      </c>
      <c r="C197" t="s">
        <v>100</v>
      </c>
      <c r="D197" s="1">
        <v>44900</v>
      </c>
      <c r="E197" s="2">
        <v>4018</v>
      </c>
      <c r="F197">
        <v>100</v>
      </c>
    </row>
    <row r="198" spans="1:6">
      <c r="A198" t="s">
        <v>31</v>
      </c>
      <c r="B198" t="s">
        <v>25</v>
      </c>
      <c r="C198" t="s">
        <v>73</v>
      </c>
      <c r="D198" t="s">
        <v>120</v>
      </c>
      <c r="E198" s="2">
        <v>6468</v>
      </c>
      <c r="F198">
        <v>66</v>
      </c>
    </row>
    <row r="199" spans="1:6">
      <c r="A199" t="s">
        <v>58</v>
      </c>
      <c r="B199" t="s">
        <v>7</v>
      </c>
      <c r="C199" t="s">
        <v>59</v>
      </c>
      <c r="D199" s="1">
        <v>44628</v>
      </c>
      <c r="E199" s="2">
        <v>7238</v>
      </c>
      <c r="F199">
        <v>265</v>
      </c>
    </row>
    <row r="200" spans="1:6">
      <c r="A200" t="s">
        <v>31</v>
      </c>
      <c r="B200" t="s">
        <v>10</v>
      </c>
      <c r="C200" t="s">
        <v>87</v>
      </c>
      <c r="D200" t="s">
        <v>97</v>
      </c>
      <c r="E200" s="2">
        <v>6454</v>
      </c>
      <c r="F200">
        <v>141</v>
      </c>
    </row>
    <row r="201" spans="1:6">
      <c r="A201" t="s">
        <v>9</v>
      </c>
      <c r="B201" t="s">
        <v>25</v>
      </c>
      <c r="C201" t="s">
        <v>18</v>
      </c>
      <c r="D201" t="s">
        <v>127</v>
      </c>
      <c r="E201" s="2">
        <v>3115</v>
      </c>
      <c r="F201">
        <v>42</v>
      </c>
    </row>
    <row r="202" spans="1:6">
      <c r="A202" t="s">
        <v>41</v>
      </c>
      <c r="B202" t="s">
        <v>7</v>
      </c>
      <c r="C202" t="s">
        <v>59</v>
      </c>
      <c r="D202" t="s">
        <v>66</v>
      </c>
      <c r="E202" s="2">
        <v>6475</v>
      </c>
      <c r="F202">
        <v>76</v>
      </c>
    </row>
    <row r="203" spans="1:6">
      <c r="A203" t="s">
        <v>71</v>
      </c>
      <c r="B203" t="s">
        <v>25</v>
      </c>
      <c r="C203" t="s">
        <v>8</v>
      </c>
      <c r="D203" t="s">
        <v>128</v>
      </c>
      <c r="E203" s="2">
        <v>1162</v>
      </c>
      <c r="F203">
        <v>190</v>
      </c>
    </row>
    <row r="204" spans="1:6">
      <c r="A204" t="s">
        <v>83</v>
      </c>
      <c r="B204" t="s">
        <v>7</v>
      </c>
      <c r="C204" t="s">
        <v>33</v>
      </c>
      <c r="D204" t="s">
        <v>16</v>
      </c>
      <c r="E204" s="2">
        <v>14238</v>
      </c>
      <c r="F204">
        <v>54</v>
      </c>
    </row>
    <row r="205" spans="1:6">
      <c r="A205" t="s">
        <v>14</v>
      </c>
      <c r="B205" t="s">
        <v>15</v>
      </c>
      <c r="C205" t="s">
        <v>59</v>
      </c>
      <c r="D205" t="s">
        <v>129</v>
      </c>
      <c r="E205" s="2">
        <v>3472</v>
      </c>
      <c r="F205">
        <v>32</v>
      </c>
    </row>
    <row r="206" spans="1:6">
      <c r="A206" t="s">
        <v>34</v>
      </c>
      <c r="B206" t="s">
        <v>35</v>
      </c>
      <c r="C206" t="s">
        <v>11</v>
      </c>
      <c r="D206" t="s">
        <v>27</v>
      </c>
      <c r="E206" s="2">
        <v>1428</v>
      </c>
      <c r="F206">
        <v>424</v>
      </c>
    </row>
    <row r="207" spans="1:6">
      <c r="A207" t="s">
        <v>29</v>
      </c>
      <c r="B207" t="s">
        <v>10</v>
      </c>
      <c r="C207" t="s">
        <v>50</v>
      </c>
      <c r="D207" s="1">
        <v>44652</v>
      </c>
      <c r="E207" s="2">
        <v>8064</v>
      </c>
      <c r="F207">
        <v>134</v>
      </c>
    </row>
    <row r="208" spans="1:6">
      <c r="A208" t="s">
        <v>83</v>
      </c>
      <c r="B208" t="s">
        <v>15</v>
      </c>
      <c r="C208" t="s">
        <v>8</v>
      </c>
      <c r="D208" t="s">
        <v>109</v>
      </c>
      <c r="E208" s="2">
        <v>9660</v>
      </c>
      <c r="F208">
        <v>92</v>
      </c>
    </row>
    <row r="209" spans="1:6">
      <c r="A209" t="s">
        <v>37</v>
      </c>
      <c r="B209" t="s">
        <v>15</v>
      </c>
      <c r="C209" t="s">
        <v>59</v>
      </c>
      <c r="D209" s="1">
        <v>44682</v>
      </c>
      <c r="E209" s="2">
        <v>7357</v>
      </c>
      <c r="F209">
        <v>48</v>
      </c>
    </row>
    <row r="210" spans="1:6">
      <c r="A210" t="s">
        <v>41</v>
      </c>
      <c r="B210" t="s">
        <v>10</v>
      </c>
      <c r="C210" t="s">
        <v>38</v>
      </c>
      <c r="D210" t="s">
        <v>82</v>
      </c>
      <c r="E210" s="2">
        <v>6055</v>
      </c>
      <c r="F210">
        <v>46</v>
      </c>
    </row>
    <row r="211" spans="1:6">
      <c r="A211" t="s">
        <v>28</v>
      </c>
      <c r="B211" t="s">
        <v>15</v>
      </c>
      <c r="C211" t="s">
        <v>75</v>
      </c>
      <c r="D211" t="s">
        <v>99</v>
      </c>
      <c r="E211" s="2">
        <v>5124</v>
      </c>
      <c r="F211">
        <v>62</v>
      </c>
    </row>
    <row r="212" spans="1:6">
      <c r="A212" t="s">
        <v>37</v>
      </c>
      <c r="B212" t="s">
        <v>35</v>
      </c>
      <c r="C212" t="s">
        <v>36</v>
      </c>
      <c r="D212" t="s">
        <v>27</v>
      </c>
      <c r="E212" s="2">
        <v>3479</v>
      </c>
      <c r="F212">
        <v>358</v>
      </c>
    </row>
    <row r="213" spans="1:6">
      <c r="A213" t="s">
        <v>12</v>
      </c>
      <c r="B213" t="s">
        <v>32</v>
      </c>
      <c r="C213" t="s">
        <v>20</v>
      </c>
      <c r="D213" s="1">
        <v>44598</v>
      </c>
      <c r="E213" s="2">
        <v>784</v>
      </c>
      <c r="F213">
        <v>249</v>
      </c>
    </row>
    <row r="214" spans="1:6">
      <c r="A214" t="s">
        <v>40</v>
      </c>
      <c r="B214" t="s">
        <v>7</v>
      </c>
      <c r="C214" t="s">
        <v>18</v>
      </c>
      <c r="D214" t="s">
        <v>130</v>
      </c>
      <c r="E214" s="2">
        <v>18991</v>
      </c>
      <c r="F214">
        <v>88</v>
      </c>
    </row>
    <row r="215" spans="1:6">
      <c r="A215" t="s">
        <v>41</v>
      </c>
      <c r="B215" t="s">
        <v>25</v>
      </c>
      <c r="C215" t="s">
        <v>87</v>
      </c>
      <c r="D215" s="1">
        <v>44628</v>
      </c>
      <c r="E215" s="2">
        <v>1372</v>
      </c>
      <c r="F215">
        <v>144</v>
      </c>
    </row>
    <row r="216" spans="1:6">
      <c r="A216" t="s">
        <v>41</v>
      </c>
      <c r="B216" t="s">
        <v>15</v>
      </c>
      <c r="C216" t="s">
        <v>46</v>
      </c>
      <c r="D216" t="s">
        <v>99</v>
      </c>
      <c r="E216" s="2">
        <v>735</v>
      </c>
      <c r="F216">
        <v>390</v>
      </c>
    </row>
    <row r="217" spans="1:6">
      <c r="A217" t="s">
        <v>9</v>
      </c>
      <c r="B217" t="s">
        <v>7</v>
      </c>
      <c r="C217" t="s">
        <v>73</v>
      </c>
      <c r="D217" t="s">
        <v>108</v>
      </c>
      <c r="E217" s="2">
        <v>6538</v>
      </c>
      <c r="F217">
        <v>79</v>
      </c>
    </row>
    <row r="218" spans="1:6">
      <c r="A218" t="s">
        <v>14</v>
      </c>
      <c r="B218" t="s">
        <v>15</v>
      </c>
      <c r="C218" t="s">
        <v>33</v>
      </c>
      <c r="D218" s="1">
        <v>44658</v>
      </c>
      <c r="E218" s="2">
        <v>3199</v>
      </c>
      <c r="F218">
        <v>122</v>
      </c>
    </row>
    <row r="219" spans="1:6">
      <c r="A219" t="s">
        <v>6</v>
      </c>
      <c r="B219" t="s">
        <v>10</v>
      </c>
      <c r="C219" t="s">
        <v>26</v>
      </c>
      <c r="D219" s="1">
        <v>44688</v>
      </c>
      <c r="E219" s="2">
        <v>3472</v>
      </c>
      <c r="F219">
        <v>135</v>
      </c>
    </row>
    <row r="220" spans="1:6">
      <c r="A220" t="s">
        <v>77</v>
      </c>
      <c r="B220" t="s">
        <v>32</v>
      </c>
      <c r="C220" t="s">
        <v>23</v>
      </c>
      <c r="D220" t="s">
        <v>131</v>
      </c>
      <c r="E220" s="2">
        <v>4571</v>
      </c>
      <c r="F220">
        <v>430</v>
      </c>
    </row>
    <row r="221" spans="1:6">
      <c r="A221" t="s">
        <v>31</v>
      </c>
      <c r="B221" t="s">
        <v>7</v>
      </c>
      <c r="C221" t="s">
        <v>73</v>
      </c>
      <c r="D221" t="s">
        <v>78</v>
      </c>
      <c r="E221" s="2">
        <v>5481</v>
      </c>
      <c r="F221">
        <v>69</v>
      </c>
    </row>
    <row r="222" spans="1:6">
      <c r="A222" t="s">
        <v>83</v>
      </c>
      <c r="B222" t="s">
        <v>15</v>
      </c>
      <c r="C222" t="s">
        <v>100</v>
      </c>
      <c r="D222" s="1">
        <v>44896</v>
      </c>
      <c r="E222" s="2">
        <v>3136</v>
      </c>
      <c r="F222">
        <v>125</v>
      </c>
    </row>
    <row r="223" spans="1:6">
      <c r="A223" t="s">
        <v>40</v>
      </c>
      <c r="B223" t="s">
        <v>7</v>
      </c>
      <c r="C223" t="s">
        <v>87</v>
      </c>
      <c r="D223" s="1">
        <v>44840</v>
      </c>
      <c r="E223" s="2">
        <v>252</v>
      </c>
      <c r="F223">
        <v>154</v>
      </c>
    </row>
    <row r="224" spans="1:6">
      <c r="A224" t="s">
        <v>55</v>
      </c>
      <c r="B224" t="s">
        <v>15</v>
      </c>
      <c r="C224" t="s">
        <v>13</v>
      </c>
      <c r="D224" t="s">
        <v>132</v>
      </c>
      <c r="E224" s="2">
        <v>5460</v>
      </c>
      <c r="F224">
        <v>286</v>
      </c>
    </row>
    <row r="225" spans="1:6">
      <c r="A225" t="s">
        <v>29</v>
      </c>
      <c r="B225" t="s">
        <v>10</v>
      </c>
      <c r="C225" t="s">
        <v>65</v>
      </c>
      <c r="D225" t="s">
        <v>129</v>
      </c>
      <c r="E225" s="2">
        <v>3395</v>
      </c>
      <c r="F225">
        <v>99</v>
      </c>
    </row>
    <row r="226" spans="1:6">
      <c r="A226" t="s">
        <v>53</v>
      </c>
      <c r="B226" t="s">
        <v>7</v>
      </c>
      <c r="C226" t="s">
        <v>90</v>
      </c>
      <c r="D226" t="s">
        <v>74</v>
      </c>
      <c r="E226" s="2">
        <v>14938</v>
      </c>
      <c r="F226">
        <v>433</v>
      </c>
    </row>
    <row r="227" spans="1:6">
      <c r="A227" t="s">
        <v>45</v>
      </c>
      <c r="B227" t="s">
        <v>10</v>
      </c>
      <c r="C227" t="s">
        <v>33</v>
      </c>
      <c r="D227" t="s">
        <v>49</v>
      </c>
      <c r="E227" s="2">
        <v>4053</v>
      </c>
      <c r="F227">
        <v>19</v>
      </c>
    </row>
    <row r="228" spans="1:6">
      <c r="A228" t="s">
        <v>6</v>
      </c>
      <c r="B228" t="s">
        <v>7</v>
      </c>
      <c r="C228" t="s">
        <v>100</v>
      </c>
      <c r="D228" t="s">
        <v>91</v>
      </c>
      <c r="E228" s="2">
        <v>5565</v>
      </c>
      <c r="F228">
        <v>258</v>
      </c>
    </row>
    <row r="229" spans="1:6">
      <c r="A229" t="s">
        <v>53</v>
      </c>
      <c r="B229" t="s">
        <v>15</v>
      </c>
      <c r="C229" t="s">
        <v>60</v>
      </c>
      <c r="D229" t="s">
        <v>131</v>
      </c>
      <c r="E229" s="2">
        <v>7161</v>
      </c>
      <c r="F229">
        <v>92</v>
      </c>
    </row>
    <row r="230" spans="1:6">
      <c r="A230" t="s">
        <v>77</v>
      </c>
      <c r="B230" t="s">
        <v>32</v>
      </c>
      <c r="C230" t="s">
        <v>36</v>
      </c>
      <c r="D230" t="s">
        <v>133</v>
      </c>
      <c r="E230" s="2">
        <v>8883</v>
      </c>
      <c r="F230">
        <v>200</v>
      </c>
    </row>
    <row r="231" spans="1:6">
      <c r="A231" t="s">
        <v>28</v>
      </c>
      <c r="B231" t="s">
        <v>10</v>
      </c>
      <c r="C231" t="s">
        <v>36</v>
      </c>
      <c r="D231" t="s">
        <v>116</v>
      </c>
      <c r="E231" s="2">
        <v>1351</v>
      </c>
      <c r="F231">
        <v>61</v>
      </c>
    </row>
    <row r="232" spans="1:6">
      <c r="A232" t="s">
        <v>34</v>
      </c>
      <c r="B232" t="s">
        <v>25</v>
      </c>
      <c r="C232" t="s">
        <v>59</v>
      </c>
      <c r="D232" t="s">
        <v>104</v>
      </c>
      <c r="E232" s="2">
        <v>3171</v>
      </c>
      <c r="F232">
        <v>246</v>
      </c>
    </row>
    <row r="233" spans="1:6">
      <c r="A233" t="s">
        <v>53</v>
      </c>
      <c r="B233" t="s">
        <v>32</v>
      </c>
      <c r="C233" t="s">
        <v>46</v>
      </c>
      <c r="D233" s="1">
        <v>44595</v>
      </c>
      <c r="E233" s="2">
        <v>854</v>
      </c>
      <c r="F233">
        <v>56</v>
      </c>
    </row>
    <row r="234" spans="1:6">
      <c r="A234" t="s">
        <v>9</v>
      </c>
      <c r="B234" t="s">
        <v>15</v>
      </c>
      <c r="C234" t="s">
        <v>46</v>
      </c>
      <c r="D234" t="s">
        <v>92</v>
      </c>
      <c r="E234" s="2">
        <v>7910</v>
      </c>
      <c r="F234">
        <v>87</v>
      </c>
    </row>
    <row r="235" spans="1:6">
      <c r="A235" t="s">
        <v>41</v>
      </c>
      <c r="B235" t="s">
        <v>35</v>
      </c>
      <c r="C235" t="s">
        <v>59</v>
      </c>
      <c r="D235" t="s">
        <v>82</v>
      </c>
      <c r="E235" s="2">
        <v>9275</v>
      </c>
      <c r="F235">
        <v>173</v>
      </c>
    </row>
    <row r="236" spans="1:6">
      <c r="A236" t="s">
        <v>79</v>
      </c>
      <c r="B236" t="s">
        <v>15</v>
      </c>
      <c r="C236" t="s">
        <v>26</v>
      </c>
      <c r="D236" s="1">
        <v>44900</v>
      </c>
      <c r="E236" s="2">
        <v>3108</v>
      </c>
      <c r="F236">
        <v>252</v>
      </c>
    </row>
    <row r="237" spans="1:6">
      <c r="A237" t="s">
        <v>34</v>
      </c>
      <c r="B237" t="s">
        <v>25</v>
      </c>
      <c r="C237" t="s">
        <v>42</v>
      </c>
      <c r="D237" s="1">
        <v>44568</v>
      </c>
      <c r="E237" s="2">
        <v>5075</v>
      </c>
      <c r="F237">
        <v>256</v>
      </c>
    </row>
    <row r="238" spans="1:6">
      <c r="A238" t="s">
        <v>53</v>
      </c>
      <c r="B238" t="s">
        <v>32</v>
      </c>
      <c r="C238" t="s">
        <v>11</v>
      </c>
      <c r="D238" s="1">
        <v>44781</v>
      </c>
      <c r="E238" s="2">
        <v>378</v>
      </c>
      <c r="F238">
        <v>54</v>
      </c>
    </row>
    <row r="239" spans="1:6">
      <c r="A239" t="s">
        <v>77</v>
      </c>
      <c r="B239" t="s">
        <v>15</v>
      </c>
      <c r="C239" t="s">
        <v>26</v>
      </c>
      <c r="D239" t="s">
        <v>113</v>
      </c>
      <c r="E239" s="2">
        <v>7350</v>
      </c>
      <c r="F239">
        <v>6</v>
      </c>
    </row>
    <row r="240" spans="1:6">
      <c r="A240" t="s">
        <v>64</v>
      </c>
      <c r="B240" t="s">
        <v>7</v>
      </c>
      <c r="C240" t="s">
        <v>38</v>
      </c>
      <c r="D240" t="s">
        <v>84</v>
      </c>
      <c r="E240" s="2">
        <v>3388</v>
      </c>
      <c r="F240">
        <v>55</v>
      </c>
    </row>
    <row r="241" spans="1:6">
      <c r="A241" t="s">
        <v>71</v>
      </c>
      <c r="B241" t="s">
        <v>10</v>
      </c>
      <c r="C241" t="s">
        <v>13</v>
      </c>
      <c r="D241" t="s">
        <v>82</v>
      </c>
      <c r="E241" s="2">
        <v>11837</v>
      </c>
      <c r="F241">
        <v>277</v>
      </c>
    </row>
    <row r="242" spans="1:6">
      <c r="A242" t="s">
        <v>48</v>
      </c>
      <c r="B242" t="s">
        <v>10</v>
      </c>
      <c r="C242" t="s">
        <v>100</v>
      </c>
      <c r="D242" s="1">
        <v>44688</v>
      </c>
      <c r="E242" s="2">
        <v>2282</v>
      </c>
      <c r="F242">
        <v>44</v>
      </c>
    </row>
    <row r="243" spans="1:6">
      <c r="A243" t="s">
        <v>34</v>
      </c>
      <c r="B243" t="s">
        <v>32</v>
      </c>
      <c r="C243" t="s">
        <v>60</v>
      </c>
      <c r="D243" s="1">
        <v>44658</v>
      </c>
      <c r="E243" s="2">
        <v>5425</v>
      </c>
      <c r="F243">
        <v>96</v>
      </c>
    </row>
    <row r="244" spans="1:6">
      <c r="A244" t="s">
        <v>79</v>
      </c>
      <c r="B244" t="s">
        <v>7</v>
      </c>
      <c r="C244" t="s">
        <v>100</v>
      </c>
      <c r="D244" t="s">
        <v>92</v>
      </c>
      <c r="E244" s="2">
        <v>1267</v>
      </c>
      <c r="F244">
        <v>216</v>
      </c>
    </row>
    <row r="245" spans="1:6">
      <c r="A245" t="s">
        <v>22</v>
      </c>
      <c r="B245" t="s">
        <v>15</v>
      </c>
      <c r="C245" t="s">
        <v>65</v>
      </c>
      <c r="D245" t="s">
        <v>21</v>
      </c>
      <c r="E245" s="2">
        <v>3752</v>
      </c>
      <c r="F245">
        <v>424</v>
      </c>
    </row>
    <row r="246" spans="1:6">
      <c r="A246" t="s">
        <v>55</v>
      </c>
      <c r="B246" t="s">
        <v>25</v>
      </c>
      <c r="C246" t="s">
        <v>50</v>
      </c>
      <c r="D246" s="1">
        <v>44568</v>
      </c>
      <c r="E246" s="2">
        <v>7728</v>
      </c>
      <c r="F246">
        <v>37</v>
      </c>
    </row>
    <row r="247" spans="1:6">
      <c r="A247" t="s">
        <v>12</v>
      </c>
      <c r="B247" t="s">
        <v>32</v>
      </c>
      <c r="C247" t="s">
        <v>26</v>
      </c>
      <c r="D247" t="s">
        <v>121</v>
      </c>
      <c r="E247" s="2">
        <v>2296</v>
      </c>
      <c r="F247">
        <v>59</v>
      </c>
    </row>
    <row r="248" spans="1:6">
      <c r="A248" t="s">
        <v>41</v>
      </c>
      <c r="B248" t="s">
        <v>7</v>
      </c>
      <c r="C248" t="s">
        <v>18</v>
      </c>
      <c r="D248" s="1">
        <v>44656</v>
      </c>
      <c r="E248" s="2">
        <v>4403</v>
      </c>
      <c r="F248">
        <v>76</v>
      </c>
    </row>
    <row r="249" spans="1:6">
      <c r="A249" t="s">
        <v>41</v>
      </c>
      <c r="B249" t="s">
        <v>15</v>
      </c>
      <c r="C249" t="s">
        <v>87</v>
      </c>
      <c r="D249" s="1">
        <v>44659</v>
      </c>
      <c r="E249" s="2">
        <v>3192</v>
      </c>
      <c r="F249">
        <v>109</v>
      </c>
    </row>
    <row r="250" spans="1:6">
      <c r="A250" t="s">
        <v>41</v>
      </c>
      <c r="B250" t="s">
        <v>10</v>
      </c>
      <c r="C250" t="s">
        <v>100</v>
      </c>
      <c r="D250" s="1">
        <v>44567</v>
      </c>
      <c r="E250" s="2">
        <v>448</v>
      </c>
      <c r="F250">
        <v>146</v>
      </c>
    </row>
    <row r="251" spans="1:6">
      <c r="A251" t="s">
        <v>6</v>
      </c>
      <c r="B251" t="s">
        <v>7</v>
      </c>
      <c r="C251" t="s">
        <v>75</v>
      </c>
      <c r="D251" t="s">
        <v>134</v>
      </c>
      <c r="E251" s="2">
        <v>4270</v>
      </c>
      <c r="F251">
        <v>185</v>
      </c>
    </row>
    <row r="252" spans="1:6">
      <c r="A252" t="s">
        <v>55</v>
      </c>
      <c r="B252" t="s">
        <v>32</v>
      </c>
      <c r="C252" t="s">
        <v>26</v>
      </c>
      <c r="D252" s="1">
        <v>44628</v>
      </c>
      <c r="E252" s="2">
        <v>70</v>
      </c>
      <c r="F252">
        <v>27</v>
      </c>
    </row>
    <row r="253" spans="1:6">
      <c r="A253" t="s">
        <v>83</v>
      </c>
      <c r="B253" t="s">
        <v>32</v>
      </c>
      <c r="C253" t="s">
        <v>33</v>
      </c>
      <c r="D253" s="1">
        <v>44840</v>
      </c>
      <c r="E253" s="2">
        <v>1743</v>
      </c>
      <c r="F253">
        <v>69</v>
      </c>
    </row>
    <row r="254" spans="1:6">
      <c r="A254" t="s">
        <v>22</v>
      </c>
      <c r="B254" t="s">
        <v>7</v>
      </c>
      <c r="C254" t="s">
        <v>60</v>
      </c>
      <c r="D254" t="s">
        <v>49</v>
      </c>
      <c r="E254" s="2">
        <v>6762</v>
      </c>
      <c r="F254">
        <v>46</v>
      </c>
    </row>
    <row r="255" spans="1:6">
      <c r="A255" t="s">
        <v>40</v>
      </c>
      <c r="B255" t="s">
        <v>15</v>
      </c>
      <c r="C255" t="s">
        <v>18</v>
      </c>
      <c r="D255" s="1">
        <v>44621</v>
      </c>
      <c r="E255" s="2">
        <v>3745</v>
      </c>
      <c r="F255">
        <v>170</v>
      </c>
    </row>
    <row r="256" spans="1:6">
      <c r="A256" t="s">
        <v>40</v>
      </c>
      <c r="B256" t="s">
        <v>10</v>
      </c>
      <c r="C256" t="s">
        <v>23</v>
      </c>
      <c r="D256" s="1">
        <v>44872</v>
      </c>
      <c r="E256" s="2">
        <v>2639</v>
      </c>
      <c r="F256">
        <v>179</v>
      </c>
    </row>
    <row r="257" spans="1:6">
      <c r="A257" t="s">
        <v>83</v>
      </c>
      <c r="B257" t="s">
        <v>25</v>
      </c>
      <c r="C257" t="s">
        <v>46</v>
      </c>
      <c r="D257" t="s">
        <v>135</v>
      </c>
      <c r="E257" s="2">
        <v>4389</v>
      </c>
      <c r="F257">
        <v>126</v>
      </c>
    </row>
    <row r="258" spans="1:6">
      <c r="A258" t="s">
        <v>29</v>
      </c>
      <c r="B258" t="s">
        <v>32</v>
      </c>
      <c r="C258" t="s">
        <v>57</v>
      </c>
      <c r="D258" t="s">
        <v>115</v>
      </c>
      <c r="E258" s="2">
        <v>2604</v>
      </c>
      <c r="F258">
        <v>65</v>
      </c>
    </row>
    <row r="259" spans="1:6">
      <c r="A259" t="s">
        <v>83</v>
      </c>
      <c r="B259" t="s">
        <v>10</v>
      </c>
      <c r="C259" t="s">
        <v>42</v>
      </c>
      <c r="D259" s="1">
        <v>44776</v>
      </c>
      <c r="E259" s="2">
        <v>16569</v>
      </c>
      <c r="F259">
        <v>99</v>
      </c>
    </row>
    <row r="260" spans="1:6">
      <c r="A260" t="s">
        <v>34</v>
      </c>
      <c r="B260" t="s">
        <v>15</v>
      </c>
      <c r="C260" t="s">
        <v>33</v>
      </c>
      <c r="D260" s="1">
        <v>44745</v>
      </c>
      <c r="E260" s="2">
        <v>14658</v>
      </c>
      <c r="F260">
        <v>275</v>
      </c>
    </row>
    <row r="261" spans="1:6">
      <c r="A261" t="s">
        <v>53</v>
      </c>
      <c r="B261" t="s">
        <v>10</v>
      </c>
      <c r="C261" t="s">
        <v>100</v>
      </c>
      <c r="D261" s="1">
        <v>44809</v>
      </c>
      <c r="E261" s="2">
        <v>6454</v>
      </c>
      <c r="F261">
        <v>157</v>
      </c>
    </row>
    <row r="262" spans="1:6">
      <c r="A262" t="s">
        <v>31</v>
      </c>
      <c r="B262" t="s">
        <v>25</v>
      </c>
      <c r="C262" t="s">
        <v>11</v>
      </c>
      <c r="D262" t="s">
        <v>136</v>
      </c>
      <c r="E262" s="2">
        <v>2100</v>
      </c>
      <c r="F262">
        <v>157</v>
      </c>
    </row>
    <row r="263" spans="1:6">
      <c r="A263" t="s">
        <v>77</v>
      </c>
      <c r="B263" t="s">
        <v>7</v>
      </c>
      <c r="C263" t="s">
        <v>90</v>
      </c>
      <c r="D263" t="s">
        <v>74</v>
      </c>
      <c r="E263" s="2">
        <v>161</v>
      </c>
      <c r="F263">
        <v>145</v>
      </c>
    </row>
    <row r="264" spans="1:6">
      <c r="A264" t="s">
        <v>12</v>
      </c>
      <c r="B264" t="s">
        <v>15</v>
      </c>
      <c r="C264" t="s">
        <v>38</v>
      </c>
      <c r="D264" t="s">
        <v>129</v>
      </c>
      <c r="E264" s="2">
        <v>2807</v>
      </c>
      <c r="F264">
        <v>139</v>
      </c>
    </row>
    <row r="265" spans="1:6">
      <c r="A265" t="s">
        <v>40</v>
      </c>
      <c r="B265" t="s">
        <v>35</v>
      </c>
      <c r="C265" t="s">
        <v>75</v>
      </c>
      <c r="D265" t="s">
        <v>78</v>
      </c>
      <c r="E265" s="2">
        <v>2639</v>
      </c>
      <c r="F265">
        <v>406</v>
      </c>
    </row>
    <row r="266" spans="1:6">
      <c r="A266" t="s">
        <v>83</v>
      </c>
      <c r="B266" t="s">
        <v>32</v>
      </c>
      <c r="C266" t="s">
        <v>100</v>
      </c>
      <c r="D266" s="1">
        <v>44870</v>
      </c>
      <c r="E266" s="2">
        <v>4571</v>
      </c>
      <c r="F266">
        <v>122</v>
      </c>
    </row>
    <row r="267" spans="1:6">
      <c r="A267" t="s">
        <v>77</v>
      </c>
      <c r="B267" t="s">
        <v>10</v>
      </c>
      <c r="C267" t="s">
        <v>42</v>
      </c>
      <c r="D267" t="s">
        <v>43</v>
      </c>
      <c r="E267" s="2">
        <v>4781</v>
      </c>
      <c r="F267">
        <v>38</v>
      </c>
    </row>
    <row r="268" spans="1:6">
      <c r="A268" t="s">
        <v>31</v>
      </c>
      <c r="B268" t="s">
        <v>32</v>
      </c>
      <c r="C268" t="s">
        <v>26</v>
      </c>
      <c r="D268" t="s">
        <v>91</v>
      </c>
      <c r="E268" s="2">
        <v>13034</v>
      </c>
      <c r="F268">
        <v>117</v>
      </c>
    </row>
    <row r="269" spans="1:6">
      <c r="A269" t="s">
        <v>58</v>
      </c>
      <c r="B269" t="s">
        <v>25</v>
      </c>
      <c r="C269" t="s">
        <v>8</v>
      </c>
      <c r="D269" s="1">
        <v>44685</v>
      </c>
      <c r="E269" s="2">
        <v>6454</v>
      </c>
      <c r="F269">
        <v>417</v>
      </c>
    </row>
    <row r="270" spans="1:6">
      <c r="A270" t="s">
        <v>40</v>
      </c>
      <c r="B270" t="s">
        <v>25</v>
      </c>
      <c r="C270" t="s">
        <v>18</v>
      </c>
      <c r="D270" t="s">
        <v>127</v>
      </c>
      <c r="E270" s="2">
        <v>8484</v>
      </c>
      <c r="F270">
        <v>57</v>
      </c>
    </row>
    <row r="271" spans="1:6">
      <c r="A271" t="s">
        <v>28</v>
      </c>
      <c r="B271" t="s">
        <v>35</v>
      </c>
      <c r="C271" t="s">
        <v>65</v>
      </c>
      <c r="D271" t="s">
        <v>121</v>
      </c>
      <c r="E271" s="2">
        <v>4781</v>
      </c>
      <c r="F271">
        <v>125</v>
      </c>
    </row>
    <row r="272" spans="1:6">
      <c r="A272" t="s">
        <v>41</v>
      </c>
      <c r="B272" t="s">
        <v>15</v>
      </c>
      <c r="C272" t="s">
        <v>59</v>
      </c>
      <c r="D272" t="s">
        <v>49</v>
      </c>
      <c r="E272" s="2">
        <v>2240</v>
      </c>
      <c r="F272">
        <v>166</v>
      </c>
    </row>
    <row r="273" spans="1:6">
      <c r="A273" t="s">
        <v>79</v>
      </c>
      <c r="B273" t="s">
        <v>15</v>
      </c>
      <c r="C273" t="s">
        <v>36</v>
      </c>
      <c r="D273" t="s">
        <v>43</v>
      </c>
      <c r="E273" s="2">
        <v>6979</v>
      </c>
      <c r="F273">
        <v>3</v>
      </c>
    </row>
    <row r="274" spans="1:6">
      <c r="A274" t="s">
        <v>31</v>
      </c>
      <c r="B274" t="s">
        <v>7</v>
      </c>
      <c r="C274" t="s">
        <v>59</v>
      </c>
      <c r="D274" s="1">
        <v>44688</v>
      </c>
      <c r="E274" s="2">
        <v>1652</v>
      </c>
      <c r="F274">
        <v>72</v>
      </c>
    </row>
    <row r="275" spans="1:6">
      <c r="A275" t="s">
        <v>41</v>
      </c>
      <c r="B275" t="s">
        <v>35</v>
      </c>
      <c r="C275" t="s">
        <v>87</v>
      </c>
      <c r="D275" s="1">
        <v>44866</v>
      </c>
      <c r="E275" s="2">
        <v>13447</v>
      </c>
      <c r="F275">
        <v>95</v>
      </c>
    </row>
    <row r="276" spans="1:6">
      <c r="A276" t="s">
        <v>70</v>
      </c>
      <c r="B276" t="s">
        <v>32</v>
      </c>
      <c r="C276" t="s">
        <v>59</v>
      </c>
      <c r="D276" s="1">
        <v>44745</v>
      </c>
      <c r="E276" s="2">
        <v>9422</v>
      </c>
      <c r="F276">
        <v>22</v>
      </c>
    </row>
    <row r="277" spans="1:6">
      <c r="A277" t="s">
        <v>55</v>
      </c>
      <c r="B277" t="s">
        <v>35</v>
      </c>
      <c r="C277" t="s">
        <v>26</v>
      </c>
      <c r="D277" s="1">
        <v>44654</v>
      </c>
      <c r="E277" s="2">
        <v>8687</v>
      </c>
      <c r="F277">
        <v>100</v>
      </c>
    </row>
    <row r="278" spans="1:6">
      <c r="A278" t="s">
        <v>37</v>
      </c>
      <c r="B278" t="s">
        <v>35</v>
      </c>
      <c r="C278" t="s">
        <v>42</v>
      </c>
      <c r="D278" t="s">
        <v>82</v>
      </c>
      <c r="E278" s="2">
        <v>2415</v>
      </c>
      <c r="F278">
        <v>312</v>
      </c>
    </row>
    <row r="279" spans="1:6">
      <c r="A279" t="s">
        <v>55</v>
      </c>
      <c r="B279" t="s">
        <v>7</v>
      </c>
      <c r="C279" t="s">
        <v>13</v>
      </c>
      <c r="D279" s="1">
        <v>44870</v>
      </c>
      <c r="E279" s="2">
        <v>6272</v>
      </c>
      <c r="F279">
        <v>86</v>
      </c>
    </row>
    <row r="280" spans="1:6">
      <c r="A280" t="s">
        <v>37</v>
      </c>
      <c r="B280" t="s">
        <v>32</v>
      </c>
      <c r="C280" t="s">
        <v>46</v>
      </c>
      <c r="D280" t="s">
        <v>95</v>
      </c>
      <c r="E280" s="2">
        <v>4389</v>
      </c>
      <c r="F280">
        <v>7</v>
      </c>
    </row>
    <row r="281" spans="1:6">
      <c r="A281" t="s">
        <v>37</v>
      </c>
      <c r="B281" t="s">
        <v>10</v>
      </c>
      <c r="C281" t="s">
        <v>33</v>
      </c>
      <c r="D281" t="s">
        <v>49</v>
      </c>
      <c r="E281" s="2">
        <v>3122</v>
      </c>
      <c r="F281">
        <v>149</v>
      </c>
    </row>
    <row r="282" spans="1:6">
      <c r="A282" t="s">
        <v>83</v>
      </c>
      <c r="B282" t="s">
        <v>10</v>
      </c>
      <c r="C282" t="s">
        <v>18</v>
      </c>
      <c r="D282" s="1">
        <v>44628</v>
      </c>
      <c r="E282" s="2">
        <v>8043</v>
      </c>
      <c r="F282">
        <v>18</v>
      </c>
    </row>
    <row r="283" spans="1:6">
      <c r="A283" t="s">
        <v>64</v>
      </c>
      <c r="B283" t="s">
        <v>25</v>
      </c>
      <c r="C283" t="s">
        <v>8</v>
      </c>
      <c r="D283" t="s">
        <v>137</v>
      </c>
      <c r="E283" s="2">
        <v>11662</v>
      </c>
      <c r="F283">
        <v>242</v>
      </c>
    </row>
    <row r="284" spans="1:6">
      <c r="A284" t="s">
        <v>64</v>
      </c>
      <c r="B284" t="s">
        <v>15</v>
      </c>
      <c r="C284" t="s">
        <v>57</v>
      </c>
      <c r="D284" t="s">
        <v>61</v>
      </c>
      <c r="E284" s="2">
        <v>392</v>
      </c>
      <c r="F284">
        <v>102</v>
      </c>
    </row>
    <row r="285" spans="1:6">
      <c r="A285" t="s">
        <v>58</v>
      </c>
      <c r="B285" t="s">
        <v>7</v>
      </c>
      <c r="C285" t="s">
        <v>13</v>
      </c>
      <c r="D285" s="1">
        <v>44744</v>
      </c>
      <c r="E285" s="2">
        <v>8925</v>
      </c>
      <c r="F285">
        <v>158</v>
      </c>
    </row>
    <row r="286" spans="1:6">
      <c r="A286" t="s">
        <v>37</v>
      </c>
      <c r="B286" t="s">
        <v>15</v>
      </c>
      <c r="C286" t="s">
        <v>65</v>
      </c>
      <c r="D286" s="1">
        <v>44780</v>
      </c>
      <c r="E286" s="2">
        <v>7294</v>
      </c>
      <c r="F286">
        <v>128</v>
      </c>
    </row>
    <row r="287" spans="1:6">
      <c r="A287" t="s">
        <v>58</v>
      </c>
      <c r="B287" t="s">
        <v>10</v>
      </c>
      <c r="C287" t="s">
        <v>46</v>
      </c>
      <c r="D287" t="s">
        <v>138</v>
      </c>
      <c r="E287" s="2">
        <v>1526</v>
      </c>
      <c r="F287">
        <v>96</v>
      </c>
    </row>
    <row r="288" spans="1:6">
      <c r="A288" t="s">
        <v>83</v>
      </c>
      <c r="B288" t="s">
        <v>7</v>
      </c>
      <c r="C288" t="s">
        <v>8</v>
      </c>
      <c r="D288" s="1">
        <v>44777</v>
      </c>
      <c r="E288" s="2">
        <v>2688</v>
      </c>
      <c r="F288">
        <v>209</v>
      </c>
    </row>
    <row r="289" spans="1:6">
      <c r="A289" t="s">
        <v>53</v>
      </c>
      <c r="B289" t="s">
        <v>15</v>
      </c>
      <c r="C289" t="s">
        <v>26</v>
      </c>
      <c r="D289" t="s">
        <v>137</v>
      </c>
      <c r="E289" s="2">
        <v>14889</v>
      </c>
      <c r="F289">
        <v>52</v>
      </c>
    </row>
    <row r="290" spans="1:6">
      <c r="A290" t="s">
        <v>14</v>
      </c>
      <c r="B290" t="s">
        <v>10</v>
      </c>
      <c r="C290" t="s">
        <v>57</v>
      </c>
      <c r="D290" s="1">
        <v>44656</v>
      </c>
      <c r="E290" s="2">
        <v>2912</v>
      </c>
      <c r="F290">
        <v>55</v>
      </c>
    </row>
    <row r="291" spans="1:6">
      <c r="A291" t="s">
        <v>34</v>
      </c>
      <c r="B291" t="s">
        <v>32</v>
      </c>
      <c r="C291" t="s">
        <v>11</v>
      </c>
      <c r="D291" s="1">
        <v>44870</v>
      </c>
      <c r="E291" s="2">
        <v>2632</v>
      </c>
      <c r="F291">
        <v>108</v>
      </c>
    </row>
    <row r="292" spans="1:6">
      <c r="A292" t="s">
        <v>34</v>
      </c>
      <c r="B292" t="s">
        <v>32</v>
      </c>
      <c r="C292" t="s">
        <v>36</v>
      </c>
      <c r="D292" t="s">
        <v>139</v>
      </c>
      <c r="E292" s="2">
        <v>6328</v>
      </c>
      <c r="F292">
        <v>51</v>
      </c>
    </row>
    <row r="293" spans="1:6">
      <c r="A293" t="s">
        <v>58</v>
      </c>
      <c r="B293" t="s">
        <v>35</v>
      </c>
      <c r="C293" t="s">
        <v>50</v>
      </c>
      <c r="D293" s="1">
        <v>44842</v>
      </c>
      <c r="E293" s="2">
        <v>2527</v>
      </c>
      <c r="F293">
        <v>216</v>
      </c>
    </row>
    <row r="294" spans="1:6">
      <c r="A294" t="s">
        <v>58</v>
      </c>
      <c r="B294" t="s">
        <v>32</v>
      </c>
      <c r="C294" t="s">
        <v>57</v>
      </c>
      <c r="D294" s="1">
        <v>44656</v>
      </c>
      <c r="E294" s="2">
        <v>1414</v>
      </c>
      <c r="F294">
        <v>318</v>
      </c>
    </row>
    <row r="295" spans="1:6">
      <c r="A295" t="s">
        <v>70</v>
      </c>
      <c r="B295" t="s">
        <v>32</v>
      </c>
      <c r="C295" t="s">
        <v>20</v>
      </c>
      <c r="D295" t="s">
        <v>97</v>
      </c>
      <c r="E295" s="2">
        <v>7714</v>
      </c>
      <c r="F295">
        <v>238</v>
      </c>
    </row>
    <row r="296" spans="1:6">
      <c r="A296" t="s">
        <v>79</v>
      </c>
      <c r="B296" t="s">
        <v>35</v>
      </c>
      <c r="C296" t="s">
        <v>73</v>
      </c>
      <c r="D296" s="1">
        <v>44628</v>
      </c>
      <c r="E296" s="2">
        <v>4347</v>
      </c>
      <c r="F296">
        <v>238</v>
      </c>
    </row>
    <row r="297" spans="1:6">
      <c r="A297" t="s">
        <v>40</v>
      </c>
      <c r="B297" t="s">
        <v>25</v>
      </c>
      <c r="C297" t="s">
        <v>46</v>
      </c>
      <c r="D297" t="s">
        <v>122</v>
      </c>
      <c r="E297" s="2">
        <v>7490</v>
      </c>
      <c r="F297">
        <v>315</v>
      </c>
    </row>
    <row r="298" spans="1:6">
      <c r="A298" t="s">
        <v>77</v>
      </c>
      <c r="B298" t="s">
        <v>15</v>
      </c>
      <c r="C298" t="s">
        <v>75</v>
      </c>
      <c r="D298" s="1">
        <v>44777</v>
      </c>
      <c r="E298" s="2">
        <v>2058</v>
      </c>
      <c r="F298">
        <v>72</v>
      </c>
    </row>
    <row r="299" spans="1:6">
      <c r="A299" t="s">
        <v>70</v>
      </c>
      <c r="B299" t="s">
        <v>7</v>
      </c>
      <c r="C299" t="s">
        <v>33</v>
      </c>
      <c r="D299" s="1">
        <v>44569</v>
      </c>
      <c r="E299" s="2">
        <v>3640</v>
      </c>
      <c r="F299">
        <v>3</v>
      </c>
    </row>
    <row r="300" spans="1:6">
      <c r="A300" t="s">
        <v>58</v>
      </c>
      <c r="B300" t="s">
        <v>35</v>
      </c>
      <c r="C300" t="s">
        <v>36</v>
      </c>
      <c r="D300" t="s">
        <v>131</v>
      </c>
      <c r="E300" s="2">
        <v>455</v>
      </c>
      <c r="F300">
        <v>45</v>
      </c>
    </row>
    <row r="301" spans="1:6">
      <c r="A301" t="s">
        <v>37</v>
      </c>
      <c r="B301" t="s">
        <v>10</v>
      </c>
      <c r="C301" t="s">
        <v>8</v>
      </c>
      <c r="D301" t="s">
        <v>82</v>
      </c>
      <c r="E301" s="2">
        <v>10990</v>
      </c>
      <c r="F301">
        <v>184</v>
      </c>
    </row>
    <row r="302" spans="1:6">
      <c r="A302" t="s">
        <v>31</v>
      </c>
      <c r="B302" t="s">
        <v>25</v>
      </c>
      <c r="C302" t="s">
        <v>65</v>
      </c>
      <c r="D302" t="s">
        <v>30</v>
      </c>
      <c r="E302" s="2">
        <v>5558</v>
      </c>
      <c r="F302">
        <v>127</v>
      </c>
    </row>
    <row r="303" spans="1:6">
      <c r="A303" t="s">
        <v>34</v>
      </c>
      <c r="B303" t="s">
        <v>15</v>
      </c>
      <c r="C303" t="s">
        <v>11</v>
      </c>
      <c r="D303" t="s">
        <v>93</v>
      </c>
      <c r="E303" s="2">
        <v>2541</v>
      </c>
      <c r="F303">
        <v>53</v>
      </c>
    </row>
    <row r="304" spans="1:6">
      <c r="A304" t="s">
        <v>83</v>
      </c>
      <c r="B304" t="s">
        <v>35</v>
      </c>
      <c r="C304" t="s">
        <v>36</v>
      </c>
      <c r="D304" s="1">
        <v>44835</v>
      </c>
      <c r="E304" s="2">
        <v>1876</v>
      </c>
      <c r="F304">
        <v>172</v>
      </c>
    </row>
    <row r="305" spans="1:6">
      <c r="A305" t="s">
        <v>12</v>
      </c>
      <c r="B305" t="s">
        <v>15</v>
      </c>
      <c r="C305" t="s">
        <v>59</v>
      </c>
      <c r="D305" s="1">
        <v>44870</v>
      </c>
      <c r="E305" s="2">
        <v>5523</v>
      </c>
      <c r="F305">
        <v>87</v>
      </c>
    </row>
    <row r="306" spans="1:6">
      <c r="A306" t="s">
        <v>41</v>
      </c>
      <c r="B306" t="s">
        <v>25</v>
      </c>
      <c r="C306" t="s">
        <v>11</v>
      </c>
      <c r="D306" t="s">
        <v>140</v>
      </c>
      <c r="E306" s="2">
        <v>11200</v>
      </c>
      <c r="F306">
        <v>22</v>
      </c>
    </row>
    <row r="307" spans="1:6">
      <c r="A307" t="s">
        <v>55</v>
      </c>
      <c r="B307" t="s">
        <v>32</v>
      </c>
      <c r="C307" t="s">
        <v>90</v>
      </c>
      <c r="D307" t="s">
        <v>141</v>
      </c>
      <c r="E307" s="2">
        <v>5593</v>
      </c>
      <c r="F307">
        <v>122</v>
      </c>
    </row>
    <row r="308" spans="1:6">
      <c r="A308" t="s">
        <v>34</v>
      </c>
      <c r="B308" t="s">
        <v>15</v>
      </c>
      <c r="C308" t="s">
        <v>65</v>
      </c>
      <c r="D308" s="1">
        <v>44569</v>
      </c>
      <c r="E308" s="2">
        <v>7882</v>
      </c>
      <c r="F308">
        <v>125</v>
      </c>
    </row>
    <row r="309" spans="1:6">
      <c r="A309" t="s">
        <v>28</v>
      </c>
      <c r="B309" t="s">
        <v>35</v>
      </c>
      <c r="C309" t="s">
        <v>11</v>
      </c>
      <c r="D309" t="s">
        <v>51</v>
      </c>
      <c r="E309" s="2">
        <v>10241</v>
      </c>
      <c r="F309">
        <v>259</v>
      </c>
    </row>
    <row r="310" spans="1:6">
      <c r="A310" t="s">
        <v>28</v>
      </c>
      <c r="B310" t="s">
        <v>15</v>
      </c>
      <c r="C310" t="s">
        <v>38</v>
      </c>
      <c r="D310" t="s">
        <v>129</v>
      </c>
      <c r="E310" s="2">
        <v>6832</v>
      </c>
      <c r="F310">
        <v>156</v>
      </c>
    </row>
    <row r="311" spans="1:6">
      <c r="A311" t="s">
        <v>79</v>
      </c>
      <c r="B311" t="s">
        <v>32</v>
      </c>
      <c r="C311" t="s">
        <v>33</v>
      </c>
      <c r="D311" t="s">
        <v>76</v>
      </c>
      <c r="E311" s="2">
        <v>1379</v>
      </c>
      <c r="F311">
        <v>107</v>
      </c>
    </row>
    <row r="312" spans="1:6">
      <c r="A312" t="s">
        <v>29</v>
      </c>
      <c r="B312" t="s">
        <v>15</v>
      </c>
      <c r="C312" t="s">
        <v>26</v>
      </c>
      <c r="D312" t="s">
        <v>139</v>
      </c>
      <c r="E312" s="2">
        <v>3010</v>
      </c>
      <c r="F312">
        <v>40</v>
      </c>
    </row>
    <row r="313" spans="1:6">
      <c r="A313" t="s">
        <v>58</v>
      </c>
      <c r="B313" t="s">
        <v>10</v>
      </c>
      <c r="C313" t="s">
        <v>20</v>
      </c>
      <c r="D313" t="s">
        <v>142</v>
      </c>
      <c r="E313" s="2">
        <v>6888</v>
      </c>
      <c r="F313">
        <v>311</v>
      </c>
    </row>
    <row r="314" spans="1:6">
      <c r="A314" t="s">
        <v>48</v>
      </c>
      <c r="B314" t="s">
        <v>7</v>
      </c>
      <c r="C314" t="s">
        <v>59</v>
      </c>
      <c r="D314" s="1">
        <v>44563</v>
      </c>
      <c r="E314" s="2">
        <v>1540</v>
      </c>
      <c r="F314">
        <v>73</v>
      </c>
    </row>
    <row r="315" spans="1:6">
      <c r="A315" t="s">
        <v>70</v>
      </c>
      <c r="B315" t="s">
        <v>15</v>
      </c>
      <c r="C315" t="s">
        <v>23</v>
      </c>
      <c r="D315" s="1">
        <v>44595</v>
      </c>
      <c r="E315" s="2">
        <v>6916</v>
      </c>
      <c r="F315">
        <v>288</v>
      </c>
    </row>
    <row r="316" spans="1:6">
      <c r="A316" t="s">
        <v>12</v>
      </c>
      <c r="B316" t="s">
        <v>7</v>
      </c>
      <c r="C316" t="s">
        <v>57</v>
      </c>
      <c r="D316" s="1">
        <v>44716</v>
      </c>
      <c r="E316" s="2">
        <v>1232</v>
      </c>
      <c r="F316">
        <v>86</v>
      </c>
    </row>
    <row r="317" spans="1:6">
      <c r="A317" t="s">
        <v>22</v>
      </c>
      <c r="B317" t="s">
        <v>15</v>
      </c>
      <c r="C317" t="s">
        <v>73</v>
      </c>
      <c r="D317" t="s">
        <v>123</v>
      </c>
      <c r="E317" s="2">
        <v>602</v>
      </c>
      <c r="F317">
        <v>72</v>
      </c>
    </row>
    <row r="318" spans="1:6">
      <c r="A318" t="s">
        <v>48</v>
      </c>
      <c r="B318" t="s">
        <v>7</v>
      </c>
      <c r="C318" t="s">
        <v>57</v>
      </c>
      <c r="D318" t="s">
        <v>143</v>
      </c>
      <c r="E318" s="2">
        <v>10927</v>
      </c>
      <c r="F318">
        <v>136</v>
      </c>
    </row>
    <row r="319" spans="1:6">
      <c r="A319" t="s">
        <v>31</v>
      </c>
      <c r="B319" t="s">
        <v>35</v>
      </c>
      <c r="C319" t="s">
        <v>26</v>
      </c>
      <c r="D319" t="s">
        <v>80</v>
      </c>
      <c r="E319" s="2">
        <v>10185</v>
      </c>
      <c r="F319">
        <v>303</v>
      </c>
    </row>
    <row r="320" spans="1:6">
      <c r="A320" t="s">
        <v>48</v>
      </c>
      <c r="B320" t="s">
        <v>32</v>
      </c>
      <c r="C320" t="s">
        <v>50</v>
      </c>
      <c r="D320" s="1">
        <v>44872</v>
      </c>
      <c r="E320" s="2">
        <v>1603</v>
      </c>
      <c r="F320">
        <v>264</v>
      </c>
    </row>
    <row r="321" spans="1:6">
      <c r="A321" t="s">
        <v>28</v>
      </c>
      <c r="B321" t="s">
        <v>10</v>
      </c>
      <c r="C321" t="s">
        <v>65</v>
      </c>
      <c r="D321" t="s">
        <v>30</v>
      </c>
      <c r="E321" s="2">
        <v>2170</v>
      </c>
      <c r="F321">
        <v>218</v>
      </c>
    </row>
    <row r="322" spans="1:6">
      <c r="A322" t="s">
        <v>19</v>
      </c>
      <c r="B322" t="s">
        <v>25</v>
      </c>
      <c r="C322" t="s">
        <v>18</v>
      </c>
      <c r="D322" s="1">
        <v>44749</v>
      </c>
      <c r="E322" s="2">
        <v>8673</v>
      </c>
      <c r="F322">
        <v>60</v>
      </c>
    </row>
    <row r="323" spans="1:6">
      <c r="A323" t="s">
        <v>14</v>
      </c>
      <c r="B323" t="s">
        <v>10</v>
      </c>
      <c r="C323" t="s">
        <v>11</v>
      </c>
      <c r="D323" t="s">
        <v>99</v>
      </c>
      <c r="E323" s="2">
        <v>4760</v>
      </c>
      <c r="F323">
        <v>418</v>
      </c>
    </row>
    <row r="324" spans="1:6">
      <c r="A324" t="s">
        <v>40</v>
      </c>
      <c r="B324" t="s">
        <v>10</v>
      </c>
      <c r="C324" t="s">
        <v>57</v>
      </c>
      <c r="D324" t="s">
        <v>121</v>
      </c>
      <c r="E324" s="2">
        <v>4753</v>
      </c>
      <c r="F324">
        <v>151</v>
      </c>
    </row>
    <row r="325" spans="1:6">
      <c r="A325" t="s">
        <v>67</v>
      </c>
      <c r="B325" t="s">
        <v>25</v>
      </c>
      <c r="C325" t="s">
        <v>26</v>
      </c>
      <c r="D325" s="1">
        <v>44595</v>
      </c>
      <c r="E325" s="2">
        <v>3374</v>
      </c>
      <c r="F325">
        <v>202</v>
      </c>
    </row>
    <row r="326" spans="1:6">
      <c r="A326" t="s">
        <v>22</v>
      </c>
      <c r="B326" t="s">
        <v>35</v>
      </c>
      <c r="C326" t="s">
        <v>73</v>
      </c>
      <c r="D326" t="s">
        <v>142</v>
      </c>
      <c r="E326" s="2">
        <v>2058</v>
      </c>
      <c r="F326">
        <v>126</v>
      </c>
    </row>
    <row r="327" spans="1:6">
      <c r="A327" t="s">
        <v>70</v>
      </c>
      <c r="B327" t="s">
        <v>32</v>
      </c>
      <c r="C327" t="s">
        <v>38</v>
      </c>
      <c r="D327" t="s">
        <v>101</v>
      </c>
      <c r="E327" s="2">
        <v>6454</v>
      </c>
      <c r="F327">
        <v>160</v>
      </c>
    </row>
    <row r="328" spans="1:6">
      <c r="A328" t="s">
        <v>9</v>
      </c>
      <c r="B328" t="s">
        <v>35</v>
      </c>
      <c r="C328" t="s">
        <v>59</v>
      </c>
      <c r="D328" t="s">
        <v>139</v>
      </c>
      <c r="E328" s="2">
        <v>420</v>
      </c>
      <c r="F328">
        <v>3</v>
      </c>
    </row>
    <row r="329" spans="1:6">
      <c r="A329" t="s">
        <v>29</v>
      </c>
      <c r="B329" t="s">
        <v>32</v>
      </c>
      <c r="C329" t="s">
        <v>87</v>
      </c>
      <c r="D329" s="1">
        <v>44810</v>
      </c>
      <c r="E329" s="2">
        <v>2863</v>
      </c>
      <c r="F329">
        <v>58</v>
      </c>
    </row>
    <row r="330" spans="1:6">
      <c r="A330" t="s">
        <v>9</v>
      </c>
      <c r="B330" t="s">
        <v>15</v>
      </c>
      <c r="C330" t="s">
        <v>90</v>
      </c>
      <c r="D330" t="s">
        <v>144</v>
      </c>
      <c r="E330" s="2">
        <v>5936</v>
      </c>
      <c r="F330">
        <v>59</v>
      </c>
    </row>
    <row r="331" spans="1:6">
      <c r="A331" t="s">
        <v>83</v>
      </c>
      <c r="B331" t="s">
        <v>25</v>
      </c>
      <c r="C331" t="s">
        <v>13</v>
      </c>
      <c r="D331" s="1">
        <v>44654</v>
      </c>
      <c r="E331" s="2">
        <v>889</v>
      </c>
      <c r="F331">
        <v>273</v>
      </c>
    </row>
    <row r="332" spans="1:6">
      <c r="A332" t="s">
        <v>70</v>
      </c>
      <c r="B332" t="s">
        <v>35</v>
      </c>
      <c r="C332" t="s">
        <v>46</v>
      </c>
      <c r="D332" s="1">
        <v>44749</v>
      </c>
      <c r="E332" s="2">
        <v>16016</v>
      </c>
      <c r="F332">
        <v>28</v>
      </c>
    </row>
    <row r="333" spans="1:6">
      <c r="A333" t="s">
        <v>58</v>
      </c>
      <c r="B333" t="s">
        <v>35</v>
      </c>
      <c r="C333" t="s">
        <v>75</v>
      </c>
      <c r="D333" t="s">
        <v>30</v>
      </c>
      <c r="E333" s="2">
        <v>10479</v>
      </c>
      <c r="F333">
        <v>118</v>
      </c>
    </row>
    <row r="334" spans="1:6">
      <c r="A334" t="s">
        <v>48</v>
      </c>
      <c r="B334" t="s">
        <v>15</v>
      </c>
      <c r="C334" t="s">
        <v>65</v>
      </c>
      <c r="D334" t="s">
        <v>94</v>
      </c>
      <c r="E334" s="2">
        <v>2912</v>
      </c>
      <c r="F334">
        <v>75</v>
      </c>
    </row>
    <row r="335" spans="1:6">
      <c r="A335" t="s">
        <v>77</v>
      </c>
      <c r="B335" t="s">
        <v>15</v>
      </c>
      <c r="C335" t="s">
        <v>11</v>
      </c>
      <c r="D335" t="s">
        <v>111</v>
      </c>
      <c r="E335" s="2">
        <v>1575</v>
      </c>
      <c r="F335">
        <v>329</v>
      </c>
    </row>
    <row r="336" spans="1:6">
      <c r="A336" t="s">
        <v>12</v>
      </c>
      <c r="B336" t="s">
        <v>7</v>
      </c>
      <c r="C336" t="s">
        <v>26</v>
      </c>
      <c r="D336" t="s">
        <v>145</v>
      </c>
      <c r="E336" s="2">
        <v>8197</v>
      </c>
      <c r="F336">
        <v>69</v>
      </c>
    </row>
    <row r="337" spans="1:6">
      <c r="A337" t="s">
        <v>83</v>
      </c>
      <c r="B337" t="s">
        <v>7</v>
      </c>
      <c r="C337" t="s">
        <v>60</v>
      </c>
      <c r="D337" t="s">
        <v>52</v>
      </c>
      <c r="E337" s="2">
        <v>4221</v>
      </c>
      <c r="F337">
        <v>395</v>
      </c>
    </row>
    <row r="338" spans="1:6">
      <c r="A338" t="s">
        <v>12</v>
      </c>
      <c r="B338" t="s">
        <v>7</v>
      </c>
      <c r="C338" t="s">
        <v>100</v>
      </c>
      <c r="D338" t="s">
        <v>146</v>
      </c>
      <c r="E338" s="2">
        <v>840</v>
      </c>
      <c r="F338">
        <v>81</v>
      </c>
    </row>
    <row r="339" spans="1:6">
      <c r="A339" t="s">
        <v>6</v>
      </c>
      <c r="B339" t="s">
        <v>15</v>
      </c>
      <c r="C339" t="s">
        <v>13</v>
      </c>
      <c r="D339" t="s">
        <v>143</v>
      </c>
      <c r="E339" s="2">
        <v>5691</v>
      </c>
      <c r="F339">
        <v>38</v>
      </c>
    </row>
    <row r="340" spans="1:6">
      <c r="A340" t="s">
        <v>40</v>
      </c>
      <c r="B340" t="s">
        <v>10</v>
      </c>
      <c r="C340" t="s">
        <v>36</v>
      </c>
      <c r="D340" t="s">
        <v>30</v>
      </c>
      <c r="E340" s="2">
        <v>3472</v>
      </c>
      <c r="F340">
        <v>96</v>
      </c>
    </row>
    <row r="341" spans="1:6">
      <c r="A341" t="s">
        <v>48</v>
      </c>
      <c r="B341" t="s">
        <v>35</v>
      </c>
      <c r="C341" t="s">
        <v>57</v>
      </c>
      <c r="D341" s="1">
        <v>44655</v>
      </c>
      <c r="E341" s="2">
        <v>4193</v>
      </c>
      <c r="F341">
        <v>195</v>
      </c>
    </row>
    <row r="342" spans="1:6">
      <c r="A342" t="s">
        <v>55</v>
      </c>
      <c r="B342" t="s">
        <v>7</v>
      </c>
      <c r="C342" t="s">
        <v>18</v>
      </c>
      <c r="D342" s="1">
        <v>44779</v>
      </c>
      <c r="E342" s="2">
        <v>9016</v>
      </c>
      <c r="F342">
        <v>554</v>
      </c>
    </row>
    <row r="343" spans="1:6">
      <c r="A343" t="s">
        <v>37</v>
      </c>
      <c r="B343" t="s">
        <v>35</v>
      </c>
      <c r="C343" t="s">
        <v>50</v>
      </c>
      <c r="D343" s="1">
        <v>44600</v>
      </c>
      <c r="E343" s="2">
        <v>6328</v>
      </c>
      <c r="F343">
        <v>47</v>
      </c>
    </row>
    <row r="344" spans="1:6">
      <c r="A344" t="s">
        <v>70</v>
      </c>
      <c r="B344" t="s">
        <v>32</v>
      </c>
      <c r="C344" t="s">
        <v>42</v>
      </c>
      <c r="D344" t="s">
        <v>141</v>
      </c>
      <c r="E344" s="2">
        <v>9870</v>
      </c>
      <c r="F344">
        <v>152</v>
      </c>
    </row>
    <row r="345" spans="1:6">
      <c r="A345" t="s">
        <v>48</v>
      </c>
      <c r="B345" t="s">
        <v>10</v>
      </c>
      <c r="C345" t="s">
        <v>50</v>
      </c>
      <c r="D345" t="s">
        <v>92</v>
      </c>
      <c r="E345" s="2">
        <v>161</v>
      </c>
      <c r="F345">
        <v>134</v>
      </c>
    </row>
    <row r="346" spans="1:6">
      <c r="A346" t="s">
        <v>45</v>
      </c>
      <c r="B346" t="s">
        <v>10</v>
      </c>
      <c r="C346" t="s">
        <v>23</v>
      </c>
      <c r="D346" t="s">
        <v>147</v>
      </c>
      <c r="E346" s="2">
        <v>2576</v>
      </c>
      <c r="F346">
        <v>112</v>
      </c>
    </row>
    <row r="347" spans="1:6">
      <c r="A347" t="s">
        <v>71</v>
      </c>
      <c r="B347" t="s">
        <v>15</v>
      </c>
      <c r="C347" t="s">
        <v>90</v>
      </c>
      <c r="D347" s="1">
        <v>44597</v>
      </c>
      <c r="E347" s="2">
        <v>3178</v>
      </c>
      <c r="F347">
        <v>16</v>
      </c>
    </row>
    <row r="348" spans="1:6">
      <c r="A348" t="s">
        <v>48</v>
      </c>
      <c r="B348" t="s">
        <v>15</v>
      </c>
      <c r="C348" t="s">
        <v>20</v>
      </c>
      <c r="D348" s="1">
        <v>44743</v>
      </c>
      <c r="E348" s="2">
        <v>4676</v>
      </c>
      <c r="F348">
        <v>84</v>
      </c>
    </row>
    <row r="349" spans="1:6">
      <c r="A349" t="s">
        <v>34</v>
      </c>
      <c r="B349" t="s">
        <v>7</v>
      </c>
      <c r="C349" t="s">
        <v>26</v>
      </c>
      <c r="D349" t="s">
        <v>109</v>
      </c>
      <c r="E349" s="2">
        <v>5502</v>
      </c>
      <c r="F349">
        <v>99</v>
      </c>
    </row>
    <row r="350" spans="1:6">
      <c r="A350" t="s">
        <v>83</v>
      </c>
      <c r="B350" t="s">
        <v>35</v>
      </c>
      <c r="C350" t="s">
        <v>87</v>
      </c>
      <c r="D350" t="s">
        <v>148</v>
      </c>
      <c r="E350" s="2">
        <v>7462</v>
      </c>
      <c r="F350">
        <v>371</v>
      </c>
    </row>
    <row r="351" spans="1:6">
      <c r="A351" t="s">
        <v>9</v>
      </c>
      <c r="B351" t="s">
        <v>7</v>
      </c>
      <c r="C351" t="s">
        <v>38</v>
      </c>
      <c r="D351" s="1">
        <v>44655</v>
      </c>
      <c r="E351" s="2">
        <v>5803</v>
      </c>
      <c r="F351">
        <v>136</v>
      </c>
    </row>
    <row r="352" spans="1:6">
      <c r="A352" t="s">
        <v>22</v>
      </c>
      <c r="B352" t="s">
        <v>35</v>
      </c>
      <c r="C352" t="s">
        <v>57</v>
      </c>
      <c r="D352" t="s">
        <v>24</v>
      </c>
      <c r="E352" s="2">
        <v>13888</v>
      </c>
      <c r="F352">
        <v>203</v>
      </c>
    </row>
    <row r="353" spans="1:6">
      <c r="A353" t="s">
        <v>22</v>
      </c>
      <c r="B353" t="s">
        <v>25</v>
      </c>
      <c r="C353" t="s">
        <v>50</v>
      </c>
      <c r="D353" t="s">
        <v>85</v>
      </c>
      <c r="E353" s="2">
        <v>6867</v>
      </c>
      <c r="F353">
        <v>183</v>
      </c>
    </row>
    <row r="354" spans="1:6">
      <c r="A354" t="s">
        <v>22</v>
      </c>
      <c r="B354" t="s">
        <v>15</v>
      </c>
      <c r="C354" t="s">
        <v>38</v>
      </c>
      <c r="D354" t="s">
        <v>122</v>
      </c>
      <c r="E354" s="2">
        <v>2317</v>
      </c>
      <c r="F354">
        <v>195</v>
      </c>
    </row>
    <row r="355" spans="1:6">
      <c r="A355" t="s">
        <v>37</v>
      </c>
      <c r="B355" t="s">
        <v>25</v>
      </c>
      <c r="C355" t="s">
        <v>57</v>
      </c>
      <c r="D355" s="1">
        <v>44744</v>
      </c>
      <c r="E355" s="2">
        <v>1218</v>
      </c>
      <c r="F355">
        <v>135</v>
      </c>
    </row>
    <row r="356" spans="1:6">
      <c r="A356" t="s">
        <v>58</v>
      </c>
      <c r="B356" t="s">
        <v>25</v>
      </c>
      <c r="C356" t="s">
        <v>38</v>
      </c>
      <c r="D356" s="1">
        <v>44866</v>
      </c>
      <c r="E356" s="2">
        <v>4109</v>
      </c>
      <c r="F356">
        <v>197</v>
      </c>
    </row>
    <row r="357" spans="1:6">
      <c r="A357" t="s">
        <v>6</v>
      </c>
      <c r="B357" t="s">
        <v>10</v>
      </c>
      <c r="C357" t="s">
        <v>20</v>
      </c>
      <c r="D357" t="s">
        <v>104</v>
      </c>
      <c r="E357" s="2">
        <v>1953</v>
      </c>
      <c r="F357">
        <v>242</v>
      </c>
    </row>
    <row r="358" spans="1:6">
      <c r="A358" t="s">
        <v>79</v>
      </c>
      <c r="B358" t="s">
        <v>15</v>
      </c>
      <c r="C358" t="s">
        <v>8</v>
      </c>
      <c r="D358" s="1">
        <v>44569</v>
      </c>
      <c r="E358" s="2">
        <v>6790</v>
      </c>
      <c r="F358">
        <v>25</v>
      </c>
    </row>
    <row r="359" spans="1:6">
      <c r="A359" t="s">
        <v>45</v>
      </c>
      <c r="B359" t="s">
        <v>15</v>
      </c>
      <c r="C359" t="s">
        <v>8</v>
      </c>
      <c r="D359" s="1">
        <v>44686</v>
      </c>
      <c r="E359" s="2">
        <v>6797</v>
      </c>
      <c r="F359">
        <v>252</v>
      </c>
    </row>
    <row r="360" spans="1:6">
      <c r="A360" t="s">
        <v>77</v>
      </c>
      <c r="B360" t="s">
        <v>25</v>
      </c>
      <c r="C360" t="s">
        <v>73</v>
      </c>
      <c r="D360" t="s">
        <v>84</v>
      </c>
      <c r="E360" s="2">
        <v>9226</v>
      </c>
      <c r="F360">
        <v>415</v>
      </c>
    </row>
    <row r="361" spans="1:6">
      <c r="A361" t="s">
        <v>79</v>
      </c>
      <c r="B361" t="s">
        <v>25</v>
      </c>
      <c r="C361" t="s">
        <v>75</v>
      </c>
      <c r="D361" s="1">
        <v>44652</v>
      </c>
      <c r="E361" s="2">
        <v>5733</v>
      </c>
      <c r="F361">
        <v>348</v>
      </c>
    </row>
    <row r="362" spans="1:6">
      <c r="A362" t="s">
        <v>45</v>
      </c>
      <c r="B362" t="s">
        <v>25</v>
      </c>
      <c r="C362" t="s">
        <v>26</v>
      </c>
      <c r="D362" s="1">
        <v>44809</v>
      </c>
      <c r="E362" s="2">
        <v>4312</v>
      </c>
      <c r="F362">
        <v>211</v>
      </c>
    </row>
    <row r="363" spans="1:6">
      <c r="A363" t="s">
        <v>29</v>
      </c>
      <c r="B363" t="s">
        <v>10</v>
      </c>
      <c r="C363" t="s">
        <v>18</v>
      </c>
      <c r="D363" s="1">
        <v>44717</v>
      </c>
      <c r="E363" s="2">
        <v>1638</v>
      </c>
      <c r="F363">
        <v>81</v>
      </c>
    </row>
    <row r="364" spans="1:6">
      <c r="A364" t="s">
        <v>53</v>
      </c>
      <c r="B364" t="s">
        <v>7</v>
      </c>
      <c r="C364" t="s">
        <v>59</v>
      </c>
      <c r="D364" t="s">
        <v>30</v>
      </c>
      <c r="E364" s="2">
        <v>10815</v>
      </c>
      <c r="F364">
        <v>145</v>
      </c>
    </row>
    <row r="365" spans="1:6">
      <c r="A365" t="s">
        <v>45</v>
      </c>
      <c r="B365" t="s">
        <v>15</v>
      </c>
      <c r="C365" t="s">
        <v>65</v>
      </c>
      <c r="D365" t="s">
        <v>143</v>
      </c>
      <c r="E365" s="2">
        <v>4466</v>
      </c>
      <c r="F365">
        <v>74</v>
      </c>
    </row>
    <row r="366" spans="1:6">
      <c r="A366" t="s">
        <v>9</v>
      </c>
      <c r="B366" t="s">
        <v>32</v>
      </c>
      <c r="C366" t="s">
        <v>90</v>
      </c>
      <c r="D366" t="s">
        <v>44</v>
      </c>
      <c r="E366" s="2">
        <v>987</v>
      </c>
      <c r="F366">
        <v>21</v>
      </c>
    </row>
    <row r="367" spans="1:6">
      <c r="A367" t="s">
        <v>71</v>
      </c>
      <c r="B367" t="s">
        <v>15</v>
      </c>
      <c r="C367" t="s">
        <v>20</v>
      </c>
      <c r="D367" t="s">
        <v>115</v>
      </c>
      <c r="E367" s="2">
        <v>4669</v>
      </c>
      <c r="F367">
        <v>101</v>
      </c>
    </row>
    <row r="368" spans="1:6">
      <c r="A368" t="s">
        <v>55</v>
      </c>
      <c r="B368" t="s">
        <v>10</v>
      </c>
      <c r="C368" t="s">
        <v>46</v>
      </c>
      <c r="D368" s="1">
        <v>44597</v>
      </c>
      <c r="E368" s="2">
        <v>2905</v>
      </c>
      <c r="F368">
        <v>91</v>
      </c>
    </row>
    <row r="369" spans="1:6">
      <c r="A369" t="s">
        <v>83</v>
      </c>
      <c r="B369" t="s">
        <v>15</v>
      </c>
      <c r="C369" t="s">
        <v>18</v>
      </c>
      <c r="D369" t="s">
        <v>86</v>
      </c>
      <c r="E369" s="2">
        <v>7490</v>
      </c>
      <c r="F369">
        <v>54</v>
      </c>
    </row>
    <row r="370" spans="1:6">
      <c r="A370" t="s">
        <v>34</v>
      </c>
      <c r="B370" t="s">
        <v>32</v>
      </c>
      <c r="C370" t="s">
        <v>65</v>
      </c>
      <c r="D370" t="s">
        <v>107</v>
      </c>
      <c r="E370" s="2">
        <v>6986</v>
      </c>
      <c r="F370">
        <v>368</v>
      </c>
    </row>
    <row r="371" spans="1:6">
      <c r="A371" t="s">
        <v>55</v>
      </c>
      <c r="B371" t="s">
        <v>35</v>
      </c>
      <c r="C371" t="s">
        <v>20</v>
      </c>
      <c r="D371" t="s">
        <v>143</v>
      </c>
      <c r="E371" s="2">
        <v>1288</v>
      </c>
      <c r="F371">
        <v>409</v>
      </c>
    </row>
    <row r="372" spans="1:6">
      <c r="A372" t="s">
        <v>19</v>
      </c>
      <c r="B372" t="s">
        <v>7</v>
      </c>
      <c r="C372" t="s">
        <v>23</v>
      </c>
      <c r="D372" t="s">
        <v>145</v>
      </c>
      <c r="E372" s="2">
        <v>2345</v>
      </c>
      <c r="F372">
        <v>104</v>
      </c>
    </row>
    <row r="373" spans="1:6">
      <c r="A373" t="s">
        <v>22</v>
      </c>
      <c r="B373" t="s">
        <v>7</v>
      </c>
      <c r="C373" t="s">
        <v>36</v>
      </c>
      <c r="D373" t="s">
        <v>121</v>
      </c>
      <c r="E373" s="2">
        <v>3619</v>
      </c>
      <c r="F373">
        <v>164</v>
      </c>
    </row>
    <row r="374" spans="1:6">
      <c r="A374" t="s">
        <v>79</v>
      </c>
      <c r="B374" t="s">
        <v>32</v>
      </c>
      <c r="C374" t="s">
        <v>90</v>
      </c>
      <c r="D374" t="s">
        <v>74</v>
      </c>
      <c r="E374" s="2">
        <v>16982</v>
      </c>
      <c r="F374">
        <v>76</v>
      </c>
    </row>
    <row r="375" spans="1:6">
      <c r="A375" t="s">
        <v>14</v>
      </c>
      <c r="B375" t="s">
        <v>10</v>
      </c>
      <c r="C375" t="s">
        <v>13</v>
      </c>
      <c r="D375" s="1">
        <v>44652</v>
      </c>
      <c r="E375" s="2">
        <v>8092</v>
      </c>
      <c r="F375">
        <v>178</v>
      </c>
    </row>
    <row r="376" spans="1:6">
      <c r="A376" t="s">
        <v>53</v>
      </c>
      <c r="B376" t="s">
        <v>15</v>
      </c>
      <c r="C376" t="s">
        <v>36</v>
      </c>
      <c r="D376" s="1">
        <v>44658</v>
      </c>
      <c r="E376" s="2">
        <v>6993</v>
      </c>
      <c r="F376">
        <v>31</v>
      </c>
    </row>
    <row r="377" spans="1:6">
      <c r="A377" t="s">
        <v>41</v>
      </c>
      <c r="B377" t="s">
        <v>32</v>
      </c>
      <c r="C377" t="s">
        <v>18</v>
      </c>
      <c r="D377" t="s">
        <v>24</v>
      </c>
      <c r="E377" s="2">
        <v>2317</v>
      </c>
      <c r="F377">
        <v>352</v>
      </c>
    </row>
    <row r="378" spans="1:6">
      <c r="A378" t="s">
        <v>71</v>
      </c>
      <c r="B378" t="s">
        <v>15</v>
      </c>
      <c r="C378" t="s">
        <v>60</v>
      </c>
      <c r="D378" t="s">
        <v>123</v>
      </c>
      <c r="E378" s="2">
        <v>637</v>
      </c>
      <c r="F378">
        <v>169</v>
      </c>
    </row>
    <row r="379" spans="1:6">
      <c r="A379" t="s">
        <v>19</v>
      </c>
      <c r="B379" t="s">
        <v>15</v>
      </c>
      <c r="C379" t="s">
        <v>65</v>
      </c>
      <c r="D379" t="s">
        <v>149</v>
      </c>
      <c r="E379" s="2">
        <v>6034</v>
      </c>
      <c r="F379">
        <v>223</v>
      </c>
    </row>
    <row r="380" spans="1:6">
      <c r="A380" t="s">
        <v>14</v>
      </c>
      <c r="B380" t="s">
        <v>32</v>
      </c>
      <c r="C380" t="s">
        <v>33</v>
      </c>
      <c r="D380" t="s">
        <v>63</v>
      </c>
      <c r="E380" s="2">
        <v>980</v>
      </c>
      <c r="F380">
        <v>146</v>
      </c>
    </row>
    <row r="381" spans="1:6">
      <c r="A381" t="s">
        <v>12</v>
      </c>
      <c r="B381" t="s">
        <v>32</v>
      </c>
      <c r="C381" t="s">
        <v>57</v>
      </c>
      <c r="D381" t="s">
        <v>62</v>
      </c>
      <c r="E381" s="2">
        <v>2821</v>
      </c>
      <c r="F381">
        <v>112</v>
      </c>
    </row>
    <row r="382" spans="1:6">
      <c r="A382" t="s">
        <v>34</v>
      </c>
      <c r="B382" t="s">
        <v>7</v>
      </c>
      <c r="C382" t="s">
        <v>46</v>
      </c>
      <c r="D382" s="1">
        <v>44835</v>
      </c>
      <c r="E382" s="2">
        <v>3563</v>
      </c>
      <c r="F382">
        <v>284</v>
      </c>
    </row>
    <row r="383" spans="1:6">
      <c r="A383" t="s">
        <v>48</v>
      </c>
      <c r="B383" t="s">
        <v>32</v>
      </c>
      <c r="C383" t="s">
        <v>73</v>
      </c>
      <c r="D383" t="s">
        <v>131</v>
      </c>
      <c r="E383" s="2">
        <v>2996</v>
      </c>
      <c r="F383">
        <v>139</v>
      </c>
    </row>
    <row r="384" spans="1:6">
      <c r="A384" t="s">
        <v>40</v>
      </c>
      <c r="B384" t="s">
        <v>35</v>
      </c>
      <c r="C384" t="s">
        <v>46</v>
      </c>
      <c r="D384" s="1">
        <v>44775</v>
      </c>
      <c r="E384" s="2">
        <v>2436</v>
      </c>
      <c r="F384">
        <v>309</v>
      </c>
    </row>
    <row r="385" spans="1:6">
      <c r="A385" t="s">
        <v>28</v>
      </c>
      <c r="B385" t="s">
        <v>10</v>
      </c>
      <c r="C385" t="s">
        <v>90</v>
      </c>
      <c r="D385" t="s">
        <v>104</v>
      </c>
      <c r="E385" s="2">
        <v>1540</v>
      </c>
      <c r="F385">
        <v>100</v>
      </c>
    </row>
    <row r="386" spans="1:6">
      <c r="A386" t="s">
        <v>22</v>
      </c>
      <c r="B386" t="s">
        <v>32</v>
      </c>
      <c r="C386" t="s">
        <v>36</v>
      </c>
      <c r="D386" s="1">
        <v>44625</v>
      </c>
      <c r="E386" s="2">
        <v>6916</v>
      </c>
      <c r="F386">
        <v>42</v>
      </c>
    </row>
    <row r="387" spans="1:6">
      <c r="A387" t="s">
        <v>45</v>
      </c>
      <c r="B387" t="s">
        <v>32</v>
      </c>
      <c r="C387" t="s">
        <v>57</v>
      </c>
      <c r="D387" t="s">
        <v>127</v>
      </c>
      <c r="E387" s="2">
        <v>5509</v>
      </c>
      <c r="F387">
        <v>24</v>
      </c>
    </row>
    <row r="388" spans="1:6">
      <c r="A388" t="s">
        <v>22</v>
      </c>
      <c r="B388" t="s">
        <v>10</v>
      </c>
      <c r="C388" t="s">
        <v>26</v>
      </c>
      <c r="D388" s="1">
        <v>44812</v>
      </c>
      <c r="E388" s="2">
        <v>12992</v>
      </c>
      <c r="F388">
        <v>83</v>
      </c>
    </row>
    <row r="389" spans="1:6">
      <c r="A389" t="s">
        <v>64</v>
      </c>
      <c r="B389" t="s">
        <v>25</v>
      </c>
      <c r="C389" t="s">
        <v>60</v>
      </c>
      <c r="D389" s="1">
        <v>44872</v>
      </c>
      <c r="E389" s="2">
        <v>3724</v>
      </c>
      <c r="F389">
        <v>234</v>
      </c>
    </row>
    <row r="390" spans="1:6">
      <c r="A390" t="s">
        <v>55</v>
      </c>
      <c r="B390" t="s">
        <v>7</v>
      </c>
      <c r="C390" t="s">
        <v>60</v>
      </c>
      <c r="D390" t="s">
        <v>122</v>
      </c>
      <c r="E390" s="2">
        <v>7133</v>
      </c>
      <c r="F390">
        <v>118</v>
      </c>
    </row>
    <row r="391" spans="1:6">
      <c r="A391" t="s">
        <v>9</v>
      </c>
      <c r="B391" t="s">
        <v>35</v>
      </c>
      <c r="C391" t="s">
        <v>60</v>
      </c>
      <c r="D391" t="s">
        <v>17</v>
      </c>
      <c r="E391" s="2">
        <v>8617</v>
      </c>
      <c r="F391">
        <v>46</v>
      </c>
    </row>
    <row r="392" spans="1:6">
      <c r="A392" t="s">
        <v>64</v>
      </c>
      <c r="B392" t="s">
        <v>25</v>
      </c>
      <c r="C392" t="s">
        <v>65</v>
      </c>
      <c r="D392" t="s">
        <v>131</v>
      </c>
      <c r="E392" s="2">
        <v>9198</v>
      </c>
      <c r="F392">
        <v>144</v>
      </c>
    </row>
    <row r="393" spans="1:6">
      <c r="A393" t="s">
        <v>19</v>
      </c>
      <c r="B393" t="s">
        <v>25</v>
      </c>
      <c r="C393" t="s">
        <v>87</v>
      </c>
      <c r="D393" t="s">
        <v>114</v>
      </c>
      <c r="E393" s="2">
        <v>11823</v>
      </c>
      <c r="F393">
        <v>47</v>
      </c>
    </row>
    <row r="394" spans="1:6">
      <c r="A394" t="s">
        <v>58</v>
      </c>
      <c r="B394" t="s">
        <v>15</v>
      </c>
      <c r="C394" t="s">
        <v>42</v>
      </c>
      <c r="D394" s="1">
        <v>44839</v>
      </c>
      <c r="E394" s="2">
        <v>5775</v>
      </c>
      <c r="F394">
        <v>41</v>
      </c>
    </row>
    <row r="395" spans="1:6">
      <c r="A395" t="s">
        <v>40</v>
      </c>
      <c r="B395" t="s">
        <v>15</v>
      </c>
      <c r="C395" t="s">
        <v>50</v>
      </c>
      <c r="D395" t="s">
        <v>142</v>
      </c>
      <c r="E395" s="2">
        <v>13125</v>
      </c>
      <c r="F395">
        <v>275</v>
      </c>
    </row>
    <row r="396" spans="1:6">
      <c r="A396" t="s">
        <v>41</v>
      </c>
      <c r="B396" t="s">
        <v>35</v>
      </c>
      <c r="C396" t="s">
        <v>18</v>
      </c>
      <c r="D396" t="s">
        <v>56</v>
      </c>
      <c r="E396" s="2">
        <v>14287</v>
      </c>
      <c r="F396">
        <v>370</v>
      </c>
    </row>
    <row r="397" spans="1:6">
      <c r="A397" t="s">
        <v>28</v>
      </c>
      <c r="B397" t="s">
        <v>32</v>
      </c>
      <c r="C397" t="s">
        <v>42</v>
      </c>
      <c r="D397" t="s">
        <v>99</v>
      </c>
      <c r="E397" s="2">
        <v>16233</v>
      </c>
      <c r="F397">
        <v>138</v>
      </c>
    </row>
    <row r="398" spans="1:6">
      <c r="A398" t="s">
        <v>45</v>
      </c>
      <c r="B398" t="s">
        <v>25</v>
      </c>
      <c r="C398" t="s">
        <v>87</v>
      </c>
      <c r="D398" t="s">
        <v>125</v>
      </c>
      <c r="E398" s="2">
        <v>5313</v>
      </c>
      <c r="F398">
        <v>215</v>
      </c>
    </row>
    <row r="399" spans="1:6">
      <c r="A399" t="s">
        <v>9</v>
      </c>
      <c r="B399" t="s">
        <v>7</v>
      </c>
      <c r="C399" t="s">
        <v>11</v>
      </c>
      <c r="D399" s="1">
        <v>44872</v>
      </c>
      <c r="E399" s="2">
        <v>3577</v>
      </c>
      <c r="F399">
        <v>134</v>
      </c>
    </row>
    <row r="400" spans="1:6">
      <c r="A400" t="s">
        <v>40</v>
      </c>
      <c r="B400" t="s">
        <v>35</v>
      </c>
      <c r="C400" t="s">
        <v>50</v>
      </c>
      <c r="D400" s="1">
        <v>44621</v>
      </c>
      <c r="E400" s="2">
        <v>3528</v>
      </c>
      <c r="F400">
        <v>336</v>
      </c>
    </row>
    <row r="401" spans="1:6">
      <c r="A401" t="s">
        <v>29</v>
      </c>
      <c r="B401" t="s">
        <v>25</v>
      </c>
      <c r="C401" t="s">
        <v>100</v>
      </c>
      <c r="D401" t="s">
        <v>69</v>
      </c>
      <c r="E401" s="2">
        <v>679</v>
      </c>
      <c r="F401">
        <v>280</v>
      </c>
    </row>
    <row r="402" spans="1:6">
      <c r="A402" t="s">
        <v>41</v>
      </c>
      <c r="B402" t="s">
        <v>32</v>
      </c>
      <c r="C402" t="s">
        <v>26</v>
      </c>
      <c r="D402" t="s">
        <v>39</v>
      </c>
      <c r="E402" s="2">
        <v>2450</v>
      </c>
      <c r="F402">
        <v>352</v>
      </c>
    </row>
    <row r="403" spans="1:6">
      <c r="A403" t="s">
        <v>28</v>
      </c>
      <c r="B403" t="s">
        <v>32</v>
      </c>
      <c r="C403" t="s">
        <v>8</v>
      </c>
      <c r="D403" t="s">
        <v>99</v>
      </c>
      <c r="E403" s="2">
        <v>10577</v>
      </c>
      <c r="F403">
        <v>150</v>
      </c>
    </row>
    <row r="404" spans="1:6">
      <c r="A404" t="s">
        <v>37</v>
      </c>
      <c r="B404" t="s">
        <v>25</v>
      </c>
      <c r="C404" t="s">
        <v>36</v>
      </c>
      <c r="D404" s="1">
        <v>44717</v>
      </c>
      <c r="E404" s="2">
        <v>2597</v>
      </c>
      <c r="F404">
        <v>177</v>
      </c>
    </row>
    <row r="405" spans="1:6">
      <c r="A405" t="s">
        <v>31</v>
      </c>
      <c r="B405" t="s">
        <v>10</v>
      </c>
      <c r="C405" t="s">
        <v>38</v>
      </c>
      <c r="D405" t="s">
        <v>107</v>
      </c>
      <c r="E405" s="2">
        <v>2219</v>
      </c>
      <c r="F405">
        <v>142</v>
      </c>
    </row>
    <row r="406" spans="1:6">
      <c r="A406" t="s">
        <v>40</v>
      </c>
      <c r="B406" t="s">
        <v>7</v>
      </c>
      <c r="C406" t="s">
        <v>33</v>
      </c>
      <c r="D406" s="1">
        <v>44718</v>
      </c>
      <c r="E406" s="2">
        <v>11319</v>
      </c>
      <c r="F406">
        <v>12</v>
      </c>
    </row>
    <row r="407" spans="1:6">
      <c r="A407" t="s">
        <v>28</v>
      </c>
      <c r="B407" t="s">
        <v>25</v>
      </c>
      <c r="C407" t="s">
        <v>87</v>
      </c>
      <c r="D407" s="1">
        <v>44902</v>
      </c>
      <c r="E407" s="2">
        <v>5978</v>
      </c>
      <c r="F407">
        <v>24</v>
      </c>
    </row>
    <row r="408" spans="1:6">
      <c r="A408" t="s">
        <v>83</v>
      </c>
      <c r="B408" t="s">
        <v>35</v>
      </c>
      <c r="C408" t="s">
        <v>50</v>
      </c>
      <c r="D408" s="1">
        <v>44689</v>
      </c>
      <c r="E408" s="2">
        <v>5327</v>
      </c>
      <c r="F408">
        <v>183</v>
      </c>
    </row>
    <row r="409" spans="1:6">
      <c r="A409" t="s">
        <v>28</v>
      </c>
      <c r="B409" t="s">
        <v>32</v>
      </c>
      <c r="C409" t="s">
        <v>33</v>
      </c>
      <c r="D409" t="s">
        <v>107</v>
      </c>
      <c r="E409" s="2">
        <v>6020</v>
      </c>
      <c r="F409">
        <v>147</v>
      </c>
    </row>
    <row r="410" spans="1:6">
      <c r="A410" t="s">
        <v>55</v>
      </c>
      <c r="B410" t="s">
        <v>10</v>
      </c>
      <c r="C410" t="s">
        <v>50</v>
      </c>
      <c r="D410" t="s">
        <v>150</v>
      </c>
      <c r="E410" s="2">
        <v>5614</v>
      </c>
      <c r="F410">
        <v>137</v>
      </c>
    </row>
    <row r="411" spans="1:6">
      <c r="A411" t="s">
        <v>34</v>
      </c>
      <c r="B411" t="s">
        <v>32</v>
      </c>
      <c r="C411" t="s">
        <v>26</v>
      </c>
      <c r="D411" t="s">
        <v>81</v>
      </c>
      <c r="E411" s="2">
        <v>1736</v>
      </c>
      <c r="F411">
        <v>13</v>
      </c>
    </row>
    <row r="412" spans="1:6">
      <c r="A412" t="s">
        <v>34</v>
      </c>
      <c r="B412" t="s">
        <v>7</v>
      </c>
      <c r="C412" t="s">
        <v>8</v>
      </c>
      <c r="D412" t="s">
        <v>63</v>
      </c>
      <c r="E412" s="2">
        <v>6384</v>
      </c>
      <c r="F412">
        <v>2</v>
      </c>
    </row>
    <row r="413" spans="1:6">
      <c r="A413" t="s">
        <v>41</v>
      </c>
      <c r="B413" t="s">
        <v>10</v>
      </c>
      <c r="C413" t="s">
        <v>75</v>
      </c>
      <c r="D413" t="s">
        <v>17</v>
      </c>
      <c r="E413" s="2">
        <v>3577</v>
      </c>
      <c r="F413">
        <v>261</v>
      </c>
    </row>
    <row r="414" spans="1:6">
      <c r="A414" t="s">
        <v>77</v>
      </c>
      <c r="B414" t="s">
        <v>7</v>
      </c>
      <c r="C414" t="s">
        <v>18</v>
      </c>
      <c r="D414" s="1">
        <v>44654</v>
      </c>
      <c r="E414" s="2">
        <v>14539</v>
      </c>
      <c r="F414">
        <v>84</v>
      </c>
    </row>
    <row r="415" spans="1:6">
      <c r="A415" t="s">
        <v>12</v>
      </c>
      <c r="B415" t="s">
        <v>10</v>
      </c>
      <c r="C415" t="s">
        <v>36</v>
      </c>
      <c r="D415" t="s">
        <v>146</v>
      </c>
      <c r="E415" s="2">
        <v>3493</v>
      </c>
      <c r="F415">
        <v>68</v>
      </c>
    </row>
    <row r="416" spans="1:6">
      <c r="A416" t="s">
        <v>29</v>
      </c>
      <c r="B416" t="s">
        <v>15</v>
      </c>
      <c r="C416" t="s">
        <v>42</v>
      </c>
      <c r="D416" t="s">
        <v>43</v>
      </c>
      <c r="E416" s="2">
        <v>994</v>
      </c>
      <c r="F416">
        <v>105</v>
      </c>
    </row>
    <row r="417" spans="1:6">
      <c r="A417" t="s">
        <v>19</v>
      </c>
      <c r="B417" t="s">
        <v>25</v>
      </c>
      <c r="C417" t="s">
        <v>59</v>
      </c>
      <c r="D417" s="1">
        <v>44840</v>
      </c>
      <c r="E417" s="2">
        <v>4361</v>
      </c>
      <c r="F417">
        <v>40</v>
      </c>
    </row>
    <row r="418" spans="1:6">
      <c r="A418" t="s">
        <v>67</v>
      </c>
      <c r="B418" t="s">
        <v>7</v>
      </c>
      <c r="C418" t="s">
        <v>38</v>
      </c>
      <c r="D418" t="s">
        <v>136</v>
      </c>
      <c r="E418" s="2">
        <v>1554</v>
      </c>
      <c r="F418">
        <v>65</v>
      </c>
    </row>
    <row r="419" spans="1:6">
      <c r="A419" t="s">
        <v>70</v>
      </c>
      <c r="B419" t="s">
        <v>10</v>
      </c>
      <c r="C419" t="s">
        <v>46</v>
      </c>
      <c r="D419" t="s">
        <v>74</v>
      </c>
      <c r="E419" s="2">
        <v>966</v>
      </c>
      <c r="F419">
        <v>107</v>
      </c>
    </row>
    <row r="420" spans="1:6">
      <c r="A420" t="s">
        <v>37</v>
      </c>
      <c r="B420" t="s">
        <v>25</v>
      </c>
      <c r="C420" t="s">
        <v>90</v>
      </c>
      <c r="D420" t="s">
        <v>96</v>
      </c>
      <c r="E420" s="2">
        <v>5334</v>
      </c>
      <c r="F420">
        <v>227</v>
      </c>
    </row>
    <row r="421" spans="1:6">
      <c r="A421" t="s">
        <v>67</v>
      </c>
      <c r="B421" t="s">
        <v>25</v>
      </c>
      <c r="C421" t="s">
        <v>42</v>
      </c>
      <c r="D421" s="1">
        <v>44654</v>
      </c>
      <c r="E421" s="2">
        <v>4935</v>
      </c>
      <c r="F421">
        <v>39</v>
      </c>
    </row>
    <row r="422" spans="1:6">
      <c r="A422" t="s">
        <v>31</v>
      </c>
      <c r="B422" t="s">
        <v>25</v>
      </c>
      <c r="C422" t="s">
        <v>23</v>
      </c>
      <c r="D422" t="s">
        <v>81</v>
      </c>
      <c r="E422" s="2">
        <v>10024</v>
      </c>
      <c r="F422">
        <v>84</v>
      </c>
    </row>
    <row r="423" spans="1:6">
      <c r="A423" t="s">
        <v>41</v>
      </c>
      <c r="B423" t="s">
        <v>7</v>
      </c>
      <c r="C423" t="s">
        <v>65</v>
      </c>
      <c r="D423" t="s">
        <v>86</v>
      </c>
      <c r="E423" s="2">
        <v>2506</v>
      </c>
      <c r="F423">
        <v>100</v>
      </c>
    </row>
    <row r="424" spans="1:6">
      <c r="A424" t="s">
        <v>19</v>
      </c>
      <c r="B424" t="s">
        <v>15</v>
      </c>
      <c r="C424" t="s">
        <v>73</v>
      </c>
      <c r="D424" t="s">
        <v>51</v>
      </c>
      <c r="E424" s="2">
        <v>1043</v>
      </c>
      <c r="F424">
        <v>120</v>
      </c>
    </row>
    <row r="425" spans="1:6">
      <c r="A425" t="s">
        <v>58</v>
      </c>
      <c r="B425" t="s">
        <v>32</v>
      </c>
      <c r="C425" t="s">
        <v>73</v>
      </c>
      <c r="D425" t="s">
        <v>115</v>
      </c>
      <c r="E425" s="2">
        <v>6524</v>
      </c>
      <c r="F425">
        <v>257</v>
      </c>
    </row>
    <row r="426" spans="1:6">
      <c r="A426" t="s">
        <v>45</v>
      </c>
      <c r="B426" t="s">
        <v>35</v>
      </c>
      <c r="C426" t="s">
        <v>33</v>
      </c>
      <c r="D426" s="1">
        <v>44806</v>
      </c>
      <c r="E426" s="2">
        <v>8148</v>
      </c>
      <c r="F426">
        <v>85</v>
      </c>
    </row>
    <row r="427" spans="1:6">
      <c r="A427" t="s">
        <v>34</v>
      </c>
      <c r="B427" t="s">
        <v>35</v>
      </c>
      <c r="C427" t="s">
        <v>33</v>
      </c>
      <c r="D427" t="s">
        <v>110</v>
      </c>
      <c r="E427" s="2">
        <v>3577</v>
      </c>
      <c r="F427">
        <v>178</v>
      </c>
    </row>
    <row r="428" spans="1:6">
      <c r="A428" t="s">
        <v>77</v>
      </c>
      <c r="B428" t="s">
        <v>25</v>
      </c>
      <c r="C428" t="s">
        <v>90</v>
      </c>
      <c r="D428" s="1">
        <v>44563</v>
      </c>
      <c r="E428" s="2">
        <v>3374</v>
      </c>
      <c r="F428">
        <v>151</v>
      </c>
    </row>
    <row r="429" spans="1:6">
      <c r="A429" t="s">
        <v>34</v>
      </c>
      <c r="B429" t="s">
        <v>10</v>
      </c>
      <c r="C429" t="s">
        <v>38</v>
      </c>
      <c r="D429" s="1">
        <v>44745</v>
      </c>
      <c r="E429" s="2">
        <v>3948</v>
      </c>
      <c r="F429">
        <v>142</v>
      </c>
    </row>
    <row r="430" spans="1:6">
      <c r="A430" t="s">
        <v>83</v>
      </c>
      <c r="B430" t="s">
        <v>7</v>
      </c>
      <c r="C430" t="s">
        <v>59</v>
      </c>
      <c r="D430" s="1">
        <v>44621</v>
      </c>
      <c r="E430" s="2">
        <v>3269</v>
      </c>
      <c r="F430">
        <v>226</v>
      </c>
    </row>
    <row r="431" spans="1:6">
      <c r="A431" t="s">
        <v>83</v>
      </c>
      <c r="B431" t="s">
        <v>32</v>
      </c>
      <c r="C431" t="s">
        <v>59</v>
      </c>
      <c r="D431" s="1">
        <v>44867</v>
      </c>
      <c r="E431" s="2">
        <v>5271</v>
      </c>
      <c r="F431">
        <v>341</v>
      </c>
    </row>
    <row r="432" spans="1:6">
      <c r="A432" t="s">
        <v>58</v>
      </c>
      <c r="B432" t="s">
        <v>25</v>
      </c>
      <c r="C432" t="s">
        <v>33</v>
      </c>
      <c r="D432" t="s">
        <v>108</v>
      </c>
      <c r="E432" s="2">
        <v>4571</v>
      </c>
      <c r="F432">
        <v>140</v>
      </c>
    </row>
    <row r="433" spans="1:6">
      <c r="A433" t="s">
        <v>79</v>
      </c>
      <c r="B433" t="s">
        <v>10</v>
      </c>
      <c r="C433" t="s">
        <v>59</v>
      </c>
      <c r="D433" t="s">
        <v>112</v>
      </c>
      <c r="E433" s="2">
        <v>12327</v>
      </c>
      <c r="F433">
        <v>330</v>
      </c>
    </row>
    <row r="434" spans="1:6">
      <c r="A434" t="s">
        <v>12</v>
      </c>
      <c r="B434" t="s">
        <v>10</v>
      </c>
      <c r="C434" t="s">
        <v>60</v>
      </c>
      <c r="D434" s="1">
        <v>44900</v>
      </c>
      <c r="E434" s="2">
        <v>4935</v>
      </c>
      <c r="F434">
        <v>73</v>
      </c>
    </row>
    <row r="435" spans="1:6">
      <c r="A435" t="s">
        <v>9</v>
      </c>
      <c r="B435" t="s">
        <v>10</v>
      </c>
      <c r="C435" t="s">
        <v>50</v>
      </c>
      <c r="D435" s="1">
        <v>44869</v>
      </c>
      <c r="E435" s="2">
        <v>6167</v>
      </c>
      <c r="F435">
        <v>4</v>
      </c>
    </row>
    <row r="436" spans="1:6">
      <c r="A436" t="s">
        <v>14</v>
      </c>
      <c r="B436" t="s">
        <v>25</v>
      </c>
      <c r="C436" t="s">
        <v>8</v>
      </c>
      <c r="D436" t="s">
        <v>66</v>
      </c>
      <c r="E436" s="2">
        <v>18340</v>
      </c>
      <c r="F436">
        <v>285</v>
      </c>
    </row>
    <row r="437" spans="1:6">
      <c r="A437" t="s">
        <v>79</v>
      </c>
      <c r="B437" t="s">
        <v>25</v>
      </c>
      <c r="C437" t="s">
        <v>59</v>
      </c>
      <c r="D437" t="s">
        <v>61</v>
      </c>
      <c r="E437" s="2">
        <v>7014</v>
      </c>
      <c r="F437">
        <v>60</v>
      </c>
    </row>
    <row r="438" spans="1:6">
      <c r="A438" t="s">
        <v>29</v>
      </c>
      <c r="B438" t="s">
        <v>35</v>
      </c>
      <c r="C438" t="s">
        <v>90</v>
      </c>
      <c r="D438" s="1">
        <v>44569</v>
      </c>
      <c r="E438" s="2">
        <v>7119</v>
      </c>
      <c r="F438">
        <v>101</v>
      </c>
    </row>
    <row r="439" spans="1:6">
      <c r="A439" t="s">
        <v>55</v>
      </c>
      <c r="B439" t="s">
        <v>32</v>
      </c>
      <c r="C439" t="s">
        <v>46</v>
      </c>
      <c r="D439" t="s">
        <v>61</v>
      </c>
      <c r="E439" s="2">
        <v>15491</v>
      </c>
      <c r="F439">
        <v>58</v>
      </c>
    </row>
    <row r="440" spans="1:6">
      <c r="A440" t="s">
        <v>28</v>
      </c>
      <c r="B440" t="s">
        <v>10</v>
      </c>
      <c r="C440" t="s">
        <v>23</v>
      </c>
      <c r="D440" t="s">
        <v>111</v>
      </c>
      <c r="E440" s="2">
        <v>5747</v>
      </c>
      <c r="F440">
        <v>45</v>
      </c>
    </row>
    <row r="441" spans="1:6">
      <c r="A441" t="s">
        <v>19</v>
      </c>
      <c r="B441" t="s">
        <v>25</v>
      </c>
      <c r="C441" t="s">
        <v>73</v>
      </c>
      <c r="D441" t="s">
        <v>130</v>
      </c>
      <c r="E441" s="2">
        <v>4550</v>
      </c>
      <c r="F441">
        <v>281</v>
      </c>
    </row>
    <row r="442" spans="1:6">
      <c r="A442" t="s">
        <v>58</v>
      </c>
      <c r="B442" t="s">
        <v>32</v>
      </c>
      <c r="C442" t="s">
        <v>38</v>
      </c>
      <c r="D442" s="1">
        <v>44839</v>
      </c>
      <c r="E442" s="2">
        <v>2191</v>
      </c>
      <c r="F442">
        <v>138</v>
      </c>
    </row>
    <row r="443" spans="1:6">
      <c r="A443" t="s">
        <v>19</v>
      </c>
      <c r="B443" t="s">
        <v>10</v>
      </c>
      <c r="C443" t="s">
        <v>36</v>
      </c>
      <c r="D443" t="s">
        <v>103</v>
      </c>
      <c r="E443" s="2">
        <v>5663</v>
      </c>
      <c r="F443">
        <v>322</v>
      </c>
    </row>
    <row r="444" spans="1:6">
      <c r="A444" t="s">
        <v>83</v>
      </c>
      <c r="B444" t="s">
        <v>25</v>
      </c>
      <c r="C444" t="s">
        <v>42</v>
      </c>
      <c r="D444" t="s">
        <v>82</v>
      </c>
      <c r="E444" s="2">
        <v>7623</v>
      </c>
      <c r="F444">
        <v>85</v>
      </c>
    </row>
    <row r="445" spans="1:6">
      <c r="A445" t="s">
        <v>12</v>
      </c>
      <c r="B445" t="s">
        <v>7</v>
      </c>
      <c r="C445" t="s">
        <v>87</v>
      </c>
      <c r="D445" t="s">
        <v>86</v>
      </c>
      <c r="E445" s="2">
        <v>9023</v>
      </c>
      <c r="F445">
        <v>409</v>
      </c>
    </row>
    <row r="446" spans="1:6">
      <c r="A446" t="s">
        <v>14</v>
      </c>
      <c r="B446" t="s">
        <v>15</v>
      </c>
      <c r="C446" t="s">
        <v>26</v>
      </c>
      <c r="D446" t="s">
        <v>127</v>
      </c>
      <c r="E446" s="2">
        <v>3402</v>
      </c>
      <c r="F446">
        <v>182</v>
      </c>
    </row>
    <row r="447" spans="1:6">
      <c r="A447" t="s">
        <v>41</v>
      </c>
      <c r="B447" t="s">
        <v>15</v>
      </c>
      <c r="C447" t="s">
        <v>18</v>
      </c>
      <c r="D447" t="s">
        <v>21</v>
      </c>
      <c r="E447" s="2">
        <v>10507</v>
      </c>
      <c r="F447">
        <v>467</v>
      </c>
    </row>
    <row r="448" spans="1:6">
      <c r="A448" t="s">
        <v>83</v>
      </c>
      <c r="B448" t="s">
        <v>32</v>
      </c>
      <c r="C448" t="s">
        <v>42</v>
      </c>
      <c r="D448" t="s">
        <v>39</v>
      </c>
      <c r="E448" s="2">
        <v>7721</v>
      </c>
      <c r="F448">
        <v>14</v>
      </c>
    </row>
    <row r="449" spans="1:6">
      <c r="A449" t="s">
        <v>28</v>
      </c>
      <c r="B449" t="s">
        <v>35</v>
      </c>
      <c r="C449" t="s">
        <v>8</v>
      </c>
      <c r="D449" t="s">
        <v>107</v>
      </c>
      <c r="E449" s="2">
        <v>5033</v>
      </c>
      <c r="F449">
        <v>178</v>
      </c>
    </row>
    <row r="450" spans="1:6">
      <c r="A450" t="s">
        <v>55</v>
      </c>
      <c r="B450" t="s">
        <v>7</v>
      </c>
      <c r="C450" t="s">
        <v>33</v>
      </c>
      <c r="D450" t="s">
        <v>63</v>
      </c>
      <c r="E450" s="2">
        <v>1960</v>
      </c>
      <c r="F450">
        <v>191</v>
      </c>
    </row>
    <row r="451" spans="1:6">
      <c r="A451" t="s">
        <v>37</v>
      </c>
      <c r="B451" t="s">
        <v>15</v>
      </c>
      <c r="C451" t="s">
        <v>100</v>
      </c>
      <c r="D451" t="s">
        <v>143</v>
      </c>
      <c r="E451" s="2">
        <v>238</v>
      </c>
      <c r="F451">
        <v>317</v>
      </c>
    </row>
    <row r="452" spans="1:6">
      <c r="A452" t="s">
        <v>22</v>
      </c>
      <c r="B452" t="s">
        <v>35</v>
      </c>
      <c r="C452" t="s">
        <v>8</v>
      </c>
      <c r="D452" s="1">
        <v>44568</v>
      </c>
      <c r="E452" s="2">
        <v>7756</v>
      </c>
      <c r="F452">
        <v>410</v>
      </c>
    </row>
    <row r="453" spans="1:6">
      <c r="A453" t="s">
        <v>45</v>
      </c>
      <c r="B453" t="s">
        <v>32</v>
      </c>
      <c r="C453" t="s">
        <v>13</v>
      </c>
      <c r="D453" t="s">
        <v>104</v>
      </c>
      <c r="E453" s="2">
        <v>1736</v>
      </c>
      <c r="F453">
        <v>137</v>
      </c>
    </row>
    <row r="454" spans="1:6">
      <c r="A454" t="s">
        <v>48</v>
      </c>
      <c r="B454" t="s">
        <v>35</v>
      </c>
      <c r="C454" t="s">
        <v>18</v>
      </c>
      <c r="D454" s="1">
        <v>44569</v>
      </c>
      <c r="E454" s="2">
        <v>2660</v>
      </c>
      <c r="F454">
        <v>12</v>
      </c>
    </row>
    <row r="455" spans="1:6">
      <c r="A455" t="s">
        <v>19</v>
      </c>
      <c r="B455" t="s">
        <v>15</v>
      </c>
      <c r="C455" t="s">
        <v>46</v>
      </c>
      <c r="D455" t="s">
        <v>146</v>
      </c>
      <c r="E455" s="2">
        <v>7672</v>
      </c>
      <c r="F455">
        <v>254</v>
      </c>
    </row>
    <row r="456" spans="1:6">
      <c r="A456" t="s">
        <v>71</v>
      </c>
      <c r="B456" t="s">
        <v>25</v>
      </c>
      <c r="C456" t="s">
        <v>50</v>
      </c>
      <c r="D456" t="s">
        <v>21</v>
      </c>
      <c r="E456" s="2">
        <v>11564</v>
      </c>
      <c r="F456">
        <v>24</v>
      </c>
    </row>
    <row r="457" spans="1:6">
      <c r="A457" t="s">
        <v>12</v>
      </c>
      <c r="B457" t="s">
        <v>7</v>
      </c>
      <c r="C457" t="s">
        <v>46</v>
      </c>
      <c r="D457" t="s">
        <v>144</v>
      </c>
      <c r="E457" s="2">
        <v>1365</v>
      </c>
      <c r="F457">
        <v>232</v>
      </c>
    </row>
    <row r="458" spans="1:6">
      <c r="A458" t="s">
        <v>67</v>
      </c>
      <c r="B458" t="s">
        <v>15</v>
      </c>
      <c r="C458" t="s">
        <v>11</v>
      </c>
      <c r="D458" t="s">
        <v>98</v>
      </c>
      <c r="E458" s="2">
        <v>4186</v>
      </c>
      <c r="F458">
        <v>233</v>
      </c>
    </row>
    <row r="459" spans="1:6">
      <c r="A459" t="s">
        <v>71</v>
      </c>
      <c r="B459" t="s">
        <v>15</v>
      </c>
      <c r="C459" t="s">
        <v>18</v>
      </c>
      <c r="D459" s="1">
        <v>44623</v>
      </c>
      <c r="E459" s="2">
        <v>7406</v>
      </c>
      <c r="F459">
        <v>118</v>
      </c>
    </row>
    <row r="460" spans="1:6">
      <c r="A460" t="s">
        <v>45</v>
      </c>
      <c r="B460" t="s">
        <v>10</v>
      </c>
      <c r="C460" t="s">
        <v>90</v>
      </c>
      <c r="D460" t="s">
        <v>52</v>
      </c>
      <c r="E460" s="2">
        <v>8911</v>
      </c>
      <c r="F460">
        <v>543</v>
      </c>
    </row>
    <row r="461" spans="1:6">
      <c r="A461" t="s">
        <v>37</v>
      </c>
      <c r="B461" t="s">
        <v>32</v>
      </c>
      <c r="C461" t="s">
        <v>38</v>
      </c>
      <c r="D461" t="s">
        <v>63</v>
      </c>
      <c r="E461" s="2">
        <v>112</v>
      </c>
      <c r="F461">
        <v>223</v>
      </c>
    </row>
    <row r="462" spans="1:6">
      <c r="A462" t="s">
        <v>67</v>
      </c>
      <c r="B462" t="s">
        <v>35</v>
      </c>
      <c r="C462" t="s">
        <v>42</v>
      </c>
      <c r="D462" s="1">
        <v>44652</v>
      </c>
      <c r="E462" s="2">
        <v>8204</v>
      </c>
      <c r="F462">
        <v>204</v>
      </c>
    </row>
    <row r="463" spans="1:6">
      <c r="A463" t="s">
        <v>6</v>
      </c>
      <c r="B463" t="s">
        <v>15</v>
      </c>
      <c r="C463" t="s">
        <v>38</v>
      </c>
      <c r="D463" t="s">
        <v>122</v>
      </c>
      <c r="E463" s="2">
        <v>2611</v>
      </c>
      <c r="F463">
        <v>65</v>
      </c>
    </row>
    <row r="464" spans="1:6">
      <c r="A464" t="s">
        <v>37</v>
      </c>
      <c r="B464" t="s">
        <v>32</v>
      </c>
      <c r="C464" t="s">
        <v>8</v>
      </c>
      <c r="D464" t="s">
        <v>149</v>
      </c>
      <c r="E464" s="2">
        <v>15652</v>
      </c>
      <c r="F464">
        <v>53</v>
      </c>
    </row>
    <row r="465" spans="1:6">
      <c r="A465" t="s">
        <v>48</v>
      </c>
      <c r="B465" t="s">
        <v>25</v>
      </c>
      <c r="C465" t="s">
        <v>50</v>
      </c>
      <c r="D465" s="1">
        <v>44835</v>
      </c>
      <c r="E465" s="2">
        <v>4074</v>
      </c>
      <c r="F465">
        <v>469</v>
      </c>
    </row>
    <row r="466" spans="1:6">
      <c r="A466" t="s">
        <v>77</v>
      </c>
      <c r="B466" t="s">
        <v>32</v>
      </c>
      <c r="C466" t="s">
        <v>59</v>
      </c>
      <c r="D466" s="1">
        <v>44656</v>
      </c>
      <c r="E466" s="2">
        <v>12250</v>
      </c>
      <c r="F466">
        <v>213</v>
      </c>
    </row>
    <row r="467" spans="1:6">
      <c r="A467" t="s">
        <v>67</v>
      </c>
      <c r="B467" t="s">
        <v>32</v>
      </c>
      <c r="C467" t="s">
        <v>50</v>
      </c>
      <c r="D467" t="s">
        <v>136</v>
      </c>
      <c r="E467" s="2">
        <v>2366</v>
      </c>
      <c r="F467">
        <v>5</v>
      </c>
    </row>
    <row r="468" spans="1:6">
      <c r="A468" t="s">
        <v>31</v>
      </c>
      <c r="B468" t="s">
        <v>25</v>
      </c>
      <c r="C468" t="s">
        <v>57</v>
      </c>
      <c r="D468" t="s">
        <v>151</v>
      </c>
      <c r="E468" s="2">
        <v>1687</v>
      </c>
      <c r="F468">
        <v>147</v>
      </c>
    </row>
    <row r="469" spans="1:6">
      <c r="A469" t="s">
        <v>19</v>
      </c>
      <c r="B469" t="s">
        <v>35</v>
      </c>
      <c r="C469" t="s">
        <v>42</v>
      </c>
      <c r="D469" s="1">
        <v>44688</v>
      </c>
      <c r="E469" s="2">
        <v>1232</v>
      </c>
      <c r="F469">
        <v>74</v>
      </c>
    </row>
    <row r="470" spans="1:6">
      <c r="A470" t="s">
        <v>77</v>
      </c>
      <c r="B470" t="s">
        <v>7</v>
      </c>
      <c r="C470" t="s">
        <v>42</v>
      </c>
      <c r="D470" t="s">
        <v>141</v>
      </c>
      <c r="E470" s="2">
        <v>6965</v>
      </c>
      <c r="F470">
        <v>163</v>
      </c>
    </row>
    <row r="471" spans="1:6">
      <c r="A471" t="s">
        <v>79</v>
      </c>
      <c r="B471" t="s">
        <v>32</v>
      </c>
      <c r="C471" t="s">
        <v>8</v>
      </c>
      <c r="D471" t="s">
        <v>109</v>
      </c>
      <c r="E471" s="2">
        <v>5292</v>
      </c>
      <c r="F471">
        <v>248</v>
      </c>
    </row>
    <row r="472" spans="1:6">
      <c r="A472" t="s">
        <v>70</v>
      </c>
      <c r="B472" t="s">
        <v>32</v>
      </c>
      <c r="C472" t="s">
        <v>33</v>
      </c>
      <c r="D472" s="1">
        <v>44622</v>
      </c>
      <c r="E472" s="2">
        <v>1379</v>
      </c>
      <c r="F472">
        <v>138</v>
      </c>
    </row>
    <row r="473" spans="1:6">
      <c r="A473" t="s">
        <v>12</v>
      </c>
      <c r="B473" t="s">
        <v>15</v>
      </c>
      <c r="C473" t="s">
        <v>90</v>
      </c>
      <c r="D473" s="1">
        <v>44780</v>
      </c>
      <c r="E473" s="2">
        <v>8001</v>
      </c>
      <c r="F473">
        <v>151</v>
      </c>
    </row>
    <row r="474" spans="1:6">
      <c r="A474" t="s">
        <v>34</v>
      </c>
      <c r="B474" t="s">
        <v>10</v>
      </c>
      <c r="C474" t="s">
        <v>26</v>
      </c>
      <c r="D474" t="s">
        <v>126</v>
      </c>
      <c r="E474" s="2">
        <v>588</v>
      </c>
      <c r="F474">
        <v>139</v>
      </c>
    </row>
    <row r="475" spans="1:6">
      <c r="A475" t="s">
        <v>9</v>
      </c>
      <c r="B475" t="s">
        <v>25</v>
      </c>
      <c r="C475" t="s">
        <v>8</v>
      </c>
      <c r="D475" t="s">
        <v>49</v>
      </c>
      <c r="E475" s="2">
        <v>4046</v>
      </c>
      <c r="F475">
        <v>103</v>
      </c>
    </row>
    <row r="476" spans="1:6">
      <c r="A476" t="s">
        <v>9</v>
      </c>
      <c r="B476" t="s">
        <v>10</v>
      </c>
      <c r="C476" t="s">
        <v>26</v>
      </c>
      <c r="D476" t="s">
        <v>130</v>
      </c>
      <c r="E476" s="2">
        <v>5103</v>
      </c>
      <c r="F476">
        <v>129</v>
      </c>
    </row>
    <row r="477" spans="1:6">
      <c r="A477" t="s">
        <v>9</v>
      </c>
      <c r="B477" t="s">
        <v>32</v>
      </c>
      <c r="C477" t="s">
        <v>60</v>
      </c>
      <c r="D477" t="s">
        <v>126</v>
      </c>
      <c r="E477" s="2">
        <v>2317</v>
      </c>
      <c r="F477">
        <v>102</v>
      </c>
    </row>
    <row r="478" spans="1:6">
      <c r="A478" t="s">
        <v>64</v>
      </c>
      <c r="B478" t="s">
        <v>32</v>
      </c>
      <c r="C478" t="s">
        <v>33</v>
      </c>
      <c r="D478" t="s">
        <v>56</v>
      </c>
      <c r="E478" s="2">
        <v>7042</v>
      </c>
      <c r="F478">
        <v>37</v>
      </c>
    </row>
    <row r="479" spans="1:6">
      <c r="A479" t="s">
        <v>31</v>
      </c>
      <c r="B479" t="s">
        <v>25</v>
      </c>
      <c r="C479" t="s">
        <v>36</v>
      </c>
      <c r="D479" t="s">
        <v>102</v>
      </c>
      <c r="E479" s="2">
        <v>6713</v>
      </c>
      <c r="F479">
        <v>31</v>
      </c>
    </row>
    <row r="480" spans="1:6">
      <c r="A480" t="s">
        <v>12</v>
      </c>
      <c r="B480" t="s">
        <v>32</v>
      </c>
      <c r="C480" t="s">
        <v>23</v>
      </c>
      <c r="D480" t="s">
        <v>122</v>
      </c>
      <c r="E480" s="2">
        <v>1848</v>
      </c>
      <c r="F480">
        <v>227</v>
      </c>
    </row>
    <row r="481" spans="1:6">
      <c r="A481" t="s">
        <v>31</v>
      </c>
      <c r="B481" t="s">
        <v>25</v>
      </c>
      <c r="C481" t="s">
        <v>8</v>
      </c>
      <c r="D481" t="s">
        <v>109</v>
      </c>
      <c r="E481" s="2">
        <v>6440</v>
      </c>
      <c r="F481">
        <v>145</v>
      </c>
    </row>
    <row r="482" spans="1:6">
      <c r="A482" t="s">
        <v>58</v>
      </c>
      <c r="B482" t="s">
        <v>35</v>
      </c>
      <c r="C482" t="s">
        <v>11</v>
      </c>
      <c r="D482" s="1">
        <v>44569</v>
      </c>
      <c r="E482" s="2">
        <v>10885</v>
      </c>
      <c r="F482">
        <v>90</v>
      </c>
    </row>
    <row r="483" spans="1:6">
      <c r="A483" t="s">
        <v>41</v>
      </c>
      <c r="B483" t="s">
        <v>25</v>
      </c>
      <c r="C483" t="s">
        <v>18</v>
      </c>
      <c r="D483" t="s">
        <v>72</v>
      </c>
      <c r="E483" s="2">
        <v>2387</v>
      </c>
      <c r="F483">
        <v>59</v>
      </c>
    </row>
    <row r="484" spans="1:6">
      <c r="A484" t="s">
        <v>53</v>
      </c>
      <c r="B484" t="s">
        <v>32</v>
      </c>
      <c r="C484" t="s">
        <v>59</v>
      </c>
      <c r="D484" t="s">
        <v>94</v>
      </c>
      <c r="E484" s="2">
        <v>2030</v>
      </c>
      <c r="F484">
        <v>60</v>
      </c>
    </row>
    <row r="485" spans="1:6">
      <c r="A485" t="s">
        <v>67</v>
      </c>
      <c r="B485" t="s">
        <v>15</v>
      </c>
      <c r="C485" t="s">
        <v>13</v>
      </c>
      <c r="D485" t="s">
        <v>27</v>
      </c>
      <c r="E485" s="2">
        <v>6678</v>
      </c>
      <c r="F485">
        <v>148</v>
      </c>
    </row>
    <row r="486" spans="1:6">
      <c r="A486" t="s">
        <v>58</v>
      </c>
      <c r="B486" t="s">
        <v>10</v>
      </c>
      <c r="C486" t="s">
        <v>11</v>
      </c>
      <c r="D486" t="s">
        <v>66</v>
      </c>
      <c r="E486" s="2">
        <v>4515</v>
      </c>
      <c r="F486">
        <v>22</v>
      </c>
    </row>
    <row r="487" spans="1:6">
      <c r="A487" t="s">
        <v>48</v>
      </c>
      <c r="B487" t="s">
        <v>7</v>
      </c>
      <c r="C487" t="s">
        <v>26</v>
      </c>
      <c r="D487" s="1">
        <v>44776</v>
      </c>
      <c r="E487" s="2">
        <v>3374</v>
      </c>
      <c r="F487">
        <v>142</v>
      </c>
    </row>
    <row r="488" spans="1:6">
      <c r="A488" t="s">
        <v>22</v>
      </c>
      <c r="B488" t="s">
        <v>32</v>
      </c>
      <c r="C488" t="s">
        <v>57</v>
      </c>
      <c r="D488" s="1">
        <v>44807</v>
      </c>
      <c r="E488" s="2">
        <v>5852</v>
      </c>
      <c r="F488">
        <v>93</v>
      </c>
    </row>
    <row r="489" spans="1:6">
      <c r="A489" t="s">
        <v>19</v>
      </c>
      <c r="B489" t="s">
        <v>35</v>
      </c>
      <c r="C489" t="s">
        <v>73</v>
      </c>
      <c r="D489" t="s">
        <v>111</v>
      </c>
      <c r="E489" s="2">
        <v>1750</v>
      </c>
      <c r="F489">
        <v>208</v>
      </c>
    </row>
    <row r="490" spans="1:6">
      <c r="A490" t="s">
        <v>12</v>
      </c>
      <c r="B490" t="s">
        <v>7</v>
      </c>
      <c r="C490" t="s">
        <v>38</v>
      </c>
      <c r="D490" t="s">
        <v>66</v>
      </c>
      <c r="E490" s="2">
        <v>5782</v>
      </c>
      <c r="F490">
        <v>42</v>
      </c>
    </row>
    <row r="491" spans="1:6">
      <c r="A491" t="s">
        <v>70</v>
      </c>
      <c r="B491" t="s">
        <v>10</v>
      </c>
      <c r="C491" t="s">
        <v>8</v>
      </c>
      <c r="D491" t="s">
        <v>39</v>
      </c>
      <c r="E491" s="2">
        <v>2870</v>
      </c>
      <c r="F491">
        <v>120</v>
      </c>
    </row>
    <row r="492" spans="1:6">
      <c r="A492" t="s">
        <v>37</v>
      </c>
      <c r="B492" t="s">
        <v>35</v>
      </c>
      <c r="C492" t="s">
        <v>13</v>
      </c>
      <c r="D492" s="1">
        <v>44903</v>
      </c>
      <c r="E492" s="2">
        <v>3094</v>
      </c>
      <c r="F492">
        <v>159</v>
      </c>
    </row>
    <row r="493" spans="1:6">
      <c r="A493" t="s">
        <v>31</v>
      </c>
      <c r="B493" t="s">
        <v>7</v>
      </c>
      <c r="C493" t="s">
        <v>8</v>
      </c>
      <c r="D493" s="1">
        <v>44749</v>
      </c>
      <c r="E493" s="2">
        <v>3724</v>
      </c>
      <c r="F493">
        <v>316</v>
      </c>
    </row>
    <row r="494" spans="1:6">
      <c r="A494" t="s">
        <v>31</v>
      </c>
      <c r="B494" t="s">
        <v>32</v>
      </c>
      <c r="C494" t="s">
        <v>11</v>
      </c>
      <c r="D494" t="s">
        <v>103</v>
      </c>
      <c r="E494" s="2">
        <v>12761</v>
      </c>
      <c r="F494">
        <v>47</v>
      </c>
    </row>
    <row r="495" spans="1:6">
      <c r="A495" t="s">
        <v>53</v>
      </c>
      <c r="B495" t="s">
        <v>35</v>
      </c>
      <c r="C495" t="s">
        <v>36</v>
      </c>
      <c r="D495" t="s">
        <v>152</v>
      </c>
      <c r="E495" s="2">
        <v>3696</v>
      </c>
      <c r="F495">
        <v>233</v>
      </c>
    </row>
    <row r="496" spans="1:6">
      <c r="A496" t="s">
        <v>14</v>
      </c>
      <c r="B496" t="s">
        <v>15</v>
      </c>
      <c r="C496" t="s">
        <v>100</v>
      </c>
      <c r="D496" s="1">
        <v>44654</v>
      </c>
      <c r="E496" s="2">
        <v>5222</v>
      </c>
      <c r="F496">
        <v>384</v>
      </c>
    </row>
    <row r="497" spans="1:6">
      <c r="A497" t="s">
        <v>40</v>
      </c>
      <c r="B497" t="s">
        <v>25</v>
      </c>
      <c r="C497" t="s">
        <v>57</v>
      </c>
      <c r="D497" t="s">
        <v>103</v>
      </c>
      <c r="E497" s="2">
        <v>8939</v>
      </c>
      <c r="F497">
        <v>4</v>
      </c>
    </row>
    <row r="498" spans="1:6">
      <c r="A498" t="s">
        <v>83</v>
      </c>
      <c r="B498" t="s">
        <v>7</v>
      </c>
      <c r="C498" t="s">
        <v>13</v>
      </c>
      <c r="D498" t="s">
        <v>74</v>
      </c>
      <c r="E498" s="2">
        <v>2156</v>
      </c>
      <c r="F498">
        <v>260</v>
      </c>
    </row>
    <row r="499" spans="1:6">
      <c r="A499" t="s">
        <v>55</v>
      </c>
      <c r="B499" t="s">
        <v>32</v>
      </c>
      <c r="C499" t="s">
        <v>42</v>
      </c>
      <c r="D499" s="1">
        <v>44868</v>
      </c>
      <c r="E499" s="2">
        <v>2380</v>
      </c>
      <c r="F499">
        <v>22</v>
      </c>
    </row>
    <row r="500" spans="1:6">
      <c r="A500" t="s">
        <v>71</v>
      </c>
      <c r="B500" t="s">
        <v>32</v>
      </c>
      <c r="C500" t="s">
        <v>73</v>
      </c>
      <c r="D500" t="s">
        <v>119</v>
      </c>
      <c r="E500" s="2">
        <v>3339</v>
      </c>
      <c r="F500">
        <v>18</v>
      </c>
    </row>
    <row r="501" spans="1:6">
      <c r="A501" t="s">
        <v>28</v>
      </c>
      <c r="B501" t="s">
        <v>25</v>
      </c>
      <c r="C501" t="s">
        <v>60</v>
      </c>
      <c r="D501" t="s">
        <v>127</v>
      </c>
      <c r="E501" s="2">
        <v>14980</v>
      </c>
      <c r="F501">
        <v>42</v>
      </c>
    </row>
    <row r="502" spans="1:6">
      <c r="A502" t="s">
        <v>6</v>
      </c>
      <c r="B502" t="s">
        <v>25</v>
      </c>
      <c r="C502" t="s">
        <v>23</v>
      </c>
      <c r="D502" t="s">
        <v>91</v>
      </c>
      <c r="E502" s="2">
        <v>1512</v>
      </c>
      <c r="F502">
        <v>73</v>
      </c>
    </row>
    <row r="503" spans="1:6">
      <c r="A503" t="s">
        <v>6</v>
      </c>
      <c r="B503" t="s">
        <v>32</v>
      </c>
      <c r="C503" t="s">
        <v>18</v>
      </c>
      <c r="D503" s="1">
        <v>44749</v>
      </c>
      <c r="E503" s="2">
        <v>6657</v>
      </c>
      <c r="F503">
        <v>154</v>
      </c>
    </row>
    <row r="504" spans="1:6">
      <c r="A504" t="s">
        <v>77</v>
      </c>
      <c r="B504" t="s">
        <v>10</v>
      </c>
      <c r="C504" t="s">
        <v>8</v>
      </c>
      <c r="D504" t="s">
        <v>69</v>
      </c>
      <c r="E504" s="2">
        <v>3836</v>
      </c>
      <c r="F504">
        <v>71</v>
      </c>
    </row>
    <row r="505" spans="1:6">
      <c r="A505" t="s">
        <v>6</v>
      </c>
      <c r="B505" t="s">
        <v>10</v>
      </c>
      <c r="C505" t="s">
        <v>36</v>
      </c>
      <c r="D505" t="s">
        <v>17</v>
      </c>
      <c r="E505" s="2">
        <v>8771</v>
      </c>
      <c r="F505">
        <v>127</v>
      </c>
    </row>
    <row r="506" spans="1:6">
      <c r="A506" t="s">
        <v>37</v>
      </c>
      <c r="B506" t="s">
        <v>35</v>
      </c>
      <c r="C506" t="s">
        <v>73</v>
      </c>
      <c r="D506" s="1">
        <v>44809</v>
      </c>
      <c r="E506" s="2">
        <v>651</v>
      </c>
      <c r="F506">
        <v>224</v>
      </c>
    </row>
    <row r="507" spans="1:6">
      <c r="A507" t="s">
        <v>55</v>
      </c>
      <c r="B507" t="s">
        <v>15</v>
      </c>
      <c r="C507" t="s">
        <v>100</v>
      </c>
      <c r="D507" s="1">
        <v>44775</v>
      </c>
      <c r="E507" s="2">
        <v>6706</v>
      </c>
      <c r="F507">
        <v>223</v>
      </c>
    </row>
    <row r="508" spans="1:6">
      <c r="A508" t="s">
        <v>45</v>
      </c>
      <c r="B508" t="s">
        <v>7</v>
      </c>
      <c r="C508" t="s">
        <v>100</v>
      </c>
      <c r="D508" t="s">
        <v>24</v>
      </c>
      <c r="E508" s="2">
        <v>1421</v>
      </c>
      <c r="F508">
        <v>284</v>
      </c>
    </row>
    <row r="509" spans="1:6">
      <c r="A509" t="s">
        <v>29</v>
      </c>
      <c r="B509" t="s">
        <v>32</v>
      </c>
      <c r="C509" t="s">
        <v>38</v>
      </c>
      <c r="D509" t="s">
        <v>92</v>
      </c>
      <c r="E509" s="2">
        <v>8526</v>
      </c>
      <c r="F509">
        <v>73</v>
      </c>
    </row>
    <row r="510" spans="1:6">
      <c r="A510" t="s">
        <v>34</v>
      </c>
      <c r="B510" t="s">
        <v>35</v>
      </c>
      <c r="C510" t="s">
        <v>60</v>
      </c>
      <c r="D510" s="1">
        <v>44745</v>
      </c>
      <c r="E510" s="2">
        <v>1435</v>
      </c>
      <c r="F510">
        <v>112</v>
      </c>
    </row>
    <row r="511" spans="1:6">
      <c r="A511" t="s">
        <v>55</v>
      </c>
      <c r="B511" t="s">
        <v>15</v>
      </c>
      <c r="C511" t="s">
        <v>57</v>
      </c>
      <c r="D511" t="s">
        <v>92</v>
      </c>
      <c r="E511" s="2">
        <v>7434</v>
      </c>
      <c r="F511">
        <v>85</v>
      </c>
    </row>
    <row r="512" spans="1:6">
      <c r="A512" t="s">
        <v>19</v>
      </c>
      <c r="B512" t="s">
        <v>25</v>
      </c>
      <c r="C512" t="s">
        <v>42</v>
      </c>
      <c r="D512" t="s">
        <v>51</v>
      </c>
      <c r="E512" s="2">
        <v>15316</v>
      </c>
      <c r="F512">
        <v>270</v>
      </c>
    </row>
    <row r="513" spans="1:6">
      <c r="A513" t="s">
        <v>77</v>
      </c>
      <c r="B513" t="s">
        <v>7</v>
      </c>
      <c r="C513" t="s">
        <v>20</v>
      </c>
      <c r="D513" t="s">
        <v>43</v>
      </c>
      <c r="E513" s="2">
        <v>10479</v>
      </c>
      <c r="F513">
        <v>45</v>
      </c>
    </row>
    <row r="514" spans="1:6">
      <c r="A514" t="s">
        <v>77</v>
      </c>
      <c r="B514" t="s">
        <v>15</v>
      </c>
      <c r="C514" t="s">
        <v>8</v>
      </c>
      <c r="D514" s="1">
        <v>44597</v>
      </c>
      <c r="E514" s="2">
        <v>2751</v>
      </c>
      <c r="F514">
        <v>153</v>
      </c>
    </row>
    <row r="515" spans="1:6">
      <c r="A515" t="s">
        <v>48</v>
      </c>
      <c r="B515" t="s">
        <v>35</v>
      </c>
      <c r="C515" t="s">
        <v>20</v>
      </c>
      <c r="D515" s="1">
        <v>44749</v>
      </c>
      <c r="E515" s="2">
        <v>12586</v>
      </c>
      <c r="F515">
        <v>7</v>
      </c>
    </row>
    <row r="516" spans="1:6">
      <c r="A516" t="s">
        <v>29</v>
      </c>
      <c r="B516" t="s">
        <v>15</v>
      </c>
      <c r="C516" t="s">
        <v>87</v>
      </c>
      <c r="D516" t="s">
        <v>78</v>
      </c>
      <c r="E516" s="2">
        <v>2786</v>
      </c>
      <c r="F516">
        <v>51</v>
      </c>
    </row>
    <row r="517" spans="1:6">
      <c r="A517" t="s">
        <v>37</v>
      </c>
      <c r="B517" t="s">
        <v>15</v>
      </c>
      <c r="C517" t="s">
        <v>23</v>
      </c>
      <c r="D517" s="1">
        <v>44873</v>
      </c>
      <c r="E517" s="2">
        <v>2303</v>
      </c>
      <c r="F517">
        <v>67</v>
      </c>
    </row>
    <row r="518" spans="1:6">
      <c r="A518" t="s">
        <v>40</v>
      </c>
      <c r="B518" t="s">
        <v>7</v>
      </c>
      <c r="C518" t="s">
        <v>20</v>
      </c>
      <c r="D518" t="s">
        <v>30</v>
      </c>
      <c r="E518" s="2">
        <v>8113</v>
      </c>
      <c r="F518">
        <v>194</v>
      </c>
    </row>
    <row r="519" spans="1:6">
      <c r="A519" t="s">
        <v>22</v>
      </c>
      <c r="B519" t="s">
        <v>15</v>
      </c>
      <c r="C519" t="s">
        <v>26</v>
      </c>
      <c r="D519" s="1">
        <v>44595</v>
      </c>
      <c r="E519" s="2">
        <v>12271</v>
      </c>
      <c r="F519">
        <v>116</v>
      </c>
    </row>
    <row r="520" spans="1:6">
      <c r="A520" t="s">
        <v>40</v>
      </c>
      <c r="B520" t="s">
        <v>15</v>
      </c>
      <c r="C520" t="s">
        <v>75</v>
      </c>
      <c r="D520" t="s">
        <v>129</v>
      </c>
      <c r="E520" s="2">
        <v>11298</v>
      </c>
      <c r="F520">
        <v>41</v>
      </c>
    </row>
    <row r="521" spans="1:6">
      <c r="A521" t="s">
        <v>70</v>
      </c>
      <c r="B521" t="s">
        <v>25</v>
      </c>
      <c r="C521" t="s">
        <v>38</v>
      </c>
      <c r="D521" s="1">
        <v>44837</v>
      </c>
      <c r="E521" s="2">
        <v>15855</v>
      </c>
      <c r="F521">
        <v>111</v>
      </c>
    </row>
    <row r="522" spans="1:6">
      <c r="A522" t="s">
        <v>41</v>
      </c>
      <c r="B522" t="s">
        <v>32</v>
      </c>
      <c r="C522" t="s">
        <v>11</v>
      </c>
      <c r="D522" t="s">
        <v>98</v>
      </c>
      <c r="E522" s="2">
        <v>12404</v>
      </c>
      <c r="F522">
        <v>334</v>
      </c>
    </row>
    <row r="523" spans="1:6">
      <c r="A523" t="s">
        <v>45</v>
      </c>
      <c r="B523" t="s">
        <v>32</v>
      </c>
      <c r="C523" t="s">
        <v>36</v>
      </c>
      <c r="D523" t="s">
        <v>114</v>
      </c>
      <c r="E523" s="2">
        <v>3990</v>
      </c>
      <c r="F523">
        <v>155</v>
      </c>
    </row>
    <row r="524" spans="1:6">
      <c r="A524" t="s">
        <v>58</v>
      </c>
      <c r="B524" t="s">
        <v>7</v>
      </c>
      <c r="C524" t="s">
        <v>46</v>
      </c>
      <c r="D524" s="1">
        <v>44745</v>
      </c>
      <c r="E524" s="2">
        <v>10808</v>
      </c>
      <c r="F524">
        <v>407</v>
      </c>
    </row>
    <row r="525" spans="1:6">
      <c r="A525" t="s">
        <v>64</v>
      </c>
      <c r="B525" t="s">
        <v>7</v>
      </c>
      <c r="C525" t="s">
        <v>42</v>
      </c>
      <c r="D525" s="1">
        <v>44902</v>
      </c>
      <c r="E525" s="2">
        <v>4858</v>
      </c>
      <c r="F525">
        <v>52</v>
      </c>
    </row>
    <row r="526" spans="1:6">
      <c r="A526" t="s">
        <v>77</v>
      </c>
      <c r="B526" t="s">
        <v>32</v>
      </c>
      <c r="C526" t="s">
        <v>33</v>
      </c>
      <c r="D526" t="s">
        <v>86</v>
      </c>
      <c r="E526" s="2">
        <v>7742</v>
      </c>
      <c r="F526">
        <v>138</v>
      </c>
    </row>
    <row r="527" spans="1:6">
      <c r="A527" t="s">
        <v>22</v>
      </c>
      <c r="B527" t="s">
        <v>10</v>
      </c>
      <c r="C527" t="s">
        <v>18</v>
      </c>
      <c r="D527" s="1">
        <v>44595</v>
      </c>
      <c r="E527" s="2">
        <v>3752</v>
      </c>
      <c r="F527">
        <v>70</v>
      </c>
    </row>
    <row r="528" spans="1:6">
      <c r="A528" t="s">
        <v>40</v>
      </c>
      <c r="B528" t="s">
        <v>25</v>
      </c>
      <c r="C528" t="s">
        <v>11</v>
      </c>
      <c r="D528" t="s">
        <v>52</v>
      </c>
      <c r="E528" s="2">
        <v>1218</v>
      </c>
      <c r="F528">
        <v>149</v>
      </c>
    </row>
    <row r="529" spans="1:6">
      <c r="A529" t="s">
        <v>40</v>
      </c>
      <c r="B529" t="s">
        <v>7</v>
      </c>
      <c r="C529" t="s">
        <v>60</v>
      </c>
      <c r="D529" s="1">
        <v>44840</v>
      </c>
      <c r="E529" s="2">
        <v>10983</v>
      </c>
      <c r="F529">
        <v>179</v>
      </c>
    </row>
    <row r="530" spans="1:6">
      <c r="A530" t="s">
        <v>28</v>
      </c>
      <c r="B530" t="s">
        <v>32</v>
      </c>
      <c r="C530" t="s">
        <v>20</v>
      </c>
      <c r="D530" t="s">
        <v>113</v>
      </c>
      <c r="E530" s="2">
        <v>6769</v>
      </c>
      <c r="F530">
        <v>353</v>
      </c>
    </row>
    <row r="531" spans="1:6">
      <c r="A531" t="s">
        <v>41</v>
      </c>
      <c r="B531" t="s">
        <v>25</v>
      </c>
      <c r="C531" t="s">
        <v>8</v>
      </c>
      <c r="D531" s="1">
        <v>44810</v>
      </c>
      <c r="E531" s="2">
        <v>4361</v>
      </c>
      <c r="F531">
        <v>97</v>
      </c>
    </row>
    <row r="532" spans="1:6">
      <c r="A532" t="s">
        <v>58</v>
      </c>
      <c r="B532" t="s">
        <v>32</v>
      </c>
      <c r="C532" t="s">
        <v>46</v>
      </c>
      <c r="D532" s="1">
        <v>44900</v>
      </c>
      <c r="E532" s="2">
        <v>777</v>
      </c>
      <c r="F532">
        <v>60</v>
      </c>
    </row>
    <row r="533" spans="1:6">
      <c r="A533" t="s">
        <v>22</v>
      </c>
      <c r="B533" t="s">
        <v>32</v>
      </c>
      <c r="C533" t="s">
        <v>38</v>
      </c>
      <c r="D533" s="1">
        <v>44809</v>
      </c>
      <c r="E533" s="2">
        <v>3843</v>
      </c>
      <c r="F533">
        <v>5</v>
      </c>
    </row>
    <row r="534" spans="1:6">
      <c r="A534" t="s">
        <v>28</v>
      </c>
      <c r="B534" t="s">
        <v>35</v>
      </c>
      <c r="C534" t="s">
        <v>60</v>
      </c>
      <c r="D534" s="1">
        <v>44812</v>
      </c>
      <c r="E534" s="2">
        <v>6930</v>
      </c>
      <c r="F534">
        <v>182</v>
      </c>
    </row>
    <row r="535" spans="1:6">
      <c r="A535" t="s">
        <v>9</v>
      </c>
      <c r="B535" t="s">
        <v>10</v>
      </c>
      <c r="C535" t="s">
        <v>75</v>
      </c>
      <c r="D535" t="s">
        <v>121</v>
      </c>
      <c r="E535" s="2">
        <v>5733</v>
      </c>
      <c r="F535">
        <v>114</v>
      </c>
    </row>
    <row r="536" spans="1:6">
      <c r="A536" t="s">
        <v>67</v>
      </c>
      <c r="B536" t="s">
        <v>32</v>
      </c>
      <c r="C536" t="s">
        <v>90</v>
      </c>
      <c r="D536" s="1">
        <v>44597</v>
      </c>
      <c r="E536" s="2">
        <v>8393</v>
      </c>
      <c r="F536">
        <v>46</v>
      </c>
    </row>
    <row r="537" spans="1:6">
      <c r="A537" t="s">
        <v>79</v>
      </c>
      <c r="B537" t="s">
        <v>32</v>
      </c>
      <c r="C537" t="s">
        <v>20</v>
      </c>
      <c r="D537" s="1">
        <v>44812</v>
      </c>
      <c r="E537" s="2">
        <v>3822</v>
      </c>
      <c r="F537">
        <v>320</v>
      </c>
    </row>
    <row r="538" spans="1:6">
      <c r="A538" t="s">
        <v>71</v>
      </c>
      <c r="B538" t="s">
        <v>15</v>
      </c>
      <c r="C538" t="s">
        <v>73</v>
      </c>
      <c r="D538" t="s">
        <v>98</v>
      </c>
      <c r="E538" s="2">
        <v>6342</v>
      </c>
      <c r="F538">
        <v>178</v>
      </c>
    </row>
    <row r="539" spans="1:6">
      <c r="A539" t="s">
        <v>22</v>
      </c>
      <c r="B539" t="s">
        <v>10</v>
      </c>
      <c r="C539" t="s">
        <v>50</v>
      </c>
      <c r="D539" t="s">
        <v>130</v>
      </c>
      <c r="E539" s="2">
        <v>6510</v>
      </c>
      <c r="F539">
        <v>170</v>
      </c>
    </row>
    <row r="540" spans="1:6">
      <c r="A540" t="s">
        <v>37</v>
      </c>
      <c r="B540" t="s">
        <v>32</v>
      </c>
      <c r="C540" t="s">
        <v>60</v>
      </c>
      <c r="D540" s="1">
        <v>44563</v>
      </c>
      <c r="E540" s="2">
        <v>10171</v>
      </c>
      <c r="F540">
        <v>67</v>
      </c>
    </row>
    <row r="541" spans="1:6">
      <c r="A541" t="s">
        <v>71</v>
      </c>
      <c r="B541" t="s">
        <v>32</v>
      </c>
      <c r="C541" t="s">
        <v>26</v>
      </c>
      <c r="D541" t="s">
        <v>142</v>
      </c>
      <c r="E541" s="2">
        <v>5908</v>
      </c>
      <c r="F541">
        <v>301</v>
      </c>
    </row>
    <row r="542" spans="1:6">
      <c r="A542" t="s">
        <v>77</v>
      </c>
      <c r="B542" t="s">
        <v>7</v>
      </c>
      <c r="C542" t="s">
        <v>75</v>
      </c>
      <c r="D542" t="s">
        <v>62</v>
      </c>
      <c r="E542" s="2">
        <v>10164</v>
      </c>
      <c r="F542">
        <v>134</v>
      </c>
    </row>
    <row r="543" spans="1:6">
      <c r="A543" t="s">
        <v>14</v>
      </c>
      <c r="B543" t="s">
        <v>35</v>
      </c>
      <c r="C543" t="s">
        <v>8</v>
      </c>
      <c r="D543" s="1">
        <v>44565</v>
      </c>
      <c r="E543" s="2">
        <v>1064</v>
      </c>
      <c r="F543">
        <v>211</v>
      </c>
    </row>
    <row r="544" spans="1:6">
      <c r="A544" t="s">
        <v>71</v>
      </c>
      <c r="B544" t="s">
        <v>35</v>
      </c>
      <c r="C544" t="s">
        <v>100</v>
      </c>
      <c r="D544" t="s">
        <v>129</v>
      </c>
      <c r="E544" s="2">
        <v>9716</v>
      </c>
      <c r="F544">
        <v>151</v>
      </c>
    </row>
    <row r="545" spans="1:6">
      <c r="A545" t="s">
        <v>83</v>
      </c>
      <c r="B545" t="s">
        <v>10</v>
      </c>
      <c r="C545" t="s">
        <v>13</v>
      </c>
      <c r="D545" t="s">
        <v>95</v>
      </c>
      <c r="E545" s="2">
        <v>22050</v>
      </c>
      <c r="F545">
        <v>208</v>
      </c>
    </row>
    <row r="546" spans="1:6">
      <c r="A546" t="s">
        <v>14</v>
      </c>
      <c r="B546" t="s">
        <v>10</v>
      </c>
      <c r="C546" t="s">
        <v>75</v>
      </c>
      <c r="D546" s="1">
        <v>44903</v>
      </c>
      <c r="E546" s="2">
        <v>2541</v>
      </c>
      <c r="F546">
        <v>134</v>
      </c>
    </row>
    <row r="547" spans="1:6">
      <c r="A547" t="s">
        <v>12</v>
      </c>
      <c r="B547" t="s">
        <v>35</v>
      </c>
      <c r="C547" t="s">
        <v>65</v>
      </c>
      <c r="D547" s="1">
        <v>44563</v>
      </c>
      <c r="E547" s="2">
        <v>9989</v>
      </c>
      <c r="F547">
        <v>49</v>
      </c>
    </row>
    <row r="548" spans="1:6">
      <c r="A548" t="s">
        <v>29</v>
      </c>
      <c r="B548" t="s">
        <v>10</v>
      </c>
      <c r="C548" t="s">
        <v>23</v>
      </c>
      <c r="D548" s="1">
        <v>44595</v>
      </c>
      <c r="E548" s="2">
        <v>4739</v>
      </c>
      <c r="F548">
        <v>204</v>
      </c>
    </row>
    <row r="549" spans="1:6">
      <c r="A549" t="s">
        <v>70</v>
      </c>
      <c r="B549" t="s">
        <v>15</v>
      </c>
      <c r="C549" t="s">
        <v>20</v>
      </c>
      <c r="D549" t="s">
        <v>66</v>
      </c>
      <c r="E549" s="2">
        <v>3185</v>
      </c>
      <c r="F549">
        <v>34</v>
      </c>
    </row>
    <row r="550" spans="1:6">
      <c r="A550" t="s">
        <v>79</v>
      </c>
      <c r="B550" t="s">
        <v>15</v>
      </c>
      <c r="C550" t="s">
        <v>50</v>
      </c>
      <c r="D550" t="s">
        <v>152</v>
      </c>
      <c r="E550" s="2">
        <v>8225</v>
      </c>
      <c r="F550">
        <v>91</v>
      </c>
    </row>
    <row r="551" spans="1:6">
      <c r="A551" t="s">
        <v>28</v>
      </c>
      <c r="B551" t="s">
        <v>32</v>
      </c>
      <c r="C551" t="s">
        <v>46</v>
      </c>
      <c r="D551" s="1">
        <v>44749</v>
      </c>
      <c r="E551" s="2">
        <v>14301</v>
      </c>
      <c r="F551">
        <v>130</v>
      </c>
    </row>
    <row r="552" spans="1:6">
      <c r="A552" t="s">
        <v>34</v>
      </c>
      <c r="B552" t="s">
        <v>25</v>
      </c>
      <c r="C552" t="s">
        <v>8</v>
      </c>
      <c r="D552" t="s">
        <v>96</v>
      </c>
      <c r="E552" s="2">
        <v>1316</v>
      </c>
      <c r="F552">
        <v>107</v>
      </c>
    </row>
    <row r="553" spans="1:6">
      <c r="A553" t="s">
        <v>41</v>
      </c>
      <c r="B553" t="s">
        <v>7</v>
      </c>
      <c r="C553" t="s">
        <v>20</v>
      </c>
      <c r="D553" s="1">
        <v>44842</v>
      </c>
      <c r="E553" s="2">
        <v>3486</v>
      </c>
      <c r="F553">
        <v>121</v>
      </c>
    </row>
    <row r="554" spans="1:6">
      <c r="A554" t="s">
        <v>41</v>
      </c>
      <c r="B554" t="s">
        <v>32</v>
      </c>
      <c r="C554" t="s">
        <v>13</v>
      </c>
      <c r="D554" t="s">
        <v>97</v>
      </c>
      <c r="E554" s="2">
        <v>13930</v>
      </c>
      <c r="F554">
        <v>339</v>
      </c>
    </row>
    <row r="555" spans="1:6">
      <c r="A555" t="s">
        <v>28</v>
      </c>
      <c r="B555" t="s">
        <v>25</v>
      </c>
      <c r="C555" t="s">
        <v>59</v>
      </c>
      <c r="D555" t="s">
        <v>61</v>
      </c>
      <c r="E555" s="2">
        <v>5509</v>
      </c>
      <c r="F555">
        <v>321</v>
      </c>
    </row>
    <row r="556" spans="1:6">
      <c r="A556" t="s">
        <v>40</v>
      </c>
      <c r="B556" t="s">
        <v>32</v>
      </c>
      <c r="C556" t="s">
        <v>87</v>
      </c>
      <c r="D556" t="s">
        <v>43</v>
      </c>
      <c r="E556" s="2">
        <v>8470</v>
      </c>
      <c r="F556">
        <v>9</v>
      </c>
    </row>
    <row r="557" spans="1:6">
      <c r="A557" t="s">
        <v>70</v>
      </c>
      <c r="B557" t="s">
        <v>32</v>
      </c>
      <c r="C557" t="s">
        <v>50</v>
      </c>
      <c r="D557" t="s">
        <v>116</v>
      </c>
      <c r="E557" s="2">
        <v>77</v>
      </c>
      <c r="F557">
        <v>69</v>
      </c>
    </row>
    <row r="558" spans="1:6">
      <c r="A558" t="s">
        <v>34</v>
      </c>
      <c r="B558" t="s">
        <v>35</v>
      </c>
      <c r="C558" t="s">
        <v>59</v>
      </c>
      <c r="D558" s="1">
        <v>44623</v>
      </c>
      <c r="E558" s="2">
        <v>3381</v>
      </c>
      <c r="F558">
        <v>72</v>
      </c>
    </row>
    <row r="559" spans="1:6">
      <c r="A559" t="s">
        <v>55</v>
      </c>
      <c r="B559" t="s">
        <v>15</v>
      </c>
      <c r="C559" t="s">
        <v>65</v>
      </c>
      <c r="D559" t="s">
        <v>125</v>
      </c>
      <c r="E559" s="2">
        <v>4102</v>
      </c>
      <c r="F559">
        <v>392</v>
      </c>
    </row>
    <row r="560" spans="1:6">
      <c r="A560" t="s">
        <v>19</v>
      </c>
      <c r="B560" t="s">
        <v>32</v>
      </c>
      <c r="C560" t="s">
        <v>18</v>
      </c>
      <c r="D560" s="1">
        <v>44654</v>
      </c>
      <c r="E560" s="2">
        <v>3577</v>
      </c>
      <c r="F560">
        <v>158</v>
      </c>
    </row>
    <row r="561" spans="1:6">
      <c r="A561" t="s">
        <v>58</v>
      </c>
      <c r="B561" t="s">
        <v>10</v>
      </c>
      <c r="C561" t="s">
        <v>18</v>
      </c>
      <c r="D561" s="1">
        <v>44749</v>
      </c>
      <c r="E561" s="2">
        <v>2975</v>
      </c>
      <c r="F561">
        <v>9</v>
      </c>
    </row>
    <row r="562" spans="1:6">
      <c r="A562" t="s">
        <v>71</v>
      </c>
      <c r="B562" t="s">
        <v>25</v>
      </c>
      <c r="C562" t="s">
        <v>90</v>
      </c>
      <c r="D562" t="s">
        <v>153</v>
      </c>
      <c r="E562" s="2">
        <v>4137</v>
      </c>
      <c r="F562">
        <v>347</v>
      </c>
    </row>
    <row r="563" spans="1:6">
      <c r="A563" t="s">
        <v>14</v>
      </c>
      <c r="B563" t="s">
        <v>35</v>
      </c>
      <c r="C563" t="s">
        <v>90</v>
      </c>
      <c r="D563" s="1">
        <v>44600</v>
      </c>
      <c r="E563" s="2">
        <v>9541</v>
      </c>
      <c r="F563">
        <v>114</v>
      </c>
    </row>
    <row r="564" spans="1:6">
      <c r="A564" t="s">
        <v>19</v>
      </c>
      <c r="B564" t="s">
        <v>32</v>
      </c>
      <c r="C564" t="s">
        <v>87</v>
      </c>
      <c r="D564" s="1">
        <v>44903</v>
      </c>
      <c r="E564" s="2">
        <v>8001</v>
      </c>
      <c r="F564">
        <v>120</v>
      </c>
    </row>
    <row r="565" spans="1:6">
      <c r="A565" t="s">
        <v>77</v>
      </c>
      <c r="B565" t="s">
        <v>25</v>
      </c>
      <c r="C565" t="s">
        <v>13</v>
      </c>
      <c r="D565" t="s">
        <v>107</v>
      </c>
      <c r="E565" s="2">
        <v>5152</v>
      </c>
      <c r="F565">
        <v>333</v>
      </c>
    </row>
    <row r="566" spans="1:6">
      <c r="A566" t="s">
        <v>70</v>
      </c>
      <c r="B566" t="s">
        <v>15</v>
      </c>
      <c r="C566" t="s">
        <v>33</v>
      </c>
      <c r="D566" t="s">
        <v>116</v>
      </c>
      <c r="E566" s="2">
        <v>11116</v>
      </c>
      <c r="F566">
        <v>432</v>
      </c>
    </row>
    <row r="567" spans="1:6">
      <c r="A567" t="s">
        <v>40</v>
      </c>
      <c r="B567" t="s">
        <v>15</v>
      </c>
      <c r="C567" t="s">
        <v>60</v>
      </c>
      <c r="D567" s="1">
        <v>44685</v>
      </c>
      <c r="E567" s="2">
        <v>13076</v>
      </c>
      <c r="F567">
        <v>236</v>
      </c>
    </row>
    <row r="568" spans="1:6">
      <c r="A568" t="s">
        <v>55</v>
      </c>
      <c r="B568" t="s">
        <v>35</v>
      </c>
      <c r="C568" t="s">
        <v>60</v>
      </c>
      <c r="D568" t="s">
        <v>115</v>
      </c>
      <c r="E568" s="2">
        <v>10213</v>
      </c>
      <c r="F568">
        <v>135</v>
      </c>
    </row>
    <row r="569" spans="1:6">
      <c r="A569" t="s">
        <v>6</v>
      </c>
      <c r="B569" t="s">
        <v>7</v>
      </c>
      <c r="C569" t="s">
        <v>87</v>
      </c>
      <c r="D569" t="s">
        <v>86</v>
      </c>
      <c r="E569" s="2">
        <v>2485</v>
      </c>
      <c r="F569">
        <v>97</v>
      </c>
    </row>
    <row r="570" spans="1:6">
      <c r="A570" t="s">
        <v>70</v>
      </c>
      <c r="B570" t="s">
        <v>15</v>
      </c>
      <c r="C570" t="s">
        <v>59</v>
      </c>
      <c r="D570" t="s">
        <v>69</v>
      </c>
      <c r="E570" s="2">
        <v>8715</v>
      </c>
      <c r="F570">
        <v>168</v>
      </c>
    </row>
    <row r="571" spans="1:6">
      <c r="A571" t="s">
        <v>48</v>
      </c>
      <c r="B571" t="s">
        <v>10</v>
      </c>
      <c r="C571" t="s">
        <v>11</v>
      </c>
      <c r="D571" t="s">
        <v>115</v>
      </c>
      <c r="E571" s="2">
        <v>273</v>
      </c>
      <c r="F571">
        <v>402</v>
      </c>
    </row>
    <row r="572" spans="1:6">
      <c r="A572" t="s">
        <v>55</v>
      </c>
      <c r="B572" t="s">
        <v>32</v>
      </c>
      <c r="C572" t="s">
        <v>36</v>
      </c>
      <c r="D572" t="s">
        <v>78</v>
      </c>
      <c r="E572" s="2">
        <v>7623</v>
      </c>
      <c r="F572">
        <v>10</v>
      </c>
    </row>
    <row r="573" spans="1:6">
      <c r="A573" t="s">
        <v>22</v>
      </c>
      <c r="B573" t="s">
        <v>7</v>
      </c>
      <c r="C573" t="s">
        <v>20</v>
      </c>
      <c r="D573" s="1">
        <v>44745</v>
      </c>
      <c r="E573" s="2">
        <v>7</v>
      </c>
      <c r="F573">
        <v>84</v>
      </c>
    </row>
    <row r="574" spans="1:6">
      <c r="A574" t="s">
        <v>41</v>
      </c>
      <c r="B574" t="s">
        <v>7</v>
      </c>
      <c r="C574" t="s">
        <v>75</v>
      </c>
      <c r="D574" s="1">
        <v>44654</v>
      </c>
      <c r="E574" s="2">
        <v>3010</v>
      </c>
      <c r="F574">
        <v>69</v>
      </c>
    </row>
    <row r="575" spans="1:6">
      <c r="A575" t="s">
        <v>79</v>
      </c>
      <c r="B575" t="s">
        <v>35</v>
      </c>
      <c r="C575" t="s">
        <v>60</v>
      </c>
      <c r="D575" t="s">
        <v>134</v>
      </c>
      <c r="E575" s="2">
        <v>11550</v>
      </c>
      <c r="F575">
        <v>111</v>
      </c>
    </row>
    <row r="576" spans="1:6">
      <c r="A576" t="s">
        <v>55</v>
      </c>
      <c r="B576" t="s">
        <v>15</v>
      </c>
      <c r="C576" t="s">
        <v>46</v>
      </c>
      <c r="D576" s="1">
        <v>44810</v>
      </c>
      <c r="E576" s="2">
        <v>4046</v>
      </c>
      <c r="F576">
        <v>89</v>
      </c>
    </row>
    <row r="577" spans="1:6">
      <c r="A577" t="s">
        <v>14</v>
      </c>
      <c r="B577" t="s">
        <v>35</v>
      </c>
      <c r="C577" t="s">
        <v>57</v>
      </c>
      <c r="D577" t="s">
        <v>113</v>
      </c>
      <c r="E577" s="2">
        <v>8904</v>
      </c>
      <c r="F577">
        <v>199</v>
      </c>
    </row>
    <row r="578" spans="1:6">
      <c r="A578" t="s">
        <v>14</v>
      </c>
      <c r="B578" t="s">
        <v>10</v>
      </c>
      <c r="C578" t="s">
        <v>18</v>
      </c>
      <c r="D578" s="1">
        <v>44628</v>
      </c>
      <c r="E578" s="2">
        <v>11298</v>
      </c>
      <c r="F578">
        <v>89</v>
      </c>
    </row>
    <row r="579" spans="1:6">
      <c r="A579" t="s">
        <v>29</v>
      </c>
      <c r="B579" t="s">
        <v>15</v>
      </c>
      <c r="C579" t="s">
        <v>60</v>
      </c>
      <c r="D579" s="1">
        <v>44628</v>
      </c>
      <c r="E579" s="2">
        <v>4396</v>
      </c>
      <c r="F579">
        <v>131</v>
      </c>
    </row>
    <row r="580" spans="1:6">
      <c r="A580" t="s">
        <v>6</v>
      </c>
      <c r="B580" t="s">
        <v>7</v>
      </c>
      <c r="C580" t="s">
        <v>46</v>
      </c>
      <c r="D580" s="1">
        <v>44625</v>
      </c>
      <c r="E580" s="2">
        <v>12068</v>
      </c>
      <c r="F580">
        <v>227</v>
      </c>
    </row>
    <row r="581" spans="1:6">
      <c r="A581" t="s">
        <v>53</v>
      </c>
      <c r="B581" t="s">
        <v>35</v>
      </c>
      <c r="C581" t="s">
        <v>23</v>
      </c>
      <c r="D581" t="s">
        <v>105</v>
      </c>
      <c r="E581" s="2">
        <v>9772</v>
      </c>
      <c r="F581">
        <v>301</v>
      </c>
    </row>
    <row r="582" spans="1:6">
      <c r="A582" t="s">
        <v>45</v>
      </c>
      <c r="B582" t="s">
        <v>32</v>
      </c>
      <c r="C582" t="s">
        <v>26</v>
      </c>
      <c r="D582" s="1">
        <v>44867</v>
      </c>
      <c r="E582" s="2">
        <v>10458</v>
      </c>
      <c r="F582">
        <v>316</v>
      </c>
    </row>
    <row r="583" spans="1:6">
      <c r="A583" t="s">
        <v>9</v>
      </c>
      <c r="B583" t="s">
        <v>10</v>
      </c>
      <c r="C583" t="s">
        <v>65</v>
      </c>
      <c r="D583" t="s">
        <v>127</v>
      </c>
      <c r="E583" s="2">
        <v>6426</v>
      </c>
      <c r="F583">
        <v>390</v>
      </c>
    </row>
    <row r="584" spans="1:6">
      <c r="A584" t="s">
        <v>70</v>
      </c>
      <c r="B584" t="s">
        <v>32</v>
      </c>
      <c r="C584" t="s">
        <v>26</v>
      </c>
      <c r="D584" t="s">
        <v>110</v>
      </c>
      <c r="E584" s="2">
        <v>6188</v>
      </c>
      <c r="F584">
        <v>223</v>
      </c>
    </row>
    <row r="585" spans="1:6">
      <c r="A585" t="s">
        <v>77</v>
      </c>
      <c r="B585" t="s">
        <v>35</v>
      </c>
      <c r="C585" t="s">
        <v>11</v>
      </c>
      <c r="D585" t="s">
        <v>51</v>
      </c>
      <c r="E585" s="2">
        <v>7504</v>
      </c>
      <c r="F585">
        <v>101</v>
      </c>
    </row>
    <row r="586" spans="1:6">
      <c r="A586" t="s">
        <v>58</v>
      </c>
      <c r="B586" t="s">
        <v>35</v>
      </c>
      <c r="C586" t="s">
        <v>18</v>
      </c>
      <c r="D586" t="s">
        <v>123</v>
      </c>
      <c r="E586" s="2">
        <v>1750</v>
      </c>
      <c r="F586">
        <v>479</v>
      </c>
    </row>
    <row r="587" spans="1:6">
      <c r="A587" t="s">
        <v>34</v>
      </c>
      <c r="B587" t="s">
        <v>15</v>
      </c>
      <c r="C587" t="s">
        <v>50</v>
      </c>
      <c r="D587" t="s">
        <v>63</v>
      </c>
      <c r="E587" s="2">
        <v>5439</v>
      </c>
      <c r="F587">
        <v>287</v>
      </c>
    </row>
    <row r="588" spans="1:6">
      <c r="A588" t="s">
        <v>83</v>
      </c>
      <c r="B588" t="s">
        <v>35</v>
      </c>
      <c r="C588" t="s">
        <v>75</v>
      </c>
      <c r="D588" t="s">
        <v>69</v>
      </c>
      <c r="E588" s="2">
        <v>15547</v>
      </c>
      <c r="F588">
        <v>269</v>
      </c>
    </row>
    <row r="589" spans="1:6">
      <c r="A589" t="s">
        <v>12</v>
      </c>
      <c r="B589" t="s">
        <v>35</v>
      </c>
      <c r="C589" t="s">
        <v>50</v>
      </c>
      <c r="D589" s="1">
        <v>44658</v>
      </c>
      <c r="E589" s="2">
        <v>11956</v>
      </c>
      <c r="F589">
        <v>277</v>
      </c>
    </row>
    <row r="590" spans="1:6">
      <c r="A590" t="s">
        <v>45</v>
      </c>
      <c r="B590" t="s">
        <v>25</v>
      </c>
      <c r="C590" t="s">
        <v>65</v>
      </c>
      <c r="D590" t="s">
        <v>102</v>
      </c>
      <c r="E590" s="2">
        <v>2723</v>
      </c>
      <c r="F590">
        <v>67</v>
      </c>
    </row>
    <row r="591" spans="1:6">
      <c r="A591" t="s">
        <v>48</v>
      </c>
      <c r="B591" t="s">
        <v>10</v>
      </c>
      <c r="C591" t="s">
        <v>18</v>
      </c>
      <c r="D591" t="s">
        <v>81</v>
      </c>
      <c r="E591" s="2">
        <v>19327</v>
      </c>
      <c r="F591">
        <v>135</v>
      </c>
    </row>
    <row r="592" spans="1:6">
      <c r="A592" t="s">
        <v>83</v>
      </c>
      <c r="B592" t="s">
        <v>25</v>
      </c>
      <c r="C592" t="s">
        <v>8</v>
      </c>
      <c r="D592" t="s">
        <v>115</v>
      </c>
      <c r="E592" s="2">
        <v>9058</v>
      </c>
      <c r="F592">
        <v>229</v>
      </c>
    </row>
    <row r="593" spans="1:6">
      <c r="A593" t="s">
        <v>9</v>
      </c>
      <c r="B593" t="s">
        <v>25</v>
      </c>
      <c r="C593" t="s">
        <v>57</v>
      </c>
      <c r="D593" t="s">
        <v>152</v>
      </c>
      <c r="E593" s="2">
        <v>2996</v>
      </c>
      <c r="F593">
        <v>88</v>
      </c>
    </row>
    <row r="594" spans="1:6">
      <c r="A594" t="s">
        <v>67</v>
      </c>
      <c r="B594" t="s">
        <v>25</v>
      </c>
      <c r="C594" t="s">
        <v>8</v>
      </c>
      <c r="D594" t="s">
        <v>149</v>
      </c>
      <c r="E594" s="2">
        <v>8848</v>
      </c>
      <c r="F594">
        <v>211</v>
      </c>
    </row>
    <row r="595" spans="1:6">
      <c r="A595" t="s">
        <v>67</v>
      </c>
      <c r="B595" t="s">
        <v>7</v>
      </c>
      <c r="C595" t="s">
        <v>46</v>
      </c>
      <c r="D595" s="1">
        <v>44867</v>
      </c>
      <c r="E595" s="2">
        <v>14336</v>
      </c>
      <c r="F595">
        <v>293</v>
      </c>
    </row>
    <row r="596" spans="1:6">
      <c r="A596" t="s">
        <v>71</v>
      </c>
      <c r="B596" t="s">
        <v>32</v>
      </c>
      <c r="C596" t="s">
        <v>60</v>
      </c>
      <c r="D596" t="s">
        <v>148</v>
      </c>
      <c r="E596" s="2">
        <v>16401</v>
      </c>
      <c r="F596">
        <v>179</v>
      </c>
    </row>
    <row r="597" spans="1:6">
      <c r="A597" t="s">
        <v>22</v>
      </c>
      <c r="B597" t="s">
        <v>25</v>
      </c>
      <c r="C597" t="s">
        <v>65</v>
      </c>
      <c r="D597" s="1">
        <v>44682</v>
      </c>
      <c r="E597" s="2">
        <v>5173</v>
      </c>
      <c r="F597">
        <v>129</v>
      </c>
    </row>
    <row r="598" spans="1:6">
      <c r="A598" t="s">
        <v>28</v>
      </c>
      <c r="B598" t="s">
        <v>10</v>
      </c>
      <c r="C598" t="s">
        <v>73</v>
      </c>
      <c r="D598" t="s">
        <v>52</v>
      </c>
      <c r="E598" s="2">
        <v>6328</v>
      </c>
      <c r="F598">
        <v>164</v>
      </c>
    </row>
    <row r="599" spans="1:6">
      <c r="A599" t="s">
        <v>6</v>
      </c>
      <c r="B599" t="s">
        <v>32</v>
      </c>
      <c r="C599" t="s">
        <v>20</v>
      </c>
      <c r="D599" s="1">
        <v>44652</v>
      </c>
      <c r="E599" s="2">
        <v>2534</v>
      </c>
      <c r="F599">
        <v>219</v>
      </c>
    </row>
    <row r="600" spans="1:6">
      <c r="A600" t="s">
        <v>41</v>
      </c>
      <c r="B600" t="s">
        <v>15</v>
      </c>
      <c r="C600" t="s">
        <v>57</v>
      </c>
      <c r="D600" t="s">
        <v>134</v>
      </c>
      <c r="E600" s="2">
        <v>1435</v>
      </c>
      <c r="F600">
        <v>258</v>
      </c>
    </row>
    <row r="601" spans="1:6">
      <c r="A601" t="s">
        <v>12</v>
      </c>
      <c r="B601" t="s">
        <v>35</v>
      </c>
      <c r="C601" t="s">
        <v>46</v>
      </c>
      <c r="D601" s="1">
        <v>44836</v>
      </c>
      <c r="E601" s="2">
        <v>3052</v>
      </c>
      <c r="F601">
        <v>116</v>
      </c>
    </row>
    <row r="602" spans="1:6">
      <c r="A602" t="s">
        <v>79</v>
      </c>
      <c r="B602" t="s">
        <v>10</v>
      </c>
      <c r="C602" t="s">
        <v>50</v>
      </c>
      <c r="D602" s="1">
        <v>44903</v>
      </c>
      <c r="E602" s="2">
        <v>910</v>
      </c>
      <c r="F602">
        <v>204</v>
      </c>
    </row>
    <row r="603" spans="1:6">
      <c r="A603" t="s">
        <v>22</v>
      </c>
      <c r="B603" t="s">
        <v>32</v>
      </c>
      <c r="C603" t="s">
        <v>42</v>
      </c>
      <c r="D603" s="1">
        <v>44842</v>
      </c>
      <c r="E603" s="2">
        <v>2331</v>
      </c>
      <c r="F603">
        <v>321</v>
      </c>
    </row>
    <row r="604" spans="1:6">
      <c r="A604" t="s">
        <v>70</v>
      </c>
      <c r="B604" t="s">
        <v>15</v>
      </c>
      <c r="C604" t="s">
        <v>73</v>
      </c>
      <c r="D604" s="1">
        <v>44748</v>
      </c>
      <c r="E604" s="2">
        <v>679</v>
      </c>
      <c r="F604">
        <v>56</v>
      </c>
    </row>
    <row r="605" spans="1:6">
      <c r="A605" t="s">
        <v>6</v>
      </c>
      <c r="B605" t="s">
        <v>10</v>
      </c>
      <c r="C605" t="s">
        <v>87</v>
      </c>
      <c r="D605" s="1">
        <v>44718</v>
      </c>
      <c r="E605" s="2">
        <v>2086</v>
      </c>
      <c r="F605">
        <v>74</v>
      </c>
    </row>
    <row r="606" spans="1:6">
      <c r="A606" t="s">
        <v>37</v>
      </c>
      <c r="B606" t="s">
        <v>25</v>
      </c>
      <c r="C606" t="s">
        <v>87</v>
      </c>
      <c r="D606" s="1">
        <v>44685</v>
      </c>
      <c r="E606" s="2">
        <v>5012</v>
      </c>
      <c r="F606">
        <v>189</v>
      </c>
    </row>
    <row r="607" spans="1:6">
      <c r="A607" t="s">
        <v>64</v>
      </c>
      <c r="B607" t="s">
        <v>32</v>
      </c>
      <c r="C607" t="s">
        <v>26</v>
      </c>
      <c r="D607" t="s">
        <v>154</v>
      </c>
      <c r="E607" s="2">
        <v>4501</v>
      </c>
      <c r="F607">
        <v>131</v>
      </c>
    </row>
    <row r="608" spans="1:6">
      <c r="A608" t="s">
        <v>67</v>
      </c>
      <c r="B608" t="s">
        <v>10</v>
      </c>
      <c r="C608" t="s">
        <v>26</v>
      </c>
      <c r="D608" t="s">
        <v>96</v>
      </c>
      <c r="E608" s="2">
        <v>13482</v>
      </c>
      <c r="F608">
        <v>15</v>
      </c>
    </row>
    <row r="609" spans="1:6">
      <c r="A609" t="s">
        <v>77</v>
      </c>
      <c r="B609" t="s">
        <v>32</v>
      </c>
      <c r="C609" t="s">
        <v>87</v>
      </c>
      <c r="D609" t="s">
        <v>78</v>
      </c>
      <c r="E609" s="2">
        <v>5621</v>
      </c>
      <c r="F609">
        <v>140</v>
      </c>
    </row>
    <row r="610" spans="1:6">
      <c r="A610" t="s">
        <v>6</v>
      </c>
      <c r="B610" t="s">
        <v>15</v>
      </c>
      <c r="C610" t="s">
        <v>20</v>
      </c>
      <c r="D610" t="s">
        <v>104</v>
      </c>
      <c r="E610" s="2">
        <v>10486</v>
      </c>
      <c r="F610">
        <v>198</v>
      </c>
    </row>
    <row r="611" spans="1:6">
      <c r="A611" t="s">
        <v>14</v>
      </c>
      <c r="B611" t="s">
        <v>15</v>
      </c>
      <c r="C611" t="s">
        <v>8</v>
      </c>
      <c r="D611" t="s">
        <v>125</v>
      </c>
      <c r="E611" s="2">
        <v>17626</v>
      </c>
      <c r="F611">
        <v>103</v>
      </c>
    </row>
    <row r="612" spans="1:6">
      <c r="A612" t="s">
        <v>19</v>
      </c>
      <c r="B612" t="s">
        <v>25</v>
      </c>
      <c r="C612" t="s">
        <v>46</v>
      </c>
      <c r="D612" s="1">
        <v>44896</v>
      </c>
      <c r="E612" s="2">
        <v>4494</v>
      </c>
      <c r="F612">
        <v>187</v>
      </c>
    </row>
    <row r="613" spans="1:6">
      <c r="A613" t="s">
        <v>28</v>
      </c>
      <c r="B613" t="s">
        <v>7</v>
      </c>
      <c r="C613" t="s">
        <v>65</v>
      </c>
      <c r="D613" t="s">
        <v>99</v>
      </c>
      <c r="E613" s="2">
        <v>105</v>
      </c>
      <c r="F613">
        <v>125</v>
      </c>
    </row>
    <row r="614" spans="1:6">
      <c r="A614" t="s">
        <v>70</v>
      </c>
      <c r="B614" t="s">
        <v>10</v>
      </c>
      <c r="C614" t="s">
        <v>18</v>
      </c>
      <c r="D614" s="1">
        <v>44563</v>
      </c>
      <c r="E614" s="2">
        <v>2464</v>
      </c>
      <c r="F614">
        <v>8</v>
      </c>
    </row>
    <row r="615" spans="1:6">
      <c r="A615" t="s">
        <v>29</v>
      </c>
      <c r="B615" t="s">
        <v>7</v>
      </c>
      <c r="C615" t="s">
        <v>36</v>
      </c>
      <c r="D615" t="s">
        <v>16</v>
      </c>
      <c r="E615" s="2">
        <v>1379</v>
      </c>
      <c r="F615">
        <v>70</v>
      </c>
    </row>
    <row r="616" spans="1:6">
      <c r="A616" t="s">
        <v>12</v>
      </c>
      <c r="B616" t="s">
        <v>32</v>
      </c>
      <c r="C616" t="s">
        <v>18</v>
      </c>
      <c r="D616" t="s">
        <v>68</v>
      </c>
      <c r="E616" s="2">
        <v>2583</v>
      </c>
      <c r="F616">
        <v>126</v>
      </c>
    </row>
    <row r="617" spans="1:6">
      <c r="A617" t="s">
        <v>48</v>
      </c>
      <c r="B617" t="s">
        <v>25</v>
      </c>
      <c r="C617" t="s">
        <v>8</v>
      </c>
      <c r="D617" t="s">
        <v>43</v>
      </c>
      <c r="E617" s="2">
        <v>3220</v>
      </c>
      <c r="F617">
        <v>265</v>
      </c>
    </row>
    <row r="618" spans="1:6">
      <c r="A618" t="s">
        <v>48</v>
      </c>
      <c r="B618" t="s">
        <v>32</v>
      </c>
      <c r="C618" t="s">
        <v>8</v>
      </c>
      <c r="D618" t="s">
        <v>69</v>
      </c>
      <c r="E618" s="2">
        <v>4802</v>
      </c>
      <c r="F618">
        <v>296</v>
      </c>
    </row>
    <row r="619" spans="1:6">
      <c r="A619" t="s">
        <v>77</v>
      </c>
      <c r="B619" t="s">
        <v>25</v>
      </c>
      <c r="C619" t="s">
        <v>57</v>
      </c>
      <c r="D619" t="s">
        <v>115</v>
      </c>
      <c r="E619" s="2">
        <v>5677</v>
      </c>
      <c r="F619">
        <v>21</v>
      </c>
    </row>
    <row r="620" spans="1:6">
      <c r="A620" t="s">
        <v>37</v>
      </c>
      <c r="B620" t="s">
        <v>10</v>
      </c>
      <c r="C620" t="s">
        <v>11</v>
      </c>
      <c r="D620" t="s">
        <v>155</v>
      </c>
      <c r="E620" s="2">
        <v>945</v>
      </c>
      <c r="F620">
        <v>83</v>
      </c>
    </row>
    <row r="621" spans="1:6">
      <c r="A621" t="s">
        <v>83</v>
      </c>
      <c r="B621" t="s">
        <v>15</v>
      </c>
      <c r="C621" t="s">
        <v>90</v>
      </c>
      <c r="D621" t="s">
        <v>152</v>
      </c>
      <c r="E621" s="2">
        <v>8757</v>
      </c>
      <c r="F621">
        <v>162</v>
      </c>
    </row>
    <row r="622" spans="1:6">
      <c r="A622" t="s">
        <v>70</v>
      </c>
      <c r="B622" t="s">
        <v>32</v>
      </c>
      <c r="C622" t="s">
        <v>57</v>
      </c>
      <c r="D622" t="s">
        <v>51</v>
      </c>
      <c r="E622" s="2">
        <v>4816</v>
      </c>
      <c r="F622">
        <v>145</v>
      </c>
    </row>
    <row r="623" spans="1:6">
      <c r="A623" t="s">
        <v>70</v>
      </c>
      <c r="B623" t="s">
        <v>35</v>
      </c>
      <c r="C623" t="s">
        <v>13</v>
      </c>
      <c r="D623" s="1">
        <v>44777</v>
      </c>
      <c r="E623" s="2">
        <v>7532</v>
      </c>
      <c r="F623">
        <v>44</v>
      </c>
    </row>
    <row r="624" spans="1:6">
      <c r="A624" t="s">
        <v>12</v>
      </c>
      <c r="B624" t="s">
        <v>35</v>
      </c>
      <c r="C624" t="s">
        <v>38</v>
      </c>
      <c r="D624" s="1">
        <v>44719</v>
      </c>
      <c r="E624" s="2">
        <v>3549</v>
      </c>
      <c r="F624">
        <v>82</v>
      </c>
    </row>
    <row r="625" spans="1:6">
      <c r="A625" t="s">
        <v>53</v>
      </c>
      <c r="B625" t="s">
        <v>10</v>
      </c>
      <c r="C625" t="s">
        <v>57</v>
      </c>
      <c r="D625" s="1">
        <v>44655</v>
      </c>
      <c r="E625" s="2">
        <v>4340</v>
      </c>
      <c r="F625">
        <v>226</v>
      </c>
    </row>
    <row r="626" spans="1:6">
      <c r="A626" t="s">
        <v>14</v>
      </c>
      <c r="B626" t="s">
        <v>25</v>
      </c>
      <c r="C626" t="s">
        <v>42</v>
      </c>
      <c r="D626" s="1">
        <v>44595</v>
      </c>
      <c r="E626" s="2">
        <v>1799</v>
      </c>
      <c r="F626">
        <v>207</v>
      </c>
    </row>
    <row r="627" spans="1:6">
      <c r="A627" t="s">
        <v>12</v>
      </c>
      <c r="B627" t="s">
        <v>25</v>
      </c>
      <c r="C627" t="s">
        <v>73</v>
      </c>
      <c r="D627" s="1">
        <v>44812</v>
      </c>
      <c r="E627" s="2">
        <v>1127</v>
      </c>
      <c r="F627">
        <v>176</v>
      </c>
    </row>
    <row r="628" spans="1:6">
      <c r="A628" t="s">
        <v>58</v>
      </c>
      <c r="B628" t="s">
        <v>15</v>
      </c>
      <c r="C628" t="s">
        <v>46</v>
      </c>
      <c r="D628" s="1">
        <v>44810</v>
      </c>
      <c r="E628" s="2">
        <v>10038</v>
      </c>
      <c r="F628">
        <v>286</v>
      </c>
    </row>
    <row r="629" spans="1:6">
      <c r="A629" t="s">
        <v>83</v>
      </c>
      <c r="B629" t="s">
        <v>7</v>
      </c>
      <c r="C629" t="s">
        <v>90</v>
      </c>
      <c r="D629" s="1">
        <v>44598</v>
      </c>
      <c r="E629" s="2">
        <v>2926</v>
      </c>
      <c r="F629">
        <v>300</v>
      </c>
    </row>
    <row r="630" spans="1:6">
      <c r="A630" t="s">
        <v>9</v>
      </c>
      <c r="B630" t="s">
        <v>32</v>
      </c>
      <c r="C630" t="s">
        <v>57</v>
      </c>
      <c r="D630" s="1">
        <v>44688</v>
      </c>
      <c r="E630" s="2">
        <v>6279</v>
      </c>
      <c r="F630">
        <v>235</v>
      </c>
    </row>
    <row r="631" spans="1:6">
      <c r="A631" t="s">
        <v>67</v>
      </c>
      <c r="B631" t="s">
        <v>35</v>
      </c>
      <c r="C631" t="s">
        <v>36</v>
      </c>
      <c r="D631" s="1">
        <v>44873</v>
      </c>
      <c r="E631" s="2">
        <v>308</v>
      </c>
      <c r="F631">
        <v>125</v>
      </c>
    </row>
    <row r="632" spans="1:6">
      <c r="A632" t="s">
        <v>77</v>
      </c>
      <c r="B632" t="s">
        <v>10</v>
      </c>
      <c r="C632" t="s">
        <v>75</v>
      </c>
      <c r="D632" s="1">
        <v>44867</v>
      </c>
      <c r="E632" s="2">
        <v>3500</v>
      </c>
      <c r="F632">
        <v>145</v>
      </c>
    </row>
    <row r="633" spans="1:6">
      <c r="A633" t="s">
        <v>70</v>
      </c>
      <c r="B633" t="s">
        <v>25</v>
      </c>
      <c r="C633" t="s">
        <v>50</v>
      </c>
      <c r="D633" s="1">
        <v>44873</v>
      </c>
      <c r="E633" s="2">
        <v>658</v>
      </c>
      <c r="F633">
        <v>65</v>
      </c>
    </row>
    <row r="634" spans="1:6">
      <c r="A634" t="s">
        <v>45</v>
      </c>
      <c r="B634" t="s">
        <v>15</v>
      </c>
      <c r="C634" t="s">
        <v>38</v>
      </c>
      <c r="D634" s="1">
        <v>44900</v>
      </c>
      <c r="E634" s="2">
        <v>12565</v>
      </c>
      <c r="F634">
        <v>102</v>
      </c>
    </row>
    <row r="635" spans="1:6">
      <c r="A635" t="s">
        <v>64</v>
      </c>
      <c r="B635" t="s">
        <v>32</v>
      </c>
      <c r="C635" t="s">
        <v>46</v>
      </c>
      <c r="D635" t="s">
        <v>82</v>
      </c>
      <c r="E635" s="2">
        <v>5012</v>
      </c>
      <c r="F635">
        <v>93</v>
      </c>
    </row>
    <row r="636" spans="1:6">
      <c r="A636" t="s">
        <v>67</v>
      </c>
      <c r="B636" t="s">
        <v>10</v>
      </c>
      <c r="C636" t="s">
        <v>42</v>
      </c>
      <c r="D636" t="s">
        <v>115</v>
      </c>
      <c r="E636" s="2">
        <v>3955</v>
      </c>
      <c r="F636">
        <v>134</v>
      </c>
    </row>
    <row r="637" spans="1:6">
      <c r="A637" t="s">
        <v>77</v>
      </c>
      <c r="B637" t="s">
        <v>7</v>
      </c>
      <c r="C637" t="s">
        <v>57</v>
      </c>
      <c r="D637" s="1">
        <v>44682</v>
      </c>
      <c r="E637" s="2">
        <v>8512</v>
      </c>
      <c r="F637">
        <v>189</v>
      </c>
    </row>
    <row r="638" spans="1:6">
      <c r="A638" t="s">
        <v>48</v>
      </c>
      <c r="B638" t="s">
        <v>15</v>
      </c>
      <c r="C638" t="s">
        <v>26</v>
      </c>
      <c r="D638" t="s">
        <v>63</v>
      </c>
      <c r="E638" s="2">
        <v>504</v>
      </c>
      <c r="F638">
        <v>232</v>
      </c>
    </row>
    <row r="639" spans="1:6">
      <c r="A639" t="s">
        <v>28</v>
      </c>
      <c r="B639" t="s">
        <v>35</v>
      </c>
      <c r="C639" t="s">
        <v>73</v>
      </c>
      <c r="D639" t="s">
        <v>127</v>
      </c>
      <c r="E639" s="2">
        <v>2800</v>
      </c>
      <c r="F639">
        <v>45</v>
      </c>
    </row>
    <row r="640" spans="1:6">
      <c r="A640" t="s">
        <v>22</v>
      </c>
      <c r="B640" t="s">
        <v>10</v>
      </c>
      <c r="C640" t="s">
        <v>8</v>
      </c>
      <c r="D640" s="1">
        <v>44781</v>
      </c>
      <c r="E640" s="2">
        <v>4256</v>
      </c>
      <c r="F640">
        <v>67</v>
      </c>
    </row>
    <row r="641" spans="1:6">
      <c r="A641" t="s">
        <v>58</v>
      </c>
      <c r="B641" t="s">
        <v>10</v>
      </c>
      <c r="C641" t="s">
        <v>8</v>
      </c>
      <c r="D641" t="s">
        <v>110</v>
      </c>
      <c r="E641" s="2">
        <v>13573</v>
      </c>
      <c r="F641">
        <v>138</v>
      </c>
    </row>
    <row r="642" spans="1:6">
      <c r="A642" t="s">
        <v>31</v>
      </c>
      <c r="B642" t="s">
        <v>10</v>
      </c>
      <c r="C642" t="s">
        <v>90</v>
      </c>
      <c r="D642" s="1">
        <v>44652</v>
      </c>
      <c r="E642" s="2">
        <v>6566</v>
      </c>
      <c r="F642">
        <v>99</v>
      </c>
    </row>
    <row r="643" spans="1:6">
      <c r="A643" t="s">
        <v>28</v>
      </c>
      <c r="B643" t="s">
        <v>10</v>
      </c>
      <c r="C643" t="s">
        <v>46</v>
      </c>
      <c r="D643" t="s">
        <v>125</v>
      </c>
      <c r="E643" s="2">
        <v>13503</v>
      </c>
      <c r="F643">
        <v>251</v>
      </c>
    </row>
    <row r="644" spans="1:6">
      <c r="A644" t="s">
        <v>41</v>
      </c>
      <c r="B644" t="s">
        <v>7</v>
      </c>
      <c r="C644" t="s">
        <v>50</v>
      </c>
      <c r="D644" t="s">
        <v>51</v>
      </c>
      <c r="E644" s="2">
        <v>8680</v>
      </c>
      <c r="F644">
        <v>252</v>
      </c>
    </row>
    <row r="645" spans="1:6">
      <c r="A645" t="s">
        <v>31</v>
      </c>
      <c r="B645" t="s">
        <v>32</v>
      </c>
      <c r="C645" t="s">
        <v>65</v>
      </c>
      <c r="D645" s="1">
        <v>44622</v>
      </c>
      <c r="E645" s="2">
        <v>385</v>
      </c>
      <c r="F645">
        <v>78</v>
      </c>
    </row>
    <row r="646" spans="1:6">
      <c r="A646" t="s">
        <v>9</v>
      </c>
      <c r="B646" t="s">
        <v>35</v>
      </c>
      <c r="C646" t="s">
        <v>73</v>
      </c>
      <c r="D646" t="s">
        <v>123</v>
      </c>
      <c r="E646" s="2">
        <v>1267</v>
      </c>
      <c r="F646">
        <v>130</v>
      </c>
    </row>
    <row r="647" spans="1:6">
      <c r="A647" t="s">
        <v>64</v>
      </c>
      <c r="B647" t="s">
        <v>15</v>
      </c>
      <c r="C647" t="s">
        <v>87</v>
      </c>
      <c r="D647" t="s">
        <v>21</v>
      </c>
      <c r="E647" s="2">
        <v>2961</v>
      </c>
      <c r="F647">
        <v>154</v>
      </c>
    </row>
    <row r="648" spans="1:6">
      <c r="A648" t="s">
        <v>28</v>
      </c>
      <c r="B648" t="s">
        <v>15</v>
      </c>
      <c r="C648" t="s">
        <v>46</v>
      </c>
      <c r="D648" t="s">
        <v>129</v>
      </c>
      <c r="E648" s="2">
        <v>1981</v>
      </c>
      <c r="F648">
        <v>52</v>
      </c>
    </row>
    <row r="649" spans="1:6">
      <c r="A649" t="s">
        <v>53</v>
      </c>
      <c r="B649" t="s">
        <v>15</v>
      </c>
      <c r="C649" t="s">
        <v>57</v>
      </c>
      <c r="D649" t="s">
        <v>107</v>
      </c>
      <c r="E649" s="2">
        <v>7959</v>
      </c>
      <c r="F649">
        <v>53</v>
      </c>
    </row>
    <row r="650" spans="1:6">
      <c r="A650" t="s">
        <v>77</v>
      </c>
      <c r="B650" t="s">
        <v>15</v>
      </c>
      <c r="C650" t="s">
        <v>42</v>
      </c>
      <c r="D650" s="1">
        <v>44688</v>
      </c>
      <c r="E650" s="2">
        <v>10794</v>
      </c>
      <c r="F650">
        <v>50</v>
      </c>
    </row>
    <row r="651" spans="1:6">
      <c r="A651" t="s">
        <v>9</v>
      </c>
      <c r="B651" t="s">
        <v>10</v>
      </c>
      <c r="C651" t="s">
        <v>59</v>
      </c>
      <c r="D651" t="s">
        <v>131</v>
      </c>
      <c r="E651" s="2">
        <v>1897</v>
      </c>
      <c r="F651">
        <v>44</v>
      </c>
    </row>
    <row r="652" spans="1:6">
      <c r="A652" t="s">
        <v>22</v>
      </c>
      <c r="B652" t="s">
        <v>35</v>
      </c>
      <c r="C652" t="s">
        <v>23</v>
      </c>
      <c r="D652" s="1">
        <v>44659</v>
      </c>
      <c r="E652" s="2">
        <v>2744</v>
      </c>
      <c r="F652">
        <v>200</v>
      </c>
    </row>
    <row r="653" spans="1:6">
      <c r="A653" t="s">
        <v>14</v>
      </c>
      <c r="B653" t="s">
        <v>32</v>
      </c>
      <c r="C653" t="s">
        <v>57</v>
      </c>
      <c r="D653" t="s">
        <v>49</v>
      </c>
      <c r="E653" s="2">
        <v>4382</v>
      </c>
      <c r="F653">
        <v>361</v>
      </c>
    </row>
    <row r="654" spans="1:6">
      <c r="A654" t="s">
        <v>14</v>
      </c>
      <c r="B654" t="s">
        <v>35</v>
      </c>
      <c r="C654" t="s">
        <v>23</v>
      </c>
      <c r="D654" t="s">
        <v>94</v>
      </c>
      <c r="E654" s="2">
        <v>4515</v>
      </c>
      <c r="F654">
        <v>172</v>
      </c>
    </row>
    <row r="655" spans="1:6">
      <c r="A655" t="s">
        <v>31</v>
      </c>
      <c r="B655" t="s">
        <v>25</v>
      </c>
      <c r="C655" t="s">
        <v>60</v>
      </c>
      <c r="D655" t="s">
        <v>17</v>
      </c>
      <c r="E655" s="2">
        <v>5474</v>
      </c>
      <c r="F655">
        <v>239</v>
      </c>
    </row>
    <row r="656" spans="1:6">
      <c r="A656" t="s">
        <v>37</v>
      </c>
      <c r="B656" t="s">
        <v>25</v>
      </c>
      <c r="C656" t="s">
        <v>11</v>
      </c>
      <c r="D656" t="s">
        <v>85</v>
      </c>
      <c r="E656" s="2">
        <v>6069</v>
      </c>
      <c r="F656">
        <v>55</v>
      </c>
    </row>
    <row r="657" spans="1:6">
      <c r="A657" t="s">
        <v>19</v>
      </c>
      <c r="B657" t="s">
        <v>15</v>
      </c>
      <c r="C657" t="s">
        <v>11</v>
      </c>
      <c r="D657" t="s">
        <v>66</v>
      </c>
      <c r="E657" s="2">
        <v>6944</v>
      </c>
      <c r="F657">
        <v>27</v>
      </c>
    </row>
    <row r="658" spans="1:6">
      <c r="A658" t="s">
        <v>48</v>
      </c>
      <c r="B658" t="s">
        <v>35</v>
      </c>
      <c r="C658" t="s">
        <v>75</v>
      </c>
      <c r="D658" t="s">
        <v>97</v>
      </c>
      <c r="E658" s="2">
        <v>5859</v>
      </c>
      <c r="F658">
        <v>7</v>
      </c>
    </row>
    <row r="659" spans="1:6">
      <c r="A659" t="s">
        <v>55</v>
      </c>
      <c r="B659" t="s">
        <v>10</v>
      </c>
      <c r="C659" t="s">
        <v>100</v>
      </c>
      <c r="D659" t="s">
        <v>106</v>
      </c>
      <c r="E659" s="2">
        <v>12173</v>
      </c>
      <c r="F659">
        <v>301</v>
      </c>
    </row>
    <row r="660" spans="1:6">
      <c r="A660" t="s">
        <v>41</v>
      </c>
      <c r="B660" t="s">
        <v>32</v>
      </c>
      <c r="C660" t="s">
        <v>59</v>
      </c>
      <c r="D660" s="1">
        <v>44868</v>
      </c>
      <c r="E660" s="2">
        <v>5292</v>
      </c>
      <c r="F660">
        <v>134</v>
      </c>
    </row>
    <row r="661" spans="1:6">
      <c r="A661" t="s">
        <v>83</v>
      </c>
      <c r="B661" t="s">
        <v>25</v>
      </c>
      <c r="C661" t="s">
        <v>23</v>
      </c>
      <c r="D661" t="s">
        <v>142</v>
      </c>
      <c r="E661" s="2">
        <v>5705</v>
      </c>
      <c r="F661">
        <v>350</v>
      </c>
    </row>
    <row r="662" spans="1:6">
      <c r="A662" t="s">
        <v>53</v>
      </c>
      <c r="B662" t="s">
        <v>10</v>
      </c>
      <c r="C662" t="s">
        <v>50</v>
      </c>
      <c r="D662" t="s">
        <v>78</v>
      </c>
      <c r="E662" s="2">
        <v>2492</v>
      </c>
      <c r="F662">
        <v>33</v>
      </c>
    </row>
    <row r="663" spans="1:6">
      <c r="A663" t="s">
        <v>22</v>
      </c>
      <c r="B663" t="s">
        <v>35</v>
      </c>
      <c r="C663" t="s">
        <v>26</v>
      </c>
      <c r="D663" s="1">
        <v>44652</v>
      </c>
      <c r="E663" s="2">
        <v>3024</v>
      </c>
      <c r="F663">
        <v>23</v>
      </c>
    </row>
    <row r="664" spans="1:6">
      <c r="A664" t="s">
        <v>48</v>
      </c>
      <c r="B664" t="s">
        <v>10</v>
      </c>
      <c r="C664" t="s">
        <v>46</v>
      </c>
      <c r="D664" s="1">
        <v>44685</v>
      </c>
      <c r="E664" s="2">
        <v>3437</v>
      </c>
      <c r="F664">
        <v>201</v>
      </c>
    </row>
    <row r="665" spans="1:6">
      <c r="A665" t="s">
        <v>41</v>
      </c>
      <c r="B665" t="s">
        <v>10</v>
      </c>
      <c r="C665" t="s">
        <v>46</v>
      </c>
      <c r="D665" t="s">
        <v>74</v>
      </c>
      <c r="E665" s="2">
        <v>1869</v>
      </c>
      <c r="F665">
        <v>323</v>
      </c>
    </row>
    <row r="666" spans="1:6">
      <c r="A666" t="s">
        <v>53</v>
      </c>
      <c r="B666" t="s">
        <v>15</v>
      </c>
      <c r="C666" t="s">
        <v>59</v>
      </c>
      <c r="D666" s="1">
        <v>44870</v>
      </c>
      <c r="E666" s="2">
        <v>3171</v>
      </c>
      <c r="F666">
        <v>220</v>
      </c>
    </row>
    <row r="667" spans="1:6">
      <c r="A667" t="s">
        <v>67</v>
      </c>
      <c r="B667" t="s">
        <v>35</v>
      </c>
      <c r="C667" t="s">
        <v>60</v>
      </c>
      <c r="D667" t="s">
        <v>141</v>
      </c>
      <c r="E667" s="2">
        <v>4858</v>
      </c>
      <c r="F667">
        <v>488</v>
      </c>
    </row>
    <row r="668" spans="1:6">
      <c r="A668" t="s">
        <v>14</v>
      </c>
      <c r="B668" t="s">
        <v>25</v>
      </c>
      <c r="C668" t="s">
        <v>33</v>
      </c>
      <c r="D668" s="1">
        <v>44867</v>
      </c>
      <c r="E668" s="2">
        <v>1225</v>
      </c>
      <c r="F668">
        <v>84</v>
      </c>
    </row>
    <row r="669" spans="1:6">
      <c r="A669" t="s">
        <v>67</v>
      </c>
      <c r="B669" t="s">
        <v>35</v>
      </c>
      <c r="C669" t="s">
        <v>18</v>
      </c>
      <c r="D669" s="1">
        <v>44780</v>
      </c>
      <c r="E669" s="2">
        <v>1155</v>
      </c>
      <c r="F669">
        <v>79</v>
      </c>
    </row>
    <row r="670" spans="1:6">
      <c r="A670" t="s">
        <v>22</v>
      </c>
      <c r="B670" t="s">
        <v>7</v>
      </c>
      <c r="C670" t="s">
        <v>73</v>
      </c>
      <c r="D670" s="1">
        <v>44873</v>
      </c>
      <c r="E670" s="2">
        <v>6811</v>
      </c>
      <c r="F670">
        <v>344</v>
      </c>
    </row>
    <row r="671" spans="1:6">
      <c r="A671" t="s">
        <v>53</v>
      </c>
      <c r="B671" t="s">
        <v>25</v>
      </c>
      <c r="C671" t="s">
        <v>23</v>
      </c>
      <c r="D671" s="1">
        <v>44659</v>
      </c>
      <c r="E671" s="2">
        <v>6433</v>
      </c>
      <c r="F671">
        <v>7</v>
      </c>
    </row>
    <row r="672" spans="1:6">
      <c r="A672" t="s">
        <v>67</v>
      </c>
      <c r="B672" t="s">
        <v>25</v>
      </c>
      <c r="C672" t="s">
        <v>33</v>
      </c>
      <c r="D672" t="s">
        <v>127</v>
      </c>
      <c r="E672" s="2">
        <v>8169</v>
      </c>
      <c r="F672">
        <v>88</v>
      </c>
    </row>
    <row r="673" spans="1:6">
      <c r="A673" t="s">
        <v>58</v>
      </c>
      <c r="B673" t="s">
        <v>7</v>
      </c>
      <c r="C673" t="s">
        <v>87</v>
      </c>
      <c r="D673" t="s">
        <v>152</v>
      </c>
      <c r="E673" s="2">
        <v>2275</v>
      </c>
      <c r="F673">
        <v>275</v>
      </c>
    </row>
    <row r="674" spans="1:6">
      <c r="A674" t="s">
        <v>6</v>
      </c>
      <c r="B674" t="s">
        <v>35</v>
      </c>
      <c r="C674" t="s">
        <v>33</v>
      </c>
      <c r="D674" t="s">
        <v>142</v>
      </c>
      <c r="E674" s="2">
        <v>3857</v>
      </c>
      <c r="F674">
        <v>512</v>
      </c>
    </row>
    <row r="675" spans="1:6">
      <c r="A675" t="s">
        <v>6</v>
      </c>
      <c r="B675" t="s">
        <v>7</v>
      </c>
      <c r="C675" t="s">
        <v>18</v>
      </c>
      <c r="D675" t="s">
        <v>69</v>
      </c>
      <c r="E675" s="2">
        <v>1463</v>
      </c>
      <c r="F675">
        <v>113</v>
      </c>
    </row>
    <row r="676" spans="1:6">
      <c r="A676" t="s">
        <v>67</v>
      </c>
      <c r="B676" t="s">
        <v>7</v>
      </c>
      <c r="C676" t="s">
        <v>90</v>
      </c>
      <c r="D676" s="1">
        <v>44748</v>
      </c>
      <c r="E676" s="2">
        <v>7924</v>
      </c>
      <c r="F676">
        <v>275</v>
      </c>
    </row>
    <row r="677" spans="1:6">
      <c r="A677" t="s">
        <v>14</v>
      </c>
      <c r="B677" t="s">
        <v>7</v>
      </c>
      <c r="C677" t="s">
        <v>59</v>
      </c>
      <c r="D677" t="s">
        <v>147</v>
      </c>
      <c r="E677" s="2">
        <v>8799</v>
      </c>
      <c r="F677">
        <v>47</v>
      </c>
    </row>
    <row r="678" spans="1:6">
      <c r="A678" t="s">
        <v>79</v>
      </c>
      <c r="B678" t="s">
        <v>32</v>
      </c>
      <c r="C678" t="s">
        <v>57</v>
      </c>
      <c r="D678" t="s">
        <v>94</v>
      </c>
      <c r="E678" s="2">
        <v>2898</v>
      </c>
      <c r="F678">
        <v>276</v>
      </c>
    </row>
    <row r="679" spans="1:6">
      <c r="A679" t="s">
        <v>70</v>
      </c>
      <c r="B679" t="s">
        <v>7</v>
      </c>
      <c r="C679" t="s">
        <v>75</v>
      </c>
      <c r="D679" t="s">
        <v>62</v>
      </c>
      <c r="E679" s="2">
        <v>9506</v>
      </c>
      <c r="F679">
        <v>212</v>
      </c>
    </row>
    <row r="680" spans="1:6">
      <c r="A680" t="s">
        <v>22</v>
      </c>
      <c r="B680" t="s">
        <v>25</v>
      </c>
      <c r="C680" t="s">
        <v>23</v>
      </c>
      <c r="D680" s="1">
        <v>44812</v>
      </c>
      <c r="E680" s="2">
        <v>7175</v>
      </c>
      <c r="F680">
        <v>145</v>
      </c>
    </row>
    <row r="681" spans="1:6">
      <c r="A681" t="s">
        <v>55</v>
      </c>
      <c r="B681" t="s">
        <v>35</v>
      </c>
      <c r="C681" t="s">
        <v>11</v>
      </c>
      <c r="D681" s="1">
        <v>44716</v>
      </c>
      <c r="E681" s="2">
        <v>1729</v>
      </c>
      <c r="F681">
        <v>31</v>
      </c>
    </row>
    <row r="682" spans="1:6">
      <c r="A682" t="s">
        <v>14</v>
      </c>
      <c r="B682" t="s">
        <v>25</v>
      </c>
      <c r="C682" t="s">
        <v>60</v>
      </c>
      <c r="D682" t="s">
        <v>39</v>
      </c>
      <c r="E682" s="2">
        <v>1589</v>
      </c>
      <c r="F682">
        <v>271</v>
      </c>
    </row>
    <row r="683" spans="1:6">
      <c r="A683" t="s">
        <v>22</v>
      </c>
      <c r="B683" t="s">
        <v>25</v>
      </c>
      <c r="C683" t="s">
        <v>73</v>
      </c>
      <c r="D683" t="s">
        <v>69</v>
      </c>
      <c r="E683" s="2">
        <v>630</v>
      </c>
      <c r="F683">
        <v>52</v>
      </c>
    </row>
    <row r="684" spans="1:6">
      <c r="A684" t="s">
        <v>9</v>
      </c>
      <c r="B684" t="s">
        <v>15</v>
      </c>
      <c r="C684" t="s">
        <v>20</v>
      </c>
      <c r="D684" t="s">
        <v>152</v>
      </c>
      <c r="E684" s="2">
        <v>112</v>
      </c>
      <c r="F684">
        <v>128</v>
      </c>
    </row>
    <row r="685" spans="1:6">
      <c r="A685" t="s">
        <v>48</v>
      </c>
      <c r="B685" t="s">
        <v>32</v>
      </c>
      <c r="C685" t="s">
        <v>38</v>
      </c>
      <c r="D685" s="1">
        <v>44744</v>
      </c>
      <c r="E685" s="2">
        <v>5187</v>
      </c>
      <c r="F685">
        <v>142</v>
      </c>
    </row>
    <row r="686" spans="1:6">
      <c r="A686" t="s">
        <v>28</v>
      </c>
      <c r="B686" t="s">
        <v>15</v>
      </c>
      <c r="C686" t="s">
        <v>50</v>
      </c>
      <c r="D686" s="1">
        <v>44809</v>
      </c>
      <c r="E686" s="2">
        <v>6223</v>
      </c>
      <c r="F686">
        <v>256</v>
      </c>
    </row>
    <row r="687" spans="1:6">
      <c r="A687" t="s">
        <v>34</v>
      </c>
      <c r="B687" t="s">
        <v>25</v>
      </c>
      <c r="C687" t="s">
        <v>11</v>
      </c>
      <c r="D687" s="1">
        <v>44718</v>
      </c>
      <c r="E687" s="2">
        <v>7714</v>
      </c>
      <c r="F687">
        <v>106</v>
      </c>
    </row>
    <row r="688" spans="1:6">
      <c r="A688" t="s">
        <v>64</v>
      </c>
      <c r="B688" t="s">
        <v>32</v>
      </c>
      <c r="C688" t="s">
        <v>75</v>
      </c>
      <c r="D688" s="1">
        <v>44718</v>
      </c>
      <c r="E688" s="2">
        <v>9457</v>
      </c>
      <c r="F688">
        <v>6</v>
      </c>
    </row>
    <row r="689" spans="1:6">
      <c r="A689" t="s">
        <v>41</v>
      </c>
      <c r="B689" t="s">
        <v>25</v>
      </c>
      <c r="C689" t="s">
        <v>42</v>
      </c>
      <c r="D689" t="s">
        <v>62</v>
      </c>
      <c r="E689" s="2">
        <v>6678</v>
      </c>
      <c r="F689">
        <v>226</v>
      </c>
    </row>
    <row r="690" spans="1:6">
      <c r="A690" t="s">
        <v>22</v>
      </c>
      <c r="B690" t="s">
        <v>7</v>
      </c>
      <c r="C690" t="s">
        <v>26</v>
      </c>
      <c r="D690" t="s">
        <v>30</v>
      </c>
      <c r="E690" s="2">
        <v>2107</v>
      </c>
      <c r="F690">
        <v>121</v>
      </c>
    </row>
    <row r="691" spans="1:6">
      <c r="A691" t="s">
        <v>40</v>
      </c>
      <c r="B691" t="s">
        <v>32</v>
      </c>
      <c r="C691" t="s">
        <v>73</v>
      </c>
      <c r="D691" t="s">
        <v>136</v>
      </c>
      <c r="E691" s="2">
        <v>6069</v>
      </c>
      <c r="F691">
        <v>151</v>
      </c>
    </row>
    <row r="692" spans="1:6">
      <c r="A692" t="s">
        <v>6</v>
      </c>
      <c r="B692" t="s">
        <v>7</v>
      </c>
      <c r="C692" t="s">
        <v>59</v>
      </c>
      <c r="D692" t="s">
        <v>63</v>
      </c>
      <c r="E692" s="2">
        <v>1862</v>
      </c>
      <c r="F692">
        <v>284</v>
      </c>
    </row>
    <row r="693" spans="1:6">
      <c r="A693" t="s">
        <v>6</v>
      </c>
      <c r="B693" t="s">
        <v>25</v>
      </c>
      <c r="C693" t="s">
        <v>11</v>
      </c>
      <c r="D693" s="1">
        <v>44868</v>
      </c>
      <c r="E693" s="2">
        <v>6972</v>
      </c>
      <c r="F693">
        <v>89</v>
      </c>
    </row>
    <row r="694" spans="1:6">
      <c r="A694" t="s">
        <v>79</v>
      </c>
      <c r="B694" t="s">
        <v>32</v>
      </c>
      <c r="C694" t="s">
        <v>11</v>
      </c>
      <c r="D694" t="s">
        <v>114</v>
      </c>
      <c r="E694" s="2">
        <v>10220</v>
      </c>
      <c r="F694">
        <v>508</v>
      </c>
    </row>
    <row r="695" spans="1:6">
      <c r="A695" t="s">
        <v>29</v>
      </c>
      <c r="B695" t="s">
        <v>15</v>
      </c>
      <c r="C695" t="s">
        <v>18</v>
      </c>
      <c r="D695" t="s">
        <v>52</v>
      </c>
      <c r="E695" s="2">
        <v>3969</v>
      </c>
      <c r="F695">
        <v>243</v>
      </c>
    </row>
    <row r="696" spans="1:6">
      <c r="A696" t="s">
        <v>48</v>
      </c>
      <c r="B696" t="s">
        <v>10</v>
      </c>
      <c r="C696" t="s">
        <v>60</v>
      </c>
      <c r="D696" t="s">
        <v>136</v>
      </c>
      <c r="E696" s="2">
        <v>1547</v>
      </c>
      <c r="F696">
        <v>170</v>
      </c>
    </row>
    <row r="697" spans="1:6">
      <c r="A697" t="s">
        <v>34</v>
      </c>
      <c r="B697" t="s">
        <v>32</v>
      </c>
      <c r="C697" t="s">
        <v>13</v>
      </c>
      <c r="D697" t="s">
        <v>136</v>
      </c>
      <c r="E697" s="2">
        <v>1162</v>
      </c>
      <c r="F697">
        <v>18</v>
      </c>
    </row>
    <row r="698" spans="1:6">
      <c r="A698" t="s">
        <v>9</v>
      </c>
      <c r="B698" t="s">
        <v>35</v>
      </c>
      <c r="C698" t="s">
        <v>13</v>
      </c>
      <c r="D698" t="s">
        <v>143</v>
      </c>
      <c r="E698" s="2">
        <v>6342</v>
      </c>
      <c r="F698">
        <v>282</v>
      </c>
    </row>
    <row r="699" spans="1:6">
      <c r="A699" t="s">
        <v>70</v>
      </c>
      <c r="B699" t="s">
        <v>25</v>
      </c>
      <c r="C699" t="s">
        <v>18</v>
      </c>
      <c r="D699" s="1">
        <v>44868</v>
      </c>
      <c r="E699" s="2">
        <v>10633</v>
      </c>
      <c r="F699">
        <v>277</v>
      </c>
    </row>
    <row r="700" spans="1:6">
      <c r="A700" t="s">
        <v>29</v>
      </c>
      <c r="B700" t="s">
        <v>32</v>
      </c>
      <c r="C700" t="s">
        <v>18</v>
      </c>
      <c r="D700" t="s">
        <v>129</v>
      </c>
      <c r="E700" s="2">
        <v>15057</v>
      </c>
      <c r="F700">
        <v>212</v>
      </c>
    </row>
    <row r="701" spans="1:6">
      <c r="A701" t="s">
        <v>29</v>
      </c>
      <c r="B701" t="s">
        <v>32</v>
      </c>
      <c r="C701" t="s">
        <v>59</v>
      </c>
      <c r="D701" t="s">
        <v>156</v>
      </c>
      <c r="E701" s="2">
        <v>4704</v>
      </c>
      <c r="F701">
        <v>126</v>
      </c>
    </row>
    <row r="702" spans="1:6">
      <c r="A702" t="s">
        <v>45</v>
      </c>
      <c r="B702" t="s">
        <v>35</v>
      </c>
      <c r="C702" t="s">
        <v>18</v>
      </c>
      <c r="D702" s="1">
        <v>44745</v>
      </c>
      <c r="E702" s="2">
        <v>9338</v>
      </c>
      <c r="F702">
        <v>11</v>
      </c>
    </row>
    <row r="703" spans="1:6">
      <c r="A703" t="s">
        <v>48</v>
      </c>
      <c r="B703" t="s">
        <v>25</v>
      </c>
      <c r="C703" t="s">
        <v>23</v>
      </c>
      <c r="D703" s="1">
        <v>44685</v>
      </c>
      <c r="E703" s="2">
        <v>7959</v>
      </c>
      <c r="F703">
        <v>30</v>
      </c>
    </row>
    <row r="704" spans="1:6">
      <c r="A704" t="s">
        <v>71</v>
      </c>
      <c r="B704" t="s">
        <v>10</v>
      </c>
      <c r="C704" t="s">
        <v>11</v>
      </c>
      <c r="D704" s="1">
        <v>44656</v>
      </c>
      <c r="E704" s="2">
        <v>9023</v>
      </c>
      <c r="F704">
        <v>51</v>
      </c>
    </row>
    <row r="705" spans="1:6">
      <c r="A705" t="s">
        <v>83</v>
      </c>
      <c r="B705" t="s">
        <v>32</v>
      </c>
      <c r="C705" t="s">
        <v>75</v>
      </c>
      <c r="D705" s="1">
        <v>44652</v>
      </c>
      <c r="E705" s="2">
        <v>14525</v>
      </c>
      <c r="F705">
        <v>92</v>
      </c>
    </row>
    <row r="706" spans="1:6">
      <c r="A706" t="s">
        <v>40</v>
      </c>
      <c r="B706" t="s">
        <v>15</v>
      </c>
      <c r="C706" t="s">
        <v>87</v>
      </c>
      <c r="D706" t="s">
        <v>30</v>
      </c>
      <c r="E706" s="2">
        <v>5810</v>
      </c>
      <c r="F706">
        <v>101</v>
      </c>
    </row>
    <row r="707" spans="1:6">
      <c r="A707" t="s">
        <v>64</v>
      </c>
      <c r="B707" t="s">
        <v>25</v>
      </c>
      <c r="C707" t="s">
        <v>57</v>
      </c>
      <c r="D707" s="1">
        <v>44872</v>
      </c>
      <c r="E707" s="2">
        <v>6426</v>
      </c>
      <c r="F707">
        <v>98</v>
      </c>
    </row>
    <row r="708" spans="1:6">
      <c r="A708" t="s">
        <v>55</v>
      </c>
      <c r="B708" t="s">
        <v>15</v>
      </c>
      <c r="C708" t="s">
        <v>8</v>
      </c>
      <c r="D708" t="s">
        <v>144</v>
      </c>
      <c r="E708" s="2">
        <v>4403</v>
      </c>
      <c r="F708">
        <v>159</v>
      </c>
    </row>
    <row r="709" spans="1:6">
      <c r="A709" t="s">
        <v>71</v>
      </c>
      <c r="B709" t="s">
        <v>25</v>
      </c>
      <c r="C709" t="s">
        <v>13</v>
      </c>
      <c r="D709" t="s">
        <v>141</v>
      </c>
      <c r="E709" s="2">
        <v>1582</v>
      </c>
      <c r="F709">
        <v>62</v>
      </c>
    </row>
    <row r="710" spans="1:6">
      <c r="A710" t="s">
        <v>48</v>
      </c>
      <c r="B710" t="s">
        <v>35</v>
      </c>
      <c r="C710" t="s">
        <v>42</v>
      </c>
      <c r="D710" t="s">
        <v>125</v>
      </c>
      <c r="E710" s="2">
        <v>791</v>
      </c>
      <c r="F710">
        <v>22</v>
      </c>
    </row>
    <row r="711" spans="1:6">
      <c r="A711" t="s">
        <v>14</v>
      </c>
      <c r="B711" t="s">
        <v>10</v>
      </c>
      <c r="C711" t="s">
        <v>20</v>
      </c>
      <c r="D711" t="s">
        <v>136</v>
      </c>
      <c r="E711" s="2">
        <v>9100</v>
      </c>
      <c r="F711">
        <v>187</v>
      </c>
    </row>
    <row r="712" spans="1:6">
      <c r="A712" t="s">
        <v>29</v>
      </c>
      <c r="B712" t="s">
        <v>35</v>
      </c>
      <c r="C712" t="s">
        <v>38</v>
      </c>
      <c r="D712" s="1">
        <v>44902</v>
      </c>
      <c r="E712" s="2">
        <v>9884</v>
      </c>
      <c r="F712">
        <v>200</v>
      </c>
    </row>
    <row r="713" spans="1:6">
      <c r="A713" t="s">
        <v>14</v>
      </c>
      <c r="B713" t="s">
        <v>7</v>
      </c>
      <c r="C713" t="s">
        <v>33</v>
      </c>
      <c r="D713" t="s">
        <v>61</v>
      </c>
      <c r="E713" s="2">
        <v>3780</v>
      </c>
      <c r="F713">
        <v>201</v>
      </c>
    </row>
    <row r="714" spans="1:6">
      <c r="A714" t="s">
        <v>31</v>
      </c>
      <c r="B714" t="s">
        <v>25</v>
      </c>
      <c r="C714" t="s">
        <v>26</v>
      </c>
      <c r="D714" t="s">
        <v>142</v>
      </c>
      <c r="E714" s="2">
        <v>4557</v>
      </c>
      <c r="F714">
        <v>308</v>
      </c>
    </row>
    <row r="715" spans="1:6">
      <c r="A715" t="s">
        <v>48</v>
      </c>
      <c r="B715" t="s">
        <v>15</v>
      </c>
      <c r="C715" t="s">
        <v>36</v>
      </c>
      <c r="D715" t="s">
        <v>132</v>
      </c>
      <c r="E715" s="2">
        <v>5796</v>
      </c>
      <c r="F715">
        <v>55</v>
      </c>
    </row>
    <row r="716" spans="1:6">
      <c r="A716" t="s">
        <v>14</v>
      </c>
      <c r="B716" t="s">
        <v>10</v>
      </c>
      <c r="C716" t="s">
        <v>90</v>
      </c>
      <c r="D716" s="1">
        <v>44658</v>
      </c>
      <c r="E716" s="2">
        <v>84</v>
      </c>
      <c r="F716">
        <v>153</v>
      </c>
    </row>
    <row r="717" spans="1:6">
      <c r="A717" t="s">
        <v>67</v>
      </c>
      <c r="B717" t="s">
        <v>7</v>
      </c>
      <c r="C717" t="s">
        <v>59</v>
      </c>
      <c r="D717" s="1">
        <v>44900</v>
      </c>
      <c r="E717" s="2">
        <v>9037</v>
      </c>
      <c r="F717">
        <v>101</v>
      </c>
    </row>
    <row r="718" spans="1:6">
      <c r="A718" t="s">
        <v>71</v>
      </c>
      <c r="B718" t="s">
        <v>25</v>
      </c>
      <c r="C718" t="s">
        <v>73</v>
      </c>
      <c r="D718" s="1">
        <v>44655</v>
      </c>
      <c r="E718" s="2">
        <v>4746</v>
      </c>
      <c r="F718">
        <v>137</v>
      </c>
    </row>
    <row r="719" spans="1:6">
      <c r="A719" t="s">
        <v>77</v>
      </c>
      <c r="B719" t="s">
        <v>15</v>
      </c>
      <c r="C719" t="s">
        <v>33</v>
      </c>
      <c r="D719" t="s">
        <v>74</v>
      </c>
      <c r="E719" s="2">
        <v>6713</v>
      </c>
      <c r="F719">
        <v>398</v>
      </c>
    </row>
    <row r="720" spans="1:6">
      <c r="A720" t="s">
        <v>45</v>
      </c>
      <c r="B720" t="s">
        <v>35</v>
      </c>
      <c r="C720" t="s">
        <v>36</v>
      </c>
      <c r="D720" s="1">
        <v>44776</v>
      </c>
      <c r="E720" s="2">
        <v>6237</v>
      </c>
      <c r="F720">
        <v>88</v>
      </c>
    </row>
    <row r="721" spans="1:6">
      <c r="A721" t="s">
        <v>37</v>
      </c>
      <c r="B721" t="s">
        <v>10</v>
      </c>
      <c r="C721" t="s">
        <v>59</v>
      </c>
      <c r="D721" t="s">
        <v>152</v>
      </c>
      <c r="E721" s="2">
        <v>7483</v>
      </c>
      <c r="F721">
        <v>232</v>
      </c>
    </row>
    <row r="722" spans="1:6">
      <c r="A722" t="s">
        <v>64</v>
      </c>
      <c r="B722" t="s">
        <v>10</v>
      </c>
      <c r="C722" t="s">
        <v>8</v>
      </c>
      <c r="D722" t="s">
        <v>78</v>
      </c>
      <c r="E722" s="2">
        <v>1309</v>
      </c>
      <c r="F722">
        <v>51</v>
      </c>
    </row>
    <row r="723" spans="1:6">
      <c r="A723" t="s">
        <v>67</v>
      </c>
      <c r="B723" t="s">
        <v>7</v>
      </c>
      <c r="C723" t="s">
        <v>20</v>
      </c>
      <c r="D723" t="s">
        <v>113</v>
      </c>
      <c r="E723" s="2">
        <v>1155</v>
      </c>
      <c r="F723">
        <v>66</v>
      </c>
    </row>
    <row r="724" spans="1:6">
      <c r="A724" t="s">
        <v>40</v>
      </c>
      <c r="B724" t="s">
        <v>7</v>
      </c>
      <c r="C724" t="s">
        <v>26</v>
      </c>
      <c r="D724" t="s">
        <v>127</v>
      </c>
      <c r="E724" s="2">
        <v>2989</v>
      </c>
      <c r="F724">
        <v>124</v>
      </c>
    </row>
    <row r="725" spans="1:6">
      <c r="A725" t="s">
        <v>83</v>
      </c>
      <c r="B725" t="s">
        <v>10</v>
      </c>
      <c r="C725" t="s">
        <v>75</v>
      </c>
      <c r="D725" s="1">
        <v>44685</v>
      </c>
      <c r="E725" s="2">
        <v>9625</v>
      </c>
      <c r="F725">
        <v>78</v>
      </c>
    </row>
    <row r="726" spans="1:6">
      <c r="A726" t="s">
        <v>77</v>
      </c>
      <c r="B726" t="s">
        <v>7</v>
      </c>
      <c r="C726" t="s">
        <v>73</v>
      </c>
      <c r="D726" t="s">
        <v>93</v>
      </c>
      <c r="E726" s="2">
        <v>7357</v>
      </c>
      <c r="F726">
        <v>341</v>
      </c>
    </row>
    <row r="727" spans="1:6">
      <c r="A727" t="s">
        <v>64</v>
      </c>
      <c r="B727" t="s">
        <v>15</v>
      </c>
      <c r="C727" t="s">
        <v>26</v>
      </c>
      <c r="D727" s="1">
        <v>44628</v>
      </c>
      <c r="E727" s="2">
        <v>10031</v>
      </c>
      <c r="F727">
        <v>114</v>
      </c>
    </row>
    <row r="728" spans="1:6">
      <c r="A728" t="s">
        <v>12</v>
      </c>
      <c r="B728" t="s">
        <v>35</v>
      </c>
      <c r="C728" t="s">
        <v>59</v>
      </c>
      <c r="D728" s="1">
        <v>44872</v>
      </c>
      <c r="E728" s="2">
        <v>6587</v>
      </c>
      <c r="F728">
        <v>4</v>
      </c>
    </row>
    <row r="729" spans="1:6">
      <c r="A729" t="s">
        <v>64</v>
      </c>
      <c r="B729" t="s">
        <v>25</v>
      </c>
      <c r="C729" t="s">
        <v>36</v>
      </c>
      <c r="D729" s="1">
        <v>44868</v>
      </c>
      <c r="E729" s="2">
        <v>3311</v>
      </c>
      <c r="F729">
        <v>22</v>
      </c>
    </row>
    <row r="730" spans="1:6">
      <c r="A730" t="s">
        <v>28</v>
      </c>
      <c r="B730" t="s">
        <v>7</v>
      </c>
      <c r="C730" t="s">
        <v>13</v>
      </c>
      <c r="D730" s="1">
        <v>44835</v>
      </c>
      <c r="E730" s="2">
        <v>15330</v>
      </c>
      <c r="F730">
        <v>30</v>
      </c>
    </row>
    <row r="731" spans="1:6">
      <c r="A731" t="s">
        <v>45</v>
      </c>
      <c r="B731" t="s">
        <v>7</v>
      </c>
      <c r="C731" t="s">
        <v>87</v>
      </c>
      <c r="D731" s="1">
        <v>44655</v>
      </c>
      <c r="E731" s="2">
        <v>14028</v>
      </c>
      <c r="F731">
        <v>351</v>
      </c>
    </row>
    <row r="732" spans="1:6">
      <c r="A732" t="s">
        <v>37</v>
      </c>
      <c r="B732" t="s">
        <v>15</v>
      </c>
      <c r="C732" t="s">
        <v>26</v>
      </c>
      <c r="D732" t="s">
        <v>152</v>
      </c>
      <c r="E732" s="2">
        <v>6678</v>
      </c>
      <c r="F732">
        <v>708</v>
      </c>
    </row>
    <row r="733" spans="1:6">
      <c r="A733" t="s">
        <v>40</v>
      </c>
      <c r="B733" t="s">
        <v>25</v>
      </c>
      <c r="C733" t="s">
        <v>42</v>
      </c>
      <c r="D733" s="1">
        <v>44780</v>
      </c>
      <c r="E733" s="2">
        <v>8624</v>
      </c>
      <c r="F733">
        <v>50</v>
      </c>
    </row>
    <row r="734" spans="1:6">
      <c r="A734" t="s">
        <v>14</v>
      </c>
      <c r="B734" t="s">
        <v>7</v>
      </c>
      <c r="C734" t="s">
        <v>42</v>
      </c>
      <c r="D734" s="1">
        <v>44899</v>
      </c>
      <c r="E734" s="2">
        <v>1197</v>
      </c>
      <c r="F734">
        <v>356</v>
      </c>
    </row>
    <row r="735" spans="1:6">
      <c r="A735" t="s">
        <v>29</v>
      </c>
      <c r="B735" t="s">
        <v>35</v>
      </c>
      <c r="C735" t="s">
        <v>57</v>
      </c>
      <c r="D735" t="s">
        <v>69</v>
      </c>
      <c r="E735" s="2">
        <v>483</v>
      </c>
      <c r="F735">
        <v>185</v>
      </c>
    </row>
    <row r="736" spans="1:6">
      <c r="A736" t="s">
        <v>83</v>
      </c>
      <c r="B736" t="s">
        <v>7</v>
      </c>
      <c r="C736" t="s">
        <v>75</v>
      </c>
      <c r="D736" s="1">
        <v>44748</v>
      </c>
      <c r="E736" s="2">
        <v>1687</v>
      </c>
      <c r="F736">
        <v>236</v>
      </c>
    </row>
    <row r="737" spans="1:6">
      <c r="A737" t="s">
        <v>22</v>
      </c>
      <c r="B737" t="s">
        <v>35</v>
      </c>
      <c r="C737" t="s">
        <v>65</v>
      </c>
      <c r="D737" t="s">
        <v>39</v>
      </c>
      <c r="E737" s="2">
        <v>1309</v>
      </c>
      <c r="F737">
        <v>30</v>
      </c>
    </row>
    <row r="738" spans="1:6">
      <c r="A738" t="s">
        <v>53</v>
      </c>
      <c r="B738" t="s">
        <v>32</v>
      </c>
      <c r="C738" t="s">
        <v>20</v>
      </c>
      <c r="D738" t="s">
        <v>109</v>
      </c>
      <c r="E738" s="2">
        <v>9534</v>
      </c>
      <c r="F738">
        <v>111</v>
      </c>
    </row>
    <row r="739" spans="1:6">
      <c r="A739" t="s">
        <v>58</v>
      </c>
      <c r="B739" t="s">
        <v>35</v>
      </c>
      <c r="C739" t="s">
        <v>8</v>
      </c>
      <c r="D739" s="1">
        <v>44777</v>
      </c>
      <c r="E739" s="2">
        <v>1694</v>
      </c>
      <c r="F739">
        <v>289</v>
      </c>
    </row>
    <row r="740" spans="1:6">
      <c r="A740" t="s">
        <v>28</v>
      </c>
      <c r="B740" t="s">
        <v>7</v>
      </c>
      <c r="C740" t="s">
        <v>60</v>
      </c>
      <c r="D740" t="s">
        <v>85</v>
      </c>
      <c r="E740" s="2">
        <v>70</v>
      </c>
      <c r="F740">
        <v>103</v>
      </c>
    </row>
    <row r="741" spans="1:6">
      <c r="A741" t="s">
        <v>9</v>
      </c>
      <c r="B741" t="s">
        <v>7</v>
      </c>
      <c r="C741" t="s">
        <v>87</v>
      </c>
      <c r="D741" t="s">
        <v>24</v>
      </c>
      <c r="E741" s="2">
        <v>2443</v>
      </c>
      <c r="F741">
        <v>20</v>
      </c>
    </row>
    <row r="742" spans="1:6">
      <c r="A742" t="s">
        <v>31</v>
      </c>
      <c r="B742" t="s">
        <v>15</v>
      </c>
      <c r="C742" t="s">
        <v>90</v>
      </c>
      <c r="D742" t="s">
        <v>120</v>
      </c>
      <c r="E742" s="2">
        <v>2933</v>
      </c>
      <c r="F742">
        <v>55</v>
      </c>
    </row>
    <row r="743" spans="1:6">
      <c r="A743" t="s">
        <v>58</v>
      </c>
      <c r="B743" t="s">
        <v>32</v>
      </c>
      <c r="C743" t="s">
        <v>36</v>
      </c>
      <c r="D743" t="s">
        <v>99</v>
      </c>
      <c r="E743" s="2">
        <v>2044</v>
      </c>
      <c r="F743">
        <v>90</v>
      </c>
    </row>
    <row r="744" spans="1:6">
      <c r="A744" t="s">
        <v>12</v>
      </c>
      <c r="B744" t="s">
        <v>15</v>
      </c>
      <c r="C744" t="s">
        <v>73</v>
      </c>
      <c r="D744" t="s">
        <v>155</v>
      </c>
      <c r="E744" s="2">
        <v>6524</v>
      </c>
      <c r="F744">
        <v>303</v>
      </c>
    </row>
    <row r="745" spans="1:6">
      <c r="A745" t="s">
        <v>58</v>
      </c>
      <c r="B745" t="s">
        <v>32</v>
      </c>
      <c r="C745" t="s">
        <v>42</v>
      </c>
      <c r="D745" t="s">
        <v>145</v>
      </c>
      <c r="E745" s="2">
        <v>12656</v>
      </c>
      <c r="F745">
        <v>126</v>
      </c>
    </row>
    <row r="746" spans="1:6">
      <c r="A746" t="s">
        <v>41</v>
      </c>
      <c r="B746" t="s">
        <v>35</v>
      </c>
      <c r="C746" t="s">
        <v>33</v>
      </c>
      <c r="D746" s="1">
        <v>44839</v>
      </c>
      <c r="E746" s="2">
        <v>8722</v>
      </c>
      <c r="F746">
        <v>109</v>
      </c>
    </row>
    <row r="747" spans="1:6">
      <c r="A747" t="s">
        <v>34</v>
      </c>
      <c r="B747" t="s">
        <v>15</v>
      </c>
      <c r="C747" t="s">
        <v>75</v>
      </c>
      <c r="D747" t="s">
        <v>133</v>
      </c>
      <c r="E747" s="2">
        <v>15750</v>
      </c>
      <c r="F747">
        <v>92</v>
      </c>
    </row>
    <row r="748" spans="1:6">
      <c r="A748" t="s">
        <v>83</v>
      </c>
      <c r="B748" t="s">
        <v>10</v>
      </c>
      <c r="C748" t="s">
        <v>90</v>
      </c>
      <c r="D748" t="s">
        <v>61</v>
      </c>
      <c r="E748" s="2">
        <v>6839</v>
      </c>
      <c r="F748">
        <v>56</v>
      </c>
    </row>
    <row r="749" spans="1:6">
      <c r="A749" t="s">
        <v>9</v>
      </c>
      <c r="B749" t="s">
        <v>35</v>
      </c>
      <c r="C749" t="s">
        <v>26</v>
      </c>
      <c r="D749" s="1">
        <v>44900</v>
      </c>
      <c r="E749" s="2">
        <v>13685</v>
      </c>
      <c r="F749">
        <v>58</v>
      </c>
    </row>
    <row r="750" spans="1:6">
      <c r="A750" t="s">
        <v>70</v>
      </c>
      <c r="B750" t="s">
        <v>25</v>
      </c>
      <c r="C750" t="s">
        <v>87</v>
      </c>
      <c r="D750" t="s">
        <v>142</v>
      </c>
      <c r="E750" s="2">
        <v>2912</v>
      </c>
      <c r="F750">
        <v>110</v>
      </c>
    </row>
    <row r="751" spans="1:6">
      <c r="A751" t="s">
        <v>41</v>
      </c>
      <c r="B751" t="s">
        <v>10</v>
      </c>
      <c r="C751" t="s">
        <v>50</v>
      </c>
      <c r="D751" t="s">
        <v>138</v>
      </c>
      <c r="E751" s="2">
        <v>3339</v>
      </c>
      <c r="F751">
        <v>171</v>
      </c>
    </row>
    <row r="752" spans="1:6">
      <c r="A752" t="s">
        <v>12</v>
      </c>
      <c r="B752" t="s">
        <v>15</v>
      </c>
      <c r="C752" t="s">
        <v>65</v>
      </c>
      <c r="D752" t="s">
        <v>135</v>
      </c>
      <c r="E752" s="2">
        <v>910</v>
      </c>
      <c r="F752">
        <v>117</v>
      </c>
    </row>
    <row r="753" spans="1:6">
      <c r="A753" t="s">
        <v>29</v>
      </c>
      <c r="B753" t="s">
        <v>25</v>
      </c>
      <c r="C753" t="s">
        <v>36</v>
      </c>
      <c r="D753" s="1">
        <v>44744</v>
      </c>
      <c r="E753" s="2">
        <v>19481</v>
      </c>
      <c r="F753">
        <v>51</v>
      </c>
    </row>
    <row r="754" spans="1:6">
      <c r="A754" t="s">
        <v>70</v>
      </c>
      <c r="B754" t="s">
        <v>35</v>
      </c>
      <c r="C754" t="s">
        <v>18</v>
      </c>
      <c r="D754" t="s">
        <v>123</v>
      </c>
      <c r="E754" s="2">
        <v>8099</v>
      </c>
      <c r="F754">
        <v>118</v>
      </c>
    </row>
    <row r="755" spans="1:6">
      <c r="A755" t="s">
        <v>14</v>
      </c>
      <c r="B755" t="s">
        <v>10</v>
      </c>
      <c r="C755" t="s">
        <v>87</v>
      </c>
      <c r="D755" s="1">
        <v>44569</v>
      </c>
      <c r="E755" s="2">
        <v>13727</v>
      </c>
      <c r="F755">
        <v>79</v>
      </c>
    </row>
    <row r="756" spans="1:6">
      <c r="A756" t="s">
        <v>6</v>
      </c>
      <c r="B756" t="s">
        <v>15</v>
      </c>
      <c r="C756" t="s">
        <v>46</v>
      </c>
      <c r="D756" t="s">
        <v>133</v>
      </c>
      <c r="E756" s="2">
        <v>8659</v>
      </c>
      <c r="F756">
        <v>29</v>
      </c>
    </row>
    <row r="757" spans="1:6">
      <c r="A757" t="s">
        <v>12</v>
      </c>
      <c r="B757" t="s">
        <v>35</v>
      </c>
      <c r="C757" t="s">
        <v>57</v>
      </c>
      <c r="D757" t="s">
        <v>127</v>
      </c>
      <c r="E757" s="2">
        <v>5782</v>
      </c>
      <c r="F757">
        <v>103</v>
      </c>
    </row>
    <row r="758" spans="1:6">
      <c r="A758" t="s">
        <v>41</v>
      </c>
      <c r="B758" t="s">
        <v>7</v>
      </c>
      <c r="C758" t="s">
        <v>36</v>
      </c>
      <c r="D758" t="s">
        <v>134</v>
      </c>
      <c r="E758" s="2">
        <v>8463</v>
      </c>
      <c r="F758">
        <v>155</v>
      </c>
    </row>
    <row r="759" spans="1:6">
      <c r="A759" t="s">
        <v>40</v>
      </c>
      <c r="B759" t="s">
        <v>25</v>
      </c>
      <c r="C759" t="s">
        <v>36</v>
      </c>
      <c r="D759" t="s">
        <v>115</v>
      </c>
      <c r="E759" s="2">
        <v>4914</v>
      </c>
      <c r="F759">
        <v>31</v>
      </c>
    </row>
    <row r="760" spans="1:6">
      <c r="A760" t="s">
        <v>53</v>
      </c>
      <c r="B760" t="s">
        <v>15</v>
      </c>
      <c r="C760" t="s">
        <v>20</v>
      </c>
      <c r="D760" t="s">
        <v>93</v>
      </c>
      <c r="E760" s="2">
        <v>3087</v>
      </c>
      <c r="F760">
        <v>128</v>
      </c>
    </row>
    <row r="761" spans="1:6">
      <c r="A761" t="s">
        <v>22</v>
      </c>
      <c r="B761" t="s">
        <v>25</v>
      </c>
      <c r="C761" t="s">
        <v>57</v>
      </c>
      <c r="D761" s="1">
        <v>44840</v>
      </c>
      <c r="E761" s="2">
        <v>9205</v>
      </c>
      <c r="F761">
        <v>419</v>
      </c>
    </row>
    <row r="762" spans="1:6">
      <c r="A762" t="s">
        <v>48</v>
      </c>
      <c r="B762" t="s">
        <v>35</v>
      </c>
      <c r="C762" t="s">
        <v>100</v>
      </c>
      <c r="D762" t="s">
        <v>96</v>
      </c>
      <c r="E762" s="2">
        <v>2303</v>
      </c>
      <c r="F762">
        <v>7</v>
      </c>
    </row>
    <row r="763" spans="1:6">
      <c r="A763" t="s">
        <v>70</v>
      </c>
      <c r="B763" t="s">
        <v>25</v>
      </c>
      <c r="C763" t="s">
        <v>60</v>
      </c>
      <c r="D763" s="1">
        <v>44777</v>
      </c>
      <c r="E763" s="2">
        <v>1358</v>
      </c>
      <c r="F763">
        <v>106</v>
      </c>
    </row>
    <row r="764" spans="1:6">
      <c r="A764" t="s">
        <v>79</v>
      </c>
      <c r="B764" t="s">
        <v>15</v>
      </c>
      <c r="C764" t="s">
        <v>87</v>
      </c>
      <c r="D764" s="1">
        <v>44748</v>
      </c>
      <c r="E764" s="2">
        <v>3605</v>
      </c>
      <c r="F764">
        <v>68</v>
      </c>
    </row>
    <row r="765" spans="1:6">
      <c r="A765" t="s">
        <v>31</v>
      </c>
      <c r="B765" t="s">
        <v>15</v>
      </c>
      <c r="C765" t="s">
        <v>11</v>
      </c>
      <c r="D765" s="1">
        <v>44836</v>
      </c>
      <c r="E765" s="2">
        <v>8498</v>
      </c>
      <c r="F765">
        <v>44</v>
      </c>
    </row>
    <row r="766" spans="1:6">
      <c r="A766" t="s">
        <v>41</v>
      </c>
      <c r="B766" t="s">
        <v>15</v>
      </c>
      <c r="C766" t="s">
        <v>26</v>
      </c>
      <c r="D766" t="s">
        <v>86</v>
      </c>
      <c r="E766" s="2">
        <v>700</v>
      </c>
      <c r="F766">
        <v>457</v>
      </c>
    </row>
    <row r="767" spans="1:6">
      <c r="A767" t="s">
        <v>22</v>
      </c>
      <c r="B767" t="s">
        <v>10</v>
      </c>
      <c r="C767" t="s">
        <v>87</v>
      </c>
      <c r="D767" t="s">
        <v>133</v>
      </c>
      <c r="E767" s="2">
        <v>2191</v>
      </c>
      <c r="F767">
        <v>524</v>
      </c>
    </row>
    <row r="768" spans="1:6">
      <c r="A768" t="s">
        <v>9</v>
      </c>
      <c r="B768" t="s">
        <v>15</v>
      </c>
      <c r="C768" t="s">
        <v>26</v>
      </c>
      <c r="D768" t="s">
        <v>94</v>
      </c>
      <c r="E768" s="2">
        <v>644</v>
      </c>
      <c r="F768">
        <v>137</v>
      </c>
    </row>
    <row r="769" spans="1:6">
      <c r="A769" t="s">
        <v>19</v>
      </c>
      <c r="B769" t="s">
        <v>32</v>
      </c>
      <c r="C769" t="s">
        <v>60</v>
      </c>
      <c r="D769" t="s">
        <v>113</v>
      </c>
      <c r="E769" s="2">
        <v>4340</v>
      </c>
      <c r="F769">
        <v>86</v>
      </c>
    </row>
    <row r="770" spans="1:6">
      <c r="A770" t="s">
        <v>9</v>
      </c>
      <c r="B770" t="s">
        <v>35</v>
      </c>
      <c r="C770" t="s">
        <v>75</v>
      </c>
      <c r="D770" t="s">
        <v>137</v>
      </c>
      <c r="E770" s="2">
        <v>2282</v>
      </c>
      <c r="F770">
        <v>296</v>
      </c>
    </row>
    <row r="771" spans="1:6">
      <c r="A771" t="s">
        <v>37</v>
      </c>
      <c r="B771" t="s">
        <v>35</v>
      </c>
      <c r="C771" t="s">
        <v>100</v>
      </c>
      <c r="D771" t="s">
        <v>143</v>
      </c>
      <c r="E771" s="2">
        <v>7714</v>
      </c>
      <c r="F771">
        <v>597</v>
      </c>
    </row>
    <row r="772" spans="1:6">
      <c r="A772" t="s">
        <v>70</v>
      </c>
      <c r="B772" t="s">
        <v>35</v>
      </c>
      <c r="C772" t="s">
        <v>57</v>
      </c>
      <c r="D772" t="s">
        <v>92</v>
      </c>
      <c r="E772" s="2">
        <v>826</v>
      </c>
      <c r="F772">
        <v>149</v>
      </c>
    </row>
    <row r="773" spans="1:6">
      <c r="A773" t="s">
        <v>71</v>
      </c>
      <c r="B773" t="s">
        <v>10</v>
      </c>
      <c r="C773" t="s">
        <v>20</v>
      </c>
      <c r="D773" s="1">
        <v>44600</v>
      </c>
      <c r="E773" s="2">
        <v>203</v>
      </c>
      <c r="F773">
        <v>207</v>
      </c>
    </row>
    <row r="774" spans="1:6">
      <c r="A774" t="s">
        <v>77</v>
      </c>
      <c r="B774" t="s">
        <v>25</v>
      </c>
      <c r="C774" t="s">
        <v>100</v>
      </c>
      <c r="D774" t="s">
        <v>125</v>
      </c>
      <c r="E774" s="2">
        <v>13356</v>
      </c>
      <c r="F774">
        <v>93</v>
      </c>
    </row>
    <row r="775" spans="1:6">
      <c r="A775" t="s">
        <v>34</v>
      </c>
      <c r="B775" t="s">
        <v>25</v>
      </c>
      <c r="C775" t="s">
        <v>33</v>
      </c>
      <c r="D775" s="1">
        <v>44563</v>
      </c>
      <c r="E775" s="2">
        <v>6510</v>
      </c>
      <c r="F775">
        <v>23</v>
      </c>
    </row>
    <row r="776" spans="1:6">
      <c r="A776" t="s">
        <v>14</v>
      </c>
      <c r="B776" t="s">
        <v>35</v>
      </c>
      <c r="C776" t="s">
        <v>100</v>
      </c>
      <c r="D776" t="s">
        <v>44</v>
      </c>
      <c r="E776" s="2">
        <v>5894</v>
      </c>
      <c r="F776">
        <v>305</v>
      </c>
    </row>
    <row r="777" spans="1:6">
      <c r="A777" t="s">
        <v>70</v>
      </c>
      <c r="B777" t="s">
        <v>15</v>
      </c>
      <c r="C777" t="s">
        <v>46</v>
      </c>
      <c r="D777" t="s">
        <v>17</v>
      </c>
      <c r="E777" s="2">
        <v>7910</v>
      </c>
      <c r="F777">
        <v>125</v>
      </c>
    </row>
    <row r="778" spans="1:6">
      <c r="A778" t="s">
        <v>58</v>
      </c>
      <c r="B778" t="s">
        <v>10</v>
      </c>
      <c r="C778" t="s">
        <v>33</v>
      </c>
      <c r="D778" t="s">
        <v>133</v>
      </c>
      <c r="E778" s="2">
        <v>784</v>
      </c>
      <c r="F778">
        <v>129</v>
      </c>
    </row>
    <row r="779" spans="1:6">
      <c r="A779" t="s">
        <v>53</v>
      </c>
      <c r="B779" t="s">
        <v>7</v>
      </c>
      <c r="C779" t="s">
        <v>36</v>
      </c>
      <c r="D779" t="s">
        <v>140</v>
      </c>
      <c r="E779" s="2">
        <v>1750</v>
      </c>
      <c r="F779">
        <v>252</v>
      </c>
    </row>
    <row r="780" spans="1:6">
      <c r="A780" t="s">
        <v>12</v>
      </c>
      <c r="B780" t="s">
        <v>32</v>
      </c>
      <c r="C780" t="s">
        <v>13</v>
      </c>
      <c r="D780" s="1">
        <v>44809</v>
      </c>
      <c r="E780" s="2">
        <v>280</v>
      </c>
      <c r="F780">
        <v>75</v>
      </c>
    </row>
    <row r="781" spans="1:6">
      <c r="A781" t="s">
        <v>64</v>
      </c>
      <c r="B781" t="s">
        <v>32</v>
      </c>
      <c r="C781" t="s">
        <v>18</v>
      </c>
      <c r="D781" t="s">
        <v>115</v>
      </c>
      <c r="E781" s="2">
        <v>504</v>
      </c>
      <c r="F781">
        <v>87</v>
      </c>
    </row>
    <row r="782" spans="1:6">
      <c r="A782" t="s">
        <v>48</v>
      </c>
      <c r="B782" t="s">
        <v>10</v>
      </c>
      <c r="C782" t="s">
        <v>59</v>
      </c>
      <c r="D782" s="1">
        <v>44658</v>
      </c>
      <c r="E782" s="2">
        <v>7154</v>
      </c>
      <c r="F782">
        <v>342</v>
      </c>
    </row>
    <row r="783" spans="1:6">
      <c r="A783" t="s">
        <v>19</v>
      </c>
      <c r="B783" t="s">
        <v>25</v>
      </c>
      <c r="C783" t="s">
        <v>50</v>
      </c>
      <c r="D783" s="1">
        <v>44626</v>
      </c>
      <c r="E783" s="2">
        <v>1617</v>
      </c>
      <c r="F783">
        <v>13</v>
      </c>
    </row>
    <row r="784" spans="1:6">
      <c r="A784" t="s">
        <v>41</v>
      </c>
      <c r="B784" t="s">
        <v>25</v>
      </c>
      <c r="C784" t="s">
        <v>13</v>
      </c>
      <c r="D784" t="s">
        <v>76</v>
      </c>
      <c r="E784" s="2">
        <v>10822</v>
      </c>
      <c r="F784">
        <v>30</v>
      </c>
    </row>
    <row r="785" spans="1:6">
      <c r="A785" t="s">
        <v>79</v>
      </c>
      <c r="B785" t="s">
        <v>25</v>
      </c>
      <c r="C785" t="s">
        <v>20</v>
      </c>
      <c r="D785" s="1">
        <v>44809</v>
      </c>
      <c r="E785" s="2">
        <v>10724</v>
      </c>
      <c r="F785">
        <v>203</v>
      </c>
    </row>
    <row r="786" spans="1:6">
      <c r="A786" t="s">
        <v>70</v>
      </c>
      <c r="B786" t="s">
        <v>10</v>
      </c>
      <c r="C786" t="s">
        <v>100</v>
      </c>
      <c r="D786" s="1">
        <v>44718</v>
      </c>
      <c r="E786" s="2">
        <v>3640</v>
      </c>
      <c r="F786">
        <v>106</v>
      </c>
    </row>
    <row r="787" spans="1:6">
      <c r="A787" t="s">
        <v>70</v>
      </c>
      <c r="B787" t="s">
        <v>10</v>
      </c>
      <c r="C787" t="s">
        <v>38</v>
      </c>
      <c r="D787" s="1">
        <v>44658</v>
      </c>
      <c r="E787" s="2">
        <v>7532</v>
      </c>
      <c r="F787">
        <v>234</v>
      </c>
    </row>
    <row r="788" spans="1:6">
      <c r="A788" t="s">
        <v>28</v>
      </c>
      <c r="B788" t="s">
        <v>25</v>
      </c>
      <c r="C788" t="s">
        <v>38</v>
      </c>
      <c r="D788" s="1">
        <v>44718</v>
      </c>
      <c r="E788" s="2">
        <v>1582</v>
      </c>
      <c r="F788">
        <v>100</v>
      </c>
    </row>
    <row r="789" spans="1:6">
      <c r="A789" t="s">
        <v>79</v>
      </c>
      <c r="B789" t="s">
        <v>15</v>
      </c>
      <c r="C789" t="s">
        <v>65</v>
      </c>
      <c r="D789" t="s">
        <v>130</v>
      </c>
      <c r="E789" s="2">
        <v>1456</v>
      </c>
      <c r="F789">
        <v>91</v>
      </c>
    </row>
    <row r="790" spans="1:6">
      <c r="A790" t="s">
        <v>64</v>
      </c>
      <c r="B790" t="s">
        <v>25</v>
      </c>
      <c r="C790" t="s">
        <v>42</v>
      </c>
      <c r="D790" t="s">
        <v>96</v>
      </c>
      <c r="E790" s="2">
        <v>2016</v>
      </c>
      <c r="F790">
        <v>277</v>
      </c>
    </row>
    <row r="791" spans="1:6">
      <c r="A791" t="s">
        <v>83</v>
      </c>
      <c r="B791" t="s">
        <v>25</v>
      </c>
      <c r="C791" t="s">
        <v>90</v>
      </c>
      <c r="D791" t="s">
        <v>66</v>
      </c>
      <c r="E791" s="2">
        <v>7588</v>
      </c>
      <c r="F791">
        <v>42</v>
      </c>
    </row>
    <row r="792" spans="1:6">
      <c r="A792" t="s">
        <v>31</v>
      </c>
      <c r="B792" t="s">
        <v>35</v>
      </c>
      <c r="C792" t="s">
        <v>60</v>
      </c>
      <c r="D792" t="s">
        <v>103</v>
      </c>
      <c r="E792" s="2">
        <v>3402</v>
      </c>
      <c r="F792">
        <v>249</v>
      </c>
    </row>
    <row r="793" spans="1:6">
      <c r="A793" t="s">
        <v>12</v>
      </c>
      <c r="B793" t="s">
        <v>25</v>
      </c>
      <c r="C793" t="s">
        <v>18</v>
      </c>
      <c r="D793" s="1">
        <v>44835</v>
      </c>
      <c r="E793" s="2">
        <v>700</v>
      </c>
      <c r="F793">
        <v>97</v>
      </c>
    </row>
    <row r="794" spans="1:6">
      <c r="A794" t="s">
        <v>28</v>
      </c>
      <c r="B794" t="s">
        <v>32</v>
      </c>
      <c r="C794" t="s">
        <v>60</v>
      </c>
      <c r="D794" t="s">
        <v>78</v>
      </c>
      <c r="E794" s="2">
        <v>1904</v>
      </c>
      <c r="F794">
        <v>8</v>
      </c>
    </row>
    <row r="795" spans="1:6">
      <c r="A795" t="s">
        <v>45</v>
      </c>
      <c r="B795" t="s">
        <v>25</v>
      </c>
      <c r="C795" t="s">
        <v>11</v>
      </c>
      <c r="D795" t="s">
        <v>91</v>
      </c>
      <c r="E795" s="2">
        <v>4844</v>
      </c>
      <c r="F795">
        <v>275</v>
      </c>
    </row>
    <row r="796" spans="1:6">
      <c r="A796" t="s">
        <v>19</v>
      </c>
      <c r="B796" t="s">
        <v>7</v>
      </c>
      <c r="C796" t="s">
        <v>18</v>
      </c>
      <c r="D796" t="s">
        <v>126</v>
      </c>
      <c r="E796" s="2">
        <v>9625</v>
      </c>
      <c r="F796">
        <v>313</v>
      </c>
    </row>
    <row r="797" spans="1:6">
      <c r="A797" t="s">
        <v>19</v>
      </c>
      <c r="B797" t="s">
        <v>7</v>
      </c>
      <c r="C797" t="s">
        <v>73</v>
      </c>
      <c r="D797" s="1">
        <v>44777</v>
      </c>
      <c r="E797" s="2">
        <v>4599</v>
      </c>
      <c r="F797">
        <v>323</v>
      </c>
    </row>
    <row r="798" spans="1:6">
      <c r="A798" t="s">
        <v>45</v>
      </c>
      <c r="B798" t="s">
        <v>32</v>
      </c>
      <c r="C798" t="s">
        <v>38</v>
      </c>
      <c r="D798" t="s">
        <v>109</v>
      </c>
      <c r="E798" s="2">
        <v>3003</v>
      </c>
      <c r="F798">
        <v>155</v>
      </c>
    </row>
    <row r="799" spans="1:6">
      <c r="A799" t="s">
        <v>67</v>
      </c>
      <c r="B799" t="s">
        <v>15</v>
      </c>
      <c r="C799" t="s">
        <v>60</v>
      </c>
      <c r="D799" t="s">
        <v>155</v>
      </c>
      <c r="E799" s="2">
        <v>9744</v>
      </c>
      <c r="F799">
        <v>377</v>
      </c>
    </row>
    <row r="800" spans="1:6">
      <c r="A800" t="s">
        <v>34</v>
      </c>
      <c r="B800" t="s">
        <v>10</v>
      </c>
      <c r="C800" t="s">
        <v>73</v>
      </c>
      <c r="D800" s="1">
        <v>44595</v>
      </c>
      <c r="E800" s="2">
        <v>1400</v>
      </c>
      <c r="F800">
        <v>2</v>
      </c>
    </row>
    <row r="801" spans="1:6">
      <c r="A801" t="s">
        <v>6</v>
      </c>
      <c r="B801" t="s">
        <v>32</v>
      </c>
      <c r="C801" t="s">
        <v>33</v>
      </c>
      <c r="D801" t="s">
        <v>39</v>
      </c>
      <c r="E801" s="2">
        <v>364</v>
      </c>
      <c r="F801">
        <v>170</v>
      </c>
    </row>
    <row r="802" spans="1:6">
      <c r="A802" t="s">
        <v>55</v>
      </c>
      <c r="B802" t="s">
        <v>25</v>
      </c>
      <c r="C802" t="s">
        <v>100</v>
      </c>
      <c r="D802" t="s">
        <v>24</v>
      </c>
      <c r="E802" s="2">
        <v>7231</v>
      </c>
      <c r="F802">
        <v>38</v>
      </c>
    </row>
    <row r="803" spans="1:6">
      <c r="A803" t="s">
        <v>48</v>
      </c>
      <c r="B803" t="s">
        <v>15</v>
      </c>
      <c r="C803" t="s">
        <v>23</v>
      </c>
      <c r="D803" s="1">
        <v>44873</v>
      </c>
      <c r="E803" s="2">
        <v>63</v>
      </c>
      <c r="F803">
        <v>105</v>
      </c>
    </row>
    <row r="804" spans="1:6">
      <c r="A804" t="s">
        <v>53</v>
      </c>
      <c r="B804" t="s">
        <v>7</v>
      </c>
      <c r="C804" t="s">
        <v>65</v>
      </c>
      <c r="D804" t="s">
        <v>144</v>
      </c>
      <c r="E804" s="2">
        <v>8309</v>
      </c>
      <c r="F804">
        <v>166</v>
      </c>
    </row>
    <row r="805" spans="1:6">
      <c r="A805" t="s">
        <v>55</v>
      </c>
      <c r="B805" t="s">
        <v>35</v>
      </c>
      <c r="C805" t="s">
        <v>75</v>
      </c>
      <c r="D805" t="s">
        <v>84</v>
      </c>
      <c r="E805" s="2">
        <v>3164</v>
      </c>
      <c r="F805">
        <v>164</v>
      </c>
    </row>
    <row r="806" spans="1:6">
      <c r="A806" t="s">
        <v>45</v>
      </c>
      <c r="B806" t="s">
        <v>7</v>
      </c>
      <c r="C806" t="s">
        <v>13</v>
      </c>
      <c r="D806" t="s">
        <v>135</v>
      </c>
      <c r="E806" s="2">
        <v>5691</v>
      </c>
      <c r="F806">
        <v>171</v>
      </c>
    </row>
    <row r="807" spans="1:6">
      <c r="A807" t="s">
        <v>83</v>
      </c>
      <c r="B807" t="s">
        <v>25</v>
      </c>
      <c r="C807" t="s">
        <v>36</v>
      </c>
      <c r="D807" s="1">
        <v>44655</v>
      </c>
      <c r="E807" s="2">
        <v>490</v>
      </c>
      <c r="F807">
        <v>49</v>
      </c>
    </row>
    <row r="808" spans="1:6">
      <c r="A808" t="s">
        <v>28</v>
      </c>
      <c r="B808" t="s">
        <v>10</v>
      </c>
      <c r="C808" t="s">
        <v>11</v>
      </c>
      <c r="D808" s="1">
        <v>44812</v>
      </c>
      <c r="E808" s="2">
        <v>18032</v>
      </c>
      <c r="F808">
        <v>205</v>
      </c>
    </row>
    <row r="809" spans="1:6">
      <c r="A809" t="s">
        <v>28</v>
      </c>
      <c r="B809" t="s">
        <v>25</v>
      </c>
      <c r="C809" t="s">
        <v>42</v>
      </c>
      <c r="D809" t="s">
        <v>152</v>
      </c>
      <c r="E809" s="2">
        <v>637</v>
      </c>
      <c r="F809">
        <v>313</v>
      </c>
    </row>
    <row r="810" spans="1:6">
      <c r="A810" t="s">
        <v>67</v>
      </c>
      <c r="B810" t="s">
        <v>35</v>
      </c>
      <c r="C810" t="s">
        <v>59</v>
      </c>
      <c r="D810" t="s">
        <v>44</v>
      </c>
      <c r="E810" s="2">
        <v>4067</v>
      </c>
      <c r="F810">
        <v>29</v>
      </c>
    </row>
    <row r="811" spans="1:6">
      <c r="A811" t="s">
        <v>12</v>
      </c>
      <c r="B811" t="s">
        <v>25</v>
      </c>
      <c r="C811" t="s">
        <v>33</v>
      </c>
      <c r="D811" t="s">
        <v>86</v>
      </c>
      <c r="E811" s="2">
        <v>8204</v>
      </c>
      <c r="F811">
        <v>307</v>
      </c>
    </row>
    <row r="812" spans="1:6">
      <c r="A812" t="s">
        <v>83</v>
      </c>
      <c r="B812" t="s">
        <v>35</v>
      </c>
      <c r="C812" t="s">
        <v>18</v>
      </c>
      <c r="D812" t="s">
        <v>108</v>
      </c>
      <c r="E812" s="2">
        <v>9870</v>
      </c>
      <c r="F812">
        <v>121</v>
      </c>
    </row>
    <row r="813" spans="1:6">
      <c r="A813" t="s">
        <v>53</v>
      </c>
      <c r="B813" t="s">
        <v>35</v>
      </c>
      <c r="C813" t="s">
        <v>100</v>
      </c>
      <c r="D813" t="s">
        <v>96</v>
      </c>
      <c r="E813" s="2">
        <v>5131</v>
      </c>
      <c r="F813">
        <v>285</v>
      </c>
    </row>
    <row r="814" spans="1:6">
      <c r="A814" t="s">
        <v>31</v>
      </c>
      <c r="B814" t="s">
        <v>35</v>
      </c>
      <c r="C814" t="s">
        <v>42</v>
      </c>
      <c r="D814" s="1">
        <v>44837</v>
      </c>
      <c r="E814" s="2">
        <v>1141</v>
      </c>
      <c r="F814">
        <v>205</v>
      </c>
    </row>
    <row r="815" spans="1:6">
      <c r="A815" t="s">
        <v>19</v>
      </c>
      <c r="B815" t="s">
        <v>7</v>
      </c>
      <c r="C815" t="s">
        <v>42</v>
      </c>
      <c r="D815" t="s">
        <v>66</v>
      </c>
      <c r="E815" s="2">
        <v>7980</v>
      </c>
      <c r="F815">
        <v>157</v>
      </c>
    </row>
    <row r="816" spans="1:6">
      <c r="A816" t="s">
        <v>9</v>
      </c>
      <c r="B816" t="s">
        <v>25</v>
      </c>
      <c r="C816" t="s">
        <v>36</v>
      </c>
      <c r="D816" s="1">
        <v>44564</v>
      </c>
      <c r="E816" s="2">
        <v>5229</v>
      </c>
      <c r="F816">
        <v>182</v>
      </c>
    </row>
    <row r="817" spans="1:6">
      <c r="A817" t="s">
        <v>34</v>
      </c>
      <c r="B817" t="s">
        <v>7</v>
      </c>
      <c r="C817" t="s">
        <v>38</v>
      </c>
      <c r="D817" t="s">
        <v>89</v>
      </c>
      <c r="E817" s="2">
        <v>3423</v>
      </c>
      <c r="F817">
        <v>100</v>
      </c>
    </row>
    <row r="818" spans="1:6">
      <c r="A818" t="s">
        <v>19</v>
      </c>
      <c r="B818" t="s">
        <v>7</v>
      </c>
      <c r="C818" t="s">
        <v>46</v>
      </c>
      <c r="D818" s="1">
        <v>44872</v>
      </c>
      <c r="E818" s="2">
        <v>6468</v>
      </c>
      <c r="F818">
        <v>223</v>
      </c>
    </row>
    <row r="819" spans="1:6">
      <c r="A819" t="s">
        <v>37</v>
      </c>
      <c r="B819" t="s">
        <v>25</v>
      </c>
      <c r="C819" t="s">
        <v>8</v>
      </c>
      <c r="D819" s="1">
        <v>44595</v>
      </c>
      <c r="E819" s="2">
        <v>4326</v>
      </c>
      <c r="F819">
        <v>61</v>
      </c>
    </row>
    <row r="820" spans="1:6">
      <c r="A820" t="s">
        <v>6</v>
      </c>
      <c r="B820" t="s">
        <v>32</v>
      </c>
      <c r="C820" t="s">
        <v>73</v>
      </c>
      <c r="D820" s="1">
        <v>44654</v>
      </c>
      <c r="E820" s="2">
        <v>7154</v>
      </c>
      <c r="F820">
        <v>133</v>
      </c>
    </row>
    <row r="821" spans="1:6">
      <c r="A821" t="s">
        <v>70</v>
      </c>
      <c r="B821" t="s">
        <v>7</v>
      </c>
      <c r="C821" t="s">
        <v>11</v>
      </c>
      <c r="D821" t="s">
        <v>142</v>
      </c>
      <c r="E821" s="2">
        <v>3997</v>
      </c>
      <c r="F821">
        <v>228</v>
      </c>
    </row>
    <row r="822" spans="1:6">
      <c r="A822" t="s">
        <v>70</v>
      </c>
      <c r="B822" t="s">
        <v>32</v>
      </c>
      <c r="C822" t="s">
        <v>65</v>
      </c>
      <c r="D822" t="s">
        <v>95</v>
      </c>
      <c r="E822" s="2">
        <v>5180</v>
      </c>
      <c r="F822">
        <v>233</v>
      </c>
    </row>
    <row r="823" spans="1:6">
      <c r="A823" t="s">
        <v>40</v>
      </c>
      <c r="B823" t="s">
        <v>35</v>
      </c>
      <c r="C823" t="s">
        <v>33</v>
      </c>
      <c r="D823" t="s">
        <v>122</v>
      </c>
      <c r="E823" s="2">
        <v>2723</v>
      </c>
      <c r="F823">
        <v>425</v>
      </c>
    </row>
    <row r="824" spans="1:6">
      <c r="A824" t="s">
        <v>58</v>
      </c>
      <c r="B824" t="s">
        <v>10</v>
      </c>
      <c r="C824" t="s">
        <v>57</v>
      </c>
      <c r="D824" t="s">
        <v>120</v>
      </c>
      <c r="E824" s="2">
        <v>952</v>
      </c>
      <c r="F824">
        <v>24</v>
      </c>
    </row>
    <row r="825" spans="1:6">
      <c r="A825" t="s">
        <v>28</v>
      </c>
      <c r="B825" t="s">
        <v>35</v>
      </c>
      <c r="C825" t="s">
        <v>18</v>
      </c>
      <c r="D825" t="s">
        <v>130</v>
      </c>
      <c r="E825" s="2">
        <v>5691</v>
      </c>
      <c r="F825">
        <v>495</v>
      </c>
    </row>
    <row r="826" spans="1:6">
      <c r="A826" t="s">
        <v>31</v>
      </c>
      <c r="B826" t="s">
        <v>35</v>
      </c>
      <c r="C826" t="s">
        <v>87</v>
      </c>
      <c r="D826" s="1">
        <v>44622</v>
      </c>
      <c r="E826" s="2">
        <v>10969</v>
      </c>
      <c r="F826">
        <v>170</v>
      </c>
    </row>
    <row r="827" spans="1:6">
      <c r="A827" t="s">
        <v>28</v>
      </c>
      <c r="B827" t="s">
        <v>10</v>
      </c>
      <c r="C827" t="s">
        <v>18</v>
      </c>
      <c r="D827" t="s">
        <v>89</v>
      </c>
      <c r="E827" s="2">
        <v>5964</v>
      </c>
      <c r="F827">
        <v>26</v>
      </c>
    </row>
    <row r="828" spans="1:6">
      <c r="A828" t="s">
        <v>14</v>
      </c>
      <c r="B828" t="s">
        <v>15</v>
      </c>
      <c r="C828" t="s">
        <v>38</v>
      </c>
      <c r="D828" t="s">
        <v>157</v>
      </c>
      <c r="E828" s="2">
        <v>2821</v>
      </c>
      <c r="F828">
        <v>24</v>
      </c>
    </row>
    <row r="829" spans="1:6">
      <c r="A829" t="s">
        <v>28</v>
      </c>
      <c r="B829" t="s">
        <v>10</v>
      </c>
      <c r="C829" t="s">
        <v>50</v>
      </c>
      <c r="D829" t="s">
        <v>107</v>
      </c>
      <c r="E829" s="2">
        <v>1302</v>
      </c>
      <c r="F829">
        <v>33</v>
      </c>
    </row>
    <row r="830" spans="1:6">
      <c r="A830" t="s">
        <v>9</v>
      </c>
      <c r="B830" t="s">
        <v>7</v>
      </c>
      <c r="C830" t="s">
        <v>36</v>
      </c>
      <c r="D830" t="s">
        <v>63</v>
      </c>
      <c r="E830" s="2">
        <v>5474</v>
      </c>
      <c r="F830">
        <v>109</v>
      </c>
    </row>
    <row r="831" spans="1:6">
      <c r="A831" t="s">
        <v>64</v>
      </c>
      <c r="B831" t="s">
        <v>10</v>
      </c>
      <c r="C831" t="s">
        <v>90</v>
      </c>
      <c r="D831" t="s">
        <v>30</v>
      </c>
      <c r="E831" s="2">
        <v>4179</v>
      </c>
      <c r="F831">
        <v>276</v>
      </c>
    </row>
    <row r="832" spans="1:6">
      <c r="A832" t="s">
        <v>6</v>
      </c>
      <c r="B832" t="s">
        <v>7</v>
      </c>
      <c r="C832" t="s">
        <v>23</v>
      </c>
      <c r="D832" t="s">
        <v>49</v>
      </c>
      <c r="E832" s="2">
        <v>1946</v>
      </c>
      <c r="F832">
        <v>164</v>
      </c>
    </row>
    <row r="833" spans="1:6">
      <c r="A833" t="s">
        <v>31</v>
      </c>
      <c r="B833" t="s">
        <v>35</v>
      </c>
      <c r="C833" t="s">
        <v>59</v>
      </c>
      <c r="D833" t="s">
        <v>118</v>
      </c>
      <c r="E833" s="2">
        <v>4291</v>
      </c>
      <c r="F833">
        <v>1</v>
      </c>
    </row>
    <row r="834" spans="1:6">
      <c r="A834" t="s">
        <v>22</v>
      </c>
      <c r="B834" t="s">
        <v>10</v>
      </c>
      <c r="C834" t="s">
        <v>42</v>
      </c>
      <c r="D834" s="1">
        <v>44626</v>
      </c>
      <c r="E834" s="2">
        <v>7196</v>
      </c>
      <c r="F834">
        <v>160</v>
      </c>
    </row>
    <row r="835" spans="1:6">
      <c r="A835" t="s">
        <v>34</v>
      </c>
      <c r="B835" t="s">
        <v>35</v>
      </c>
      <c r="C835" t="s">
        <v>18</v>
      </c>
      <c r="D835" t="s">
        <v>148</v>
      </c>
      <c r="E835" s="2">
        <v>1939</v>
      </c>
      <c r="F835">
        <v>98</v>
      </c>
    </row>
    <row r="836" spans="1:6">
      <c r="A836" t="s">
        <v>34</v>
      </c>
      <c r="B836" t="s">
        <v>10</v>
      </c>
      <c r="C836" t="s">
        <v>36</v>
      </c>
      <c r="D836" s="1">
        <v>44899</v>
      </c>
      <c r="E836" s="2">
        <v>10437</v>
      </c>
      <c r="F836">
        <v>46</v>
      </c>
    </row>
    <row r="837" spans="1:6">
      <c r="A837" t="s">
        <v>29</v>
      </c>
      <c r="B837" t="s">
        <v>15</v>
      </c>
      <c r="C837" t="s">
        <v>73</v>
      </c>
      <c r="D837" t="s">
        <v>105</v>
      </c>
      <c r="E837" s="2">
        <v>6916</v>
      </c>
      <c r="F837">
        <v>259</v>
      </c>
    </row>
    <row r="838" spans="1:6">
      <c r="A838" t="s">
        <v>37</v>
      </c>
      <c r="B838" t="s">
        <v>7</v>
      </c>
      <c r="C838" t="s">
        <v>26</v>
      </c>
      <c r="D838" s="1">
        <v>44716</v>
      </c>
      <c r="E838" s="2">
        <v>3647</v>
      </c>
      <c r="F838">
        <v>310</v>
      </c>
    </row>
    <row r="839" spans="1:6">
      <c r="A839" t="s">
        <v>55</v>
      </c>
      <c r="B839" t="s">
        <v>15</v>
      </c>
      <c r="C839" t="s">
        <v>26</v>
      </c>
      <c r="D839" s="1">
        <v>44600</v>
      </c>
      <c r="E839" s="2">
        <v>8995</v>
      </c>
      <c r="F839">
        <v>78</v>
      </c>
    </row>
    <row r="840" spans="1:6">
      <c r="A840" t="s">
        <v>12</v>
      </c>
      <c r="B840" t="s">
        <v>15</v>
      </c>
      <c r="C840" t="s">
        <v>36</v>
      </c>
      <c r="D840" s="1">
        <v>44899</v>
      </c>
      <c r="E840" s="2">
        <v>7252</v>
      </c>
      <c r="F840">
        <v>136</v>
      </c>
    </row>
    <row r="841" spans="1:6">
      <c r="A841" t="s">
        <v>19</v>
      </c>
      <c r="B841" t="s">
        <v>10</v>
      </c>
      <c r="C841" t="s">
        <v>38</v>
      </c>
      <c r="D841" t="s">
        <v>141</v>
      </c>
      <c r="E841" s="2">
        <v>16380</v>
      </c>
      <c r="F841">
        <v>130</v>
      </c>
    </row>
    <row r="842" spans="1:6">
      <c r="A842" t="s">
        <v>9</v>
      </c>
      <c r="B842" t="s">
        <v>25</v>
      </c>
      <c r="C842" t="s">
        <v>87</v>
      </c>
      <c r="D842" t="s">
        <v>139</v>
      </c>
      <c r="E842" s="2">
        <v>9660</v>
      </c>
      <c r="F842">
        <v>24</v>
      </c>
    </row>
    <row r="843" spans="1:6">
      <c r="A843" t="s">
        <v>53</v>
      </c>
      <c r="B843" t="s">
        <v>10</v>
      </c>
      <c r="C843" t="s">
        <v>13</v>
      </c>
      <c r="D843" s="1">
        <v>44809</v>
      </c>
      <c r="E843" s="2">
        <v>4522</v>
      </c>
      <c r="F843">
        <v>5</v>
      </c>
    </row>
    <row r="844" spans="1:6">
      <c r="A844" t="s">
        <v>67</v>
      </c>
      <c r="B844" t="s">
        <v>15</v>
      </c>
      <c r="C844" t="s">
        <v>87</v>
      </c>
      <c r="D844" s="1">
        <v>44812</v>
      </c>
      <c r="E844" s="2">
        <v>329</v>
      </c>
      <c r="F844">
        <v>109</v>
      </c>
    </row>
    <row r="845" spans="1:6">
      <c r="A845" t="s">
        <v>77</v>
      </c>
      <c r="B845" t="s">
        <v>35</v>
      </c>
      <c r="C845" t="s">
        <v>75</v>
      </c>
      <c r="D845" t="s">
        <v>158</v>
      </c>
      <c r="E845" s="2">
        <v>3458</v>
      </c>
      <c r="F845">
        <v>294</v>
      </c>
    </row>
    <row r="846" spans="1:6">
      <c r="A846" t="s">
        <v>28</v>
      </c>
      <c r="B846" t="s">
        <v>10</v>
      </c>
      <c r="C846" t="s">
        <v>100</v>
      </c>
      <c r="D846" t="s">
        <v>91</v>
      </c>
      <c r="E846" s="2">
        <v>4641</v>
      </c>
      <c r="F846">
        <v>413</v>
      </c>
    </row>
    <row r="847" spans="1:6">
      <c r="A847" t="s">
        <v>6</v>
      </c>
      <c r="B847" t="s">
        <v>35</v>
      </c>
      <c r="C847" t="s">
        <v>59</v>
      </c>
      <c r="D847" t="s">
        <v>21</v>
      </c>
      <c r="E847" s="2">
        <v>4627</v>
      </c>
      <c r="F847">
        <v>136</v>
      </c>
    </row>
    <row r="848" spans="1:6">
      <c r="A848" t="s">
        <v>67</v>
      </c>
      <c r="B848" t="s">
        <v>15</v>
      </c>
      <c r="C848" t="s">
        <v>65</v>
      </c>
      <c r="D848" t="s">
        <v>114</v>
      </c>
      <c r="E848" s="2">
        <v>3192</v>
      </c>
      <c r="F848">
        <v>175</v>
      </c>
    </row>
    <row r="849" spans="1:6">
      <c r="A849" t="s">
        <v>79</v>
      </c>
      <c r="B849" t="s">
        <v>35</v>
      </c>
      <c r="C849" t="s">
        <v>23</v>
      </c>
      <c r="D849" t="s">
        <v>152</v>
      </c>
      <c r="E849" s="2">
        <v>252</v>
      </c>
      <c r="F849">
        <v>237</v>
      </c>
    </row>
    <row r="850" spans="1:6">
      <c r="A850" t="s">
        <v>37</v>
      </c>
      <c r="B850" t="s">
        <v>32</v>
      </c>
      <c r="C850" t="s">
        <v>36</v>
      </c>
      <c r="D850" t="s">
        <v>112</v>
      </c>
      <c r="E850" s="2">
        <v>868</v>
      </c>
      <c r="F850">
        <v>125</v>
      </c>
    </row>
    <row r="851" spans="1:6">
      <c r="A851" t="s">
        <v>37</v>
      </c>
      <c r="B851" t="s">
        <v>35</v>
      </c>
      <c r="C851" t="s">
        <v>57</v>
      </c>
      <c r="D851" s="1">
        <v>44598</v>
      </c>
      <c r="E851" s="2">
        <v>210</v>
      </c>
      <c r="F851">
        <v>16</v>
      </c>
    </row>
    <row r="852" spans="1:6">
      <c r="A852" t="s">
        <v>22</v>
      </c>
      <c r="B852" t="s">
        <v>32</v>
      </c>
      <c r="C852" t="s">
        <v>11</v>
      </c>
      <c r="D852" t="s">
        <v>66</v>
      </c>
      <c r="E852" s="2">
        <v>7007</v>
      </c>
      <c r="F852">
        <v>135</v>
      </c>
    </row>
    <row r="853" spans="1:6">
      <c r="A853" t="s">
        <v>79</v>
      </c>
      <c r="B853" t="s">
        <v>25</v>
      </c>
      <c r="C853" t="s">
        <v>73</v>
      </c>
      <c r="D853" s="1">
        <v>44836</v>
      </c>
      <c r="E853" s="2">
        <v>5845</v>
      </c>
      <c r="F853">
        <v>91</v>
      </c>
    </row>
    <row r="854" spans="1:6">
      <c r="A854" t="s">
        <v>40</v>
      </c>
      <c r="B854" t="s">
        <v>35</v>
      </c>
      <c r="C854" t="s">
        <v>90</v>
      </c>
      <c r="D854" t="s">
        <v>76</v>
      </c>
      <c r="E854" s="2">
        <v>1372</v>
      </c>
      <c r="F854">
        <v>614</v>
      </c>
    </row>
    <row r="855" spans="1:6">
      <c r="A855" t="s">
        <v>58</v>
      </c>
      <c r="B855" t="s">
        <v>10</v>
      </c>
      <c r="C855" t="s">
        <v>42</v>
      </c>
      <c r="D855" t="s">
        <v>95</v>
      </c>
      <c r="E855" s="2">
        <v>8428</v>
      </c>
      <c r="F855">
        <v>216</v>
      </c>
    </row>
    <row r="856" spans="1:6">
      <c r="A856" t="s">
        <v>71</v>
      </c>
      <c r="B856" t="s">
        <v>7</v>
      </c>
      <c r="C856" t="s">
        <v>8</v>
      </c>
      <c r="D856" t="s">
        <v>88</v>
      </c>
      <c r="E856" s="2">
        <v>4977</v>
      </c>
      <c r="F856">
        <v>317</v>
      </c>
    </row>
    <row r="857" spans="1:6">
      <c r="A857" t="s">
        <v>28</v>
      </c>
      <c r="B857" t="s">
        <v>32</v>
      </c>
      <c r="C857" t="s">
        <v>100</v>
      </c>
      <c r="D857" t="s">
        <v>91</v>
      </c>
      <c r="E857" s="2">
        <v>1694</v>
      </c>
      <c r="F857">
        <v>21</v>
      </c>
    </row>
    <row r="858" spans="1:6">
      <c r="A858" t="s">
        <v>77</v>
      </c>
      <c r="B858" t="s">
        <v>15</v>
      </c>
      <c r="C858" t="s">
        <v>20</v>
      </c>
      <c r="D858" s="1">
        <v>44569</v>
      </c>
      <c r="E858" s="2">
        <v>4326</v>
      </c>
      <c r="F858">
        <v>154</v>
      </c>
    </row>
    <row r="859" spans="1:6">
      <c r="A859" t="s">
        <v>34</v>
      </c>
      <c r="B859" t="s">
        <v>15</v>
      </c>
      <c r="C859" t="s">
        <v>36</v>
      </c>
      <c r="D859" t="s">
        <v>78</v>
      </c>
      <c r="E859" s="2">
        <v>9527</v>
      </c>
      <c r="F859">
        <v>222</v>
      </c>
    </row>
    <row r="860" spans="1:6">
      <c r="A860" t="s">
        <v>40</v>
      </c>
      <c r="B860" t="s">
        <v>10</v>
      </c>
      <c r="C860" t="s">
        <v>20</v>
      </c>
      <c r="D860" t="s">
        <v>68</v>
      </c>
      <c r="E860" s="2">
        <v>10766</v>
      </c>
      <c r="F860">
        <v>157</v>
      </c>
    </row>
    <row r="861" spans="1:6">
      <c r="A861" t="s">
        <v>53</v>
      </c>
      <c r="B861" t="s">
        <v>32</v>
      </c>
      <c r="C861" t="s">
        <v>57</v>
      </c>
      <c r="D861" t="s">
        <v>159</v>
      </c>
      <c r="E861" s="2">
        <v>1288</v>
      </c>
      <c r="F861">
        <v>27</v>
      </c>
    </row>
    <row r="862" spans="1:6">
      <c r="A862" t="s">
        <v>70</v>
      </c>
      <c r="B862" t="s">
        <v>15</v>
      </c>
      <c r="C862" t="s">
        <v>65</v>
      </c>
      <c r="D862" t="s">
        <v>52</v>
      </c>
      <c r="E862" s="2">
        <v>4879</v>
      </c>
      <c r="F862">
        <v>350</v>
      </c>
    </row>
    <row r="863" spans="1:6">
      <c r="A863" t="s">
        <v>83</v>
      </c>
      <c r="B863" t="s">
        <v>32</v>
      </c>
      <c r="C863" t="s">
        <v>46</v>
      </c>
      <c r="D863" t="s">
        <v>141</v>
      </c>
      <c r="E863" s="2">
        <v>2408</v>
      </c>
      <c r="F863">
        <v>157</v>
      </c>
    </row>
    <row r="864" spans="1:6">
      <c r="A864" t="s">
        <v>14</v>
      </c>
      <c r="B864" t="s">
        <v>7</v>
      </c>
      <c r="C864" t="s">
        <v>90</v>
      </c>
      <c r="D864" s="1">
        <v>44600</v>
      </c>
      <c r="E864" s="2">
        <v>3094</v>
      </c>
      <c r="F864">
        <v>468</v>
      </c>
    </row>
    <row r="865" spans="1:6">
      <c r="A865" t="s">
        <v>28</v>
      </c>
      <c r="B865" t="s">
        <v>25</v>
      </c>
      <c r="C865" t="s">
        <v>100</v>
      </c>
      <c r="D865" t="s">
        <v>61</v>
      </c>
      <c r="E865" s="2">
        <v>7231</v>
      </c>
      <c r="F865">
        <v>130</v>
      </c>
    </row>
    <row r="866" spans="1:6">
      <c r="A866" t="s">
        <v>19</v>
      </c>
      <c r="B866" t="s">
        <v>10</v>
      </c>
      <c r="C866" t="s">
        <v>11</v>
      </c>
      <c r="D866" s="1">
        <v>44688</v>
      </c>
      <c r="E866" s="2">
        <v>8981</v>
      </c>
      <c r="F866">
        <v>130</v>
      </c>
    </row>
    <row r="867" spans="1:6">
      <c r="A867" t="s">
        <v>55</v>
      </c>
      <c r="B867" t="s">
        <v>25</v>
      </c>
      <c r="C867" t="s">
        <v>18</v>
      </c>
      <c r="D867" s="1">
        <v>44899</v>
      </c>
      <c r="E867" s="2">
        <v>7</v>
      </c>
      <c r="F867">
        <v>518</v>
      </c>
    </row>
    <row r="868" spans="1:6">
      <c r="A868" t="s">
        <v>12</v>
      </c>
      <c r="B868" t="s">
        <v>15</v>
      </c>
      <c r="C868" t="s">
        <v>100</v>
      </c>
      <c r="D868" t="s">
        <v>97</v>
      </c>
      <c r="E868" s="2">
        <v>1372</v>
      </c>
      <c r="F868">
        <v>105</v>
      </c>
    </row>
    <row r="869" spans="1:6">
      <c r="A869" t="s">
        <v>14</v>
      </c>
      <c r="B869" t="s">
        <v>7</v>
      </c>
      <c r="C869" t="s">
        <v>26</v>
      </c>
      <c r="D869" s="1">
        <v>44896</v>
      </c>
      <c r="E869" s="2">
        <v>5250</v>
      </c>
      <c r="F869">
        <v>293</v>
      </c>
    </row>
    <row r="870" spans="1:6">
      <c r="A870" t="s">
        <v>22</v>
      </c>
      <c r="B870" t="s">
        <v>35</v>
      </c>
      <c r="C870" t="s">
        <v>59</v>
      </c>
      <c r="D870" s="1">
        <v>44873</v>
      </c>
      <c r="E870" s="2">
        <v>7560</v>
      </c>
      <c r="F870">
        <v>15</v>
      </c>
    </row>
    <row r="871" spans="1:6">
      <c r="A871" t="s">
        <v>6</v>
      </c>
      <c r="B871" t="s">
        <v>15</v>
      </c>
      <c r="C871" t="s">
        <v>50</v>
      </c>
      <c r="D871" t="s">
        <v>30</v>
      </c>
      <c r="E871" s="2">
        <v>5012</v>
      </c>
      <c r="F871">
        <v>384</v>
      </c>
    </row>
    <row r="872" spans="1:6">
      <c r="A872" t="s">
        <v>53</v>
      </c>
      <c r="B872" t="s">
        <v>7</v>
      </c>
      <c r="C872" t="s">
        <v>87</v>
      </c>
      <c r="D872" t="s">
        <v>116</v>
      </c>
      <c r="E872" s="2">
        <v>3038</v>
      </c>
      <c r="F872">
        <v>135</v>
      </c>
    </row>
    <row r="873" spans="1:6">
      <c r="A873" t="s">
        <v>29</v>
      </c>
      <c r="B873" t="s">
        <v>25</v>
      </c>
      <c r="C873" t="s">
        <v>23</v>
      </c>
      <c r="D873" s="1">
        <v>44749</v>
      </c>
      <c r="E873" s="2">
        <v>1099</v>
      </c>
      <c r="F873">
        <v>92</v>
      </c>
    </row>
    <row r="874" spans="1:6">
      <c r="A874" t="s">
        <v>77</v>
      </c>
      <c r="B874" t="s">
        <v>25</v>
      </c>
      <c r="C874" t="s">
        <v>8</v>
      </c>
      <c r="D874" s="1">
        <v>44868</v>
      </c>
      <c r="E874" s="2">
        <v>7413</v>
      </c>
      <c r="F874">
        <v>4</v>
      </c>
    </row>
    <row r="875" spans="1:6">
      <c r="A875" t="s">
        <v>77</v>
      </c>
      <c r="B875" t="s">
        <v>7</v>
      </c>
      <c r="C875" t="s">
        <v>100</v>
      </c>
      <c r="D875" t="s">
        <v>47</v>
      </c>
      <c r="E875" s="2">
        <v>5397</v>
      </c>
      <c r="F875">
        <v>239</v>
      </c>
    </row>
    <row r="876" spans="1:6">
      <c r="A876" t="s">
        <v>31</v>
      </c>
      <c r="B876" t="s">
        <v>15</v>
      </c>
      <c r="C876" t="s">
        <v>42</v>
      </c>
      <c r="D876" s="1">
        <v>44743</v>
      </c>
      <c r="E876" s="2">
        <v>2303</v>
      </c>
      <c r="F876">
        <v>33</v>
      </c>
    </row>
    <row r="877" spans="1:6">
      <c r="A877" t="s">
        <v>41</v>
      </c>
      <c r="B877" t="s">
        <v>25</v>
      </c>
      <c r="C877" t="s">
        <v>38</v>
      </c>
      <c r="D877" s="1">
        <v>44896</v>
      </c>
      <c r="E877" s="2">
        <v>1141</v>
      </c>
      <c r="F877">
        <v>518</v>
      </c>
    </row>
    <row r="878" spans="1:6">
      <c r="A878" t="s">
        <v>41</v>
      </c>
      <c r="B878" t="s">
        <v>10</v>
      </c>
      <c r="C878" t="s">
        <v>36</v>
      </c>
      <c r="D878" s="1">
        <v>44810</v>
      </c>
      <c r="E878" s="2">
        <v>10325</v>
      </c>
      <c r="F878">
        <v>147</v>
      </c>
    </row>
    <row r="879" spans="1:6">
      <c r="A879" t="s">
        <v>67</v>
      </c>
      <c r="B879" t="s">
        <v>10</v>
      </c>
      <c r="C879" t="s">
        <v>36</v>
      </c>
      <c r="D879" t="s">
        <v>86</v>
      </c>
      <c r="E879" s="2">
        <v>2149</v>
      </c>
      <c r="F879">
        <v>84</v>
      </c>
    </row>
    <row r="880" spans="1:6">
      <c r="A880" t="s">
        <v>12</v>
      </c>
      <c r="B880" t="s">
        <v>7</v>
      </c>
      <c r="C880" t="s">
        <v>11</v>
      </c>
      <c r="D880" t="s">
        <v>142</v>
      </c>
      <c r="E880" s="2">
        <v>12362</v>
      </c>
      <c r="F880">
        <v>94</v>
      </c>
    </row>
    <row r="881" spans="1:6">
      <c r="A881" t="s">
        <v>45</v>
      </c>
      <c r="B881" t="s">
        <v>7</v>
      </c>
      <c r="C881" t="s">
        <v>73</v>
      </c>
      <c r="D881" t="s">
        <v>107</v>
      </c>
      <c r="E881" s="2">
        <v>12635</v>
      </c>
      <c r="F881">
        <v>194</v>
      </c>
    </row>
    <row r="882" spans="1:6">
      <c r="A882" t="s">
        <v>79</v>
      </c>
      <c r="B882" t="s">
        <v>7</v>
      </c>
      <c r="C882" t="s">
        <v>8</v>
      </c>
      <c r="D882" t="s">
        <v>160</v>
      </c>
      <c r="E882" s="2">
        <v>2443</v>
      </c>
      <c r="F882">
        <v>216</v>
      </c>
    </row>
    <row r="883" spans="1:6">
      <c r="A883" t="s">
        <v>31</v>
      </c>
      <c r="B883" t="s">
        <v>35</v>
      </c>
      <c r="C883" t="s">
        <v>38</v>
      </c>
      <c r="D883" t="s">
        <v>154</v>
      </c>
      <c r="E883" s="2">
        <v>6237</v>
      </c>
      <c r="F883">
        <v>247</v>
      </c>
    </row>
    <row r="884" spans="1:6">
      <c r="A884" t="s">
        <v>19</v>
      </c>
      <c r="B884" t="s">
        <v>32</v>
      </c>
      <c r="C884" t="s">
        <v>46</v>
      </c>
      <c r="D884" t="s">
        <v>127</v>
      </c>
      <c r="E884" s="2">
        <v>1736</v>
      </c>
      <c r="F884">
        <v>79</v>
      </c>
    </row>
    <row r="885" spans="1:6">
      <c r="A885" t="s">
        <v>19</v>
      </c>
      <c r="B885" t="s">
        <v>7</v>
      </c>
      <c r="C885" t="s">
        <v>33</v>
      </c>
      <c r="D885" t="s">
        <v>74</v>
      </c>
      <c r="E885" s="2">
        <v>7315</v>
      </c>
      <c r="F885">
        <v>237</v>
      </c>
    </row>
    <row r="886" spans="1:6">
      <c r="A886" t="s">
        <v>48</v>
      </c>
      <c r="B886" t="s">
        <v>35</v>
      </c>
      <c r="C886" t="s">
        <v>13</v>
      </c>
      <c r="D886" t="s">
        <v>72</v>
      </c>
      <c r="E886" s="2">
        <v>4935</v>
      </c>
      <c r="F886">
        <v>63</v>
      </c>
    </row>
    <row r="887" spans="1:6">
      <c r="A887" t="s">
        <v>12</v>
      </c>
      <c r="B887" t="s">
        <v>10</v>
      </c>
      <c r="C887" t="s">
        <v>59</v>
      </c>
      <c r="D887" t="s">
        <v>121</v>
      </c>
      <c r="E887" s="2">
        <v>1393</v>
      </c>
      <c r="F887">
        <v>172</v>
      </c>
    </row>
    <row r="888" spans="1:6">
      <c r="A888" t="s">
        <v>53</v>
      </c>
      <c r="B888" t="s">
        <v>35</v>
      </c>
      <c r="C888" t="s">
        <v>75</v>
      </c>
      <c r="D888" t="s">
        <v>112</v>
      </c>
      <c r="E888" s="2">
        <v>3381</v>
      </c>
      <c r="F888">
        <v>408</v>
      </c>
    </row>
    <row r="889" spans="1:6">
      <c r="A889" t="s">
        <v>64</v>
      </c>
      <c r="B889" t="s">
        <v>10</v>
      </c>
      <c r="C889" t="s">
        <v>75</v>
      </c>
      <c r="D889" t="s">
        <v>78</v>
      </c>
      <c r="E889" s="2">
        <v>2933</v>
      </c>
      <c r="F889">
        <v>233</v>
      </c>
    </row>
    <row r="890" spans="1:6">
      <c r="A890" t="s">
        <v>64</v>
      </c>
      <c r="B890" t="s">
        <v>25</v>
      </c>
      <c r="C890" t="s">
        <v>87</v>
      </c>
      <c r="D890" t="s">
        <v>134</v>
      </c>
      <c r="E890" s="2">
        <v>3836</v>
      </c>
      <c r="F890">
        <v>59</v>
      </c>
    </row>
    <row r="891" spans="1:6">
      <c r="A891" t="s">
        <v>55</v>
      </c>
      <c r="B891" t="s">
        <v>7</v>
      </c>
      <c r="C891" t="s">
        <v>75</v>
      </c>
      <c r="D891" s="1">
        <v>44628</v>
      </c>
      <c r="E891" s="2">
        <v>8022</v>
      </c>
      <c r="F891">
        <v>123</v>
      </c>
    </row>
    <row r="892" spans="1:6">
      <c r="A892" t="s">
        <v>58</v>
      </c>
      <c r="B892" t="s">
        <v>25</v>
      </c>
      <c r="C892" t="s">
        <v>42</v>
      </c>
      <c r="D892" s="1">
        <v>44652</v>
      </c>
      <c r="E892" s="2">
        <v>371</v>
      </c>
      <c r="F892">
        <v>229</v>
      </c>
    </row>
    <row r="893" spans="1:6">
      <c r="A893" t="s">
        <v>70</v>
      </c>
      <c r="B893" t="s">
        <v>35</v>
      </c>
      <c r="C893" t="s">
        <v>23</v>
      </c>
      <c r="D893" t="s">
        <v>30</v>
      </c>
      <c r="E893" s="2">
        <v>16702</v>
      </c>
      <c r="F893">
        <v>198</v>
      </c>
    </row>
    <row r="894" spans="1:6">
      <c r="A894" t="s">
        <v>9</v>
      </c>
      <c r="B894" t="s">
        <v>15</v>
      </c>
      <c r="C894" t="s">
        <v>87</v>
      </c>
      <c r="D894" s="1">
        <v>44870</v>
      </c>
      <c r="E894" s="2">
        <v>13258</v>
      </c>
      <c r="F894">
        <v>32</v>
      </c>
    </row>
    <row r="895" spans="1:6">
      <c r="A895" t="s">
        <v>53</v>
      </c>
      <c r="B895" t="s">
        <v>25</v>
      </c>
      <c r="C895" t="s">
        <v>13</v>
      </c>
      <c r="D895" t="s">
        <v>47</v>
      </c>
      <c r="E895" s="2">
        <v>2058</v>
      </c>
      <c r="F895">
        <v>236</v>
      </c>
    </row>
    <row r="896" spans="1:6">
      <c r="A896" t="s">
        <v>55</v>
      </c>
      <c r="B896" t="s">
        <v>7</v>
      </c>
      <c r="C896" t="s">
        <v>90</v>
      </c>
      <c r="D896" t="s">
        <v>119</v>
      </c>
      <c r="E896" s="2">
        <v>10192</v>
      </c>
      <c r="F896">
        <v>67</v>
      </c>
    </row>
    <row r="897" spans="1:6">
      <c r="A897" t="s">
        <v>6</v>
      </c>
      <c r="B897" t="s">
        <v>7</v>
      </c>
      <c r="C897" t="s">
        <v>38</v>
      </c>
      <c r="D897" s="1">
        <v>44622</v>
      </c>
      <c r="E897" s="2">
        <v>7140</v>
      </c>
      <c r="F897">
        <v>438</v>
      </c>
    </row>
    <row r="898" spans="1:6">
      <c r="A898" t="s">
        <v>41</v>
      </c>
      <c r="B898" t="s">
        <v>10</v>
      </c>
      <c r="C898" t="s">
        <v>60</v>
      </c>
      <c r="D898" s="1">
        <v>44717</v>
      </c>
      <c r="E898" s="2">
        <v>9835</v>
      </c>
      <c r="F898">
        <v>167</v>
      </c>
    </row>
    <row r="899" spans="1:6">
      <c r="A899" t="s">
        <v>22</v>
      </c>
      <c r="B899" t="s">
        <v>7</v>
      </c>
      <c r="C899" t="s">
        <v>75</v>
      </c>
      <c r="D899" t="s">
        <v>66</v>
      </c>
      <c r="E899" s="2">
        <v>5775</v>
      </c>
      <c r="F899">
        <v>135</v>
      </c>
    </row>
    <row r="900" spans="1:6">
      <c r="A900" t="s">
        <v>22</v>
      </c>
      <c r="B900" t="s">
        <v>7</v>
      </c>
      <c r="C900" t="s">
        <v>18</v>
      </c>
      <c r="D900" t="s">
        <v>139</v>
      </c>
      <c r="E900" s="2">
        <v>749</v>
      </c>
      <c r="F900">
        <v>148</v>
      </c>
    </row>
    <row r="901" spans="1:6">
      <c r="A901" t="s">
        <v>71</v>
      </c>
      <c r="B901" t="s">
        <v>35</v>
      </c>
      <c r="C901" t="s">
        <v>33</v>
      </c>
      <c r="D901" t="s">
        <v>51</v>
      </c>
      <c r="E901" s="2">
        <v>7770</v>
      </c>
      <c r="F901">
        <v>54</v>
      </c>
    </row>
    <row r="902" spans="1:6">
      <c r="A902" t="s">
        <v>6</v>
      </c>
      <c r="B902" t="s">
        <v>7</v>
      </c>
      <c r="C902" t="s">
        <v>11</v>
      </c>
      <c r="D902" s="1">
        <v>44749</v>
      </c>
      <c r="E902" s="2">
        <v>5502</v>
      </c>
      <c r="F902">
        <v>64</v>
      </c>
    </row>
    <row r="903" spans="1:6">
      <c r="A903" t="s">
        <v>19</v>
      </c>
      <c r="B903" t="s">
        <v>7</v>
      </c>
      <c r="C903" t="s">
        <v>100</v>
      </c>
      <c r="D903" t="s">
        <v>108</v>
      </c>
      <c r="E903" s="2">
        <v>6223</v>
      </c>
      <c r="F903">
        <v>181</v>
      </c>
    </row>
    <row r="904" spans="1:6">
      <c r="A904" t="s">
        <v>70</v>
      </c>
      <c r="B904" t="s">
        <v>7</v>
      </c>
      <c r="C904" t="s">
        <v>20</v>
      </c>
      <c r="D904" s="1">
        <v>44903</v>
      </c>
      <c r="E904" s="2">
        <v>3507</v>
      </c>
      <c r="F904">
        <v>114</v>
      </c>
    </row>
    <row r="905" spans="1:6">
      <c r="A905" t="s">
        <v>12</v>
      </c>
      <c r="B905" t="s">
        <v>25</v>
      </c>
      <c r="C905" t="s">
        <v>23</v>
      </c>
      <c r="D905" t="s">
        <v>124</v>
      </c>
      <c r="E905" s="2">
        <v>5600</v>
      </c>
      <c r="F905">
        <v>181</v>
      </c>
    </row>
    <row r="906" spans="1:6">
      <c r="A906" t="s">
        <v>19</v>
      </c>
      <c r="B906" t="s">
        <v>15</v>
      </c>
      <c r="C906" t="s">
        <v>26</v>
      </c>
      <c r="D906" s="1">
        <v>44717</v>
      </c>
      <c r="E906" s="2">
        <v>721</v>
      </c>
      <c r="F906">
        <v>151</v>
      </c>
    </row>
    <row r="907" spans="1:6">
      <c r="A907" t="s">
        <v>19</v>
      </c>
      <c r="B907" t="s">
        <v>35</v>
      </c>
      <c r="C907" t="s">
        <v>26</v>
      </c>
      <c r="D907" t="s">
        <v>143</v>
      </c>
      <c r="E907" s="2">
        <v>6615</v>
      </c>
      <c r="F907">
        <v>137</v>
      </c>
    </row>
    <row r="908" spans="1:6">
      <c r="A908" t="s">
        <v>31</v>
      </c>
      <c r="B908" t="s">
        <v>32</v>
      </c>
      <c r="C908" t="s">
        <v>59</v>
      </c>
      <c r="D908" s="1">
        <v>44686</v>
      </c>
      <c r="E908" s="2">
        <v>7420</v>
      </c>
      <c r="F908">
        <v>163</v>
      </c>
    </row>
    <row r="909" spans="1:6">
      <c r="A909" t="s">
        <v>29</v>
      </c>
      <c r="B909" t="s">
        <v>25</v>
      </c>
      <c r="C909" t="s">
        <v>20</v>
      </c>
      <c r="D909" t="s">
        <v>132</v>
      </c>
      <c r="E909" s="2">
        <v>3164</v>
      </c>
      <c r="F909">
        <v>84</v>
      </c>
    </row>
    <row r="910" spans="1:6">
      <c r="A910" t="s">
        <v>48</v>
      </c>
      <c r="B910" t="s">
        <v>15</v>
      </c>
      <c r="C910" t="s">
        <v>90</v>
      </c>
      <c r="D910" t="s">
        <v>44</v>
      </c>
      <c r="E910" s="2">
        <v>9114</v>
      </c>
      <c r="F910">
        <v>140</v>
      </c>
    </row>
    <row r="911" spans="1:6">
      <c r="A911" t="s">
        <v>48</v>
      </c>
      <c r="B911" t="s">
        <v>25</v>
      </c>
      <c r="C911" t="s">
        <v>11</v>
      </c>
      <c r="D911" s="1">
        <v>44900</v>
      </c>
      <c r="E911" s="2">
        <v>5404</v>
      </c>
      <c r="F911">
        <v>187</v>
      </c>
    </row>
    <row r="912" spans="1:6">
      <c r="A912" t="s">
        <v>31</v>
      </c>
      <c r="B912" t="s">
        <v>25</v>
      </c>
      <c r="C912" t="s">
        <v>18</v>
      </c>
      <c r="D912" t="s">
        <v>21</v>
      </c>
      <c r="E912" s="2">
        <v>3990</v>
      </c>
      <c r="F912">
        <v>169</v>
      </c>
    </row>
    <row r="913" spans="1:6">
      <c r="A913" t="s">
        <v>83</v>
      </c>
      <c r="B913" t="s">
        <v>7</v>
      </c>
      <c r="C913" t="s">
        <v>11</v>
      </c>
      <c r="D913" t="s">
        <v>85</v>
      </c>
      <c r="E913" s="2">
        <v>14924</v>
      </c>
      <c r="F913">
        <v>12</v>
      </c>
    </row>
    <row r="914" spans="1:6">
      <c r="A914" t="s">
        <v>58</v>
      </c>
      <c r="B914" t="s">
        <v>15</v>
      </c>
      <c r="C914" t="s">
        <v>38</v>
      </c>
      <c r="D914" t="s">
        <v>94</v>
      </c>
      <c r="E914" s="2">
        <v>7091</v>
      </c>
      <c r="F914">
        <v>194</v>
      </c>
    </row>
    <row r="915" spans="1:6">
      <c r="A915" t="s">
        <v>45</v>
      </c>
      <c r="B915" t="s">
        <v>32</v>
      </c>
      <c r="C915" t="s">
        <v>46</v>
      </c>
      <c r="D915" t="s">
        <v>86</v>
      </c>
      <c r="E915" s="2">
        <v>2807</v>
      </c>
      <c r="F915">
        <v>252</v>
      </c>
    </row>
    <row r="916" spans="1:6">
      <c r="A916" t="s">
        <v>14</v>
      </c>
      <c r="B916" t="s">
        <v>10</v>
      </c>
      <c r="C916" t="s">
        <v>23</v>
      </c>
      <c r="D916" t="s">
        <v>54</v>
      </c>
      <c r="E916" s="2">
        <v>6496</v>
      </c>
      <c r="F916">
        <v>168</v>
      </c>
    </row>
    <row r="917" spans="1:6">
      <c r="A917" t="s">
        <v>22</v>
      </c>
      <c r="B917" t="s">
        <v>32</v>
      </c>
      <c r="C917" t="s">
        <v>23</v>
      </c>
      <c r="D917" t="s">
        <v>112</v>
      </c>
      <c r="E917" s="2">
        <v>3738</v>
      </c>
      <c r="F917">
        <v>261</v>
      </c>
    </row>
    <row r="918" spans="1:6">
      <c r="A918" t="s">
        <v>83</v>
      </c>
      <c r="B918" t="s">
        <v>10</v>
      </c>
      <c r="C918" t="s">
        <v>33</v>
      </c>
      <c r="D918" t="s">
        <v>47</v>
      </c>
      <c r="E918" s="2">
        <v>1190</v>
      </c>
      <c r="F918">
        <v>256</v>
      </c>
    </row>
    <row r="919" spans="1:6">
      <c r="A919" t="s">
        <v>34</v>
      </c>
      <c r="B919" t="s">
        <v>7</v>
      </c>
      <c r="C919" t="s">
        <v>60</v>
      </c>
      <c r="D919" t="s">
        <v>61</v>
      </c>
      <c r="E919" s="2">
        <v>8379</v>
      </c>
      <c r="F919">
        <v>43</v>
      </c>
    </row>
    <row r="920" spans="1:6">
      <c r="A920" t="s">
        <v>31</v>
      </c>
      <c r="B920" t="s">
        <v>15</v>
      </c>
      <c r="C920" t="s">
        <v>73</v>
      </c>
      <c r="D920" t="s">
        <v>89</v>
      </c>
      <c r="E920" s="2">
        <v>9268</v>
      </c>
      <c r="F920">
        <v>100</v>
      </c>
    </row>
    <row r="921" spans="1:6">
      <c r="A921" t="s">
        <v>64</v>
      </c>
      <c r="B921" t="s">
        <v>32</v>
      </c>
      <c r="C921" t="s">
        <v>38</v>
      </c>
      <c r="D921" t="s">
        <v>127</v>
      </c>
      <c r="E921" s="2">
        <v>1029</v>
      </c>
      <c r="F921">
        <v>98</v>
      </c>
    </row>
    <row r="922" spans="1:6">
      <c r="A922" t="s">
        <v>64</v>
      </c>
      <c r="B922" t="s">
        <v>10</v>
      </c>
      <c r="C922" t="s">
        <v>36</v>
      </c>
      <c r="D922" t="s">
        <v>104</v>
      </c>
      <c r="E922" s="2">
        <v>3549</v>
      </c>
      <c r="F922">
        <v>76</v>
      </c>
    </row>
    <row r="923" spans="1:6">
      <c r="A923" t="s">
        <v>64</v>
      </c>
      <c r="B923" t="s">
        <v>10</v>
      </c>
      <c r="C923" t="s">
        <v>23</v>
      </c>
      <c r="D923" s="1">
        <v>44659</v>
      </c>
      <c r="E923" s="2">
        <v>12026</v>
      </c>
      <c r="F923">
        <v>262</v>
      </c>
    </row>
    <row r="924" spans="1:6">
      <c r="A924" t="s">
        <v>70</v>
      </c>
      <c r="B924" t="s">
        <v>10</v>
      </c>
      <c r="C924" t="s">
        <v>20</v>
      </c>
      <c r="D924" t="s">
        <v>85</v>
      </c>
      <c r="E924" s="2">
        <v>2303</v>
      </c>
      <c r="F924">
        <v>244</v>
      </c>
    </row>
    <row r="925" spans="1:6">
      <c r="A925" t="s">
        <v>22</v>
      </c>
      <c r="B925" t="s">
        <v>35</v>
      </c>
      <c r="C925" t="s">
        <v>50</v>
      </c>
      <c r="D925" s="1">
        <v>44685</v>
      </c>
      <c r="E925" s="2">
        <v>13405</v>
      </c>
      <c r="F925">
        <v>12</v>
      </c>
    </row>
    <row r="926" spans="1:6">
      <c r="A926" t="s">
        <v>77</v>
      </c>
      <c r="B926" t="s">
        <v>35</v>
      </c>
      <c r="C926" t="s">
        <v>13</v>
      </c>
      <c r="D926" s="1">
        <v>44688</v>
      </c>
      <c r="E926" s="2">
        <v>14763</v>
      </c>
      <c r="F926">
        <v>113</v>
      </c>
    </row>
    <row r="927" spans="1:6">
      <c r="A927" t="s">
        <v>55</v>
      </c>
      <c r="B927" t="s">
        <v>25</v>
      </c>
      <c r="C927" t="s">
        <v>36</v>
      </c>
      <c r="D927" t="s">
        <v>161</v>
      </c>
      <c r="E927" s="2">
        <v>12894</v>
      </c>
      <c r="F927">
        <v>48</v>
      </c>
    </row>
    <row r="928" spans="1:6">
      <c r="A928" t="s">
        <v>83</v>
      </c>
      <c r="B928" t="s">
        <v>25</v>
      </c>
      <c r="C928" t="s">
        <v>38</v>
      </c>
      <c r="D928" t="s">
        <v>47</v>
      </c>
      <c r="E928" s="2">
        <v>8302</v>
      </c>
      <c r="F928">
        <v>131</v>
      </c>
    </row>
    <row r="929" spans="1:6">
      <c r="A929" t="s">
        <v>48</v>
      </c>
      <c r="B929" t="s">
        <v>7</v>
      </c>
      <c r="C929" t="s">
        <v>38</v>
      </c>
      <c r="D929" s="1">
        <v>44902</v>
      </c>
      <c r="E929" s="2">
        <v>455</v>
      </c>
      <c r="F929">
        <v>174</v>
      </c>
    </row>
    <row r="930" spans="1:6">
      <c r="A930" t="s">
        <v>70</v>
      </c>
      <c r="B930" t="s">
        <v>10</v>
      </c>
      <c r="C930" t="s">
        <v>73</v>
      </c>
      <c r="D930" t="s">
        <v>111</v>
      </c>
      <c r="E930" s="2">
        <v>8183</v>
      </c>
      <c r="F930">
        <v>254</v>
      </c>
    </row>
    <row r="931" spans="1:6">
      <c r="A931" t="s">
        <v>79</v>
      </c>
      <c r="B931" t="s">
        <v>15</v>
      </c>
      <c r="C931" t="s">
        <v>75</v>
      </c>
      <c r="D931" t="s">
        <v>121</v>
      </c>
      <c r="E931" s="2">
        <v>1645</v>
      </c>
      <c r="F931">
        <v>284</v>
      </c>
    </row>
    <row r="932" spans="1:6">
      <c r="A932" t="s">
        <v>55</v>
      </c>
      <c r="B932" t="s">
        <v>7</v>
      </c>
      <c r="C932" t="s">
        <v>26</v>
      </c>
      <c r="D932" t="s">
        <v>109</v>
      </c>
      <c r="E932" s="2">
        <v>3143</v>
      </c>
      <c r="F932">
        <v>67</v>
      </c>
    </row>
    <row r="933" spans="1:6">
      <c r="A933" t="s">
        <v>45</v>
      </c>
      <c r="B933" t="s">
        <v>35</v>
      </c>
      <c r="C933" t="s">
        <v>75</v>
      </c>
      <c r="D933" s="1">
        <v>44870</v>
      </c>
      <c r="E933" s="2">
        <v>5873</v>
      </c>
      <c r="F933">
        <v>249</v>
      </c>
    </row>
    <row r="934" spans="1:6">
      <c r="A934" t="s">
        <v>83</v>
      </c>
      <c r="B934" t="s">
        <v>10</v>
      </c>
      <c r="C934" t="s">
        <v>26</v>
      </c>
      <c r="D934" t="s">
        <v>74</v>
      </c>
      <c r="E934" s="2">
        <v>11298</v>
      </c>
      <c r="F934">
        <v>313</v>
      </c>
    </row>
    <row r="935" spans="1:6">
      <c r="A935" t="s">
        <v>19</v>
      </c>
      <c r="B935" t="s">
        <v>35</v>
      </c>
      <c r="C935" t="s">
        <v>13</v>
      </c>
      <c r="D935" s="1">
        <v>44748</v>
      </c>
      <c r="E935" s="2">
        <v>12425</v>
      </c>
      <c r="F935">
        <v>167</v>
      </c>
    </row>
    <row r="936" spans="1:6">
      <c r="A936" t="s">
        <v>19</v>
      </c>
      <c r="B936" t="s">
        <v>7</v>
      </c>
      <c r="C936" t="s">
        <v>59</v>
      </c>
      <c r="D936" t="s">
        <v>49</v>
      </c>
      <c r="E936" s="2">
        <v>1715</v>
      </c>
      <c r="F936">
        <v>286</v>
      </c>
    </row>
    <row r="937" spans="1:6">
      <c r="A937" t="s">
        <v>31</v>
      </c>
      <c r="B937" t="s">
        <v>10</v>
      </c>
      <c r="C937" t="s">
        <v>23</v>
      </c>
      <c r="D937" t="s">
        <v>120</v>
      </c>
      <c r="E937" s="2">
        <v>8190</v>
      </c>
      <c r="F937">
        <v>109</v>
      </c>
    </row>
    <row r="938" spans="1:6">
      <c r="A938" t="s">
        <v>64</v>
      </c>
      <c r="B938" t="s">
        <v>35</v>
      </c>
      <c r="C938" t="s">
        <v>18</v>
      </c>
      <c r="D938" s="1">
        <v>44598</v>
      </c>
      <c r="E938" s="2">
        <v>4991</v>
      </c>
      <c r="F938">
        <v>166</v>
      </c>
    </row>
    <row r="939" spans="1:6">
      <c r="A939" t="s">
        <v>29</v>
      </c>
      <c r="B939" t="s">
        <v>10</v>
      </c>
      <c r="C939" t="s">
        <v>8</v>
      </c>
      <c r="D939" t="s">
        <v>43</v>
      </c>
      <c r="E939" s="2">
        <v>15491</v>
      </c>
      <c r="F939">
        <v>85</v>
      </c>
    </row>
    <row r="940" spans="1:6">
      <c r="A940" t="s">
        <v>29</v>
      </c>
      <c r="B940" t="s">
        <v>35</v>
      </c>
      <c r="C940" t="s">
        <v>20</v>
      </c>
      <c r="D940" s="1">
        <v>44595</v>
      </c>
      <c r="E940" s="2">
        <v>5096</v>
      </c>
      <c r="F940">
        <v>142</v>
      </c>
    </row>
    <row r="941" spans="1:6">
      <c r="A941" t="s">
        <v>9</v>
      </c>
      <c r="B941" t="s">
        <v>15</v>
      </c>
      <c r="C941" t="s">
        <v>100</v>
      </c>
      <c r="D941" s="1">
        <v>44835</v>
      </c>
      <c r="E941" s="2">
        <v>7063</v>
      </c>
      <c r="F941">
        <v>104</v>
      </c>
    </row>
    <row r="942" spans="1:6">
      <c r="A942" t="s">
        <v>41</v>
      </c>
      <c r="B942" t="s">
        <v>32</v>
      </c>
      <c r="C942" t="s">
        <v>100</v>
      </c>
      <c r="D942" t="s">
        <v>49</v>
      </c>
      <c r="E942" s="2">
        <v>2275</v>
      </c>
      <c r="F942">
        <v>115</v>
      </c>
    </row>
    <row r="943" spans="1:6">
      <c r="A943" t="s">
        <v>31</v>
      </c>
      <c r="B943" t="s">
        <v>35</v>
      </c>
      <c r="C943" t="s">
        <v>33</v>
      </c>
      <c r="D943" t="s">
        <v>66</v>
      </c>
      <c r="E943" s="2">
        <v>7602</v>
      </c>
      <c r="F943">
        <v>18</v>
      </c>
    </row>
    <row r="944" spans="1:6">
      <c r="A944" t="s">
        <v>45</v>
      </c>
      <c r="B944" t="s">
        <v>15</v>
      </c>
      <c r="C944" t="s">
        <v>11</v>
      </c>
      <c r="D944" s="1">
        <v>44780</v>
      </c>
      <c r="E944" s="2">
        <v>4200</v>
      </c>
      <c r="F944">
        <v>80</v>
      </c>
    </row>
    <row r="945" spans="1:6">
      <c r="A945" t="s">
        <v>19</v>
      </c>
      <c r="B945" t="s">
        <v>10</v>
      </c>
      <c r="C945" t="s">
        <v>50</v>
      </c>
      <c r="D945" s="1">
        <v>44779</v>
      </c>
      <c r="E945" s="2">
        <v>11137</v>
      </c>
      <c r="F945">
        <v>88</v>
      </c>
    </row>
    <row r="946" spans="1:6">
      <c r="A946" t="s">
        <v>14</v>
      </c>
      <c r="B946" t="s">
        <v>7</v>
      </c>
      <c r="C946" t="s">
        <v>60</v>
      </c>
      <c r="D946" t="s">
        <v>97</v>
      </c>
      <c r="E946" s="2">
        <v>3388</v>
      </c>
      <c r="F946">
        <v>212</v>
      </c>
    </row>
    <row r="947" spans="1:6">
      <c r="A947" t="s">
        <v>55</v>
      </c>
      <c r="B947" t="s">
        <v>15</v>
      </c>
      <c r="C947" t="s">
        <v>23</v>
      </c>
      <c r="D947" s="1">
        <v>44777</v>
      </c>
      <c r="E947" s="2">
        <v>6832</v>
      </c>
      <c r="F947">
        <v>306</v>
      </c>
    </row>
    <row r="948" spans="1:6">
      <c r="A948" t="s">
        <v>64</v>
      </c>
      <c r="B948" t="s">
        <v>35</v>
      </c>
      <c r="C948" t="s">
        <v>57</v>
      </c>
      <c r="D948" s="1">
        <v>44781</v>
      </c>
      <c r="E948" s="2">
        <v>3437</v>
      </c>
      <c r="F948">
        <v>181</v>
      </c>
    </row>
    <row r="949" spans="1:6">
      <c r="A949" t="s">
        <v>64</v>
      </c>
      <c r="B949" t="s">
        <v>7</v>
      </c>
      <c r="C949" t="s">
        <v>46</v>
      </c>
      <c r="D949" t="s">
        <v>93</v>
      </c>
      <c r="E949" s="2">
        <v>301</v>
      </c>
      <c r="F949">
        <v>65</v>
      </c>
    </row>
    <row r="950" spans="1:6">
      <c r="A950" t="s">
        <v>19</v>
      </c>
      <c r="B950" t="s">
        <v>35</v>
      </c>
      <c r="C950" t="s">
        <v>57</v>
      </c>
      <c r="D950" t="s">
        <v>122</v>
      </c>
      <c r="E950" s="2">
        <v>1869</v>
      </c>
      <c r="F950">
        <v>158</v>
      </c>
    </row>
    <row r="951" spans="1:6">
      <c r="A951" t="s">
        <v>58</v>
      </c>
      <c r="B951" t="s">
        <v>32</v>
      </c>
      <c r="C951" t="s">
        <v>87</v>
      </c>
      <c r="D951" s="1">
        <v>44873</v>
      </c>
      <c r="E951" s="2">
        <v>17465</v>
      </c>
      <c r="F951">
        <v>271</v>
      </c>
    </row>
    <row r="952" spans="1:6">
      <c r="A952" t="s">
        <v>77</v>
      </c>
      <c r="B952" t="s">
        <v>32</v>
      </c>
      <c r="C952" t="s">
        <v>65</v>
      </c>
      <c r="D952" t="s">
        <v>126</v>
      </c>
      <c r="E952" s="2">
        <v>10143</v>
      </c>
      <c r="F952">
        <v>24</v>
      </c>
    </row>
    <row r="953" spans="1:6">
      <c r="A953" t="s">
        <v>9</v>
      </c>
      <c r="B953" t="s">
        <v>25</v>
      </c>
      <c r="C953" t="s">
        <v>26</v>
      </c>
      <c r="D953" s="1">
        <v>44872</v>
      </c>
      <c r="E953" s="2">
        <v>3626</v>
      </c>
      <c r="F953">
        <v>10</v>
      </c>
    </row>
    <row r="954" spans="1:6">
      <c r="A954" t="s">
        <v>37</v>
      </c>
      <c r="B954" t="s">
        <v>35</v>
      </c>
      <c r="C954" t="s">
        <v>90</v>
      </c>
      <c r="D954" s="1">
        <v>44595</v>
      </c>
      <c r="E954" s="2">
        <v>3346</v>
      </c>
      <c r="F954">
        <v>304</v>
      </c>
    </row>
    <row r="955" spans="1:6">
      <c r="A955" t="s">
        <v>77</v>
      </c>
      <c r="B955" t="s">
        <v>15</v>
      </c>
      <c r="C955" t="s">
        <v>73</v>
      </c>
      <c r="D955" t="s">
        <v>94</v>
      </c>
      <c r="E955" s="2">
        <v>6321</v>
      </c>
      <c r="F955">
        <v>88</v>
      </c>
    </row>
    <row r="956" spans="1:6">
      <c r="A956" t="s">
        <v>29</v>
      </c>
      <c r="B956" t="s">
        <v>7</v>
      </c>
      <c r="C956" t="s">
        <v>50</v>
      </c>
      <c r="D956" s="1">
        <v>44628</v>
      </c>
      <c r="E956" s="2">
        <v>9345</v>
      </c>
      <c r="F956">
        <v>133</v>
      </c>
    </row>
    <row r="957" spans="1:6">
      <c r="A957" t="s">
        <v>48</v>
      </c>
      <c r="B957" t="s">
        <v>7</v>
      </c>
      <c r="C957" t="s">
        <v>13</v>
      </c>
      <c r="D957" s="1">
        <v>44564</v>
      </c>
      <c r="E957" s="2">
        <v>15008</v>
      </c>
      <c r="F957">
        <v>165</v>
      </c>
    </row>
    <row r="958" spans="1:6">
      <c r="A958" t="s">
        <v>70</v>
      </c>
      <c r="B958" t="s">
        <v>25</v>
      </c>
      <c r="C958" t="s">
        <v>59</v>
      </c>
      <c r="D958" t="s">
        <v>121</v>
      </c>
      <c r="E958" s="2">
        <v>7609</v>
      </c>
      <c r="F958">
        <v>150</v>
      </c>
    </row>
    <row r="959" spans="1:6">
      <c r="A959" t="s">
        <v>41</v>
      </c>
      <c r="B959" t="s">
        <v>35</v>
      </c>
      <c r="C959" t="s">
        <v>57</v>
      </c>
      <c r="D959" t="s">
        <v>44</v>
      </c>
      <c r="E959" s="2">
        <v>10332</v>
      </c>
      <c r="F959">
        <v>180</v>
      </c>
    </row>
    <row r="960" spans="1:6">
      <c r="A960" t="s">
        <v>34</v>
      </c>
      <c r="B960" t="s">
        <v>10</v>
      </c>
      <c r="C960" t="s">
        <v>59</v>
      </c>
      <c r="D960" t="s">
        <v>101</v>
      </c>
      <c r="E960" s="2">
        <v>819</v>
      </c>
      <c r="F960">
        <v>213</v>
      </c>
    </row>
    <row r="961" spans="1:6">
      <c r="A961" t="s">
        <v>28</v>
      </c>
      <c r="B961" t="s">
        <v>7</v>
      </c>
      <c r="C961" t="s">
        <v>38</v>
      </c>
      <c r="D961" t="s">
        <v>95</v>
      </c>
      <c r="E961" s="2">
        <v>5754</v>
      </c>
      <c r="F961">
        <v>133</v>
      </c>
    </row>
    <row r="962" spans="1:6">
      <c r="A962" t="s">
        <v>6</v>
      </c>
      <c r="B962" t="s">
        <v>10</v>
      </c>
      <c r="C962" t="s">
        <v>13</v>
      </c>
      <c r="D962" t="s">
        <v>91</v>
      </c>
      <c r="E962" s="2">
        <v>28</v>
      </c>
      <c r="F962">
        <v>446</v>
      </c>
    </row>
    <row r="963" spans="1:6">
      <c r="A963" t="s">
        <v>19</v>
      </c>
      <c r="B963" t="s">
        <v>32</v>
      </c>
      <c r="C963" t="s">
        <v>65</v>
      </c>
      <c r="D963" t="s">
        <v>72</v>
      </c>
      <c r="E963" s="2">
        <v>6440</v>
      </c>
      <c r="F963">
        <v>141</v>
      </c>
    </row>
    <row r="964" spans="1:6">
      <c r="A964" t="s">
        <v>53</v>
      </c>
      <c r="B964" t="s">
        <v>10</v>
      </c>
      <c r="C964" t="s">
        <v>36</v>
      </c>
      <c r="D964" s="1">
        <v>44806</v>
      </c>
      <c r="E964" s="2">
        <v>4956</v>
      </c>
      <c r="F964">
        <v>58</v>
      </c>
    </row>
    <row r="965" spans="1:6">
      <c r="A965" t="s">
        <v>28</v>
      </c>
      <c r="B965" t="s">
        <v>7</v>
      </c>
      <c r="C965" t="s">
        <v>50</v>
      </c>
      <c r="D965" t="s">
        <v>99</v>
      </c>
      <c r="E965" s="2">
        <v>2352</v>
      </c>
      <c r="F965">
        <v>58</v>
      </c>
    </row>
    <row r="966" spans="1:6">
      <c r="A966" t="s">
        <v>19</v>
      </c>
      <c r="B966" t="s">
        <v>15</v>
      </c>
      <c r="C966" t="s">
        <v>60</v>
      </c>
      <c r="D966" t="s">
        <v>43</v>
      </c>
      <c r="E966" s="2">
        <v>3906</v>
      </c>
      <c r="F966">
        <v>76</v>
      </c>
    </row>
    <row r="967" spans="1:6">
      <c r="A967" t="s">
        <v>41</v>
      </c>
      <c r="B967" t="s">
        <v>10</v>
      </c>
      <c r="C967" t="s">
        <v>59</v>
      </c>
      <c r="D967" s="1">
        <v>44658</v>
      </c>
      <c r="E967" s="2">
        <v>1813</v>
      </c>
      <c r="F967">
        <v>296</v>
      </c>
    </row>
    <row r="968" spans="1:6">
      <c r="A968" t="s">
        <v>83</v>
      </c>
      <c r="B968" t="s">
        <v>10</v>
      </c>
      <c r="C968" t="s">
        <v>65</v>
      </c>
      <c r="D968" t="s">
        <v>121</v>
      </c>
      <c r="E968" s="2">
        <v>11788</v>
      </c>
      <c r="F968">
        <v>73</v>
      </c>
    </row>
    <row r="969" spans="1:6">
      <c r="A969" t="s">
        <v>12</v>
      </c>
      <c r="B969" t="s">
        <v>15</v>
      </c>
      <c r="C969" t="s">
        <v>18</v>
      </c>
      <c r="D969" t="s">
        <v>21</v>
      </c>
      <c r="E969" s="2">
        <v>5768</v>
      </c>
      <c r="F969">
        <v>119</v>
      </c>
    </row>
    <row r="970" spans="1:6">
      <c r="A970" t="s">
        <v>71</v>
      </c>
      <c r="B970" t="s">
        <v>32</v>
      </c>
      <c r="C970" t="s">
        <v>11</v>
      </c>
      <c r="D970" t="s">
        <v>114</v>
      </c>
      <c r="E970" s="2">
        <v>2401</v>
      </c>
      <c r="F970">
        <v>78</v>
      </c>
    </row>
    <row r="971" spans="1:6">
      <c r="A971" t="s">
        <v>71</v>
      </c>
      <c r="B971" t="s">
        <v>32</v>
      </c>
      <c r="C971" t="s">
        <v>36</v>
      </c>
      <c r="D971" s="1">
        <v>44840</v>
      </c>
      <c r="E971" s="2">
        <v>4515</v>
      </c>
      <c r="F971">
        <v>392</v>
      </c>
    </row>
    <row r="972" spans="1:6">
      <c r="A972" t="s">
        <v>77</v>
      </c>
      <c r="B972" t="s">
        <v>25</v>
      </c>
      <c r="C972" t="s">
        <v>59</v>
      </c>
      <c r="D972" t="s">
        <v>78</v>
      </c>
      <c r="E972" s="2">
        <v>10794</v>
      </c>
      <c r="F972">
        <v>51</v>
      </c>
    </row>
    <row r="973" spans="1:6">
      <c r="A973" t="s">
        <v>9</v>
      </c>
      <c r="B973" t="s">
        <v>10</v>
      </c>
      <c r="C973" t="s">
        <v>23</v>
      </c>
      <c r="D973" t="s">
        <v>49</v>
      </c>
      <c r="E973" s="2">
        <v>13706</v>
      </c>
      <c r="F973">
        <v>207</v>
      </c>
    </row>
    <row r="974" spans="1:6">
      <c r="A974" t="s">
        <v>53</v>
      </c>
      <c r="B974" t="s">
        <v>10</v>
      </c>
      <c r="C974" t="s">
        <v>33</v>
      </c>
      <c r="D974" t="s">
        <v>66</v>
      </c>
      <c r="E974" s="2">
        <v>4361</v>
      </c>
      <c r="F974">
        <v>40</v>
      </c>
    </row>
    <row r="975" spans="1:6">
      <c r="A975" t="s">
        <v>6</v>
      </c>
      <c r="B975" t="s">
        <v>10</v>
      </c>
      <c r="C975" t="s">
        <v>65</v>
      </c>
      <c r="D975" t="s">
        <v>140</v>
      </c>
      <c r="E975" s="2">
        <v>10122</v>
      </c>
      <c r="F975">
        <v>100</v>
      </c>
    </row>
    <row r="976" spans="1:6">
      <c r="A976" t="s">
        <v>37</v>
      </c>
      <c r="B976" t="s">
        <v>15</v>
      </c>
      <c r="C976" t="s">
        <v>73</v>
      </c>
      <c r="D976" t="s">
        <v>98</v>
      </c>
      <c r="E976" s="2">
        <v>994</v>
      </c>
      <c r="F976">
        <v>57</v>
      </c>
    </row>
    <row r="977" spans="1:6">
      <c r="A977" t="s">
        <v>71</v>
      </c>
      <c r="B977" t="s">
        <v>25</v>
      </c>
      <c r="C977" t="s">
        <v>20</v>
      </c>
      <c r="D977" t="s">
        <v>93</v>
      </c>
      <c r="E977" s="2">
        <v>2268</v>
      </c>
      <c r="F977">
        <v>42</v>
      </c>
    </row>
    <row r="978" spans="1:6">
      <c r="A978" t="s">
        <v>12</v>
      </c>
      <c r="B978" t="s">
        <v>15</v>
      </c>
      <c r="C978" t="s">
        <v>33</v>
      </c>
      <c r="D978" s="1">
        <v>44807</v>
      </c>
      <c r="E978" s="2">
        <v>574</v>
      </c>
      <c r="F978">
        <v>156</v>
      </c>
    </row>
    <row r="979" spans="1:6">
      <c r="A979" t="s">
        <v>70</v>
      </c>
      <c r="B979" t="s">
        <v>7</v>
      </c>
      <c r="C979" t="s">
        <v>38</v>
      </c>
      <c r="D979" t="s">
        <v>27</v>
      </c>
      <c r="E979" s="2">
        <v>1792</v>
      </c>
      <c r="F979">
        <v>23</v>
      </c>
    </row>
    <row r="980" spans="1:6">
      <c r="A980" t="s">
        <v>34</v>
      </c>
      <c r="B980" t="s">
        <v>35</v>
      </c>
      <c r="C980" t="s">
        <v>90</v>
      </c>
      <c r="D980" s="1">
        <v>44840</v>
      </c>
      <c r="E980" s="2">
        <v>4844</v>
      </c>
      <c r="F980">
        <v>539</v>
      </c>
    </row>
    <row r="981" spans="1:6">
      <c r="A981" t="s">
        <v>53</v>
      </c>
      <c r="B981" t="s">
        <v>15</v>
      </c>
      <c r="C981" t="s">
        <v>42</v>
      </c>
      <c r="D981" s="1">
        <v>44775</v>
      </c>
      <c r="E981" s="2">
        <v>938</v>
      </c>
      <c r="F981">
        <v>158</v>
      </c>
    </row>
    <row r="982" spans="1:6">
      <c r="A982" t="s">
        <v>28</v>
      </c>
      <c r="B982" t="s">
        <v>15</v>
      </c>
      <c r="C982" t="s">
        <v>59</v>
      </c>
      <c r="D982" t="s">
        <v>103</v>
      </c>
      <c r="E982" s="2">
        <v>4879</v>
      </c>
      <c r="F982">
        <v>22</v>
      </c>
    </row>
    <row r="983" spans="1:6">
      <c r="A983" t="s">
        <v>79</v>
      </c>
      <c r="B983" t="s">
        <v>10</v>
      </c>
      <c r="C983" t="s">
        <v>13</v>
      </c>
      <c r="D983" t="s">
        <v>47</v>
      </c>
      <c r="E983" s="2">
        <v>9107</v>
      </c>
      <c r="F983">
        <v>73</v>
      </c>
    </row>
    <row r="984" spans="1:6">
      <c r="A984" t="s">
        <v>58</v>
      </c>
      <c r="B984" t="s">
        <v>7</v>
      </c>
      <c r="C984" t="s">
        <v>20</v>
      </c>
      <c r="D984" t="s">
        <v>52</v>
      </c>
      <c r="E984" s="2">
        <v>12187</v>
      </c>
      <c r="F984">
        <v>27</v>
      </c>
    </row>
    <row r="985" spans="1:6">
      <c r="A985" t="s">
        <v>12</v>
      </c>
      <c r="B985" t="s">
        <v>25</v>
      </c>
      <c r="C985" t="s">
        <v>26</v>
      </c>
      <c r="D985" t="s">
        <v>63</v>
      </c>
      <c r="E985" s="2">
        <v>5670</v>
      </c>
      <c r="F985">
        <v>64</v>
      </c>
    </row>
    <row r="986" spans="1:6">
      <c r="A986" t="s">
        <v>12</v>
      </c>
      <c r="B986" t="s">
        <v>32</v>
      </c>
      <c r="C986" t="s">
        <v>46</v>
      </c>
      <c r="D986" t="s">
        <v>111</v>
      </c>
      <c r="E986" s="2">
        <v>476</v>
      </c>
      <c r="F986">
        <v>133</v>
      </c>
    </row>
    <row r="987" spans="1:6">
      <c r="A987" t="s">
        <v>28</v>
      </c>
      <c r="B987" t="s">
        <v>7</v>
      </c>
      <c r="C987" t="s">
        <v>90</v>
      </c>
      <c r="D987" s="1">
        <v>44654</v>
      </c>
      <c r="E987" s="2">
        <v>2681</v>
      </c>
      <c r="F987">
        <v>149</v>
      </c>
    </row>
    <row r="988" spans="1:6">
      <c r="A988" t="s">
        <v>48</v>
      </c>
      <c r="B988" t="s">
        <v>25</v>
      </c>
      <c r="C988" t="s">
        <v>13</v>
      </c>
      <c r="D988" t="s">
        <v>131</v>
      </c>
      <c r="E988" s="2">
        <v>1533</v>
      </c>
      <c r="F988">
        <v>434</v>
      </c>
    </row>
    <row r="989" spans="1:6">
      <c r="A989" t="s">
        <v>48</v>
      </c>
      <c r="B989" t="s">
        <v>25</v>
      </c>
      <c r="C989" t="s">
        <v>26</v>
      </c>
      <c r="D989" t="s">
        <v>95</v>
      </c>
      <c r="E989" s="2">
        <v>9765</v>
      </c>
      <c r="F989">
        <v>85</v>
      </c>
    </row>
    <row r="990" spans="1:6">
      <c r="A990" t="s">
        <v>41</v>
      </c>
      <c r="B990" t="s">
        <v>35</v>
      </c>
      <c r="C990" t="s">
        <v>38</v>
      </c>
      <c r="D990" s="1">
        <v>44688</v>
      </c>
      <c r="E990" s="2">
        <v>994</v>
      </c>
      <c r="F990">
        <v>118</v>
      </c>
    </row>
    <row r="991" spans="1:6">
      <c r="A991" t="s">
        <v>31</v>
      </c>
      <c r="B991" t="s">
        <v>32</v>
      </c>
      <c r="C991" t="s">
        <v>90</v>
      </c>
      <c r="D991" t="s">
        <v>118</v>
      </c>
      <c r="E991" s="2">
        <v>3318</v>
      </c>
      <c r="F991">
        <v>299</v>
      </c>
    </row>
    <row r="992" spans="1:6">
      <c r="A992" t="s">
        <v>34</v>
      </c>
      <c r="B992" t="s">
        <v>35</v>
      </c>
      <c r="C992" t="s">
        <v>65</v>
      </c>
      <c r="D992" s="1">
        <v>44900</v>
      </c>
      <c r="E992" s="2">
        <v>4214</v>
      </c>
      <c r="F992">
        <v>35</v>
      </c>
    </row>
    <row r="993" spans="1:6">
      <c r="A993" t="s">
        <v>19</v>
      </c>
      <c r="B993" t="s">
        <v>32</v>
      </c>
      <c r="C993" t="s">
        <v>38</v>
      </c>
      <c r="D993" s="1">
        <v>44868</v>
      </c>
      <c r="E993" s="2">
        <v>7714</v>
      </c>
      <c r="F993">
        <v>44</v>
      </c>
    </row>
    <row r="994" spans="1:6">
      <c r="A994" t="s">
        <v>28</v>
      </c>
      <c r="B994" t="s">
        <v>25</v>
      </c>
      <c r="C994" t="s">
        <v>36</v>
      </c>
      <c r="D994" s="1">
        <v>44872</v>
      </c>
      <c r="E994" s="2">
        <v>4690</v>
      </c>
      <c r="F994">
        <v>299</v>
      </c>
    </row>
    <row r="995" spans="1:6">
      <c r="A995" t="s">
        <v>22</v>
      </c>
      <c r="B995" t="s">
        <v>25</v>
      </c>
      <c r="C995" t="s">
        <v>75</v>
      </c>
      <c r="D995" s="1">
        <v>44569</v>
      </c>
      <c r="E995" s="2">
        <v>13062</v>
      </c>
      <c r="F995">
        <v>62</v>
      </c>
    </row>
    <row r="996" spans="1:6">
      <c r="A996" t="s">
        <v>22</v>
      </c>
      <c r="B996" t="s">
        <v>7</v>
      </c>
      <c r="C996" t="s">
        <v>50</v>
      </c>
      <c r="D996" t="s">
        <v>47</v>
      </c>
      <c r="E996" s="2">
        <v>12488</v>
      </c>
      <c r="F996">
        <v>200</v>
      </c>
    </row>
    <row r="997" spans="1:6">
      <c r="A997" t="s">
        <v>48</v>
      </c>
      <c r="B997" t="s">
        <v>32</v>
      </c>
      <c r="C997" t="s">
        <v>23</v>
      </c>
      <c r="D997" t="s">
        <v>121</v>
      </c>
      <c r="E997" s="2">
        <v>14147</v>
      </c>
      <c r="F997">
        <v>235</v>
      </c>
    </row>
    <row r="998" spans="1:6">
      <c r="A998" t="s">
        <v>19</v>
      </c>
      <c r="B998" t="s">
        <v>10</v>
      </c>
      <c r="C998" t="s">
        <v>75</v>
      </c>
      <c r="D998" t="s">
        <v>44</v>
      </c>
      <c r="E998" s="2">
        <v>49</v>
      </c>
      <c r="F998">
        <v>363</v>
      </c>
    </row>
    <row r="999" spans="1:6">
      <c r="A999" t="s">
        <v>83</v>
      </c>
      <c r="B999" t="s">
        <v>15</v>
      </c>
      <c r="C999" t="s">
        <v>13</v>
      </c>
      <c r="D999" t="s">
        <v>54</v>
      </c>
      <c r="E999" s="2">
        <v>10199</v>
      </c>
      <c r="F999">
        <v>68</v>
      </c>
    </row>
    <row r="1000" spans="1:6">
      <c r="A1000" t="s">
        <v>19</v>
      </c>
      <c r="B1000" t="s">
        <v>15</v>
      </c>
      <c r="C1000" t="s">
        <v>50</v>
      </c>
      <c r="D1000" t="s">
        <v>151</v>
      </c>
      <c r="E1000" s="2">
        <v>11389</v>
      </c>
      <c r="F1000">
        <v>26</v>
      </c>
    </row>
    <row r="1001" spans="1:6">
      <c r="A1001" t="s">
        <v>6</v>
      </c>
      <c r="B1001" t="s">
        <v>35</v>
      </c>
      <c r="C1001" t="s">
        <v>60</v>
      </c>
      <c r="D1001" s="1">
        <v>44685</v>
      </c>
      <c r="E1001" s="2">
        <v>3584</v>
      </c>
      <c r="F1001">
        <v>200</v>
      </c>
    </row>
    <row r="1002" spans="1:6">
      <c r="A1002" t="s">
        <v>71</v>
      </c>
      <c r="B1002" t="s">
        <v>35</v>
      </c>
      <c r="C1002" t="s">
        <v>38</v>
      </c>
      <c r="D1002" s="1">
        <v>44623</v>
      </c>
      <c r="E1002" s="2">
        <v>12481</v>
      </c>
      <c r="F1002">
        <v>264</v>
      </c>
    </row>
    <row r="1003" spans="1:6">
      <c r="A1003" t="s">
        <v>55</v>
      </c>
      <c r="B1003" t="s">
        <v>32</v>
      </c>
      <c r="C1003" t="s">
        <v>50</v>
      </c>
      <c r="D1003" t="s">
        <v>128</v>
      </c>
      <c r="E1003" s="2">
        <v>2107</v>
      </c>
      <c r="F1003">
        <v>175</v>
      </c>
    </row>
    <row r="1004" spans="1:6">
      <c r="A1004" t="s">
        <v>40</v>
      </c>
      <c r="B1004" t="s">
        <v>25</v>
      </c>
      <c r="C1004" t="s">
        <v>100</v>
      </c>
      <c r="D1004" t="s">
        <v>44</v>
      </c>
      <c r="E1004" s="2">
        <v>8603</v>
      </c>
      <c r="F1004">
        <v>352</v>
      </c>
    </row>
    <row r="1005" spans="1:6">
      <c r="A1005" t="s">
        <v>45</v>
      </c>
      <c r="B1005" t="s">
        <v>25</v>
      </c>
      <c r="C1005" t="s">
        <v>20</v>
      </c>
      <c r="D1005" t="s">
        <v>154</v>
      </c>
      <c r="E1005" s="2">
        <v>7483</v>
      </c>
      <c r="F1005">
        <v>183</v>
      </c>
    </row>
    <row r="1006" spans="1:6">
      <c r="A1006" t="s">
        <v>19</v>
      </c>
      <c r="B1006" t="s">
        <v>25</v>
      </c>
      <c r="C1006" t="s">
        <v>11</v>
      </c>
      <c r="D1006" s="1">
        <v>44563</v>
      </c>
      <c r="E1006" s="2">
        <v>3381</v>
      </c>
      <c r="F1006">
        <v>417</v>
      </c>
    </row>
    <row r="1007" spans="1:6">
      <c r="A1007" t="s">
        <v>79</v>
      </c>
      <c r="B1007" t="s">
        <v>25</v>
      </c>
      <c r="C1007" t="s">
        <v>33</v>
      </c>
      <c r="D1007" s="1">
        <v>44659</v>
      </c>
      <c r="E1007" s="2">
        <v>2030</v>
      </c>
      <c r="F1007">
        <v>146</v>
      </c>
    </row>
    <row r="1008" spans="1:6">
      <c r="A1008" t="s">
        <v>67</v>
      </c>
      <c r="B1008" t="s">
        <v>25</v>
      </c>
      <c r="C1008" t="s">
        <v>65</v>
      </c>
      <c r="D1008" s="1">
        <v>44685</v>
      </c>
      <c r="E1008" s="2">
        <v>6559</v>
      </c>
      <c r="F1008">
        <v>158</v>
      </c>
    </row>
    <row r="1009" spans="1:6">
      <c r="A1009" t="s">
        <v>37</v>
      </c>
      <c r="B1009" t="s">
        <v>15</v>
      </c>
      <c r="C1009" t="s">
        <v>20</v>
      </c>
      <c r="D1009" t="s">
        <v>43</v>
      </c>
      <c r="E1009" s="2">
        <v>10822</v>
      </c>
      <c r="F1009">
        <v>168</v>
      </c>
    </row>
    <row r="1010" spans="1:6">
      <c r="A1010" t="s">
        <v>55</v>
      </c>
      <c r="B1010" t="s">
        <v>7</v>
      </c>
      <c r="C1010" t="s">
        <v>23</v>
      </c>
      <c r="D1010" t="s">
        <v>124</v>
      </c>
      <c r="E1010" s="2">
        <v>18697</v>
      </c>
      <c r="F1010">
        <v>176</v>
      </c>
    </row>
    <row r="1011" spans="1:6">
      <c r="A1011" t="s">
        <v>55</v>
      </c>
      <c r="B1011" t="s">
        <v>35</v>
      </c>
      <c r="C1011" t="s">
        <v>23</v>
      </c>
      <c r="D1011" t="s">
        <v>78</v>
      </c>
      <c r="E1011" s="2">
        <v>5845</v>
      </c>
      <c r="F1011">
        <v>172</v>
      </c>
    </row>
    <row r="1012" spans="1:6">
      <c r="A1012" t="s">
        <v>55</v>
      </c>
      <c r="B1012" t="s">
        <v>7</v>
      </c>
      <c r="C1012" t="s">
        <v>38</v>
      </c>
      <c r="D1012" t="s">
        <v>95</v>
      </c>
      <c r="E1012" s="2">
        <v>2317</v>
      </c>
      <c r="F1012">
        <v>224</v>
      </c>
    </row>
    <row r="1013" spans="1:6">
      <c r="A1013" t="s">
        <v>29</v>
      </c>
      <c r="B1013" t="s">
        <v>7</v>
      </c>
      <c r="C1013" t="s">
        <v>26</v>
      </c>
      <c r="D1013" t="s">
        <v>47</v>
      </c>
      <c r="E1013" s="2">
        <v>10150</v>
      </c>
      <c r="F1013">
        <v>68</v>
      </c>
    </row>
    <row r="1014" spans="1:6">
      <c r="A1014" t="s">
        <v>79</v>
      </c>
      <c r="B1014" t="s">
        <v>32</v>
      </c>
      <c r="C1014" t="s">
        <v>73</v>
      </c>
      <c r="D1014" s="1">
        <v>44621</v>
      </c>
      <c r="E1014" s="2">
        <v>3437</v>
      </c>
      <c r="F1014">
        <v>46</v>
      </c>
    </row>
    <row r="1015" spans="1:6">
      <c r="A1015" t="s">
        <v>37</v>
      </c>
      <c r="B1015" t="s">
        <v>32</v>
      </c>
      <c r="C1015" t="s">
        <v>59</v>
      </c>
      <c r="D1015" t="s">
        <v>69</v>
      </c>
      <c r="E1015" s="2">
        <v>4592</v>
      </c>
      <c r="F1015">
        <v>2</v>
      </c>
    </row>
    <row r="1016" spans="1:6">
      <c r="A1016" t="s">
        <v>19</v>
      </c>
      <c r="B1016" t="s">
        <v>32</v>
      </c>
      <c r="C1016" t="s">
        <v>50</v>
      </c>
      <c r="D1016" s="1">
        <v>44744</v>
      </c>
      <c r="E1016" s="2">
        <v>5691</v>
      </c>
      <c r="F1016">
        <v>417</v>
      </c>
    </row>
    <row r="1017" spans="1:6">
      <c r="A1017" t="s">
        <v>34</v>
      </c>
      <c r="B1017" t="s">
        <v>15</v>
      </c>
      <c r="C1017" t="s">
        <v>18</v>
      </c>
      <c r="D1017" s="1">
        <v>44867</v>
      </c>
      <c r="E1017" s="2">
        <v>4158</v>
      </c>
      <c r="F1017">
        <v>109</v>
      </c>
    </row>
    <row r="1018" spans="1:6">
      <c r="A1018" t="s">
        <v>55</v>
      </c>
      <c r="B1018" t="s">
        <v>35</v>
      </c>
      <c r="C1018" t="s">
        <v>42</v>
      </c>
      <c r="D1018" t="s">
        <v>118</v>
      </c>
      <c r="E1018" s="2">
        <v>5684</v>
      </c>
      <c r="F1018">
        <v>81</v>
      </c>
    </row>
    <row r="1019" spans="1:6">
      <c r="A1019" t="s">
        <v>40</v>
      </c>
      <c r="B1019" t="s">
        <v>32</v>
      </c>
      <c r="C1019" t="s">
        <v>13</v>
      </c>
      <c r="D1019" t="s">
        <v>61</v>
      </c>
      <c r="E1019" s="2">
        <v>693</v>
      </c>
      <c r="F1019">
        <v>350</v>
      </c>
    </row>
    <row r="1020" spans="1:6">
      <c r="A1020" t="s">
        <v>58</v>
      </c>
      <c r="B1020" t="s">
        <v>7</v>
      </c>
      <c r="C1020" t="s">
        <v>18</v>
      </c>
      <c r="D1020" t="s">
        <v>151</v>
      </c>
      <c r="E1020" s="2">
        <v>546</v>
      </c>
      <c r="F1020">
        <v>142</v>
      </c>
    </row>
    <row r="1021" spans="1:6">
      <c r="A1021" t="s">
        <v>28</v>
      </c>
      <c r="B1021" t="s">
        <v>15</v>
      </c>
      <c r="C1021" t="s">
        <v>42</v>
      </c>
      <c r="D1021" t="s">
        <v>82</v>
      </c>
      <c r="E1021" s="2">
        <v>4263</v>
      </c>
      <c r="F1021">
        <v>264</v>
      </c>
    </row>
    <row r="1022" spans="1:6">
      <c r="A1022" t="s">
        <v>41</v>
      </c>
      <c r="B1022" t="s">
        <v>10</v>
      </c>
      <c r="C1022" t="s">
        <v>42</v>
      </c>
      <c r="D1022" t="s">
        <v>142</v>
      </c>
      <c r="E1022" s="2">
        <v>1036</v>
      </c>
      <c r="F1022">
        <v>20</v>
      </c>
    </row>
    <row r="1023" spans="1:6">
      <c r="A1023" t="s">
        <v>58</v>
      </c>
      <c r="B1023" t="s">
        <v>15</v>
      </c>
      <c r="C1023" t="s">
        <v>87</v>
      </c>
      <c r="D1023" s="1">
        <v>44866</v>
      </c>
      <c r="E1023" s="2">
        <v>13846</v>
      </c>
      <c r="F1023">
        <v>421</v>
      </c>
    </row>
    <row r="1024" spans="1:6">
      <c r="A1024" t="s">
        <v>41</v>
      </c>
      <c r="B1024" t="s">
        <v>7</v>
      </c>
      <c r="C1024" t="s">
        <v>26</v>
      </c>
      <c r="D1024" s="1">
        <v>44806</v>
      </c>
      <c r="E1024" s="2">
        <v>2499</v>
      </c>
      <c r="F1024">
        <v>271</v>
      </c>
    </row>
    <row r="1025" spans="1:6">
      <c r="A1025" t="s">
        <v>9</v>
      </c>
      <c r="B1025" t="s">
        <v>7</v>
      </c>
      <c r="C1025" t="s">
        <v>65</v>
      </c>
      <c r="D1025" s="1">
        <v>44718</v>
      </c>
      <c r="E1025" s="2">
        <v>10689</v>
      </c>
      <c r="F1025">
        <v>204</v>
      </c>
    </row>
    <row r="1026" spans="1:6">
      <c r="A1026" t="s">
        <v>79</v>
      </c>
      <c r="B1026" t="s">
        <v>7</v>
      </c>
      <c r="C1026" t="s">
        <v>90</v>
      </c>
      <c r="D1026" s="1">
        <v>44842</v>
      </c>
      <c r="E1026" s="2">
        <v>5768</v>
      </c>
      <c r="F1026">
        <v>235</v>
      </c>
    </row>
    <row r="1027" spans="1:6">
      <c r="A1027" t="s">
        <v>64</v>
      </c>
      <c r="B1027" t="s">
        <v>15</v>
      </c>
      <c r="C1027" t="s">
        <v>18</v>
      </c>
      <c r="D1027" s="1">
        <v>44652</v>
      </c>
      <c r="E1027" s="2">
        <v>2226</v>
      </c>
      <c r="F1027">
        <v>46</v>
      </c>
    </row>
    <row r="1028" spans="1:6">
      <c r="A1028" t="s">
        <v>67</v>
      </c>
      <c r="B1028" t="s">
        <v>35</v>
      </c>
      <c r="C1028" t="s">
        <v>100</v>
      </c>
      <c r="D1028" s="1">
        <v>44777</v>
      </c>
      <c r="E1028" s="2">
        <v>10262</v>
      </c>
      <c r="F1028">
        <v>15</v>
      </c>
    </row>
    <row r="1029" spans="1:6">
      <c r="A1029" t="s">
        <v>31</v>
      </c>
      <c r="B1029" t="s">
        <v>7</v>
      </c>
      <c r="C1029" t="s">
        <v>46</v>
      </c>
      <c r="D1029" s="1">
        <v>44595</v>
      </c>
      <c r="E1029" s="2">
        <v>3864</v>
      </c>
      <c r="F1029">
        <v>430</v>
      </c>
    </row>
    <row r="1030" spans="1:6">
      <c r="A1030" t="s">
        <v>9</v>
      </c>
      <c r="B1030" t="s">
        <v>35</v>
      </c>
      <c r="C1030" t="s">
        <v>38</v>
      </c>
      <c r="D1030" t="s">
        <v>61</v>
      </c>
      <c r="E1030" s="2">
        <v>4900</v>
      </c>
      <c r="F1030">
        <v>709</v>
      </c>
    </row>
    <row r="1031" spans="1:6">
      <c r="A1031" t="s">
        <v>6</v>
      </c>
      <c r="B1031" t="s">
        <v>15</v>
      </c>
      <c r="C1031" t="s">
        <v>23</v>
      </c>
      <c r="D1031" t="s">
        <v>44</v>
      </c>
      <c r="E1031" s="2">
        <v>5250</v>
      </c>
      <c r="F1031">
        <v>47</v>
      </c>
    </row>
    <row r="1032" spans="1:6">
      <c r="A1032" t="s">
        <v>53</v>
      </c>
      <c r="B1032" t="s">
        <v>7</v>
      </c>
      <c r="C1032" t="s">
        <v>23</v>
      </c>
      <c r="D1032" s="1">
        <v>44688</v>
      </c>
      <c r="E1032" s="2">
        <v>3507</v>
      </c>
      <c r="F1032">
        <v>380</v>
      </c>
    </row>
    <row r="1033" spans="1:6">
      <c r="A1033" t="s">
        <v>31</v>
      </c>
      <c r="B1033" t="s">
        <v>10</v>
      </c>
      <c r="C1033" t="s">
        <v>8</v>
      </c>
      <c r="D1033" s="1">
        <v>44896</v>
      </c>
      <c r="E1033" s="2">
        <v>7413</v>
      </c>
      <c r="F1033">
        <v>465</v>
      </c>
    </row>
    <row r="1034" spans="1:6">
      <c r="A1034" t="s">
        <v>48</v>
      </c>
      <c r="B1034" t="s">
        <v>10</v>
      </c>
      <c r="C1034" t="s">
        <v>8</v>
      </c>
      <c r="D1034" s="1">
        <v>44623</v>
      </c>
      <c r="E1034" s="2">
        <v>8155</v>
      </c>
      <c r="F1034">
        <v>96</v>
      </c>
    </row>
    <row r="1035" spans="1:6">
      <c r="A1035" t="s">
        <v>6</v>
      </c>
      <c r="B1035" t="s">
        <v>25</v>
      </c>
      <c r="C1035" t="s">
        <v>46</v>
      </c>
      <c r="D1035" t="s">
        <v>84</v>
      </c>
      <c r="E1035" s="2">
        <v>2478</v>
      </c>
      <c r="F1035">
        <v>188</v>
      </c>
    </row>
    <row r="1036" spans="1:6">
      <c r="A1036" t="s">
        <v>22</v>
      </c>
      <c r="B1036" t="s">
        <v>10</v>
      </c>
      <c r="C1036" t="s">
        <v>90</v>
      </c>
      <c r="D1036" t="s">
        <v>39</v>
      </c>
      <c r="E1036" s="2">
        <v>2471</v>
      </c>
      <c r="F1036">
        <v>202</v>
      </c>
    </row>
    <row r="1037" spans="1:6">
      <c r="A1037" t="s">
        <v>48</v>
      </c>
      <c r="B1037" t="s">
        <v>7</v>
      </c>
      <c r="C1037" t="s">
        <v>60</v>
      </c>
      <c r="D1037" s="1">
        <v>44744</v>
      </c>
      <c r="E1037" s="2">
        <v>1666</v>
      </c>
      <c r="F1037">
        <v>106</v>
      </c>
    </row>
    <row r="1038" spans="1:6">
      <c r="A1038" t="s">
        <v>67</v>
      </c>
      <c r="B1038" t="s">
        <v>10</v>
      </c>
      <c r="C1038" t="s">
        <v>33</v>
      </c>
      <c r="D1038" t="s">
        <v>52</v>
      </c>
      <c r="E1038" s="2">
        <v>301</v>
      </c>
      <c r="F1038">
        <v>421</v>
      </c>
    </row>
    <row r="1039" spans="1:6">
      <c r="A1039" t="s">
        <v>34</v>
      </c>
      <c r="B1039" t="s">
        <v>15</v>
      </c>
      <c r="C1039" t="s">
        <v>73</v>
      </c>
      <c r="D1039" t="s">
        <v>114</v>
      </c>
      <c r="E1039" s="2">
        <v>8400</v>
      </c>
      <c r="F1039">
        <v>27</v>
      </c>
    </row>
    <row r="1040" spans="1:6">
      <c r="A1040" t="s">
        <v>41</v>
      </c>
      <c r="B1040" t="s">
        <v>35</v>
      </c>
      <c r="C1040" t="s">
        <v>11</v>
      </c>
      <c r="D1040" t="s">
        <v>47</v>
      </c>
      <c r="E1040" s="2">
        <v>6139</v>
      </c>
      <c r="F1040">
        <v>45</v>
      </c>
    </row>
    <row r="1041" spans="1:6">
      <c r="A1041" t="s">
        <v>70</v>
      </c>
      <c r="B1041" t="s">
        <v>15</v>
      </c>
      <c r="C1041" t="s">
        <v>38</v>
      </c>
      <c r="D1041" s="1">
        <v>44656</v>
      </c>
      <c r="E1041" s="2">
        <v>1288</v>
      </c>
      <c r="F1041">
        <v>60</v>
      </c>
    </row>
    <row r="1042" spans="1:6">
      <c r="A1042" t="s">
        <v>9</v>
      </c>
      <c r="B1042" t="s">
        <v>35</v>
      </c>
      <c r="C1042" t="s">
        <v>100</v>
      </c>
      <c r="D1042" s="1">
        <v>44598</v>
      </c>
      <c r="E1042" s="2">
        <v>7077</v>
      </c>
      <c r="F1042">
        <v>77</v>
      </c>
    </row>
    <row r="1043" spans="1:6">
      <c r="A1043" t="s">
        <v>58</v>
      </c>
      <c r="B1043" t="s">
        <v>32</v>
      </c>
      <c r="C1043" t="s">
        <v>90</v>
      </c>
      <c r="D1043" s="1">
        <v>44872</v>
      </c>
      <c r="E1043" s="2">
        <v>2317</v>
      </c>
      <c r="F1043">
        <v>464</v>
      </c>
    </row>
    <row r="1044" spans="1:6">
      <c r="A1044" t="s">
        <v>41</v>
      </c>
      <c r="B1044" t="s">
        <v>25</v>
      </c>
      <c r="C1044" t="s">
        <v>50</v>
      </c>
      <c r="D1044" s="1">
        <v>44748</v>
      </c>
      <c r="E1044" s="2">
        <v>63</v>
      </c>
      <c r="F1044">
        <v>60</v>
      </c>
    </row>
    <row r="1045" spans="1:6">
      <c r="A1045" t="s">
        <v>14</v>
      </c>
      <c r="B1045" t="s">
        <v>7</v>
      </c>
      <c r="C1045" t="s">
        <v>65</v>
      </c>
      <c r="D1045" s="1">
        <v>44719</v>
      </c>
      <c r="E1045" s="2">
        <v>9744</v>
      </c>
      <c r="F1045">
        <v>157</v>
      </c>
    </row>
    <row r="1046" spans="1:6">
      <c r="A1046" t="s">
        <v>53</v>
      </c>
      <c r="B1046" t="s">
        <v>10</v>
      </c>
      <c r="C1046" t="s">
        <v>73</v>
      </c>
      <c r="D1046" t="s">
        <v>61</v>
      </c>
      <c r="E1046" s="2">
        <v>9954</v>
      </c>
      <c r="F1046">
        <v>154</v>
      </c>
    </row>
    <row r="1047" spans="1:6">
      <c r="A1047" t="s">
        <v>79</v>
      </c>
      <c r="B1047" t="s">
        <v>10</v>
      </c>
      <c r="C1047" t="s">
        <v>8</v>
      </c>
      <c r="D1047" t="s">
        <v>91</v>
      </c>
      <c r="E1047" s="2">
        <v>1260</v>
      </c>
      <c r="F1047">
        <v>239</v>
      </c>
    </row>
    <row r="1048" spans="1:6">
      <c r="A1048" t="s">
        <v>71</v>
      </c>
      <c r="B1048" t="s">
        <v>10</v>
      </c>
      <c r="C1048" t="s">
        <v>38</v>
      </c>
      <c r="D1048" s="1">
        <v>44781</v>
      </c>
      <c r="E1048" s="2">
        <v>469</v>
      </c>
      <c r="F1048">
        <v>163</v>
      </c>
    </row>
    <row r="1049" spans="1:6">
      <c r="A1049" t="s">
        <v>40</v>
      </c>
      <c r="B1049" t="s">
        <v>7</v>
      </c>
      <c r="C1049" t="s">
        <v>38</v>
      </c>
      <c r="D1049" t="s">
        <v>118</v>
      </c>
      <c r="E1049" s="2">
        <v>973</v>
      </c>
      <c r="F1049">
        <v>28</v>
      </c>
    </row>
    <row r="1050" spans="1:6">
      <c r="A1050" t="s">
        <v>45</v>
      </c>
      <c r="B1050" t="s">
        <v>15</v>
      </c>
      <c r="C1050" t="s">
        <v>42</v>
      </c>
      <c r="D1050" s="1">
        <v>44658</v>
      </c>
      <c r="E1050" s="2">
        <v>3647</v>
      </c>
      <c r="F1050">
        <v>76</v>
      </c>
    </row>
    <row r="1051" spans="1:6">
      <c r="A1051" t="s">
        <v>83</v>
      </c>
      <c r="B1051" t="s">
        <v>10</v>
      </c>
      <c r="C1051" t="s">
        <v>20</v>
      </c>
      <c r="D1051" t="s">
        <v>47</v>
      </c>
      <c r="E1051" s="2">
        <v>455</v>
      </c>
      <c r="F1051">
        <v>96</v>
      </c>
    </row>
    <row r="1052" spans="1:6">
      <c r="A1052" t="s">
        <v>29</v>
      </c>
      <c r="B1052" t="s">
        <v>35</v>
      </c>
      <c r="C1052" t="s">
        <v>50</v>
      </c>
      <c r="D1052" s="1">
        <v>44597</v>
      </c>
      <c r="E1052" s="2">
        <v>2520</v>
      </c>
      <c r="F1052">
        <v>156</v>
      </c>
    </row>
    <row r="1053" spans="1:6">
      <c r="A1053" t="s">
        <v>9</v>
      </c>
      <c r="B1053" t="s">
        <v>10</v>
      </c>
      <c r="C1053" t="s">
        <v>36</v>
      </c>
      <c r="D1053" t="s">
        <v>141</v>
      </c>
      <c r="E1053" s="2">
        <v>10500</v>
      </c>
      <c r="F1053">
        <v>106</v>
      </c>
    </row>
    <row r="1054" spans="1:6">
      <c r="A1054" t="s">
        <v>22</v>
      </c>
      <c r="B1054" t="s">
        <v>15</v>
      </c>
      <c r="C1054" t="s">
        <v>20</v>
      </c>
      <c r="D1054" t="s">
        <v>97</v>
      </c>
      <c r="E1054" s="2">
        <v>7952</v>
      </c>
      <c r="F1054">
        <v>235</v>
      </c>
    </row>
    <row r="1055" spans="1:6">
      <c r="A1055" t="s">
        <v>55</v>
      </c>
      <c r="B1055" t="s">
        <v>32</v>
      </c>
      <c r="C1055" t="s">
        <v>11</v>
      </c>
      <c r="D1055" t="s">
        <v>147</v>
      </c>
      <c r="E1055" s="2">
        <v>483</v>
      </c>
      <c r="F1055">
        <v>259</v>
      </c>
    </row>
    <row r="1056" spans="1:6">
      <c r="A1056" t="s">
        <v>71</v>
      </c>
      <c r="B1056" t="s">
        <v>7</v>
      </c>
      <c r="C1056" t="s">
        <v>13</v>
      </c>
      <c r="D1056" t="s">
        <v>80</v>
      </c>
      <c r="E1056" s="2">
        <v>4872</v>
      </c>
      <c r="F1056">
        <v>126</v>
      </c>
    </row>
    <row r="1057" spans="1:6">
      <c r="A1057" t="s">
        <v>77</v>
      </c>
      <c r="B1057" t="s">
        <v>7</v>
      </c>
      <c r="C1057" t="s">
        <v>13</v>
      </c>
      <c r="D1057" s="1">
        <v>44903</v>
      </c>
      <c r="E1057" s="2">
        <v>7756</v>
      </c>
      <c r="F1057">
        <v>85</v>
      </c>
    </row>
    <row r="1058" spans="1:6">
      <c r="A1058" t="s">
        <v>77</v>
      </c>
      <c r="B1058" t="s">
        <v>32</v>
      </c>
      <c r="C1058" t="s">
        <v>75</v>
      </c>
      <c r="D1058" s="1">
        <v>44748</v>
      </c>
      <c r="E1058" s="2">
        <v>5446</v>
      </c>
      <c r="F1058">
        <v>132</v>
      </c>
    </row>
    <row r="1059" spans="1:6">
      <c r="A1059" t="s">
        <v>40</v>
      </c>
      <c r="B1059" t="s">
        <v>35</v>
      </c>
      <c r="C1059" t="s">
        <v>13</v>
      </c>
      <c r="D1059" s="1">
        <v>44776</v>
      </c>
      <c r="E1059" s="2">
        <v>6594</v>
      </c>
      <c r="F1059">
        <v>91</v>
      </c>
    </row>
    <row r="1060" spans="1:6">
      <c r="A1060" t="s">
        <v>83</v>
      </c>
      <c r="B1060" t="s">
        <v>15</v>
      </c>
      <c r="C1060" t="s">
        <v>75</v>
      </c>
      <c r="D1060" s="1">
        <v>44777</v>
      </c>
      <c r="E1060" s="2">
        <v>1470</v>
      </c>
      <c r="F1060">
        <v>167</v>
      </c>
    </row>
    <row r="1061" spans="1:6">
      <c r="A1061" t="s">
        <v>48</v>
      </c>
      <c r="B1061" t="s">
        <v>35</v>
      </c>
      <c r="C1061" t="s">
        <v>36</v>
      </c>
      <c r="D1061" s="1">
        <v>44717</v>
      </c>
      <c r="E1061" s="2">
        <v>721</v>
      </c>
      <c r="F1061">
        <v>203</v>
      </c>
    </row>
    <row r="1062" spans="1:6">
      <c r="A1062" t="s">
        <v>45</v>
      </c>
      <c r="B1062" t="s">
        <v>10</v>
      </c>
      <c r="C1062" t="s">
        <v>38</v>
      </c>
      <c r="D1062" t="s">
        <v>126</v>
      </c>
      <c r="E1062" s="2">
        <v>4494</v>
      </c>
      <c r="F1062">
        <v>11</v>
      </c>
    </row>
    <row r="1063" spans="1:6">
      <c r="A1063" t="s">
        <v>9</v>
      </c>
      <c r="B1063" t="s">
        <v>15</v>
      </c>
      <c r="C1063" t="s">
        <v>8</v>
      </c>
      <c r="D1063" t="s">
        <v>30</v>
      </c>
      <c r="E1063" s="2">
        <v>2674</v>
      </c>
      <c r="F1063">
        <v>295</v>
      </c>
    </row>
    <row r="1064" spans="1:6">
      <c r="A1064" t="s">
        <v>58</v>
      </c>
      <c r="B1064" t="s">
        <v>32</v>
      </c>
      <c r="C1064" t="s">
        <v>100</v>
      </c>
      <c r="D1064" t="s">
        <v>131</v>
      </c>
      <c r="E1064" s="2">
        <v>658</v>
      </c>
      <c r="F1064">
        <v>77</v>
      </c>
    </row>
    <row r="1065" spans="1:6">
      <c r="A1065" t="s">
        <v>67</v>
      </c>
      <c r="B1065" t="s">
        <v>35</v>
      </c>
      <c r="C1065" t="s">
        <v>13</v>
      </c>
      <c r="D1065" t="s">
        <v>47</v>
      </c>
      <c r="E1065" s="2">
        <v>1127</v>
      </c>
      <c r="F1065">
        <v>319</v>
      </c>
    </row>
    <row r="1066" spans="1:6">
      <c r="A1066" t="s">
        <v>12</v>
      </c>
      <c r="B1066" t="s">
        <v>32</v>
      </c>
      <c r="C1066" t="s">
        <v>100</v>
      </c>
      <c r="D1066" t="s">
        <v>122</v>
      </c>
      <c r="E1066" s="2">
        <v>7364</v>
      </c>
      <c r="F1066">
        <v>196</v>
      </c>
    </row>
    <row r="1067" spans="1:6">
      <c r="A1067" t="s">
        <v>29</v>
      </c>
      <c r="B1067" t="s">
        <v>15</v>
      </c>
      <c r="C1067" t="s">
        <v>59</v>
      </c>
      <c r="D1067" t="s">
        <v>148</v>
      </c>
      <c r="E1067" s="2">
        <v>6818</v>
      </c>
      <c r="F1067">
        <v>102</v>
      </c>
    </row>
    <row r="1068" spans="1:6">
      <c r="A1068" t="s">
        <v>45</v>
      </c>
      <c r="B1068" t="s">
        <v>35</v>
      </c>
      <c r="C1068" t="s">
        <v>38</v>
      </c>
      <c r="D1068" t="s">
        <v>144</v>
      </c>
      <c r="E1068" s="2">
        <v>6776</v>
      </c>
      <c r="F1068">
        <v>312</v>
      </c>
    </row>
    <row r="1069" spans="1:6">
      <c r="A1069" t="s">
        <v>71</v>
      </c>
      <c r="B1069" t="s">
        <v>25</v>
      </c>
      <c r="C1069" t="s">
        <v>11</v>
      </c>
      <c r="D1069" s="1">
        <v>44781</v>
      </c>
      <c r="E1069" s="2">
        <v>15099</v>
      </c>
      <c r="F1069">
        <v>55</v>
      </c>
    </row>
    <row r="1070" spans="1:6">
      <c r="A1070" t="s">
        <v>77</v>
      </c>
      <c r="B1070" t="s">
        <v>35</v>
      </c>
      <c r="C1070" t="s">
        <v>46</v>
      </c>
      <c r="D1070" t="s">
        <v>151</v>
      </c>
      <c r="E1070" s="2">
        <v>3612</v>
      </c>
      <c r="F1070">
        <v>82</v>
      </c>
    </row>
    <row r="1071" spans="1:6">
      <c r="A1071" t="s">
        <v>77</v>
      </c>
      <c r="B1071" t="s">
        <v>15</v>
      </c>
      <c r="C1071" t="s">
        <v>100</v>
      </c>
      <c r="D1071" t="s">
        <v>74</v>
      </c>
      <c r="E1071" s="2">
        <v>3710</v>
      </c>
      <c r="F1071">
        <v>260</v>
      </c>
    </row>
    <row r="1072" spans="1:6">
      <c r="A1072" t="s">
        <v>19</v>
      </c>
      <c r="B1072" t="s">
        <v>35</v>
      </c>
      <c r="C1072" t="s">
        <v>36</v>
      </c>
      <c r="D1072" t="s">
        <v>72</v>
      </c>
      <c r="E1072" s="2">
        <v>6111</v>
      </c>
      <c r="F1072">
        <v>591</v>
      </c>
    </row>
    <row r="1073" spans="1:6">
      <c r="A1073" t="s">
        <v>58</v>
      </c>
      <c r="B1073" t="s">
        <v>35</v>
      </c>
      <c r="C1073" t="s">
        <v>38</v>
      </c>
      <c r="D1073" s="1">
        <v>44835</v>
      </c>
      <c r="E1073" s="2">
        <v>2702</v>
      </c>
      <c r="F1073">
        <v>24</v>
      </c>
    </row>
    <row r="1074" spans="1:6">
      <c r="A1074" t="s">
        <v>34</v>
      </c>
      <c r="B1074" t="s">
        <v>25</v>
      </c>
      <c r="C1074" t="s">
        <v>23</v>
      </c>
      <c r="D1074" s="1">
        <v>44656</v>
      </c>
      <c r="E1074" s="2">
        <v>483</v>
      </c>
      <c r="F1074">
        <v>228</v>
      </c>
    </row>
    <row r="1075" spans="1:6">
      <c r="A1075" t="s">
        <v>45</v>
      </c>
      <c r="B1075" t="s">
        <v>35</v>
      </c>
      <c r="C1075" t="s">
        <v>59</v>
      </c>
      <c r="D1075" s="1">
        <v>44685</v>
      </c>
      <c r="E1075" s="2">
        <v>5887</v>
      </c>
      <c r="F1075">
        <v>268</v>
      </c>
    </row>
    <row r="1076" spans="1:6">
      <c r="A1076" t="s">
        <v>67</v>
      </c>
      <c r="B1076" t="s">
        <v>10</v>
      </c>
      <c r="C1076" t="s">
        <v>23</v>
      </c>
      <c r="D1076" t="s">
        <v>152</v>
      </c>
      <c r="E1076" s="2">
        <v>952</v>
      </c>
      <c r="F1076">
        <v>68</v>
      </c>
    </row>
    <row r="1077" spans="1:6">
      <c r="A1077" t="s">
        <v>45</v>
      </c>
      <c r="B1077" t="s">
        <v>10</v>
      </c>
      <c r="C1077" t="s">
        <v>50</v>
      </c>
      <c r="D1077" t="s">
        <v>139</v>
      </c>
      <c r="E1077" s="2">
        <v>10647</v>
      </c>
      <c r="F1077">
        <v>173</v>
      </c>
    </row>
    <row r="1078" spans="1:6">
      <c r="A1078" t="s">
        <v>79</v>
      </c>
      <c r="B1078" t="s">
        <v>15</v>
      </c>
      <c r="C1078" t="s">
        <v>59</v>
      </c>
      <c r="D1078" s="1">
        <v>44688</v>
      </c>
      <c r="E1078" s="2">
        <v>6055</v>
      </c>
      <c r="F1078">
        <v>93</v>
      </c>
    </row>
    <row r="1079" spans="1:6">
      <c r="A1079" t="s">
        <v>19</v>
      </c>
      <c r="B1079" t="s">
        <v>35</v>
      </c>
      <c r="C1079" t="s">
        <v>33</v>
      </c>
      <c r="D1079" t="s">
        <v>16</v>
      </c>
      <c r="E1079" s="2">
        <v>8757</v>
      </c>
      <c r="F1079">
        <v>338</v>
      </c>
    </row>
    <row r="1080" spans="1:6">
      <c r="A1080" t="s">
        <v>55</v>
      </c>
      <c r="B1080" t="s">
        <v>35</v>
      </c>
      <c r="C1080" t="s">
        <v>65</v>
      </c>
      <c r="D1080" s="1">
        <v>44903</v>
      </c>
      <c r="E1080" s="2">
        <v>6055</v>
      </c>
      <c r="F1080">
        <v>73</v>
      </c>
    </row>
    <row r="1081" spans="1:6">
      <c r="A1081" t="s">
        <v>14</v>
      </c>
      <c r="B1081" t="s">
        <v>7</v>
      </c>
      <c r="C1081" t="s">
        <v>87</v>
      </c>
      <c r="D1081" s="1">
        <v>44868</v>
      </c>
      <c r="E1081" s="2">
        <v>721</v>
      </c>
      <c r="F1081">
        <v>251</v>
      </c>
    </row>
    <row r="1082" spans="1:6">
      <c r="A1082" t="s">
        <v>6</v>
      </c>
      <c r="B1082" t="s">
        <v>7</v>
      </c>
      <c r="C1082" t="s">
        <v>57</v>
      </c>
      <c r="D1082" t="s">
        <v>130</v>
      </c>
      <c r="E1082" s="2">
        <v>8589</v>
      </c>
      <c r="F1082">
        <v>229</v>
      </c>
    </row>
    <row r="1083" spans="1:6">
      <c r="A1083" t="s">
        <v>58</v>
      </c>
      <c r="B1083" t="s">
        <v>32</v>
      </c>
      <c r="C1083" t="s">
        <v>18</v>
      </c>
      <c r="D1083" s="1">
        <v>44900</v>
      </c>
      <c r="E1083" s="2">
        <v>11781</v>
      </c>
      <c r="F1083">
        <v>91</v>
      </c>
    </row>
    <row r="1084" spans="1:6">
      <c r="A1084" t="s">
        <v>28</v>
      </c>
      <c r="B1084" t="s">
        <v>32</v>
      </c>
      <c r="C1084" t="s">
        <v>73</v>
      </c>
      <c r="D1084" s="1">
        <v>44896</v>
      </c>
      <c r="E1084" s="2">
        <v>672</v>
      </c>
      <c r="F1084">
        <v>194</v>
      </c>
    </row>
    <row r="1085" spans="1:6">
      <c r="A1085" t="s">
        <v>77</v>
      </c>
      <c r="B1085" t="s">
        <v>25</v>
      </c>
      <c r="C1085" t="s">
        <v>46</v>
      </c>
      <c r="D1085" t="s">
        <v>118</v>
      </c>
      <c r="E1085" s="2">
        <v>12558</v>
      </c>
      <c r="F1085">
        <v>403</v>
      </c>
    </row>
    <row r="1086" spans="1:6">
      <c r="A1086" t="s">
        <v>45</v>
      </c>
      <c r="B1086" t="s">
        <v>10</v>
      </c>
      <c r="C1086" t="s">
        <v>26</v>
      </c>
      <c r="D1086" t="s">
        <v>54</v>
      </c>
      <c r="E1086" s="2">
        <v>8337</v>
      </c>
      <c r="F1086">
        <v>12</v>
      </c>
    </row>
    <row r="1087" spans="1:6">
      <c r="A1087" t="s">
        <v>31</v>
      </c>
      <c r="B1087" t="s">
        <v>25</v>
      </c>
      <c r="C1087" t="s">
        <v>20</v>
      </c>
      <c r="D1087" t="s">
        <v>62</v>
      </c>
      <c r="E1087" s="2">
        <v>8134</v>
      </c>
      <c r="F1087">
        <v>195</v>
      </c>
    </row>
    <row r="1088" spans="1:6">
      <c r="A1088" t="s">
        <v>58</v>
      </c>
      <c r="B1088" t="s">
        <v>35</v>
      </c>
      <c r="C1088" t="s">
        <v>42</v>
      </c>
      <c r="D1088" t="s">
        <v>107</v>
      </c>
      <c r="E1088" s="2">
        <v>8491</v>
      </c>
      <c r="F1088">
        <v>75</v>
      </c>
    </row>
    <row r="1089" spans="1:6">
      <c r="A1089" t="s">
        <v>41</v>
      </c>
      <c r="B1089" t="s">
        <v>10</v>
      </c>
      <c r="C1089" t="s">
        <v>65</v>
      </c>
      <c r="D1089" t="s">
        <v>62</v>
      </c>
      <c r="E1089" s="2">
        <v>3066</v>
      </c>
      <c r="F1089">
        <v>96</v>
      </c>
    </row>
    <row r="1090" spans="1:6">
      <c r="A1090" t="s">
        <v>28</v>
      </c>
      <c r="B1090" t="s">
        <v>15</v>
      </c>
      <c r="C1090" t="s">
        <v>13</v>
      </c>
      <c r="D1090" t="s">
        <v>137</v>
      </c>
      <c r="E1090" s="2">
        <v>301</v>
      </c>
      <c r="F1090">
        <v>205</v>
      </c>
    </row>
    <row r="1091" spans="1:6">
      <c r="A1091" t="s">
        <v>37</v>
      </c>
      <c r="B1091" t="s">
        <v>15</v>
      </c>
      <c r="C1091" t="s">
        <v>50</v>
      </c>
      <c r="D1091" t="s">
        <v>144</v>
      </c>
      <c r="E1091" s="2">
        <v>4410</v>
      </c>
      <c r="F1091">
        <v>323</v>
      </c>
    </row>
    <row r="1092" spans="1:6">
      <c r="A1092" t="s">
        <v>6</v>
      </c>
      <c r="B1092" t="s">
        <v>32</v>
      </c>
      <c r="C1092" t="s">
        <v>59</v>
      </c>
      <c r="D1092" s="1">
        <v>44748</v>
      </c>
      <c r="E1092" s="2">
        <v>6559</v>
      </c>
      <c r="F1092">
        <v>119</v>
      </c>
    </row>
    <row r="1093" spans="1:6">
      <c r="A1093" t="s">
        <v>83</v>
      </c>
      <c r="B1093" t="s">
        <v>35</v>
      </c>
      <c r="C1093" t="s">
        <v>42</v>
      </c>
      <c r="D1093" t="s">
        <v>101</v>
      </c>
      <c r="E1093" s="2">
        <v>574</v>
      </c>
      <c r="F1093">
        <v>217</v>
      </c>
    </row>
    <row r="1094" spans="1:6">
      <c r="A1094" t="s">
        <v>79</v>
      </c>
      <c r="B1094" t="s">
        <v>10</v>
      </c>
      <c r="C1094" t="s">
        <v>36</v>
      </c>
      <c r="D1094" t="s">
        <v>39</v>
      </c>
      <c r="E1094" s="2">
        <v>2086</v>
      </c>
      <c r="F1094">
        <v>384</v>
      </c>
    </row>
    <row r="1095" spans="1:6">
      <c r="A1095" t="s">
        <v>37</v>
      </c>
      <c r="B1095" t="s">
        <v>10</v>
      </c>
      <c r="C1095" t="s">
        <v>100</v>
      </c>
      <c r="D1095" t="s">
        <v>136</v>
      </c>
      <c r="E1095" s="2">
        <v>5075</v>
      </c>
      <c r="F1095">
        <v>344</v>
      </c>
    </row>
    <row r="1096" spans="1:6">
      <c r="A1096" t="s">
        <v>6</v>
      </c>
      <c r="B1096" t="s">
        <v>7</v>
      </c>
      <c r="C1096" t="s">
        <v>8</v>
      </c>
      <c r="D1096" s="1">
        <v>45017</v>
      </c>
      <c r="E1096" s="2">
        <v>5902.13</v>
      </c>
      <c r="F1096">
        <v>178</v>
      </c>
    </row>
    <row r="1097" spans="1:6">
      <c r="A1097" t="s">
        <v>9</v>
      </c>
      <c r="B1097" t="s">
        <v>10</v>
      </c>
      <c r="C1097" t="s">
        <v>11</v>
      </c>
      <c r="D1097" s="1">
        <v>44934</v>
      </c>
      <c r="E1097" s="2">
        <v>8074.39</v>
      </c>
      <c r="F1097">
        <v>100</v>
      </c>
    </row>
    <row r="1098" spans="1:6">
      <c r="A1098" t="s">
        <v>12</v>
      </c>
      <c r="B1098" t="s">
        <v>10</v>
      </c>
      <c r="C1098" t="s">
        <v>13</v>
      </c>
      <c r="D1098" s="1">
        <v>45114</v>
      </c>
      <c r="E1098" s="2">
        <v>4666.18</v>
      </c>
      <c r="F1098">
        <v>100</v>
      </c>
    </row>
    <row r="1099" spans="1:6">
      <c r="A1099" t="s">
        <v>14</v>
      </c>
      <c r="B1099" t="s">
        <v>15</v>
      </c>
      <c r="C1099" t="s">
        <v>13</v>
      </c>
      <c r="D1099" t="s">
        <v>162</v>
      </c>
      <c r="E1099" s="2">
        <v>14103.4</v>
      </c>
      <c r="F1099">
        <v>350</v>
      </c>
    </row>
    <row r="1100" spans="1:6">
      <c r="A1100" t="s">
        <v>6</v>
      </c>
      <c r="B1100" t="s">
        <v>7</v>
      </c>
      <c r="C1100" t="s">
        <v>13</v>
      </c>
      <c r="D1100" t="s">
        <v>163</v>
      </c>
      <c r="E1100" s="2">
        <v>14167.84</v>
      </c>
      <c r="F1100">
        <v>178</v>
      </c>
    </row>
    <row r="1101" spans="1:6">
      <c r="A1101" t="s">
        <v>9</v>
      </c>
      <c r="B1101" t="s">
        <v>10</v>
      </c>
      <c r="C1101" t="s">
        <v>18</v>
      </c>
      <c r="D1101" s="1">
        <v>45083</v>
      </c>
      <c r="E1101" s="2">
        <v>5768.75</v>
      </c>
      <c r="F1101">
        <v>37</v>
      </c>
    </row>
    <row r="1102" spans="1:6">
      <c r="A1102" t="s">
        <v>19</v>
      </c>
      <c r="B1102" t="s">
        <v>7</v>
      </c>
      <c r="C1102" t="s">
        <v>20</v>
      </c>
      <c r="D1102" t="s">
        <v>164</v>
      </c>
      <c r="E1102" s="2">
        <v>14673.2</v>
      </c>
      <c r="F1102">
        <v>175</v>
      </c>
    </row>
    <row r="1103" spans="1:6">
      <c r="A1103" t="s">
        <v>22</v>
      </c>
      <c r="B1103" t="s">
        <v>15</v>
      </c>
      <c r="C1103" t="s">
        <v>23</v>
      </c>
      <c r="D1103" t="s">
        <v>165</v>
      </c>
      <c r="E1103" s="2">
        <v>3249.23</v>
      </c>
      <c r="F1103">
        <v>78</v>
      </c>
    </row>
    <row r="1104" spans="1:6">
      <c r="A1104" t="s">
        <v>6</v>
      </c>
      <c r="B1104" t="s">
        <v>25</v>
      </c>
      <c r="C1104" t="s">
        <v>26</v>
      </c>
      <c r="D1104" t="s">
        <v>166</v>
      </c>
      <c r="E1104" s="2">
        <v>4526.24</v>
      </c>
      <c r="F1104">
        <v>64</v>
      </c>
    </row>
    <row r="1105" spans="1:6">
      <c r="A1105" t="s">
        <v>28</v>
      </c>
      <c r="B1105" t="s">
        <v>15</v>
      </c>
      <c r="C1105" t="s">
        <v>20</v>
      </c>
      <c r="D1105" s="1">
        <v>45023</v>
      </c>
      <c r="E1105" s="2">
        <v>3166.56</v>
      </c>
      <c r="F1105">
        <v>98</v>
      </c>
    </row>
    <row r="1106" spans="1:6">
      <c r="A1106" t="s">
        <v>29</v>
      </c>
      <c r="B1106" t="s">
        <v>7</v>
      </c>
      <c r="C1106" t="s">
        <v>18</v>
      </c>
      <c r="D1106" t="s">
        <v>167</v>
      </c>
      <c r="E1106" s="2">
        <v>4866.3900000000003</v>
      </c>
      <c r="F1106">
        <v>65</v>
      </c>
    </row>
    <row r="1107" spans="1:6">
      <c r="A1107" t="s">
        <v>31</v>
      </c>
      <c r="B1107" t="s">
        <v>32</v>
      </c>
      <c r="C1107" t="s">
        <v>33</v>
      </c>
      <c r="D1107" s="1">
        <v>45202</v>
      </c>
      <c r="E1107" s="2">
        <v>4254.37</v>
      </c>
      <c r="F1107">
        <v>12</v>
      </c>
    </row>
    <row r="1108" spans="1:6">
      <c r="A1108" t="s">
        <v>34</v>
      </c>
      <c r="B1108" t="s">
        <v>35</v>
      </c>
      <c r="C1108" t="s">
        <v>36</v>
      </c>
      <c r="D1108" t="s">
        <v>167</v>
      </c>
      <c r="E1108" s="2">
        <v>1652.61</v>
      </c>
      <c r="F1108">
        <v>277</v>
      </c>
    </row>
    <row r="1109" spans="1:6">
      <c r="A1109" t="s">
        <v>37</v>
      </c>
      <c r="B1109" t="s">
        <v>25</v>
      </c>
      <c r="C1109" t="s">
        <v>38</v>
      </c>
      <c r="D1109" t="s">
        <v>168</v>
      </c>
      <c r="E1109" s="2">
        <v>171.49</v>
      </c>
      <c r="F1109">
        <v>163</v>
      </c>
    </row>
    <row r="1110" spans="1:6">
      <c r="A1110" t="s">
        <v>40</v>
      </c>
      <c r="B1110" t="s">
        <v>25</v>
      </c>
      <c r="C1110" t="s">
        <v>13</v>
      </c>
      <c r="D1110" s="1">
        <v>44993</v>
      </c>
      <c r="E1110" s="2">
        <v>8549.84</v>
      </c>
      <c r="F1110">
        <v>169</v>
      </c>
    </row>
    <row r="1111" spans="1:6">
      <c r="A1111" t="s">
        <v>41</v>
      </c>
      <c r="B1111" t="s">
        <v>15</v>
      </c>
      <c r="C1111" t="s">
        <v>42</v>
      </c>
      <c r="D1111" t="s">
        <v>169</v>
      </c>
      <c r="E1111" s="2">
        <v>7807.74</v>
      </c>
      <c r="F1111">
        <v>355</v>
      </c>
    </row>
    <row r="1112" spans="1:6">
      <c r="A1112" t="s">
        <v>9</v>
      </c>
      <c r="B1112" t="s">
        <v>35</v>
      </c>
      <c r="C1112" t="s">
        <v>42</v>
      </c>
      <c r="D1112" t="s">
        <v>170</v>
      </c>
      <c r="E1112" s="2">
        <v>4561.43</v>
      </c>
      <c r="F1112">
        <v>44</v>
      </c>
    </row>
    <row r="1113" spans="1:6">
      <c r="A1113" t="s">
        <v>45</v>
      </c>
      <c r="B1113" t="s">
        <v>32</v>
      </c>
      <c r="C1113" t="s">
        <v>18</v>
      </c>
      <c r="D1113" s="1">
        <v>45050</v>
      </c>
      <c r="E1113" s="2">
        <v>3041.12</v>
      </c>
      <c r="F1113">
        <v>148</v>
      </c>
    </row>
    <row r="1114" spans="1:6">
      <c r="A1114" t="s">
        <v>41</v>
      </c>
      <c r="B1114" t="s">
        <v>35</v>
      </c>
      <c r="C1114" t="s">
        <v>46</v>
      </c>
      <c r="D1114" t="s">
        <v>171</v>
      </c>
      <c r="E1114" s="2">
        <v>9786.09</v>
      </c>
      <c r="F1114">
        <v>248</v>
      </c>
    </row>
    <row r="1115" spans="1:6">
      <c r="A1115" t="s">
        <v>48</v>
      </c>
      <c r="B1115" t="s">
        <v>7</v>
      </c>
      <c r="C1115" t="s">
        <v>11</v>
      </c>
      <c r="D1115" s="1">
        <v>45144</v>
      </c>
      <c r="E1115" s="2">
        <v>1131.25</v>
      </c>
      <c r="F1115">
        <v>175</v>
      </c>
    </row>
    <row r="1116" spans="1:6">
      <c r="A1116" t="s">
        <v>28</v>
      </c>
      <c r="B1116" t="s">
        <v>15</v>
      </c>
      <c r="C1116" t="s">
        <v>36</v>
      </c>
      <c r="D1116" t="s">
        <v>172</v>
      </c>
      <c r="E1116" s="2">
        <v>7484.07</v>
      </c>
      <c r="F1116">
        <v>94</v>
      </c>
    </row>
    <row r="1117" spans="1:6">
      <c r="A1117" t="s">
        <v>22</v>
      </c>
      <c r="B1117" t="s">
        <v>32</v>
      </c>
      <c r="C1117" t="s">
        <v>50</v>
      </c>
      <c r="D1117" t="s">
        <v>173</v>
      </c>
      <c r="E1117" s="2">
        <v>1339.61</v>
      </c>
      <c r="F1117">
        <v>166</v>
      </c>
    </row>
    <row r="1118" spans="1:6">
      <c r="A1118" t="s">
        <v>40</v>
      </c>
      <c r="B1118" t="s">
        <v>32</v>
      </c>
      <c r="C1118" t="s">
        <v>23</v>
      </c>
      <c r="D1118" t="s">
        <v>174</v>
      </c>
      <c r="E1118" s="2">
        <v>5481.18</v>
      </c>
      <c r="F1118">
        <v>159</v>
      </c>
    </row>
    <row r="1119" spans="1:6">
      <c r="A1119" t="s">
        <v>53</v>
      </c>
      <c r="B1119" t="s">
        <v>7</v>
      </c>
      <c r="C1119" t="s">
        <v>38</v>
      </c>
      <c r="D1119" t="s">
        <v>175</v>
      </c>
      <c r="E1119" s="2">
        <v>3275.4</v>
      </c>
      <c r="F1119">
        <v>120</v>
      </c>
    </row>
    <row r="1120" spans="1:6">
      <c r="A1120" t="s">
        <v>55</v>
      </c>
      <c r="B1120" t="s">
        <v>15</v>
      </c>
      <c r="C1120" t="s">
        <v>36</v>
      </c>
      <c r="D1120" t="s">
        <v>176</v>
      </c>
      <c r="E1120" s="2">
        <v>7677.78</v>
      </c>
      <c r="F1120">
        <v>118</v>
      </c>
    </row>
    <row r="1121" spans="1:6">
      <c r="A1121" t="s">
        <v>37</v>
      </c>
      <c r="B1121" t="s">
        <v>10</v>
      </c>
      <c r="C1121" t="s">
        <v>57</v>
      </c>
      <c r="D1121" t="s">
        <v>169</v>
      </c>
      <c r="E1121" s="2">
        <v>189.37</v>
      </c>
      <c r="F1121">
        <v>315</v>
      </c>
    </row>
    <row r="1122" spans="1:6">
      <c r="A1122" t="s">
        <v>45</v>
      </c>
      <c r="B1122" t="s">
        <v>35</v>
      </c>
      <c r="C1122" t="s">
        <v>50</v>
      </c>
      <c r="D1122" s="1">
        <v>45171</v>
      </c>
      <c r="E1122" s="2">
        <v>1658.79</v>
      </c>
      <c r="F1122">
        <v>193</v>
      </c>
    </row>
    <row r="1123" spans="1:6">
      <c r="A1123" t="s">
        <v>53</v>
      </c>
      <c r="B1123" t="s">
        <v>32</v>
      </c>
      <c r="C1123" t="s">
        <v>36</v>
      </c>
      <c r="D1123" s="1">
        <v>45114</v>
      </c>
      <c r="E1123" s="2">
        <v>4168.93</v>
      </c>
      <c r="F1123">
        <v>122</v>
      </c>
    </row>
    <row r="1124" spans="1:6">
      <c r="A1124" t="s">
        <v>58</v>
      </c>
      <c r="B1124" t="s">
        <v>25</v>
      </c>
      <c r="C1124" t="s">
        <v>59</v>
      </c>
      <c r="D1124" s="1">
        <v>45053</v>
      </c>
      <c r="E1124" s="2">
        <v>10604.89</v>
      </c>
      <c r="F1124">
        <v>165</v>
      </c>
    </row>
    <row r="1125" spans="1:6">
      <c r="A1125" t="s">
        <v>58</v>
      </c>
      <c r="B1125" t="s">
        <v>25</v>
      </c>
      <c r="C1125" t="s">
        <v>60</v>
      </c>
      <c r="D1125" t="s">
        <v>177</v>
      </c>
      <c r="E1125" s="2">
        <v>5773.51</v>
      </c>
      <c r="F1125">
        <v>325</v>
      </c>
    </row>
    <row r="1126" spans="1:6">
      <c r="A1126" t="s">
        <v>9</v>
      </c>
      <c r="B1126" t="s">
        <v>25</v>
      </c>
      <c r="C1126" t="s">
        <v>11</v>
      </c>
      <c r="D1126" t="s">
        <v>178</v>
      </c>
      <c r="E1126" s="2">
        <v>1838.78</v>
      </c>
      <c r="F1126">
        <v>121</v>
      </c>
    </row>
    <row r="1127" spans="1:6">
      <c r="A1127" t="s">
        <v>29</v>
      </c>
      <c r="B1127" t="s">
        <v>7</v>
      </c>
      <c r="C1127" t="s">
        <v>20</v>
      </c>
      <c r="D1127" t="s">
        <v>179</v>
      </c>
      <c r="E1127" s="2">
        <v>12643.1</v>
      </c>
      <c r="F1127">
        <v>150</v>
      </c>
    </row>
    <row r="1128" spans="1:6">
      <c r="A1128" t="s">
        <v>64</v>
      </c>
      <c r="B1128" t="s">
        <v>15</v>
      </c>
      <c r="C1128" t="s">
        <v>60</v>
      </c>
      <c r="D1128" s="1">
        <v>45235</v>
      </c>
      <c r="E1128" s="2">
        <v>4439.5200000000004</v>
      </c>
      <c r="F1128">
        <v>95</v>
      </c>
    </row>
    <row r="1129" spans="1:6">
      <c r="A1129" t="s">
        <v>37</v>
      </c>
      <c r="B1129" t="s">
        <v>7</v>
      </c>
      <c r="C1129" t="s">
        <v>65</v>
      </c>
      <c r="D1129" t="s">
        <v>180</v>
      </c>
      <c r="E1129" s="2">
        <v>7698.6</v>
      </c>
      <c r="F1129">
        <v>126</v>
      </c>
    </row>
    <row r="1130" spans="1:6">
      <c r="A1130" t="s">
        <v>67</v>
      </c>
      <c r="B1130" t="s">
        <v>35</v>
      </c>
      <c r="C1130" t="s">
        <v>23</v>
      </c>
      <c r="D1130" s="1">
        <v>45235</v>
      </c>
      <c r="E1130" s="2">
        <v>2222.3000000000002</v>
      </c>
      <c r="F1130">
        <v>77</v>
      </c>
    </row>
    <row r="1131" spans="1:6">
      <c r="A1131" t="s">
        <v>45</v>
      </c>
      <c r="B1131" t="s">
        <v>32</v>
      </c>
      <c r="C1131" t="s">
        <v>60</v>
      </c>
      <c r="D1131" t="s">
        <v>181</v>
      </c>
      <c r="E1131" s="2">
        <v>10959.02</v>
      </c>
      <c r="F1131">
        <v>302</v>
      </c>
    </row>
    <row r="1132" spans="1:6">
      <c r="A1132" t="s">
        <v>67</v>
      </c>
      <c r="B1132" t="s">
        <v>7</v>
      </c>
      <c r="C1132" t="s">
        <v>26</v>
      </c>
      <c r="D1132" t="s">
        <v>182</v>
      </c>
      <c r="E1132" s="2">
        <v>2854.85</v>
      </c>
      <c r="F1132">
        <v>337</v>
      </c>
    </row>
    <row r="1133" spans="1:6">
      <c r="A1133" t="s">
        <v>70</v>
      </c>
      <c r="B1133" t="s">
        <v>25</v>
      </c>
      <c r="C1133" t="s">
        <v>23</v>
      </c>
      <c r="D1133" s="1">
        <v>45114</v>
      </c>
      <c r="E1133" s="2">
        <v>147.82</v>
      </c>
      <c r="F1133">
        <v>74</v>
      </c>
    </row>
    <row r="1134" spans="1:6">
      <c r="A1134" t="s">
        <v>71</v>
      </c>
      <c r="B1134" t="s">
        <v>15</v>
      </c>
      <c r="C1134" t="s">
        <v>11</v>
      </c>
      <c r="D1134" t="s">
        <v>183</v>
      </c>
      <c r="E1134" s="2">
        <v>3790.51</v>
      </c>
      <c r="F1134">
        <v>14</v>
      </c>
    </row>
    <row r="1135" spans="1:6">
      <c r="A1135" t="s">
        <v>37</v>
      </c>
      <c r="B1135" t="s">
        <v>10</v>
      </c>
      <c r="C1135" t="s">
        <v>60</v>
      </c>
      <c r="D1135" s="1">
        <v>45023</v>
      </c>
      <c r="E1135" s="2">
        <v>2487.19</v>
      </c>
      <c r="F1135">
        <v>583</v>
      </c>
    </row>
    <row r="1136" spans="1:6">
      <c r="A1136" t="s">
        <v>70</v>
      </c>
      <c r="B1136" t="s">
        <v>32</v>
      </c>
      <c r="C1136" t="s">
        <v>23</v>
      </c>
      <c r="D1136" s="1">
        <v>44963</v>
      </c>
      <c r="E1136" s="2">
        <v>1021.27</v>
      </c>
      <c r="F1136">
        <v>17</v>
      </c>
    </row>
    <row r="1137" spans="1:6">
      <c r="A1137" t="s">
        <v>37</v>
      </c>
      <c r="B1137" t="s">
        <v>32</v>
      </c>
      <c r="C1137" t="s">
        <v>73</v>
      </c>
      <c r="D1137" t="s">
        <v>184</v>
      </c>
      <c r="E1137" s="2">
        <v>15370.06</v>
      </c>
      <c r="F1137">
        <v>353</v>
      </c>
    </row>
    <row r="1138" spans="1:6">
      <c r="A1138" t="s">
        <v>34</v>
      </c>
      <c r="B1138" t="s">
        <v>35</v>
      </c>
      <c r="C1138" t="s">
        <v>75</v>
      </c>
      <c r="D1138" s="1">
        <v>45237</v>
      </c>
      <c r="E1138" s="2">
        <v>5345.58</v>
      </c>
      <c r="F1138">
        <v>250</v>
      </c>
    </row>
    <row r="1139" spans="1:6">
      <c r="A1139" t="s">
        <v>67</v>
      </c>
      <c r="B1139" t="s">
        <v>10</v>
      </c>
      <c r="C1139" t="s">
        <v>50</v>
      </c>
      <c r="D1139" t="s">
        <v>185</v>
      </c>
      <c r="E1139" s="2">
        <v>6559.44</v>
      </c>
      <c r="F1139">
        <v>154</v>
      </c>
    </row>
    <row r="1140" spans="1:6">
      <c r="A1140" t="s">
        <v>77</v>
      </c>
      <c r="B1140" t="s">
        <v>35</v>
      </c>
      <c r="C1140" t="s">
        <v>65</v>
      </c>
      <c r="D1140" t="s">
        <v>186</v>
      </c>
      <c r="E1140" s="2">
        <v>8282.93</v>
      </c>
      <c r="F1140">
        <v>107</v>
      </c>
    </row>
    <row r="1141" spans="1:6">
      <c r="A1141" t="s">
        <v>55</v>
      </c>
      <c r="B1141" t="s">
        <v>32</v>
      </c>
      <c r="C1141" t="s">
        <v>13</v>
      </c>
      <c r="D1141" t="s">
        <v>171</v>
      </c>
      <c r="E1141" s="2">
        <v>6981.4</v>
      </c>
      <c r="F1141">
        <v>189</v>
      </c>
    </row>
    <row r="1142" spans="1:6">
      <c r="A1142" t="s">
        <v>9</v>
      </c>
      <c r="B1142" t="s">
        <v>32</v>
      </c>
      <c r="C1142" t="s">
        <v>26</v>
      </c>
      <c r="D1142" t="s">
        <v>167</v>
      </c>
      <c r="E1142" s="2">
        <v>10280.17</v>
      </c>
      <c r="F1142">
        <v>155</v>
      </c>
    </row>
    <row r="1143" spans="1:6">
      <c r="A1143" t="s">
        <v>48</v>
      </c>
      <c r="B1143" t="s">
        <v>15</v>
      </c>
      <c r="C1143" t="s">
        <v>46</v>
      </c>
      <c r="D1143" t="s">
        <v>170</v>
      </c>
      <c r="E1143" s="2">
        <v>7703.62</v>
      </c>
      <c r="F1143">
        <v>20</v>
      </c>
    </row>
    <row r="1144" spans="1:6">
      <c r="A1144" t="s">
        <v>45</v>
      </c>
      <c r="B1144" t="s">
        <v>10</v>
      </c>
      <c r="C1144" t="s">
        <v>36</v>
      </c>
      <c r="D1144" s="1">
        <v>45205</v>
      </c>
      <c r="E1144" s="2">
        <v>4489.8100000000004</v>
      </c>
      <c r="F1144">
        <v>310</v>
      </c>
    </row>
    <row r="1145" spans="1:6">
      <c r="A1145" t="s">
        <v>48</v>
      </c>
      <c r="B1145" t="s">
        <v>10</v>
      </c>
      <c r="C1145" t="s">
        <v>57</v>
      </c>
      <c r="D1145" s="1">
        <v>45114</v>
      </c>
      <c r="E1145" s="2">
        <v>5806.11</v>
      </c>
      <c r="F1145">
        <v>190</v>
      </c>
    </row>
    <row r="1146" spans="1:6">
      <c r="A1146" t="s">
        <v>48</v>
      </c>
      <c r="B1146" t="s">
        <v>35</v>
      </c>
      <c r="C1146" t="s">
        <v>65</v>
      </c>
      <c r="D1146" t="s">
        <v>165</v>
      </c>
      <c r="E1146" s="2">
        <v>5148.7</v>
      </c>
      <c r="F1146">
        <v>76</v>
      </c>
    </row>
    <row r="1147" spans="1:6">
      <c r="A1147" t="s">
        <v>28</v>
      </c>
      <c r="B1147" t="s">
        <v>15</v>
      </c>
      <c r="C1147" t="s">
        <v>57</v>
      </c>
      <c r="D1147" s="1">
        <v>45083</v>
      </c>
      <c r="E1147" s="2">
        <v>8558.59</v>
      </c>
      <c r="F1147">
        <v>24</v>
      </c>
    </row>
    <row r="1148" spans="1:6">
      <c r="A1148" t="s">
        <v>79</v>
      </c>
      <c r="B1148" t="s">
        <v>15</v>
      </c>
      <c r="C1148" t="s">
        <v>38</v>
      </c>
      <c r="D1148" t="s">
        <v>187</v>
      </c>
      <c r="E1148" s="2">
        <v>94.19</v>
      </c>
      <c r="F1148">
        <v>145</v>
      </c>
    </row>
    <row r="1149" spans="1:6">
      <c r="A1149" t="s">
        <v>41</v>
      </c>
      <c r="B1149" t="s">
        <v>32</v>
      </c>
      <c r="C1149" t="s">
        <v>73</v>
      </c>
      <c r="D1149" t="s">
        <v>188</v>
      </c>
      <c r="E1149" s="2">
        <v>16223.83</v>
      </c>
      <c r="F1149">
        <v>87</v>
      </c>
    </row>
    <row r="1150" spans="1:6">
      <c r="A1150" t="s">
        <v>40</v>
      </c>
      <c r="B1150" t="s">
        <v>10</v>
      </c>
      <c r="C1150" t="s">
        <v>11</v>
      </c>
      <c r="D1150" t="s">
        <v>187</v>
      </c>
      <c r="E1150" s="2">
        <v>2439.06</v>
      </c>
      <c r="F1150">
        <v>175</v>
      </c>
    </row>
    <row r="1151" spans="1:6">
      <c r="A1151" t="s">
        <v>6</v>
      </c>
      <c r="B1151" t="s">
        <v>35</v>
      </c>
      <c r="C1151" t="s">
        <v>38</v>
      </c>
      <c r="D1151" t="s">
        <v>189</v>
      </c>
      <c r="E1151" s="2">
        <v>466.65</v>
      </c>
      <c r="F1151">
        <v>23</v>
      </c>
    </row>
    <row r="1152" spans="1:6">
      <c r="A1152" t="s">
        <v>83</v>
      </c>
      <c r="B1152" t="s">
        <v>25</v>
      </c>
      <c r="C1152" t="s">
        <v>50</v>
      </c>
      <c r="D1152" t="s">
        <v>170</v>
      </c>
      <c r="E1152" s="2">
        <v>4044.24</v>
      </c>
      <c r="F1152">
        <v>18</v>
      </c>
    </row>
    <row r="1153" spans="1:6">
      <c r="A1153" t="s">
        <v>28</v>
      </c>
      <c r="B1153" t="s">
        <v>35</v>
      </c>
      <c r="C1153" t="s">
        <v>20</v>
      </c>
      <c r="D1153" t="s">
        <v>190</v>
      </c>
      <c r="E1153" s="2">
        <v>17675.28</v>
      </c>
      <c r="F1153">
        <v>446</v>
      </c>
    </row>
    <row r="1154" spans="1:6">
      <c r="A1154" t="s">
        <v>31</v>
      </c>
      <c r="B1154" t="s">
        <v>15</v>
      </c>
      <c r="C1154" t="s">
        <v>57</v>
      </c>
      <c r="D1154" t="s">
        <v>180</v>
      </c>
      <c r="E1154" s="2">
        <v>17280.98</v>
      </c>
      <c r="F1154">
        <v>58</v>
      </c>
    </row>
    <row r="1155" spans="1:6">
      <c r="A1155" t="s">
        <v>67</v>
      </c>
      <c r="B1155" t="s">
        <v>15</v>
      </c>
      <c r="C1155" t="s">
        <v>26</v>
      </c>
      <c r="D1155" s="1">
        <v>44963</v>
      </c>
      <c r="E1155" s="2">
        <v>5091.78</v>
      </c>
      <c r="F1155">
        <v>219</v>
      </c>
    </row>
    <row r="1156" spans="1:6">
      <c r="A1156" t="s">
        <v>67</v>
      </c>
      <c r="B1156" t="s">
        <v>15</v>
      </c>
      <c r="C1156" t="s">
        <v>38</v>
      </c>
      <c r="D1156" t="s">
        <v>191</v>
      </c>
      <c r="E1156" s="2">
        <v>1657.2</v>
      </c>
      <c r="F1156">
        <v>49</v>
      </c>
    </row>
    <row r="1157" spans="1:6">
      <c r="A1157" t="s">
        <v>40</v>
      </c>
      <c r="B1157" t="s">
        <v>15</v>
      </c>
      <c r="C1157" t="s">
        <v>42</v>
      </c>
      <c r="D1157" t="s">
        <v>192</v>
      </c>
      <c r="E1157" s="2">
        <v>305.79000000000002</v>
      </c>
      <c r="F1157">
        <v>189</v>
      </c>
    </row>
    <row r="1158" spans="1:6">
      <c r="A1158" t="s">
        <v>70</v>
      </c>
      <c r="B1158" t="s">
        <v>35</v>
      </c>
      <c r="C1158" t="s">
        <v>87</v>
      </c>
      <c r="D1158" t="s">
        <v>193</v>
      </c>
      <c r="E1158" s="2">
        <v>3377.41</v>
      </c>
      <c r="F1158">
        <v>325</v>
      </c>
    </row>
    <row r="1159" spans="1:6">
      <c r="A1159" t="s">
        <v>37</v>
      </c>
      <c r="B1159" t="s">
        <v>10</v>
      </c>
      <c r="C1159" t="s">
        <v>65</v>
      </c>
      <c r="D1159" s="1">
        <v>45084</v>
      </c>
      <c r="E1159" s="2">
        <v>6188.62</v>
      </c>
      <c r="F1159">
        <v>157</v>
      </c>
    </row>
    <row r="1160" spans="1:6">
      <c r="A1160" t="s">
        <v>19</v>
      </c>
      <c r="B1160" t="s">
        <v>10</v>
      </c>
      <c r="C1160" t="s">
        <v>20</v>
      </c>
      <c r="D1160" t="s">
        <v>194</v>
      </c>
      <c r="E1160" s="2">
        <v>10914.36</v>
      </c>
      <c r="F1160">
        <v>11</v>
      </c>
    </row>
    <row r="1161" spans="1:6">
      <c r="A1161" t="s">
        <v>64</v>
      </c>
      <c r="B1161" t="s">
        <v>15</v>
      </c>
      <c r="C1161" t="s">
        <v>90</v>
      </c>
      <c r="D1161" t="s">
        <v>195</v>
      </c>
      <c r="E1161" s="2">
        <v>2342.0700000000002</v>
      </c>
      <c r="F1161">
        <v>12</v>
      </c>
    </row>
    <row r="1162" spans="1:6">
      <c r="A1162" t="s">
        <v>9</v>
      </c>
      <c r="B1162" t="s">
        <v>15</v>
      </c>
      <c r="C1162" t="s">
        <v>42</v>
      </c>
      <c r="D1162" s="1">
        <v>45207</v>
      </c>
      <c r="E1162" s="2">
        <v>21762.799999999999</v>
      </c>
      <c r="F1162">
        <v>15</v>
      </c>
    </row>
    <row r="1163" spans="1:6">
      <c r="A1163" t="s">
        <v>71</v>
      </c>
      <c r="B1163" t="s">
        <v>10</v>
      </c>
      <c r="C1163" t="s">
        <v>26</v>
      </c>
      <c r="D1163" s="1">
        <v>45023</v>
      </c>
      <c r="E1163" s="2">
        <v>10539.54</v>
      </c>
      <c r="F1163">
        <v>398</v>
      </c>
    </row>
    <row r="1164" spans="1:6">
      <c r="A1164" t="s">
        <v>19</v>
      </c>
      <c r="B1164" t="s">
        <v>10</v>
      </c>
      <c r="C1164" t="s">
        <v>42</v>
      </c>
      <c r="D1164" s="1">
        <v>45145</v>
      </c>
      <c r="E1164" s="2">
        <v>6665.87</v>
      </c>
      <c r="F1164">
        <v>60</v>
      </c>
    </row>
    <row r="1165" spans="1:6">
      <c r="A1165" t="s">
        <v>14</v>
      </c>
      <c r="B1165" t="s">
        <v>32</v>
      </c>
      <c r="C1165" t="s">
        <v>13</v>
      </c>
      <c r="D1165" t="s">
        <v>181</v>
      </c>
      <c r="E1165" s="2">
        <v>9605.11</v>
      </c>
      <c r="F1165">
        <v>98</v>
      </c>
    </row>
    <row r="1166" spans="1:6">
      <c r="A1166" t="s">
        <v>12</v>
      </c>
      <c r="B1166" t="s">
        <v>32</v>
      </c>
      <c r="C1166" t="s">
        <v>75</v>
      </c>
      <c r="D1166" s="1">
        <v>44960</v>
      </c>
      <c r="E1166" s="2">
        <v>13018</v>
      </c>
      <c r="F1166">
        <v>103</v>
      </c>
    </row>
    <row r="1167" spans="1:6">
      <c r="A1167" t="s">
        <v>12</v>
      </c>
      <c r="B1167" t="s">
        <v>7</v>
      </c>
      <c r="C1167" t="s">
        <v>65</v>
      </c>
      <c r="D1167" s="1">
        <v>45200</v>
      </c>
      <c r="E1167" s="2">
        <v>6046.4</v>
      </c>
      <c r="F1167">
        <v>10</v>
      </c>
    </row>
    <row r="1168" spans="1:6">
      <c r="A1168" t="s">
        <v>6</v>
      </c>
      <c r="B1168" t="s">
        <v>25</v>
      </c>
      <c r="C1168" t="s">
        <v>59</v>
      </c>
      <c r="D1168" s="1">
        <v>45233</v>
      </c>
      <c r="E1168" s="2">
        <v>3078.33</v>
      </c>
      <c r="F1168">
        <v>231</v>
      </c>
    </row>
    <row r="1169" spans="1:6">
      <c r="A1169" t="s">
        <v>67</v>
      </c>
      <c r="B1169" t="s">
        <v>25</v>
      </c>
      <c r="C1169" t="s">
        <v>13</v>
      </c>
      <c r="D1169" t="s">
        <v>196</v>
      </c>
      <c r="E1169" s="2">
        <v>970.96</v>
      </c>
      <c r="F1169">
        <v>291</v>
      </c>
    </row>
    <row r="1170" spans="1:6">
      <c r="A1170" t="s">
        <v>9</v>
      </c>
      <c r="B1170" t="s">
        <v>7</v>
      </c>
      <c r="C1170" t="s">
        <v>42</v>
      </c>
      <c r="D1170" t="s">
        <v>197</v>
      </c>
      <c r="E1170" s="2">
        <v>2064.71</v>
      </c>
      <c r="F1170">
        <v>208</v>
      </c>
    </row>
    <row r="1171" spans="1:6">
      <c r="A1171" t="s">
        <v>45</v>
      </c>
      <c r="B1171" t="s">
        <v>35</v>
      </c>
      <c r="C1171" t="s">
        <v>46</v>
      </c>
      <c r="D1171" t="s">
        <v>198</v>
      </c>
      <c r="E1171" s="2">
        <v>679.94</v>
      </c>
      <c r="F1171">
        <v>34</v>
      </c>
    </row>
    <row r="1172" spans="1:6">
      <c r="A1172" t="s">
        <v>71</v>
      </c>
      <c r="B1172" t="s">
        <v>32</v>
      </c>
      <c r="C1172" t="s">
        <v>50</v>
      </c>
      <c r="D1172" s="1">
        <v>45232</v>
      </c>
      <c r="E1172" s="2">
        <v>1311.25</v>
      </c>
      <c r="F1172">
        <v>251</v>
      </c>
    </row>
    <row r="1173" spans="1:6">
      <c r="A1173" t="s">
        <v>40</v>
      </c>
      <c r="B1173" t="s">
        <v>32</v>
      </c>
      <c r="C1173" t="s">
        <v>33</v>
      </c>
      <c r="D1173" t="s">
        <v>199</v>
      </c>
      <c r="E1173" s="2">
        <v>8692.64</v>
      </c>
      <c r="F1173">
        <v>184</v>
      </c>
    </row>
    <row r="1174" spans="1:6">
      <c r="A1174" t="s">
        <v>9</v>
      </c>
      <c r="B1174" t="s">
        <v>7</v>
      </c>
      <c r="C1174" t="s">
        <v>20</v>
      </c>
      <c r="D1174" t="s">
        <v>200</v>
      </c>
      <c r="E1174" s="2">
        <v>4993.21</v>
      </c>
      <c r="F1174">
        <v>145</v>
      </c>
    </row>
    <row r="1175" spans="1:6">
      <c r="A1175" t="s">
        <v>71</v>
      </c>
      <c r="B1175" t="s">
        <v>32</v>
      </c>
      <c r="C1175" t="s">
        <v>59</v>
      </c>
      <c r="D1175" t="s">
        <v>201</v>
      </c>
      <c r="E1175" s="2">
        <v>10898.19</v>
      </c>
      <c r="F1175">
        <v>24</v>
      </c>
    </row>
    <row r="1176" spans="1:6">
      <c r="A1176" t="s">
        <v>67</v>
      </c>
      <c r="B1176" t="s">
        <v>32</v>
      </c>
      <c r="C1176" t="s">
        <v>73</v>
      </c>
      <c r="D1176" t="s">
        <v>180</v>
      </c>
      <c r="E1176" s="2">
        <v>15565.91</v>
      </c>
      <c r="F1176">
        <v>21</v>
      </c>
    </row>
    <row r="1177" spans="1:6">
      <c r="A1177" t="s">
        <v>79</v>
      </c>
      <c r="B1177" t="s">
        <v>15</v>
      </c>
      <c r="C1177" t="s">
        <v>57</v>
      </c>
      <c r="D1177" t="s">
        <v>202</v>
      </c>
      <c r="E1177" s="2">
        <v>280.58999999999997</v>
      </c>
      <c r="F1177">
        <v>328</v>
      </c>
    </row>
    <row r="1178" spans="1:6">
      <c r="A1178" t="s">
        <v>28</v>
      </c>
      <c r="B1178" t="s">
        <v>25</v>
      </c>
      <c r="C1178" t="s">
        <v>8</v>
      </c>
      <c r="D1178" s="1">
        <v>44934</v>
      </c>
      <c r="E1178" s="2">
        <v>66.349999999999994</v>
      </c>
      <c r="F1178">
        <v>197</v>
      </c>
    </row>
    <row r="1179" spans="1:6">
      <c r="A1179" t="s">
        <v>45</v>
      </c>
      <c r="B1179" t="s">
        <v>25</v>
      </c>
      <c r="C1179" t="s">
        <v>23</v>
      </c>
      <c r="D1179" t="s">
        <v>203</v>
      </c>
      <c r="E1179" s="2">
        <v>8766.4500000000007</v>
      </c>
      <c r="F1179">
        <v>10</v>
      </c>
    </row>
    <row r="1180" spans="1:6">
      <c r="A1180" t="s">
        <v>45</v>
      </c>
      <c r="B1180" t="s">
        <v>35</v>
      </c>
      <c r="C1180" t="s">
        <v>42</v>
      </c>
      <c r="D1180" s="1">
        <v>45200</v>
      </c>
      <c r="E1180" s="2">
        <v>4265.4799999999996</v>
      </c>
      <c r="F1180">
        <v>85</v>
      </c>
    </row>
    <row r="1181" spans="1:6">
      <c r="A1181" t="s">
        <v>58</v>
      </c>
      <c r="B1181" t="s">
        <v>15</v>
      </c>
      <c r="C1181" t="s">
        <v>100</v>
      </c>
      <c r="D1181" s="1">
        <v>45109</v>
      </c>
      <c r="E1181" s="2">
        <v>6087.53</v>
      </c>
      <c r="F1181">
        <v>113</v>
      </c>
    </row>
    <row r="1182" spans="1:6">
      <c r="A1182" t="s">
        <v>37</v>
      </c>
      <c r="B1182" t="s">
        <v>32</v>
      </c>
      <c r="C1182" t="s">
        <v>33</v>
      </c>
      <c r="D1182" s="1">
        <v>45265</v>
      </c>
      <c r="E1182" s="2">
        <v>11694.48</v>
      </c>
      <c r="F1182">
        <v>425</v>
      </c>
    </row>
    <row r="1183" spans="1:6">
      <c r="A1183" t="s">
        <v>77</v>
      </c>
      <c r="B1183" t="s">
        <v>15</v>
      </c>
      <c r="C1183" t="s">
        <v>50</v>
      </c>
      <c r="D1183" s="1">
        <v>45110</v>
      </c>
      <c r="E1183" s="2">
        <v>7616.38</v>
      </c>
      <c r="F1183">
        <v>392</v>
      </c>
    </row>
    <row r="1184" spans="1:6">
      <c r="A1184" t="s">
        <v>58</v>
      </c>
      <c r="B1184" t="s">
        <v>15</v>
      </c>
      <c r="C1184" t="s">
        <v>11</v>
      </c>
      <c r="D1184" s="1">
        <v>45050</v>
      </c>
      <c r="E1184" s="2">
        <v>7807.02</v>
      </c>
      <c r="F1184">
        <v>419</v>
      </c>
    </row>
    <row r="1185" spans="1:6">
      <c r="A1185" t="s">
        <v>67</v>
      </c>
      <c r="B1185" t="s">
        <v>35</v>
      </c>
      <c r="C1185" t="s">
        <v>90</v>
      </c>
      <c r="D1185" s="1">
        <v>44986</v>
      </c>
      <c r="E1185" s="2">
        <v>7990.91</v>
      </c>
      <c r="F1185">
        <v>343</v>
      </c>
    </row>
    <row r="1186" spans="1:6">
      <c r="A1186" t="s">
        <v>58</v>
      </c>
      <c r="B1186" t="s">
        <v>7</v>
      </c>
      <c r="C1186" t="s">
        <v>36</v>
      </c>
      <c r="D1186" t="s">
        <v>165</v>
      </c>
      <c r="E1186" s="2">
        <v>6757.17</v>
      </c>
      <c r="F1186">
        <v>276</v>
      </c>
    </row>
    <row r="1187" spans="1:6">
      <c r="A1187" t="s">
        <v>77</v>
      </c>
      <c r="B1187" t="s">
        <v>10</v>
      </c>
      <c r="C1187" t="s">
        <v>73</v>
      </c>
      <c r="D1187" s="1">
        <v>45114</v>
      </c>
      <c r="E1187" s="2">
        <v>4409.21</v>
      </c>
      <c r="F1187">
        <v>10</v>
      </c>
    </row>
    <row r="1188" spans="1:6">
      <c r="A1188" t="s">
        <v>9</v>
      </c>
      <c r="B1188" t="s">
        <v>32</v>
      </c>
      <c r="C1188" t="s">
        <v>23</v>
      </c>
      <c r="D1188" t="s">
        <v>204</v>
      </c>
      <c r="E1188" s="2">
        <v>722.25</v>
      </c>
      <c r="F1188">
        <v>255</v>
      </c>
    </row>
    <row r="1189" spans="1:6">
      <c r="A1189" t="s">
        <v>64</v>
      </c>
      <c r="B1189" t="s">
        <v>15</v>
      </c>
      <c r="C1189" t="s">
        <v>42</v>
      </c>
      <c r="D1189" s="1">
        <v>45114</v>
      </c>
      <c r="E1189" s="2">
        <v>1896.24</v>
      </c>
      <c r="F1189">
        <v>115</v>
      </c>
    </row>
    <row r="1190" spans="1:6">
      <c r="A1190" t="s">
        <v>37</v>
      </c>
      <c r="B1190" t="s">
        <v>35</v>
      </c>
      <c r="C1190" t="s">
        <v>26</v>
      </c>
      <c r="D1190" t="s">
        <v>189</v>
      </c>
      <c r="E1190" s="2">
        <v>2966.83</v>
      </c>
      <c r="F1190">
        <v>65</v>
      </c>
    </row>
    <row r="1191" spans="1:6">
      <c r="A1191" t="s">
        <v>45</v>
      </c>
      <c r="B1191" t="s">
        <v>25</v>
      </c>
      <c r="C1191" t="s">
        <v>33</v>
      </c>
      <c r="D1191" s="1">
        <v>44930</v>
      </c>
      <c r="E1191" s="2">
        <v>51.29</v>
      </c>
      <c r="F1191">
        <v>100</v>
      </c>
    </row>
    <row r="1192" spans="1:6">
      <c r="A1192" t="s">
        <v>41</v>
      </c>
      <c r="B1192" t="s">
        <v>15</v>
      </c>
      <c r="C1192" t="s">
        <v>36</v>
      </c>
      <c r="D1192" t="s">
        <v>196</v>
      </c>
      <c r="E1192" s="2">
        <v>1835.42</v>
      </c>
      <c r="F1192">
        <v>6</v>
      </c>
    </row>
    <row r="1193" spans="1:6">
      <c r="A1193" t="s">
        <v>70</v>
      </c>
      <c r="B1193" t="s">
        <v>7</v>
      </c>
      <c r="C1193" t="s">
        <v>57</v>
      </c>
      <c r="D1193" t="s">
        <v>179</v>
      </c>
      <c r="E1193" s="2">
        <v>14592.11</v>
      </c>
      <c r="F1193">
        <v>509</v>
      </c>
    </row>
    <row r="1194" spans="1:6">
      <c r="A1194" t="s">
        <v>40</v>
      </c>
      <c r="B1194" t="s">
        <v>32</v>
      </c>
      <c r="C1194" t="s">
        <v>26</v>
      </c>
      <c r="D1194" t="s">
        <v>177</v>
      </c>
      <c r="E1194" s="2">
        <v>1114.1300000000001</v>
      </c>
      <c r="F1194">
        <v>106</v>
      </c>
    </row>
    <row r="1195" spans="1:6">
      <c r="A1195" t="s">
        <v>53</v>
      </c>
      <c r="B1195" t="s">
        <v>32</v>
      </c>
      <c r="C1195" t="s">
        <v>23</v>
      </c>
      <c r="D1195" s="1">
        <v>45142</v>
      </c>
      <c r="E1195" s="2">
        <v>13051.75</v>
      </c>
      <c r="F1195">
        <v>193</v>
      </c>
    </row>
    <row r="1196" spans="1:6">
      <c r="A1196" t="s">
        <v>58</v>
      </c>
      <c r="B1196" t="s">
        <v>15</v>
      </c>
      <c r="C1196" t="s">
        <v>73</v>
      </c>
      <c r="D1196" t="s">
        <v>175</v>
      </c>
      <c r="E1196" s="2">
        <v>5997.71</v>
      </c>
      <c r="F1196">
        <v>31</v>
      </c>
    </row>
    <row r="1197" spans="1:6">
      <c r="A1197" t="s">
        <v>67</v>
      </c>
      <c r="B1197" t="s">
        <v>32</v>
      </c>
      <c r="C1197" t="s">
        <v>57</v>
      </c>
      <c r="D1197" t="s">
        <v>189</v>
      </c>
      <c r="E1197" s="2">
        <v>1588.28</v>
      </c>
      <c r="F1197">
        <v>352</v>
      </c>
    </row>
    <row r="1198" spans="1:6">
      <c r="A1198" t="s">
        <v>70</v>
      </c>
      <c r="B1198" t="s">
        <v>10</v>
      </c>
      <c r="C1198" t="s">
        <v>36</v>
      </c>
      <c r="D1198" t="s">
        <v>188</v>
      </c>
      <c r="E1198" s="2">
        <v>5344.21</v>
      </c>
      <c r="F1198">
        <v>80</v>
      </c>
    </row>
    <row r="1199" spans="1:6">
      <c r="A1199" t="s">
        <v>40</v>
      </c>
      <c r="B1199" t="s">
        <v>32</v>
      </c>
      <c r="C1199" t="s">
        <v>20</v>
      </c>
      <c r="D1199" t="s">
        <v>205</v>
      </c>
      <c r="E1199" s="2">
        <v>4646.91</v>
      </c>
      <c r="F1199">
        <v>317</v>
      </c>
    </row>
    <row r="1200" spans="1:6">
      <c r="A1200" t="s">
        <v>28</v>
      </c>
      <c r="B1200" t="s">
        <v>35</v>
      </c>
      <c r="C1200" t="s">
        <v>50</v>
      </c>
      <c r="D1200" s="1">
        <v>45019</v>
      </c>
      <c r="E1200" s="2">
        <v>8929.8799999999992</v>
      </c>
      <c r="F1200">
        <v>100</v>
      </c>
    </row>
    <row r="1201" spans="1:6">
      <c r="A1201" t="s">
        <v>37</v>
      </c>
      <c r="B1201" t="s">
        <v>25</v>
      </c>
      <c r="C1201" t="s">
        <v>100</v>
      </c>
      <c r="D1201" s="1">
        <v>44965</v>
      </c>
      <c r="E1201" s="2">
        <v>141.22999999999999</v>
      </c>
      <c r="F1201">
        <v>38</v>
      </c>
    </row>
    <row r="1202" spans="1:6">
      <c r="A1202" t="s">
        <v>53</v>
      </c>
      <c r="B1202" t="s">
        <v>7</v>
      </c>
      <c r="C1202" t="s">
        <v>50</v>
      </c>
      <c r="D1202" t="s">
        <v>206</v>
      </c>
      <c r="E1202" s="2">
        <v>5068.99</v>
      </c>
      <c r="F1202">
        <v>45</v>
      </c>
    </row>
    <row r="1203" spans="1:6">
      <c r="A1203" t="s">
        <v>40</v>
      </c>
      <c r="B1203" t="s">
        <v>32</v>
      </c>
      <c r="C1203" t="s">
        <v>65</v>
      </c>
      <c r="D1203" t="s">
        <v>207</v>
      </c>
      <c r="E1203" s="2">
        <v>8012.72</v>
      </c>
      <c r="F1203">
        <v>163</v>
      </c>
    </row>
    <row r="1204" spans="1:6">
      <c r="A1204" t="s">
        <v>70</v>
      </c>
      <c r="B1204" t="s">
        <v>10</v>
      </c>
      <c r="C1204" t="s">
        <v>33</v>
      </c>
      <c r="D1204" s="1">
        <v>45113</v>
      </c>
      <c r="E1204" s="2">
        <v>10587.71</v>
      </c>
      <c r="F1204">
        <v>134</v>
      </c>
    </row>
    <row r="1205" spans="1:6">
      <c r="A1205" t="s">
        <v>14</v>
      </c>
      <c r="B1205" t="s">
        <v>10</v>
      </c>
      <c r="C1205" t="s">
        <v>50</v>
      </c>
      <c r="D1205" s="1">
        <v>45264</v>
      </c>
      <c r="E1205" s="2">
        <v>2155.62</v>
      </c>
      <c r="F1205">
        <v>495</v>
      </c>
    </row>
    <row r="1206" spans="1:6">
      <c r="A1206" t="s">
        <v>83</v>
      </c>
      <c r="B1206" t="s">
        <v>10</v>
      </c>
      <c r="C1206" t="s">
        <v>50</v>
      </c>
      <c r="D1206" s="1">
        <v>45084</v>
      </c>
      <c r="E1206" s="2">
        <v>11010.43</v>
      </c>
      <c r="F1206">
        <v>103</v>
      </c>
    </row>
    <row r="1207" spans="1:6">
      <c r="A1207" t="s">
        <v>70</v>
      </c>
      <c r="B1207" t="s">
        <v>7</v>
      </c>
      <c r="C1207" t="s">
        <v>18</v>
      </c>
      <c r="D1207" t="s">
        <v>208</v>
      </c>
      <c r="E1207" s="2">
        <v>6787.72</v>
      </c>
      <c r="F1207">
        <v>192</v>
      </c>
    </row>
    <row r="1208" spans="1:6">
      <c r="A1208" t="s">
        <v>77</v>
      </c>
      <c r="B1208" t="s">
        <v>15</v>
      </c>
      <c r="C1208" t="s">
        <v>57</v>
      </c>
      <c r="D1208" s="1">
        <v>45047</v>
      </c>
      <c r="E1208" s="2">
        <v>5715.07</v>
      </c>
      <c r="F1208">
        <v>90</v>
      </c>
    </row>
    <row r="1209" spans="1:6">
      <c r="A1209" t="s">
        <v>77</v>
      </c>
      <c r="B1209" t="s">
        <v>35</v>
      </c>
      <c r="C1209" t="s">
        <v>100</v>
      </c>
      <c r="D1209" t="s">
        <v>209</v>
      </c>
      <c r="E1209" s="2">
        <v>12100.65</v>
      </c>
      <c r="F1209">
        <v>142</v>
      </c>
    </row>
    <row r="1210" spans="1:6">
      <c r="A1210" t="s">
        <v>64</v>
      </c>
      <c r="B1210" t="s">
        <v>15</v>
      </c>
      <c r="C1210" t="s">
        <v>38</v>
      </c>
      <c r="D1210" s="1">
        <v>45081</v>
      </c>
      <c r="E1210" s="2">
        <v>623.75</v>
      </c>
      <c r="F1210">
        <v>285</v>
      </c>
    </row>
    <row r="1211" spans="1:6">
      <c r="A1211" t="s">
        <v>22</v>
      </c>
      <c r="B1211" t="s">
        <v>15</v>
      </c>
      <c r="C1211" t="s">
        <v>57</v>
      </c>
      <c r="D1211" t="s">
        <v>177</v>
      </c>
      <c r="E1211" s="2">
        <v>6528.42</v>
      </c>
      <c r="F1211">
        <v>22</v>
      </c>
    </row>
    <row r="1212" spans="1:6">
      <c r="A1212" t="s">
        <v>12</v>
      </c>
      <c r="B1212" t="s">
        <v>35</v>
      </c>
      <c r="C1212" t="s">
        <v>87</v>
      </c>
      <c r="D1212" t="s">
        <v>210</v>
      </c>
      <c r="E1212" s="2">
        <v>1540.55</v>
      </c>
      <c r="F1212">
        <v>47</v>
      </c>
    </row>
    <row r="1213" spans="1:6">
      <c r="A1213" t="s">
        <v>70</v>
      </c>
      <c r="B1213" t="s">
        <v>10</v>
      </c>
      <c r="C1213" t="s">
        <v>90</v>
      </c>
      <c r="D1213" t="s">
        <v>211</v>
      </c>
      <c r="E1213" s="2">
        <v>487.06</v>
      </c>
      <c r="F1213">
        <v>123</v>
      </c>
    </row>
    <row r="1214" spans="1:6">
      <c r="A1214" t="s">
        <v>29</v>
      </c>
      <c r="B1214" t="s">
        <v>15</v>
      </c>
      <c r="C1214" t="s">
        <v>38</v>
      </c>
      <c r="D1214" t="s">
        <v>212</v>
      </c>
      <c r="E1214" s="2">
        <v>11630.38</v>
      </c>
      <c r="F1214">
        <v>431</v>
      </c>
    </row>
    <row r="1215" spans="1:6">
      <c r="A1215" t="s">
        <v>70</v>
      </c>
      <c r="B1215" t="s">
        <v>32</v>
      </c>
      <c r="C1215" t="s">
        <v>60</v>
      </c>
      <c r="D1215" t="s">
        <v>171</v>
      </c>
      <c r="E1215" s="2">
        <v>17297.66</v>
      </c>
      <c r="F1215">
        <v>96</v>
      </c>
    </row>
    <row r="1216" spans="1:6">
      <c r="A1216" t="s">
        <v>6</v>
      </c>
      <c r="B1216" t="s">
        <v>35</v>
      </c>
      <c r="C1216" t="s">
        <v>50</v>
      </c>
      <c r="D1216" t="s">
        <v>167</v>
      </c>
      <c r="E1216" s="2">
        <v>2043.55</v>
      </c>
      <c r="F1216">
        <v>28</v>
      </c>
    </row>
    <row r="1217" spans="1:6">
      <c r="A1217" t="s">
        <v>70</v>
      </c>
      <c r="B1217" t="s">
        <v>15</v>
      </c>
      <c r="C1217" t="s">
        <v>36</v>
      </c>
      <c r="D1217" t="s">
        <v>213</v>
      </c>
      <c r="E1217" s="2">
        <v>8168.86</v>
      </c>
      <c r="F1217">
        <v>570</v>
      </c>
    </row>
    <row r="1218" spans="1:6">
      <c r="A1218" t="s">
        <v>48</v>
      </c>
      <c r="B1218" t="s">
        <v>35</v>
      </c>
      <c r="C1218" t="s">
        <v>50</v>
      </c>
      <c r="D1218" t="s">
        <v>214</v>
      </c>
      <c r="E1218" s="2">
        <v>933.45</v>
      </c>
      <c r="F1218">
        <v>122</v>
      </c>
    </row>
    <row r="1219" spans="1:6">
      <c r="A1219" t="s">
        <v>19</v>
      </c>
      <c r="B1219" t="s">
        <v>10</v>
      </c>
      <c r="C1219" t="s">
        <v>73</v>
      </c>
      <c r="D1219" t="s">
        <v>195</v>
      </c>
      <c r="E1219" s="2">
        <v>6826.32</v>
      </c>
      <c r="F1219">
        <v>44</v>
      </c>
    </row>
    <row r="1220" spans="1:6">
      <c r="A1220" t="s">
        <v>70</v>
      </c>
      <c r="B1220" t="s">
        <v>7</v>
      </c>
      <c r="C1220" t="s">
        <v>36</v>
      </c>
      <c r="D1220" t="s">
        <v>164</v>
      </c>
      <c r="E1220" s="2">
        <v>5029.3500000000004</v>
      </c>
      <c r="F1220">
        <v>61</v>
      </c>
    </row>
    <row r="1221" spans="1:6">
      <c r="A1221" t="s">
        <v>14</v>
      </c>
      <c r="B1221" t="s">
        <v>10</v>
      </c>
      <c r="C1221" t="s">
        <v>65</v>
      </c>
      <c r="D1221" s="1">
        <v>45233</v>
      </c>
      <c r="E1221" s="2">
        <v>5143.49</v>
      </c>
      <c r="F1221">
        <v>21</v>
      </c>
    </row>
    <row r="1222" spans="1:6">
      <c r="A1222" t="s">
        <v>79</v>
      </c>
      <c r="B1222" t="s">
        <v>7</v>
      </c>
      <c r="C1222" t="s">
        <v>65</v>
      </c>
      <c r="D1222" t="s">
        <v>168</v>
      </c>
      <c r="E1222" s="2">
        <v>16707.88</v>
      </c>
      <c r="F1222">
        <v>102</v>
      </c>
    </row>
    <row r="1223" spans="1:6">
      <c r="A1223" t="s">
        <v>40</v>
      </c>
      <c r="B1223" t="s">
        <v>25</v>
      </c>
      <c r="C1223" t="s">
        <v>23</v>
      </c>
      <c r="D1223" s="1">
        <v>45172</v>
      </c>
      <c r="E1223" s="2">
        <v>1558.87</v>
      </c>
      <c r="F1223">
        <v>46</v>
      </c>
    </row>
    <row r="1224" spans="1:6">
      <c r="A1224" t="s">
        <v>53</v>
      </c>
      <c r="B1224" t="s">
        <v>15</v>
      </c>
      <c r="C1224" t="s">
        <v>33</v>
      </c>
      <c r="D1224" t="s">
        <v>191</v>
      </c>
      <c r="E1224" s="2">
        <v>9332.76</v>
      </c>
      <c r="F1224">
        <v>196</v>
      </c>
    </row>
    <row r="1225" spans="1:6">
      <c r="A1225" t="s">
        <v>40</v>
      </c>
      <c r="B1225" t="s">
        <v>15</v>
      </c>
      <c r="C1225" t="s">
        <v>46</v>
      </c>
      <c r="D1225" t="s">
        <v>168</v>
      </c>
      <c r="E1225" s="2">
        <v>2673.47</v>
      </c>
      <c r="F1225">
        <v>375</v>
      </c>
    </row>
    <row r="1226" spans="1:6">
      <c r="A1226" t="s">
        <v>70</v>
      </c>
      <c r="B1226" t="s">
        <v>35</v>
      </c>
      <c r="C1226" t="s">
        <v>20</v>
      </c>
      <c r="D1226" t="s">
        <v>215</v>
      </c>
      <c r="E1226" s="2">
        <v>4950.21</v>
      </c>
      <c r="F1226">
        <v>54</v>
      </c>
    </row>
    <row r="1227" spans="1:6">
      <c r="A1227" t="s">
        <v>55</v>
      </c>
      <c r="B1227" t="s">
        <v>15</v>
      </c>
      <c r="C1227" t="s">
        <v>60</v>
      </c>
      <c r="D1227" s="1">
        <v>45261</v>
      </c>
      <c r="E1227" s="2">
        <v>2919.11</v>
      </c>
      <c r="F1227">
        <v>271</v>
      </c>
    </row>
    <row r="1228" spans="1:6">
      <c r="A1228" t="s">
        <v>41</v>
      </c>
      <c r="B1228" t="s">
        <v>25</v>
      </c>
      <c r="C1228" t="s">
        <v>59</v>
      </c>
      <c r="D1228" t="s">
        <v>165</v>
      </c>
      <c r="E1228" s="2">
        <v>8003.23</v>
      </c>
      <c r="F1228">
        <v>7</v>
      </c>
    </row>
    <row r="1229" spans="1:6">
      <c r="A1229" t="s">
        <v>9</v>
      </c>
      <c r="B1229" t="s">
        <v>7</v>
      </c>
      <c r="C1229" t="s">
        <v>46</v>
      </c>
      <c r="D1229" t="s">
        <v>216</v>
      </c>
      <c r="E1229" s="2">
        <v>4902.78</v>
      </c>
      <c r="F1229">
        <v>91</v>
      </c>
    </row>
    <row r="1230" spans="1:6">
      <c r="A1230" t="s">
        <v>19</v>
      </c>
      <c r="B1230" t="s">
        <v>35</v>
      </c>
      <c r="C1230" t="s">
        <v>20</v>
      </c>
      <c r="D1230" s="1">
        <v>44934</v>
      </c>
      <c r="E1230" s="2">
        <v>4033.53</v>
      </c>
      <c r="F1230">
        <v>430</v>
      </c>
    </row>
    <row r="1231" spans="1:6">
      <c r="A1231" t="s">
        <v>9</v>
      </c>
      <c r="B1231" t="s">
        <v>10</v>
      </c>
      <c r="C1231" t="s">
        <v>42</v>
      </c>
      <c r="D1231" t="s">
        <v>192</v>
      </c>
      <c r="E1231" s="2">
        <v>22751.18</v>
      </c>
      <c r="F1231">
        <v>182</v>
      </c>
    </row>
    <row r="1232" spans="1:6">
      <c r="A1232" t="s">
        <v>45</v>
      </c>
      <c r="B1232" t="s">
        <v>10</v>
      </c>
      <c r="C1232" t="s">
        <v>18</v>
      </c>
      <c r="D1232" s="1">
        <v>45207</v>
      </c>
      <c r="E1232" s="2">
        <v>5118.1099999999997</v>
      </c>
      <c r="F1232">
        <v>137</v>
      </c>
    </row>
    <row r="1233" spans="1:6">
      <c r="A1233" t="s">
        <v>14</v>
      </c>
      <c r="B1233" t="s">
        <v>10</v>
      </c>
      <c r="C1233" t="s">
        <v>36</v>
      </c>
      <c r="D1233" s="1">
        <v>45047</v>
      </c>
      <c r="E1233" s="2">
        <v>2835.9</v>
      </c>
      <c r="F1233">
        <v>26</v>
      </c>
    </row>
    <row r="1234" spans="1:6">
      <c r="A1234" t="s">
        <v>83</v>
      </c>
      <c r="B1234" t="s">
        <v>7</v>
      </c>
      <c r="C1234" t="s">
        <v>18</v>
      </c>
      <c r="D1234" s="1">
        <v>45237</v>
      </c>
      <c r="E1234" s="2">
        <v>5828.22</v>
      </c>
      <c r="F1234">
        <v>121</v>
      </c>
    </row>
    <row r="1235" spans="1:6">
      <c r="A1235" t="s">
        <v>64</v>
      </c>
      <c r="B1235" t="s">
        <v>32</v>
      </c>
      <c r="C1235" t="s">
        <v>23</v>
      </c>
      <c r="D1235" t="s">
        <v>217</v>
      </c>
      <c r="E1235" s="2">
        <v>396.19</v>
      </c>
      <c r="F1235">
        <v>32</v>
      </c>
    </row>
    <row r="1236" spans="1:6">
      <c r="A1236" t="s">
        <v>12</v>
      </c>
      <c r="B1236" t="s">
        <v>25</v>
      </c>
      <c r="C1236" t="s">
        <v>57</v>
      </c>
      <c r="D1236" s="1">
        <v>45020</v>
      </c>
      <c r="E1236" s="2">
        <v>11226.5</v>
      </c>
      <c r="F1236">
        <v>118</v>
      </c>
    </row>
    <row r="1237" spans="1:6">
      <c r="A1237" t="s">
        <v>31</v>
      </c>
      <c r="B1237" t="s">
        <v>32</v>
      </c>
      <c r="C1237" t="s">
        <v>73</v>
      </c>
      <c r="D1237" s="1">
        <v>45264</v>
      </c>
      <c r="E1237" s="2">
        <v>10102.86</v>
      </c>
      <c r="F1237">
        <v>107</v>
      </c>
    </row>
    <row r="1238" spans="1:6">
      <c r="A1238" t="s">
        <v>64</v>
      </c>
      <c r="B1238" t="s">
        <v>25</v>
      </c>
      <c r="C1238" t="s">
        <v>11</v>
      </c>
      <c r="D1238" s="1">
        <v>44965</v>
      </c>
      <c r="E1238" s="2">
        <v>2084.86</v>
      </c>
      <c r="F1238">
        <v>119</v>
      </c>
    </row>
    <row r="1239" spans="1:6">
      <c r="A1239" t="s">
        <v>12</v>
      </c>
      <c r="B1239" t="s">
        <v>25</v>
      </c>
      <c r="C1239" t="s">
        <v>60</v>
      </c>
      <c r="D1239" t="s">
        <v>191</v>
      </c>
      <c r="E1239" s="2">
        <v>8495.7900000000009</v>
      </c>
      <c r="F1239">
        <v>268</v>
      </c>
    </row>
    <row r="1240" spans="1:6">
      <c r="A1240" t="s">
        <v>83</v>
      </c>
      <c r="B1240" t="s">
        <v>15</v>
      </c>
      <c r="C1240" t="s">
        <v>36</v>
      </c>
      <c r="D1240" s="1">
        <v>45053</v>
      </c>
      <c r="E1240" s="2">
        <v>4248.34</v>
      </c>
      <c r="F1240">
        <v>130</v>
      </c>
    </row>
    <row r="1241" spans="1:6">
      <c r="A1241" t="s">
        <v>29</v>
      </c>
      <c r="B1241" t="s">
        <v>25</v>
      </c>
      <c r="C1241" t="s">
        <v>75</v>
      </c>
      <c r="D1241" s="1">
        <v>45113</v>
      </c>
      <c r="E1241" s="2">
        <v>2236.11</v>
      </c>
      <c r="F1241">
        <v>46</v>
      </c>
    </row>
    <row r="1242" spans="1:6">
      <c r="A1242" t="s">
        <v>28</v>
      </c>
      <c r="B1242" t="s">
        <v>25</v>
      </c>
      <c r="C1242" t="s">
        <v>18</v>
      </c>
      <c r="D1242" t="s">
        <v>218</v>
      </c>
      <c r="E1242" s="2">
        <v>1124.27</v>
      </c>
      <c r="F1242">
        <v>26</v>
      </c>
    </row>
    <row r="1243" spans="1:6">
      <c r="A1243" t="s">
        <v>28</v>
      </c>
      <c r="B1243" t="s">
        <v>15</v>
      </c>
      <c r="C1243" t="s">
        <v>87</v>
      </c>
      <c r="D1243" s="1">
        <v>45017</v>
      </c>
      <c r="E1243" s="2">
        <v>12870.47</v>
      </c>
      <c r="F1243">
        <v>227</v>
      </c>
    </row>
    <row r="1244" spans="1:6">
      <c r="A1244" t="s">
        <v>58</v>
      </c>
      <c r="B1244" t="s">
        <v>15</v>
      </c>
      <c r="C1244" t="s">
        <v>20</v>
      </c>
      <c r="D1244" t="s">
        <v>200</v>
      </c>
      <c r="E1244" s="2">
        <v>3017.66</v>
      </c>
      <c r="F1244">
        <v>19</v>
      </c>
    </row>
    <row r="1245" spans="1:6">
      <c r="A1245" t="s">
        <v>70</v>
      </c>
      <c r="B1245" t="s">
        <v>10</v>
      </c>
      <c r="C1245" t="s">
        <v>65</v>
      </c>
      <c r="D1245" t="s">
        <v>175</v>
      </c>
      <c r="E1245" s="2">
        <v>3574.12</v>
      </c>
      <c r="F1245">
        <v>149</v>
      </c>
    </row>
    <row r="1246" spans="1:6">
      <c r="A1246" t="s">
        <v>71</v>
      </c>
      <c r="B1246" t="s">
        <v>15</v>
      </c>
      <c r="C1246" t="s">
        <v>100</v>
      </c>
      <c r="D1246" t="s">
        <v>219</v>
      </c>
      <c r="E1246" s="2">
        <v>6249.31</v>
      </c>
      <c r="F1246">
        <v>509</v>
      </c>
    </row>
    <row r="1247" spans="1:6">
      <c r="A1247" t="s">
        <v>19</v>
      </c>
      <c r="B1247" t="s">
        <v>10</v>
      </c>
      <c r="C1247" t="s">
        <v>18</v>
      </c>
      <c r="D1247" s="1">
        <v>45109</v>
      </c>
      <c r="E1247" s="2">
        <v>10759.61</v>
      </c>
      <c r="F1247">
        <v>107</v>
      </c>
    </row>
    <row r="1248" spans="1:6">
      <c r="A1248" t="s">
        <v>55</v>
      </c>
      <c r="B1248" t="s">
        <v>7</v>
      </c>
      <c r="C1248" t="s">
        <v>42</v>
      </c>
      <c r="D1248" t="s">
        <v>220</v>
      </c>
      <c r="E1248" s="2">
        <v>2508.0300000000002</v>
      </c>
      <c r="F1248">
        <v>175</v>
      </c>
    </row>
    <row r="1249" spans="1:6">
      <c r="A1249" t="s">
        <v>40</v>
      </c>
      <c r="B1249" t="s">
        <v>10</v>
      </c>
      <c r="C1249" t="s">
        <v>90</v>
      </c>
      <c r="D1249" t="s">
        <v>211</v>
      </c>
      <c r="E1249" s="2">
        <v>4997.82</v>
      </c>
      <c r="F1249">
        <v>83</v>
      </c>
    </row>
    <row r="1250" spans="1:6">
      <c r="A1250" t="s">
        <v>37</v>
      </c>
      <c r="B1250" t="s">
        <v>7</v>
      </c>
      <c r="C1250" t="s">
        <v>36</v>
      </c>
      <c r="D1250" t="s">
        <v>164</v>
      </c>
      <c r="E1250" s="2">
        <v>7901.09</v>
      </c>
      <c r="F1250">
        <v>200</v>
      </c>
    </row>
    <row r="1251" spans="1:6">
      <c r="A1251" t="s">
        <v>9</v>
      </c>
      <c r="B1251" t="s">
        <v>10</v>
      </c>
      <c r="C1251" t="s">
        <v>87</v>
      </c>
      <c r="D1251" t="s">
        <v>196</v>
      </c>
      <c r="E1251" s="2">
        <v>3133.42</v>
      </c>
      <c r="F1251">
        <v>479</v>
      </c>
    </row>
    <row r="1252" spans="1:6">
      <c r="A1252" t="s">
        <v>12</v>
      </c>
      <c r="B1252" t="s">
        <v>7</v>
      </c>
      <c r="C1252" t="s">
        <v>23</v>
      </c>
      <c r="D1252" t="s">
        <v>221</v>
      </c>
      <c r="E1252" s="2">
        <v>8320.2900000000009</v>
      </c>
      <c r="F1252">
        <v>171</v>
      </c>
    </row>
    <row r="1253" spans="1:6">
      <c r="A1253" t="s">
        <v>48</v>
      </c>
      <c r="B1253" t="s">
        <v>15</v>
      </c>
      <c r="C1253" t="s">
        <v>33</v>
      </c>
      <c r="D1253" s="1">
        <v>45267</v>
      </c>
      <c r="E1253" s="2">
        <v>909.93</v>
      </c>
      <c r="F1253">
        <v>132</v>
      </c>
    </row>
    <row r="1254" spans="1:6">
      <c r="A1254" t="s">
        <v>6</v>
      </c>
      <c r="B1254" t="s">
        <v>35</v>
      </c>
      <c r="C1254" t="s">
        <v>18</v>
      </c>
      <c r="D1254" s="1">
        <v>45237</v>
      </c>
      <c r="E1254" s="2">
        <v>5631.26</v>
      </c>
      <c r="F1254">
        <v>142</v>
      </c>
    </row>
    <row r="1255" spans="1:6">
      <c r="A1255" t="s">
        <v>37</v>
      </c>
      <c r="B1255" t="s">
        <v>35</v>
      </c>
      <c r="C1255" t="s">
        <v>18</v>
      </c>
      <c r="D1255" t="s">
        <v>208</v>
      </c>
      <c r="E1255" s="2">
        <v>3283.44</v>
      </c>
      <c r="F1255">
        <v>186</v>
      </c>
    </row>
    <row r="1256" spans="1:6">
      <c r="A1256" t="s">
        <v>67</v>
      </c>
      <c r="B1256" t="s">
        <v>32</v>
      </c>
      <c r="C1256" t="s">
        <v>11</v>
      </c>
      <c r="D1256" s="1">
        <v>45050</v>
      </c>
      <c r="E1256" s="2">
        <v>9458.0300000000007</v>
      </c>
      <c r="F1256">
        <v>87</v>
      </c>
    </row>
    <row r="1257" spans="1:6">
      <c r="A1257" t="s">
        <v>6</v>
      </c>
      <c r="B1257" t="s">
        <v>35</v>
      </c>
      <c r="C1257" t="s">
        <v>46</v>
      </c>
      <c r="D1257" t="s">
        <v>212</v>
      </c>
      <c r="E1257" s="2">
        <v>7726.25</v>
      </c>
      <c r="F1257">
        <v>12</v>
      </c>
    </row>
    <row r="1258" spans="1:6">
      <c r="A1258" t="s">
        <v>29</v>
      </c>
      <c r="B1258" t="s">
        <v>25</v>
      </c>
      <c r="C1258" t="s">
        <v>90</v>
      </c>
      <c r="D1258" t="s">
        <v>222</v>
      </c>
      <c r="E1258" s="2">
        <v>14369.4</v>
      </c>
      <c r="F1258">
        <v>15</v>
      </c>
    </row>
    <row r="1259" spans="1:6">
      <c r="A1259" t="s">
        <v>34</v>
      </c>
      <c r="B1259" t="s">
        <v>15</v>
      </c>
      <c r="C1259" t="s">
        <v>46</v>
      </c>
      <c r="D1259" t="s">
        <v>223</v>
      </c>
      <c r="E1259" s="2">
        <v>2829.57</v>
      </c>
      <c r="F1259">
        <v>106</v>
      </c>
    </row>
    <row r="1260" spans="1:6">
      <c r="A1260" t="s">
        <v>31</v>
      </c>
      <c r="B1260" t="s">
        <v>32</v>
      </c>
      <c r="C1260" t="s">
        <v>57</v>
      </c>
      <c r="D1260" t="s">
        <v>210</v>
      </c>
      <c r="E1260" s="2">
        <v>9370.61</v>
      </c>
      <c r="F1260">
        <v>45</v>
      </c>
    </row>
    <row r="1261" spans="1:6">
      <c r="A1261" t="s">
        <v>40</v>
      </c>
      <c r="B1261" t="s">
        <v>7</v>
      </c>
      <c r="C1261" t="s">
        <v>90</v>
      </c>
      <c r="D1261" t="s">
        <v>187</v>
      </c>
      <c r="E1261" s="2">
        <v>3651.49</v>
      </c>
      <c r="F1261">
        <v>112</v>
      </c>
    </row>
    <row r="1262" spans="1:6">
      <c r="A1262" t="s">
        <v>34</v>
      </c>
      <c r="B1262" t="s">
        <v>25</v>
      </c>
      <c r="C1262" t="s">
        <v>60</v>
      </c>
      <c r="D1262" t="s">
        <v>224</v>
      </c>
      <c r="E1262" s="2">
        <v>10229.99</v>
      </c>
      <c r="F1262">
        <v>12</v>
      </c>
    </row>
    <row r="1263" spans="1:6">
      <c r="A1263" t="s">
        <v>45</v>
      </c>
      <c r="B1263" t="s">
        <v>10</v>
      </c>
      <c r="C1263" t="s">
        <v>13</v>
      </c>
      <c r="D1263" s="1">
        <v>45232</v>
      </c>
      <c r="E1263" s="2">
        <v>11596.89</v>
      </c>
      <c r="F1263">
        <v>22</v>
      </c>
    </row>
    <row r="1264" spans="1:6">
      <c r="A1264" t="s">
        <v>45</v>
      </c>
      <c r="B1264" t="s">
        <v>25</v>
      </c>
      <c r="C1264" t="s">
        <v>46</v>
      </c>
      <c r="D1264" s="1">
        <v>44960</v>
      </c>
      <c r="E1264" s="2">
        <v>5857.9</v>
      </c>
      <c r="F1264">
        <v>111</v>
      </c>
    </row>
    <row r="1265" spans="1:6">
      <c r="A1265" t="s">
        <v>83</v>
      </c>
      <c r="B1265" t="s">
        <v>15</v>
      </c>
      <c r="C1265" t="s">
        <v>59</v>
      </c>
      <c r="D1265" s="1">
        <v>44960</v>
      </c>
      <c r="E1265" s="2">
        <v>1177.6400000000001</v>
      </c>
      <c r="F1265">
        <v>206</v>
      </c>
    </row>
    <row r="1266" spans="1:6">
      <c r="A1266" t="s">
        <v>9</v>
      </c>
      <c r="B1266" t="s">
        <v>32</v>
      </c>
      <c r="C1266" t="s">
        <v>20</v>
      </c>
      <c r="D1266" t="s">
        <v>168</v>
      </c>
      <c r="E1266" s="2">
        <v>12930.11</v>
      </c>
      <c r="F1266">
        <v>6</v>
      </c>
    </row>
    <row r="1267" spans="1:6">
      <c r="A1267" t="s">
        <v>70</v>
      </c>
      <c r="B1267" t="s">
        <v>10</v>
      </c>
      <c r="C1267" t="s">
        <v>23</v>
      </c>
      <c r="D1267" s="1">
        <v>45108</v>
      </c>
      <c r="E1267" s="2">
        <v>1732.04</v>
      </c>
      <c r="F1267">
        <v>531</v>
      </c>
    </row>
    <row r="1268" spans="1:6">
      <c r="A1268" t="s">
        <v>28</v>
      </c>
      <c r="B1268" t="s">
        <v>7</v>
      </c>
      <c r="C1268" t="s">
        <v>59</v>
      </c>
      <c r="D1268" s="1">
        <v>45264</v>
      </c>
      <c r="E1268" s="2">
        <v>5837.17</v>
      </c>
      <c r="F1268">
        <v>173</v>
      </c>
    </row>
    <row r="1269" spans="1:6">
      <c r="A1269" t="s">
        <v>9</v>
      </c>
      <c r="B1269" t="s">
        <v>35</v>
      </c>
      <c r="C1269" t="s">
        <v>65</v>
      </c>
      <c r="D1269" t="s">
        <v>172</v>
      </c>
      <c r="E1269" s="2">
        <v>3424.66</v>
      </c>
      <c r="F1269">
        <v>70</v>
      </c>
    </row>
    <row r="1270" spans="1:6">
      <c r="A1270" t="s">
        <v>6</v>
      </c>
      <c r="B1270" t="s">
        <v>15</v>
      </c>
      <c r="C1270" t="s">
        <v>26</v>
      </c>
      <c r="D1270" t="s">
        <v>225</v>
      </c>
      <c r="E1270" s="2">
        <v>5700.28</v>
      </c>
      <c r="F1270">
        <v>422</v>
      </c>
    </row>
    <row r="1271" spans="1:6">
      <c r="A1271" t="s">
        <v>37</v>
      </c>
      <c r="B1271" t="s">
        <v>7</v>
      </c>
      <c r="C1271" t="s">
        <v>87</v>
      </c>
      <c r="D1271" s="1">
        <v>45109</v>
      </c>
      <c r="E1271" s="2">
        <v>5094.4799999999996</v>
      </c>
      <c r="F1271">
        <v>373</v>
      </c>
    </row>
    <row r="1272" spans="1:6">
      <c r="A1272" t="s">
        <v>6</v>
      </c>
      <c r="B1272" t="s">
        <v>15</v>
      </c>
      <c r="C1272" t="s">
        <v>33</v>
      </c>
      <c r="D1272" t="s">
        <v>213</v>
      </c>
      <c r="E1272" s="2">
        <v>14529.2</v>
      </c>
      <c r="F1272">
        <v>26</v>
      </c>
    </row>
    <row r="1273" spans="1:6">
      <c r="A1273" t="s">
        <v>40</v>
      </c>
      <c r="B1273" t="s">
        <v>10</v>
      </c>
      <c r="C1273" t="s">
        <v>13</v>
      </c>
      <c r="D1273" s="1">
        <v>45200</v>
      </c>
      <c r="E1273" s="2">
        <v>6761.28</v>
      </c>
      <c r="F1273">
        <v>145</v>
      </c>
    </row>
    <row r="1274" spans="1:6">
      <c r="A1274" t="s">
        <v>19</v>
      </c>
      <c r="B1274" t="s">
        <v>7</v>
      </c>
      <c r="C1274" t="s">
        <v>75</v>
      </c>
      <c r="D1274" t="s">
        <v>226</v>
      </c>
      <c r="E1274" s="2">
        <v>10370.44</v>
      </c>
      <c r="F1274">
        <v>44</v>
      </c>
    </row>
    <row r="1275" spans="1:6">
      <c r="A1275" t="s">
        <v>12</v>
      </c>
      <c r="B1275" t="s">
        <v>32</v>
      </c>
      <c r="C1275" t="s">
        <v>50</v>
      </c>
      <c r="D1275" t="s">
        <v>227</v>
      </c>
      <c r="E1275" s="2">
        <v>12450.24</v>
      </c>
      <c r="F1275">
        <v>57</v>
      </c>
    </row>
    <row r="1276" spans="1:6">
      <c r="A1276" t="s">
        <v>31</v>
      </c>
      <c r="B1276" t="s">
        <v>15</v>
      </c>
      <c r="C1276" t="s">
        <v>59</v>
      </c>
      <c r="D1276" s="1">
        <v>45023</v>
      </c>
      <c r="E1276" s="2">
        <v>8927.6299999999992</v>
      </c>
      <c r="F1276">
        <v>386</v>
      </c>
    </row>
    <row r="1277" spans="1:6">
      <c r="A1277" t="s">
        <v>55</v>
      </c>
      <c r="B1277" t="s">
        <v>35</v>
      </c>
      <c r="C1277" t="s">
        <v>13</v>
      </c>
      <c r="D1277" s="1">
        <v>45023</v>
      </c>
      <c r="E1277" s="2">
        <v>3438.7</v>
      </c>
      <c r="F1277">
        <v>191</v>
      </c>
    </row>
    <row r="1278" spans="1:6">
      <c r="A1278" t="s">
        <v>79</v>
      </c>
      <c r="B1278" t="s">
        <v>32</v>
      </c>
      <c r="C1278" t="s">
        <v>60</v>
      </c>
      <c r="D1278" s="1">
        <v>45207</v>
      </c>
      <c r="E1278" s="2">
        <v>299.70999999999998</v>
      </c>
      <c r="F1278">
        <v>207</v>
      </c>
    </row>
    <row r="1279" spans="1:6">
      <c r="A1279" t="s">
        <v>58</v>
      </c>
      <c r="B1279" t="s">
        <v>15</v>
      </c>
      <c r="C1279" t="s">
        <v>26</v>
      </c>
      <c r="D1279" s="1">
        <v>44930</v>
      </c>
      <c r="E1279" s="2">
        <v>7374.26</v>
      </c>
      <c r="F1279">
        <v>12</v>
      </c>
    </row>
    <row r="1280" spans="1:6">
      <c r="A1280" t="s">
        <v>12</v>
      </c>
      <c r="B1280" t="s">
        <v>10</v>
      </c>
      <c r="C1280" t="s">
        <v>73</v>
      </c>
      <c r="D1280" t="s">
        <v>228</v>
      </c>
      <c r="E1280" s="2">
        <v>2775.87</v>
      </c>
      <c r="F1280">
        <v>174</v>
      </c>
    </row>
    <row r="1281" spans="1:6">
      <c r="A1281" t="s">
        <v>71</v>
      </c>
      <c r="B1281" t="s">
        <v>7</v>
      </c>
      <c r="C1281" t="s">
        <v>59</v>
      </c>
      <c r="D1281" s="1">
        <v>44986</v>
      </c>
      <c r="E1281" s="2">
        <v>9957.66</v>
      </c>
      <c r="F1281">
        <v>194</v>
      </c>
    </row>
    <row r="1282" spans="1:6">
      <c r="A1282" t="s">
        <v>37</v>
      </c>
      <c r="B1282" t="s">
        <v>10</v>
      </c>
      <c r="C1282" t="s">
        <v>38</v>
      </c>
      <c r="D1282" t="s">
        <v>229</v>
      </c>
      <c r="E1282" s="2">
        <v>5064.88</v>
      </c>
      <c r="F1282">
        <v>251</v>
      </c>
    </row>
    <row r="1283" spans="1:6">
      <c r="A1283" t="s">
        <v>79</v>
      </c>
      <c r="B1283" t="s">
        <v>7</v>
      </c>
      <c r="C1283" t="s">
        <v>20</v>
      </c>
      <c r="D1283" s="1">
        <v>44986</v>
      </c>
      <c r="E1283" s="2">
        <v>9865.0499999999993</v>
      </c>
      <c r="F1283">
        <v>273</v>
      </c>
    </row>
    <row r="1284" spans="1:6">
      <c r="A1284" t="s">
        <v>53</v>
      </c>
      <c r="B1284" t="s">
        <v>25</v>
      </c>
      <c r="C1284" t="s">
        <v>90</v>
      </c>
      <c r="D1284" t="s">
        <v>199</v>
      </c>
      <c r="E1284" s="2">
        <v>571.52</v>
      </c>
      <c r="F1284">
        <v>489</v>
      </c>
    </row>
    <row r="1285" spans="1:6">
      <c r="A1285" t="s">
        <v>31</v>
      </c>
      <c r="B1285" t="s">
        <v>7</v>
      </c>
      <c r="C1285" t="s">
        <v>26</v>
      </c>
      <c r="D1285" t="s">
        <v>210</v>
      </c>
      <c r="E1285" s="2">
        <v>656.44</v>
      </c>
      <c r="F1285">
        <v>67</v>
      </c>
    </row>
    <row r="1286" spans="1:6">
      <c r="A1286" t="s">
        <v>48</v>
      </c>
      <c r="B1286" t="s">
        <v>15</v>
      </c>
      <c r="C1286" t="s">
        <v>42</v>
      </c>
      <c r="D1286" t="s">
        <v>191</v>
      </c>
      <c r="E1286" s="2">
        <v>4008.93</v>
      </c>
      <c r="F1286">
        <v>301</v>
      </c>
    </row>
    <row r="1287" spans="1:6">
      <c r="A1287" t="s">
        <v>53</v>
      </c>
      <c r="B1287" t="s">
        <v>7</v>
      </c>
      <c r="C1287" t="s">
        <v>75</v>
      </c>
      <c r="D1287" s="1">
        <v>44960</v>
      </c>
      <c r="E1287" s="2">
        <v>4679.0600000000004</v>
      </c>
      <c r="F1287">
        <v>43</v>
      </c>
    </row>
    <row r="1288" spans="1:6">
      <c r="A1288" t="s">
        <v>64</v>
      </c>
      <c r="B1288" t="s">
        <v>15</v>
      </c>
      <c r="C1288" t="s">
        <v>23</v>
      </c>
      <c r="D1288" t="s">
        <v>194</v>
      </c>
      <c r="E1288" s="2">
        <v>3446.84</v>
      </c>
      <c r="F1288">
        <v>28</v>
      </c>
    </row>
    <row r="1289" spans="1:6">
      <c r="A1289" t="s">
        <v>58</v>
      </c>
      <c r="B1289" t="s">
        <v>32</v>
      </c>
      <c r="C1289" t="s">
        <v>65</v>
      </c>
      <c r="D1289" t="s">
        <v>180</v>
      </c>
      <c r="E1289" s="2">
        <v>11884.52</v>
      </c>
      <c r="F1289">
        <v>82</v>
      </c>
    </row>
    <row r="1290" spans="1:6">
      <c r="A1290" t="s">
        <v>31</v>
      </c>
      <c r="B1290" t="s">
        <v>35</v>
      </c>
      <c r="C1290" t="s">
        <v>13</v>
      </c>
      <c r="D1290" s="1">
        <v>45113</v>
      </c>
      <c r="E1290" s="2">
        <v>2167.19</v>
      </c>
      <c r="F1290">
        <v>85</v>
      </c>
    </row>
    <row r="1291" spans="1:6">
      <c r="A1291" t="s">
        <v>55</v>
      </c>
      <c r="B1291" t="s">
        <v>32</v>
      </c>
      <c r="C1291" t="s">
        <v>100</v>
      </c>
      <c r="D1291" s="1">
        <v>45265</v>
      </c>
      <c r="E1291" s="2">
        <v>4199.84</v>
      </c>
      <c r="F1291">
        <v>107</v>
      </c>
    </row>
    <row r="1292" spans="1:6">
      <c r="A1292" t="s">
        <v>31</v>
      </c>
      <c r="B1292" t="s">
        <v>25</v>
      </c>
      <c r="C1292" t="s">
        <v>73</v>
      </c>
      <c r="D1292" t="s">
        <v>223</v>
      </c>
      <c r="E1292" s="2">
        <v>7358.7</v>
      </c>
      <c r="F1292">
        <v>68</v>
      </c>
    </row>
    <row r="1293" spans="1:6">
      <c r="A1293" t="s">
        <v>58</v>
      </c>
      <c r="B1293" t="s">
        <v>7</v>
      </c>
      <c r="C1293" t="s">
        <v>59</v>
      </c>
      <c r="D1293" s="1">
        <v>44993</v>
      </c>
      <c r="E1293" s="2">
        <v>7870.09</v>
      </c>
      <c r="F1293">
        <v>274</v>
      </c>
    </row>
    <row r="1294" spans="1:6">
      <c r="A1294" t="s">
        <v>31</v>
      </c>
      <c r="B1294" t="s">
        <v>10</v>
      </c>
      <c r="C1294" t="s">
        <v>87</v>
      </c>
      <c r="D1294" t="s">
        <v>201</v>
      </c>
      <c r="E1294" s="2">
        <v>7454.25</v>
      </c>
      <c r="F1294">
        <v>148</v>
      </c>
    </row>
    <row r="1295" spans="1:6">
      <c r="A1295" t="s">
        <v>9</v>
      </c>
      <c r="B1295" t="s">
        <v>25</v>
      </c>
      <c r="C1295" t="s">
        <v>18</v>
      </c>
      <c r="D1295" t="s">
        <v>230</v>
      </c>
      <c r="E1295" s="2">
        <v>3112.3</v>
      </c>
      <c r="F1295">
        <v>41</v>
      </c>
    </row>
    <row r="1296" spans="1:6">
      <c r="A1296" t="s">
        <v>41</v>
      </c>
      <c r="B1296" t="s">
        <v>7</v>
      </c>
      <c r="C1296" t="s">
        <v>59</v>
      </c>
      <c r="D1296" t="s">
        <v>180</v>
      </c>
      <c r="E1296" s="2">
        <v>6901.22</v>
      </c>
      <c r="F1296">
        <v>80</v>
      </c>
    </row>
    <row r="1297" spans="1:6">
      <c r="A1297" t="s">
        <v>71</v>
      </c>
      <c r="B1297" t="s">
        <v>25</v>
      </c>
      <c r="C1297" t="s">
        <v>8</v>
      </c>
      <c r="D1297" t="s">
        <v>231</v>
      </c>
      <c r="E1297" s="2">
        <v>1178</v>
      </c>
      <c r="F1297">
        <v>199</v>
      </c>
    </row>
    <row r="1298" spans="1:6">
      <c r="A1298" t="s">
        <v>83</v>
      </c>
      <c r="B1298" t="s">
        <v>7</v>
      </c>
      <c r="C1298" t="s">
        <v>33</v>
      </c>
      <c r="D1298" t="s">
        <v>162</v>
      </c>
      <c r="E1298" s="2">
        <v>14953.83</v>
      </c>
      <c r="F1298">
        <v>53</v>
      </c>
    </row>
    <row r="1299" spans="1:6">
      <c r="A1299" t="s">
        <v>14</v>
      </c>
      <c r="B1299" t="s">
        <v>15</v>
      </c>
      <c r="C1299" t="s">
        <v>59</v>
      </c>
      <c r="D1299" t="s">
        <v>232</v>
      </c>
      <c r="E1299" s="2">
        <v>3958.57</v>
      </c>
      <c r="F1299">
        <v>33</v>
      </c>
    </row>
    <row r="1300" spans="1:6">
      <c r="A1300" t="s">
        <v>34</v>
      </c>
      <c r="B1300" t="s">
        <v>35</v>
      </c>
      <c r="C1300" t="s">
        <v>11</v>
      </c>
      <c r="D1300" t="s">
        <v>166</v>
      </c>
      <c r="E1300" s="2">
        <v>1639.01</v>
      </c>
      <c r="F1300">
        <v>430</v>
      </c>
    </row>
    <row r="1301" spans="1:6">
      <c r="A1301" t="s">
        <v>29</v>
      </c>
      <c r="B1301" t="s">
        <v>10</v>
      </c>
      <c r="C1301" t="s">
        <v>50</v>
      </c>
      <c r="D1301" s="1">
        <v>45017</v>
      </c>
      <c r="E1301" s="2">
        <v>8586.0400000000009</v>
      </c>
      <c r="F1301">
        <v>144</v>
      </c>
    </row>
    <row r="1302" spans="1:6">
      <c r="A1302" t="s">
        <v>83</v>
      </c>
      <c r="B1302" t="s">
        <v>15</v>
      </c>
      <c r="C1302" t="s">
        <v>8</v>
      </c>
      <c r="D1302" t="s">
        <v>212</v>
      </c>
      <c r="E1302" s="2">
        <v>10000.219999999999</v>
      </c>
      <c r="F1302">
        <v>98</v>
      </c>
    </row>
    <row r="1303" spans="1:6">
      <c r="A1303" t="s">
        <v>37</v>
      </c>
      <c r="B1303" t="s">
        <v>15</v>
      </c>
      <c r="C1303" t="s">
        <v>59</v>
      </c>
      <c r="D1303" s="1">
        <v>45047</v>
      </c>
      <c r="E1303" s="2">
        <v>8448.39</v>
      </c>
      <c r="F1303">
        <v>52</v>
      </c>
    </row>
    <row r="1304" spans="1:6">
      <c r="A1304" t="s">
        <v>41</v>
      </c>
      <c r="B1304" t="s">
        <v>10</v>
      </c>
      <c r="C1304" t="s">
        <v>38</v>
      </c>
      <c r="D1304" t="s">
        <v>189</v>
      </c>
      <c r="E1304" s="2">
        <v>6984.74</v>
      </c>
      <c r="F1304">
        <v>51</v>
      </c>
    </row>
    <row r="1305" spans="1:6">
      <c r="A1305" t="s">
        <v>28</v>
      </c>
      <c r="B1305" t="s">
        <v>15</v>
      </c>
      <c r="C1305" t="s">
        <v>75</v>
      </c>
      <c r="D1305" t="s">
        <v>203</v>
      </c>
      <c r="E1305" s="2">
        <v>5641.54</v>
      </c>
      <c r="F1305">
        <v>61</v>
      </c>
    </row>
    <row r="1306" spans="1:6">
      <c r="A1306" t="s">
        <v>37</v>
      </c>
      <c r="B1306" t="s">
        <v>35</v>
      </c>
      <c r="C1306" t="s">
        <v>36</v>
      </c>
      <c r="D1306" t="s">
        <v>166</v>
      </c>
      <c r="E1306" s="2">
        <v>3850.87</v>
      </c>
      <c r="F1306">
        <v>372</v>
      </c>
    </row>
    <row r="1307" spans="1:6">
      <c r="A1307" t="s">
        <v>12</v>
      </c>
      <c r="B1307" t="s">
        <v>32</v>
      </c>
      <c r="C1307" t="s">
        <v>20</v>
      </c>
      <c r="D1307" s="1">
        <v>44963</v>
      </c>
      <c r="E1307" s="2">
        <v>885.68</v>
      </c>
      <c r="F1307">
        <v>240</v>
      </c>
    </row>
    <row r="1308" spans="1:6">
      <c r="A1308" t="s">
        <v>40</v>
      </c>
      <c r="B1308" t="s">
        <v>7</v>
      </c>
      <c r="C1308" t="s">
        <v>18</v>
      </c>
      <c r="D1308" t="s">
        <v>233</v>
      </c>
      <c r="E1308" s="2">
        <v>21251.67</v>
      </c>
      <c r="F1308">
        <v>91</v>
      </c>
    </row>
    <row r="1309" spans="1:6">
      <c r="A1309" t="s">
        <v>41</v>
      </c>
      <c r="B1309" t="s">
        <v>25</v>
      </c>
      <c r="C1309" t="s">
        <v>87</v>
      </c>
      <c r="D1309" s="1">
        <v>44993</v>
      </c>
      <c r="E1309" s="2">
        <v>1452.61</v>
      </c>
      <c r="F1309">
        <v>142</v>
      </c>
    </row>
    <row r="1310" spans="1:6">
      <c r="A1310" t="s">
        <v>41</v>
      </c>
      <c r="B1310" t="s">
        <v>15</v>
      </c>
      <c r="C1310" t="s">
        <v>46</v>
      </c>
      <c r="D1310" t="s">
        <v>203</v>
      </c>
      <c r="E1310" s="2">
        <v>793.17</v>
      </c>
      <c r="F1310">
        <v>400</v>
      </c>
    </row>
    <row r="1311" spans="1:6">
      <c r="A1311" t="s">
        <v>9</v>
      </c>
      <c r="B1311" t="s">
        <v>7</v>
      </c>
      <c r="C1311" t="s">
        <v>73</v>
      </c>
      <c r="D1311" t="s">
        <v>211</v>
      </c>
      <c r="E1311" s="2">
        <v>7152.22</v>
      </c>
      <c r="F1311">
        <v>83</v>
      </c>
    </row>
    <row r="1312" spans="1:6">
      <c r="A1312" t="s">
        <v>14</v>
      </c>
      <c r="B1312" t="s">
        <v>15</v>
      </c>
      <c r="C1312" t="s">
        <v>33</v>
      </c>
      <c r="D1312" s="1">
        <v>45023</v>
      </c>
      <c r="E1312" s="2">
        <v>3364.44</v>
      </c>
      <c r="F1312">
        <v>126</v>
      </c>
    </row>
    <row r="1313" spans="1:6">
      <c r="A1313" t="s">
        <v>6</v>
      </c>
      <c r="B1313" t="s">
        <v>10</v>
      </c>
      <c r="C1313" t="s">
        <v>26</v>
      </c>
      <c r="D1313" s="1">
        <v>45053</v>
      </c>
      <c r="E1313" s="2">
        <v>3470.6</v>
      </c>
      <c r="F1313">
        <v>129</v>
      </c>
    </row>
    <row r="1314" spans="1:6">
      <c r="A1314" t="s">
        <v>77</v>
      </c>
      <c r="B1314" t="s">
        <v>32</v>
      </c>
      <c r="C1314" t="s">
        <v>23</v>
      </c>
      <c r="D1314" t="s">
        <v>234</v>
      </c>
      <c r="E1314" s="2">
        <v>4676.32</v>
      </c>
      <c r="F1314">
        <v>440</v>
      </c>
    </row>
    <row r="1315" spans="1:6">
      <c r="A1315" t="s">
        <v>31</v>
      </c>
      <c r="B1315" t="s">
        <v>7</v>
      </c>
      <c r="C1315" t="s">
        <v>73</v>
      </c>
      <c r="D1315" t="s">
        <v>186</v>
      </c>
      <c r="E1315" s="2">
        <v>6323.45</v>
      </c>
      <c r="F1315">
        <v>70</v>
      </c>
    </row>
    <row r="1316" spans="1:6">
      <c r="A1316" t="s">
        <v>83</v>
      </c>
      <c r="B1316" t="s">
        <v>15</v>
      </c>
      <c r="C1316" t="s">
        <v>100</v>
      </c>
      <c r="D1316" s="1">
        <v>45261</v>
      </c>
      <c r="E1316" s="2">
        <v>3252.7</v>
      </c>
      <c r="F1316">
        <v>119</v>
      </c>
    </row>
    <row r="1317" spans="1:6">
      <c r="A1317" t="s">
        <v>40</v>
      </c>
      <c r="B1317" t="s">
        <v>7</v>
      </c>
      <c r="C1317" t="s">
        <v>87</v>
      </c>
      <c r="D1317" s="1">
        <v>45205</v>
      </c>
      <c r="E1317" s="2">
        <v>254.16</v>
      </c>
      <c r="F1317">
        <v>161</v>
      </c>
    </row>
    <row r="1318" spans="1:6">
      <c r="A1318" t="s">
        <v>55</v>
      </c>
      <c r="B1318" t="s">
        <v>15</v>
      </c>
      <c r="C1318" t="s">
        <v>13</v>
      </c>
      <c r="D1318" t="s">
        <v>235</v>
      </c>
      <c r="E1318" s="2">
        <v>6127.37</v>
      </c>
      <c r="F1318">
        <v>299</v>
      </c>
    </row>
    <row r="1319" spans="1:6">
      <c r="A1319" t="s">
        <v>29</v>
      </c>
      <c r="B1319" t="s">
        <v>10</v>
      </c>
      <c r="C1319" t="s">
        <v>65</v>
      </c>
      <c r="D1319" t="s">
        <v>232</v>
      </c>
      <c r="E1319" s="2">
        <v>3791.66</v>
      </c>
      <c r="F1319">
        <v>100</v>
      </c>
    </row>
    <row r="1320" spans="1:6">
      <c r="A1320" t="s">
        <v>53</v>
      </c>
      <c r="B1320" t="s">
        <v>7</v>
      </c>
      <c r="C1320" t="s">
        <v>90</v>
      </c>
      <c r="D1320" t="s">
        <v>184</v>
      </c>
      <c r="E1320" s="2">
        <v>17059.689999999999</v>
      </c>
      <c r="F1320">
        <v>456</v>
      </c>
    </row>
    <row r="1321" spans="1:6">
      <c r="A1321" t="s">
        <v>45</v>
      </c>
      <c r="B1321" t="s">
        <v>10</v>
      </c>
      <c r="C1321" t="s">
        <v>33</v>
      </c>
      <c r="D1321" t="s">
        <v>172</v>
      </c>
      <c r="E1321" s="2">
        <v>4154.4399999999996</v>
      </c>
      <c r="F1321">
        <v>18</v>
      </c>
    </row>
    <row r="1322" spans="1:6">
      <c r="A1322" t="s">
        <v>6</v>
      </c>
      <c r="B1322" t="s">
        <v>7</v>
      </c>
      <c r="C1322" t="s">
        <v>100</v>
      </c>
      <c r="D1322" t="s">
        <v>195</v>
      </c>
      <c r="E1322" s="2">
        <v>6168.51</v>
      </c>
      <c r="F1322">
        <v>280</v>
      </c>
    </row>
    <row r="1323" spans="1:6">
      <c r="A1323" t="s">
        <v>53</v>
      </c>
      <c r="B1323" t="s">
        <v>15</v>
      </c>
      <c r="C1323" t="s">
        <v>60</v>
      </c>
      <c r="D1323" t="s">
        <v>234</v>
      </c>
      <c r="E1323" s="2">
        <v>7984.45</v>
      </c>
      <c r="F1323">
        <v>95</v>
      </c>
    </row>
    <row r="1324" spans="1:6">
      <c r="A1324" t="s">
        <v>77</v>
      </c>
      <c r="B1324" t="s">
        <v>32</v>
      </c>
      <c r="C1324" t="s">
        <v>36</v>
      </c>
      <c r="D1324" t="s">
        <v>236</v>
      </c>
      <c r="E1324" s="2">
        <v>9108.33</v>
      </c>
      <c r="F1324">
        <v>213</v>
      </c>
    </row>
    <row r="1325" spans="1:6">
      <c r="A1325" t="s">
        <v>28</v>
      </c>
      <c r="B1325" t="s">
        <v>10</v>
      </c>
      <c r="C1325" t="s">
        <v>36</v>
      </c>
      <c r="D1325" t="s">
        <v>219</v>
      </c>
      <c r="E1325" s="2">
        <v>1511.51</v>
      </c>
      <c r="F1325">
        <v>58</v>
      </c>
    </row>
    <row r="1326" spans="1:6">
      <c r="A1326" t="s">
        <v>34</v>
      </c>
      <c r="B1326" t="s">
        <v>25</v>
      </c>
      <c r="C1326" t="s">
        <v>59</v>
      </c>
      <c r="D1326" t="s">
        <v>207</v>
      </c>
      <c r="E1326" s="2">
        <v>3364.28</v>
      </c>
      <c r="F1326">
        <v>265</v>
      </c>
    </row>
    <row r="1327" spans="1:6">
      <c r="A1327" t="s">
        <v>53</v>
      </c>
      <c r="B1327" t="s">
        <v>32</v>
      </c>
      <c r="C1327" t="s">
        <v>46</v>
      </c>
      <c r="D1327" s="1">
        <v>44960</v>
      </c>
      <c r="E1327" s="2">
        <v>934.49</v>
      </c>
      <c r="F1327">
        <v>54</v>
      </c>
    </row>
    <row r="1328" spans="1:6">
      <c r="A1328" t="s">
        <v>9</v>
      </c>
      <c r="B1328" t="s">
        <v>15</v>
      </c>
      <c r="C1328" t="s">
        <v>46</v>
      </c>
      <c r="D1328" t="s">
        <v>196</v>
      </c>
      <c r="E1328" s="2">
        <v>8895.7000000000007</v>
      </c>
      <c r="F1328">
        <v>91</v>
      </c>
    </row>
    <row r="1329" spans="1:6">
      <c r="A1329" t="s">
        <v>41</v>
      </c>
      <c r="B1329" t="s">
        <v>35</v>
      </c>
      <c r="C1329" t="s">
        <v>59</v>
      </c>
      <c r="D1329" t="s">
        <v>189</v>
      </c>
      <c r="E1329" s="2">
        <v>9957.2000000000007</v>
      </c>
      <c r="F1329">
        <v>185</v>
      </c>
    </row>
    <row r="1330" spans="1:6">
      <c r="A1330" t="s">
        <v>79</v>
      </c>
      <c r="B1330" t="s">
        <v>15</v>
      </c>
      <c r="C1330" t="s">
        <v>26</v>
      </c>
      <c r="D1330" s="1">
        <v>45265</v>
      </c>
      <c r="E1330" s="2">
        <v>3359.18</v>
      </c>
      <c r="F1330">
        <v>256</v>
      </c>
    </row>
    <row r="1331" spans="1:6">
      <c r="A1331" t="s">
        <v>34</v>
      </c>
      <c r="B1331" t="s">
        <v>25</v>
      </c>
      <c r="C1331" t="s">
        <v>42</v>
      </c>
      <c r="D1331" s="1">
        <v>44933</v>
      </c>
      <c r="E1331" s="2">
        <v>5098.29</v>
      </c>
      <c r="F1331">
        <v>276</v>
      </c>
    </row>
    <row r="1332" spans="1:6">
      <c r="A1332" t="s">
        <v>53</v>
      </c>
      <c r="B1332" t="s">
        <v>32</v>
      </c>
      <c r="C1332" t="s">
        <v>11</v>
      </c>
      <c r="D1332" s="1">
        <v>45146</v>
      </c>
      <c r="E1332" s="2">
        <v>398.28</v>
      </c>
      <c r="F1332">
        <v>52</v>
      </c>
    </row>
    <row r="1333" spans="1:6">
      <c r="A1333" t="s">
        <v>77</v>
      </c>
      <c r="B1333" t="s">
        <v>15</v>
      </c>
      <c r="C1333" t="s">
        <v>26</v>
      </c>
      <c r="D1333" t="s">
        <v>216</v>
      </c>
      <c r="E1333" s="2">
        <v>7473.14</v>
      </c>
      <c r="F1333">
        <v>6</v>
      </c>
    </row>
    <row r="1334" spans="1:6">
      <c r="A1334" t="s">
        <v>64</v>
      </c>
      <c r="B1334" t="s">
        <v>7</v>
      </c>
      <c r="C1334" t="s">
        <v>38</v>
      </c>
      <c r="D1334" t="s">
        <v>190</v>
      </c>
      <c r="E1334" s="2">
        <v>3638.66</v>
      </c>
      <c r="F1334">
        <v>59</v>
      </c>
    </row>
    <row r="1335" spans="1:6">
      <c r="A1335" t="s">
        <v>71</v>
      </c>
      <c r="B1335" t="s">
        <v>10</v>
      </c>
      <c r="C1335" t="s">
        <v>13</v>
      </c>
      <c r="D1335" t="s">
        <v>189</v>
      </c>
      <c r="E1335" s="2">
        <v>12507.08</v>
      </c>
      <c r="F1335">
        <v>284</v>
      </c>
    </row>
    <row r="1336" spans="1:6">
      <c r="A1336" t="s">
        <v>48</v>
      </c>
      <c r="B1336" t="s">
        <v>10</v>
      </c>
      <c r="C1336" t="s">
        <v>100</v>
      </c>
      <c r="D1336" s="1">
        <v>45053</v>
      </c>
      <c r="E1336" s="2">
        <v>2393.79</v>
      </c>
      <c r="F1336">
        <v>48</v>
      </c>
    </row>
    <row r="1337" spans="1:6">
      <c r="A1337" t="s">
        <v>34</v>
      </c>
      <c r="B1337" t="s">
        <v>32</v>
      </c>
      <c r="C1337" t="s">
        <v>60</v>
      </c>
      <c r="D1337" s="1">
        <v>45023</v>
      </c>
      <c r="E1337" s="2">
        <v>6136.99</v>
      </c>
      <c r="F1337">
        <v>94</v>
      </c>
    </row>
    <row r="1338" spans="1:6">
      <c r="A1338" t="s">
        <v>79</v>
      </c>
      <c r="B1338" t="s">
        <v>7</v>
      </c>
      <c r="C1338" t="s">
        <v>100</v>
      </c>
      <c r="D1338" t="s">
        <v>196</v>
      </c>
      <c r="E1338" s="2">
        <v>1264.43</v>
      </c>
      <c r="F1338">
        <v>232</v>
      </c>
    </row>
    <row r="1339" spans="1:6">
      <c r="A1339" t="s">
        <v>22</v>
      </c>
      <c r="B1339" t="s">
        <v>15</v>
      </c>
      <c r="C1339" t="s">
        <v>65</v>
      </c>
      <c r="D1339" t="s">
        <v>164</v>
      </c>
      <c r="E1339" s="2">
        <v>4101.26</v>
      </c>
      <c r="F1339">
        <v>425</v>
      </c>
    </row>
    <row r="1340" spans="1:6">
      <c r="A1340" t="s">
        <v>55</v>
      </c>
      <c r="B1340" t="s">
        <v>25</v>
      </c>
      <c r="C1340" t="s">
        <v>50</v>
      </c>
      <c r="D1340" s="1">
        <v>44933</v>
      </c>
      <c r="E1340" s="2">
        <v>8106.88</v>
      </c>
      <c r="F1340">
        <v>40</v>
      </c>
    </row>
    <row r="1341" spans="1:6">
      <c r="A1341" t="s">
        <v>12</v>
      </c>
      <c r="B1341" t="s">
        <v>32</v>
      </c>
      <c r="C1341" t="s">
        <v>26</v>
      </c>
      <c r="D1341" t="s">
        <v>224</v>
      </c>
      <c r="E1341" s="2">
        <v>2456.1</v>
      </c>
      <c r="F1341">
        <v>58</v>
      </c>
    </row>
    <row r="1342" spans="1:6">
      <c r="A1342" t="s">
        <v>41</v>
      </c>
      <c r="B1342" t="s">
        <v>7</v>
      </c>
      <c r="C1342" t="s">
        <v>18</v>
      </c>
      <c r="D1342" s="1">
        <v>45021</v>
      </c>
      <c r="E1342" s="2">
        <v>4726.6000000000004</v>
      </c>
      <c r="F1342">
        <v>75</v>
      </c>
    </row>
    <row r="1343" spans="1:6">
      <c r="A1343" t="s">
        <v>41</v>
      </c>
      <c r="B1343" t="s">
        <v>15</v>
      </c>
      <c r="C1343" t="s">
        <v>87</v>
      </c>
      <c r="D1343" s="1">
        <v>45024</v>
      </c>
      <c r="E1343" s="2">
        <v>3482.73</v>
      </c>
      <c r="F1343">
        <v>108</v>
      </c>
    </row>
    <row r="1344" spans="1:6">
      <c r="A1344" t="s">
        <v>41</v>
      </c>
      <c r="B1344" t="s">
        <v>10</v>
      </c>
      <c r="C1344" t="s">
        <v>100</v>
      </c>
      <c r="D1344" s="1">
        <v>44932</v>
      </c>
      <c r="E1344" s="2">
        <v>467.19</v>
      </c>
      <c r="F1344">
        <v>159</v>
      </c>
    </row>
    <row r="1345" spans="1:6">
      <c r="A1345" t="s">
        <v>6</v>
      </c>
      <c r="B1345" t="s">
        <v>7</v>
      </c>
      <c r="C1345" t="s">
        <v>75</v>
      </c>
      <c r="D1345" t="s">
        <v>237</v>
      </c>
      <c r="E1345" s="2">
        <v>4875.38</v>
      </c>
      <c r="F1345">
        <v>185</v>
      </c>
    </row>
    <row r="1346" spans="1:6">
      <c r="A1346" t="s">
        <v>55</v>
      </c>
      <c r="B1346" t="s">
        <v>32</v>
      </c>
      <c r="C1346" t="s">
        <v>26</v>
      </c>
      <c r="D1346" s="1">
        <v>44993</v>
      </c>
      <c r="E1346" s="2">
        <v>70.599999999999994</v>
      </c>
      <c r="F1346">
        <v>27</v>
      </c>
    </row>
    <row r="1347" spans="1:6">
      <c r="A1347" t="s">
        <v>83</v>
      </c>
      <c r="B1347" t="s">
        <v>32</v>
      </c>
      <c r="C1347" t="s">
        <v>33</v>
      </c>
      <c r="D1347" s="1">
        <v>45205</v>
      </c>
      <c r="E1347" s="2">
        <v>1835.22</v>
      </c>
      <c r="F1347">
        <v>73</v>
      </c>
    </row>
    <row r="1348" spans="1:6">
      <c r="A1348" t="s">
        <v>22</v>
      </c>
      <c r="B1348" t="s">
        <v>7</v>
      </c>
      <c r="C1348" t="s">
        <v>60</v>
      </c>
      <c r="D1348" t="s">
        <v>172</v>
      </c>
      <c r="E1348" s="2">
        <v>7304.74</v>
      </c>
      <c r="F1348">
        <v>49</v>
      </c>
    </row>
    <row r="1349" spans="1:6">
      <c r="A1349" t="s">
        <v>40</v>
      </c>
      <c r="B1349" t="s">
        <v>15</v>
      </c>
      <c r="C1349" t="s">
        <v>18</v>
      </c>
      <c r="D1349" s="1">
        <v>44986</v>
      </c>
      <c r="E1349" s="2">
        <v>3967.85</v>
      </c>
      <c r="F1349">
        <v>163</v>
      </c>
    </row>
    <row r="1350" spans="1:6">
      <c r="A1350" t="s">
        <v>40</v>
      </c>
      <c r="B1350" t="s">
        <v>10</v>
      </c>
      <c r="C1350" t="s">
        <v>23</v>
      </c>
      <c r="D1350" s="1">
        <v>45237</v>
      </c>
      <c r="E1350" s="2">
        <v>2800.67</v>
      </c>
      <c r="F1350">
        <v>190</v>
      </c>
    </row>
    <row r="1351" spans="1:6">
      <c r="A1351" t="s">
        <v>83</v>
      </c>
      <c r="B1351" t="s">
        <v>25</v>
      </c>
      <c r="C1351" t="s">
        <v>46</v>
      </c>
      <c r="D1351" t="s">
        <v>238</v>
      </c>
      <c r="E1351" s="2">
        <v>4474.5200000000004</v>
      </c>
      <c r="F1351">
        <v>120</v>
      </c>
    </row>
    <row r="1352" spans="1:6">
      <c r="A1352" t="s">
        <v>29</v>
      </c>
      <c r="B1352" t="s">
        <v>32</v>
      </c>
      <c r="C1352" t="s">
        <v>57</v>
      </c>
      <c r="D1352" t="s">
        <v>218</v>
      </c>
      <c r="E1352" s="2">
        <v>2737.03</v>
      </c>
      <c r="F1352">
        <v>63</v>
      </c>
    </row>
    <row r="1353" spans="1:6">
      <c r="A1353" t="s">
        <v>83</v>
      </c>
      <c r="B1353" t="s">
        <v>10</v>
      </c>
      <c r="C1353" t="s">
        <v>42</v>
      </c>
      <c r="D1353" s="1">
        <v>45141</v>
      </c>
      <c r="E1353" s="2">
        <v>16717.259999999998</v>
      </c>
      <c r="F1353">
        <v>102</v>
      </c>
    </row>
    <row r="1354" spans="1:6">
      <c r="A1354" t="s">
        <v>34</v>
      </c>
      <c r="B1354" t="s">
        <v>15</v>
      </c>
      <c r="C1354" t="s">
        <v>33</v>
      </c>
      <c r="D1354" s="1">
        <v>45110</v>
      </c>
      <c r="E1354" s="2">
        <v>16112.73</v>
      </c>
      <c r="F1354">
        <v>282</v>
      </c>
    </row>
    <row r="1355" spans="1:6">
      <c r="A1355" t="s">
        <v>53</v>
      </c>
      <c r="B1355" t="s">
        <v>10</v>
      </c>
      <c r="C1355" t="s">
        <v>100</v>
      </c>
      <c r="D1355" s="1">
        <v>45174</v>
      </c>
      <c r="E1355" s="2">
        <v>6898</v>
      </c>
      <c r="F1355">
        <v>163</v>
      </c>
    </row>
    <row r="1356" spans="1:6">
      <c r="A1356" t="s">
        <v>31</v>
      </c>
      <c r="B1356" t="s">
        <v>25</v>
      </c>
      <c r="C1356" t="s">
        <v>11</v>
      </c>
      <c r="D1356" t="s">
        <v>239</v>
      </c>
      <c r="E1356" s="2">
        <v>2151.04</v>
      </c>
      <c r="F1356">
        <v>170</v>
      </c>
    </row>
    <row r="1357" spans="1:6">
      <c r="A1357" t="s">
        <v>77</v>
      </c>
      <c r="B1357" t="s">
        <v>7</v>
      </c>
      <c r="C1357" t="s">
        <v>90</v>
      </c>
      <c r="D1357" t="s">
        <v>184</v>
      </c>
      <c r="E1357" s="2">
        <v>172.51</v>
      </c>
      <c r="F1357">
        <v>152</v>
      </c>
    </row>
    <row r="1358" spans="1:6">
      <c r="A1358" t="s">
        <v>12</v>
      </c>
      <c r="B1358" t="s">
        <v>15</v>
      </c>
      <c r="C1358" t="s">
        <v>38</v>
      </c>
      <c r="D1358" t="s">
        <v>232</v>
      </c>
      <c r="E1358" s="2">
        <v>2949.02</v>
      </c>
      <c r="F1358">
        <v>153</v>
      </c>
    </row>
    <row r="1359" spans="1:6">
      <c r="A1359" t="s">
        <v>40</v>
      </c>
      <c r="B1359" t="s">
        <v>35</v>
      </c>
      <c r="C1359" t="s">
        <v>75</v>
      </c>
      <c r="D1359" t="s">
        <v>186</v>
      </c>
      <c r="E1359" s="2">
        <v>2790.72</v>
      </c>
      <c r="F1359">
        <v>435</v>
      </c>
    </row>
    <row r="1360" spans="1:6">
      <c r="A1360" t="s">
        <v>83</v>
      </c>
      <c r="B1360" t="s">
        <v>32</v>
      </c>
      <c r="C1360" t="s">
        <v>100</v>
      </c>
      <c r="D1360" s="1">
        <v>45235</v>
      </c>
      <c r="E1360" s="2">
        <v>5054.42</v>
      </c>
      <c r="F1360">
        <v>127</v>
      </c>
    </row>
    <row r="1361" spans="1:6">
      <c r="A1361" t="s">
        <v>77</v>
      </c>
      <c r="B1361" t="s">
        <v>10</v>
      </c>
      <c r="C1361" t="s">
        <v>42</v>
      </c>
      <c r="D1361" t="s">
        <v>169</v>
      </c>
      <c r="E1361" s="2">
        <v>5418.75</v>
      </c>
      <c r="F1361">
        <v>37</v>
      </c>
    </row>
    <row r="1362" spans="1:6">
      <c r="A1362" t="s">
        <v>31</v>
      </c>
      <c r="B1362" t="s">
        <v>32</v>
      </c>
      <c r="C1362" t="s">
        <v>26</v>
      </c>
      <c r="D1362" t="s">
        <v>195</v>
      </c>
      <c r="E1362" s="2">
        <v>14604.67</v>
      </c>
      <c r="F1362">
        <v>128</v>
      </c>
    </row>
    <row r="1363" spans="1:6">
      <c r="A1363" t="s">
        <v>58</v>
      </c>
      <c r="B1363" t="s">
        <v>25</v>
      </c>
      <c r="C1363" t="s">
        <v>8</v>
      </c>
      <c r="D1363" s="1">
        <v>45050</v>
      </c>
      <c r="E1363" s="2">
        <v>6668.93</v>
      </c>
      <c r="F1363">
        <v>419</v>
      </c>
    </row>
    <row r="1364" spans="1:6">
      <c r="A1364" t="s">
        <v>40</v>
      </c>
      <c r="B1364" t="s">
        <v>25</v>
      </c>
      <c r="C1364" t="s">
        <v>18</v>
      </c>
      <c r="D1364" t="s">
        <v>230</v>
      </c>
      <c r="E1364" s="2">
        <v>9689.7000000000007</v>
      </c>
      <c r="F1364">
        <v>58</v>
      </c>
    </row>
    <row r="1365" spans="1:6">
      <c r="A1365" t="s">
        <v>28</v>
      </c>
      <c r="B1365" t="s">
        <v>35</v>
      </c>
      <c r="C1365" t="s">
        <v>65</v>
      </c>
      <c r="D1365" t="s">
        <v>224</v>
      </c>
      <c r="E1365" s="2">
        <v>5026.8100000000004</v>
      </c>
      <c r="F1365">
        <v>123</v>
      </c>
    </row>
    <row r="1366" spans="1:6">
      <c r="A1366" t="s">
        <v>41</v>
      </c>
      <c r="B1366" t="s">
        <v>15</v>
      </c>
      <c r="C1366" t="s">
        <v>59</v>
      </c>
      <c r="D1366" t="s">
        <v>172</v>
      </c>
      <c r="E1366" s="2">
        <v>2379.0100000000002</v>
      </c>
      <c r="F1366">
        <v>178</v>
      </c>
    </row>
    <row r="1367" spans="1:6">
      <c r="A1367" t="s">
        <v>79</v>
      </c>
      <c r="B1367" t="s">
        <v>15</v>
      </c>
      <c r="C1367" t="s">
        <v>36</v>
      </c>
      <c r="D1367" t="s">
        <v>169</v>
      </c>
      <c r="E1367" s="2">
        <v>7770.55</v>
      </c>
      <c r="F1367">
        <v>3</v>
      </c>
    </row>
    <row r="1368" spans="1:6">
      <c r="A1368" t="s">
        <v>31</v>
      </c>
      <c r="B1368" t="s">
        <v>7</v>
      </c>
      <c r="C1368" t="s">
        <v>59</v>
      </c>
      <c r="D1368" s="1">
        <v>45053</v>
      </c>
      <c r="E1368" s="2">
        <v>1837.47</v>
      </c>
      <c r="F1368">
        <v>77</v>
      </c>
    </row>
    <row r="1369" spans="1:6">
      <c r="A1369" t="s">
        <v>41</v>
      </c>
      <c r="B1369" t="s">
        <v>35</v>
      </c>
      <c r="C1369" t="s">
        <v>87</v>
      </c>
      <c r="D1369" s="1">
        <v>45231</v>
      </c>
      <c r="E1369" s="2">
        <v>14625.75</v>
      </c>
      <c r="F1369">
        <v>90</v>
      </c>
    </row>
    <row r="1370" spans="1:6">
      <c r="A1370" t="s">
        <v>70</v>
      </c>
      <c r="B1370" t="s">
        <v>32</v>
      </c>
      <c r="C1370" t="s">
        <v>59</v>
      </c>
      <c r="D1370" s="1">
        <v>45110</v>
      </c>
      <c r="E1370" s="2">
        <v>10305.4</v>
      </c>
      <c r="F1370">
        <v>22</v>
      </c>
    </row>
    <row r="1371" spans="1:6">
      <c r="A1371" t="s">
        <v>55</v>
      </c>
      <c r="B1371" t="s">
        <v>35</v>
      </c>
      <c r="C1371" t="s">
        <v>26</v>
      </c>
      <c r="D1371" s="1">
        <v>45019</v>
      </c>
      <c r="E1371" s="2">
        <v>8798.99</v>
      </c>
      <c r="F1371">
        <v>99</v>
      </c>
    </row>
    <row r="1372" spans="1:6">
      <c r="A1372" t="s">
        <v>37</v>
      </c>
      <c r="B1372" t="s">
        <v>35</v>
      </c>
      <c r="C1372" t="s">
        <v>42</v>
      </c>
      <c r="D1372" t="s">
        <v>189</v>
      </c>
      <c r="E1372" s="2">
        <v>2466.59</v>
      </c>
      <c r="F1372">
        <v>309</v>
      </c>
    </row>
    <row r="1373" spans="1:6">
      <c r="A1373" t="s">
        <v>55</v>
      </c>
      <c r="B1373" t="s">
        <v>7</v>
      </c>
      <c r="C1373" t="s">
        <v>13</v>
      </c>
      <c r="D1373" s="1">
        <v>45235</v>
      </c>
      <c r="E1373" s="2">
        <v>6564.2</v>
      </c>
      <c r="F1373">
        <v>92</v>
      </c>
    </row>
    <row r="1374" spans="1:6">
      <c r="A1374" t="s">
        <v>37</v>
      </c>
      <c r="B1374" t="s">
        <v>32</v>
      </c>
      <c r="C1374" t="s">
        <v>46</v>
      </c>
      <c r="D1374" t="s">
        <v>199</v>
      </c>
      <c r="E1374" s="2">
        <v>4764.5600000000004</v>
      </c>
      <c r="F1374">
        <v>7</v>
      </c>
    </row>
    <row r="1375" spans="1:6">
      <c r="A1375" t="s">
        <v>37</v>
      </c>
      <c r="B1375" t="s">
        <v>10</v>
      </c>
      <c r="C1375" t="s">
        <v>33</v>
      </c>
      <c r="D1375" t="s">
        <v>172</v>
      </c>
      <c r="E1375" s="2">
        <v>3172.08</v>
      </c>
      <c r="F1375">
        <v>153</v>
      </c>
    </row>
    <row r="1376" spans="1:6">
      <c r="A1376" t="s">
        <v>83</v>
      </c>
      <c r="B1376" t="s">
        <v>10</v>
      </c>
      <c r="C1376" t="s">
        <v>18</v>
      </c>
      <c r="D1376" s="1">
        <v>44993</v>
      </c>
      <c r="E1376" s="2">
        <v>8062</v>
      </c>
      <c r="F1376">
        <v>20</v>
      </c>
    </row>
    <row r="1377" spans="1:6">
      <c r="A1377" t="s">
        <v>64</v>
      </c>
      <c r="B1377" t="s">
        <v>25</v>
      </c>
      <c r="C1377" t="s">
        <v>8</v>
      </c>
      <c r="D1377" t="s">
        <v>240</v>
      </c>
      <c r="E1377" s="2">
        <v>12382.41</v>
      </c>
      <c r="F1377">
        <v>245</v>
      </c>
    </row>
    <row r="1378" spans="1:6">
      <c r="A1378" t="s">
        <v>64</v>
      </c>
      <c r="B1378" t="s">
        <v>15</v>
      </c>
      <c r="C1378" t="s">
        <v>57</v>
      </c>
      <c r="D1378" t="s">
        <v>177</v>
      </c>
      <c r="E1378" s="2">
        <v>413.6</v>
      </c>
      <c r="F1378">
        <v>111</v>
      </c>
    </row>
    <row r="1379" spans="1:6">
      <c r="A1379" t="s">
        <v>58</v>
      </c>
      <c r="B1379" t="s">
        <v>7</v>
      </c>
      <c r="C1379" t="s">
        <v>13</v>
      </c>
      <c r="D1379" s="1">
        <v>45109</v>
      </c>
      <c r="E1379" s="2">
        <v>10186.18</v>
      </c>
      <c r="F1379">
        <v>154</v>
      </c>
    </row>
    <row r="1380" spans="1:6">
      <c r="A1380" t="s">
        <v>37</v>
      </c>
      <c r="B1380" t="s">
        <v>15</v>
      </c>
      <c r="C1380" t="s">
        <v>65</v>
      </c>
      <c r="D1380" s="1">
        <v>45145</v>
      </c>
      <c r="E1380" s="2">
        <v>7936.84</v>
      </c>
      <c r="F1380">
        <v>138</v>
      </c>
    </row>
    <row r="1381" spans="1:6">
      <c r="A1381" t="s">
        <v>58</v>
      </c>
      <c r="B1381" t="s">
        <v>10</v>
      </c>
      <c r="C1381" t="s">
        <v>46</v>
      </c>
      <c r="D1381" t="s">
        <v>241</v>
      </c>
      <c r="E1381" s="2">
        <v>1712.72</v>
      </c>
      <c r="F1381">
        <v>93</v>
      </c>
    </row>
    <row r="1382" spans="1:6">
      <c r="A1382" t="s">
        <v>83</v>
      </c>
      <c r="B1382" t="s">
        <v>7</v>
      </c>
      <c r="C1382" t="s">
        <v>8</v>
      </c>
      <c r="D1382" s="1">
        <v>45142</v>
      </c>
      <c r="E1382" s="2">
        <v>3088.98</v>
      </c>
      <c r="F1382">
        <v>226</v>
      </c>
    </row>
    <row r="1383" spans="1:6">
      <c r="A1383" t="s">
        <v>53</v>
      </c>
      <c r="B1383" t="s">
        <v>15</v>
      </c>
      <c r="C1383" t="s">
        <v>26</v>
      </c>
      <c r="D1383" t="s">
        <v>240</v>
      </c>
      <c r="E1383" s="2">
        <v>14953.43</v>
      </c>
      <c r="F1383">
        <v>51</v>
      </c>
    </row>
    <row r="1384" spans="1:6">
      <c r="A1384" t="s">
        <v>14</v>
      </c>
      <c r="B1384" t="s">
        <v>10</v>
      </c>
      <c r="C1384" t="s">
        <v>57</v>
      </c>
      <c r="D1384" s="1">
        <v>45021</v>
      </c>
      <c r="E1384" s="2">
        <v>3219.13</v>
      </c>
      <c r="F1384">
        <v>54</v>
      </c>
    </row>
    <row r="1385" spans="1:6">
      <c r="A1385" t="s">
        <v>34</v>
      </c>
      <c r="B1385" t="s">
        <v>32</v>
      </c>
      <c r="C1385" t="s">
        <v>11</v>
      </c>
      <c r="D1385" s="1">
        <v>45235</v>
      </c>
      <c r="E1385" s="2">
        <v>2700.61</v>
      </c>
      <c r="F1385">
        <v>112</v>
      </c>
    </row>
    <row r="1386" spans="1:6">
      <c r="A1386" t="s">
        <v>34</v>
      </c>
      <c r="B1386" t="s">
        <v>32</v>
      </c>
      <c r="C1386" t="s">
        <v>36</v>
      </c>
      <c r="D1386" t="s">
        <v>242</v>
      </c>
      <c r="E1386" s="2">
        <v>7219.96</v>
      </c>
      <c r="F1386">
        <v>53</v>
      </c>
    </row>
    <row r="1387" spans="1:6">
      <c r="A1387" t="s">
        <v>58</v>
      </c>
      <c r="B1387" t="s">
        <v>35</v>
      </c>
      <c r="C1387" t="s">
        <v>50</v>
      </c>
      <c r="D1387" s="1">
        <v>45207</v>
      </c>
      <c r="E1387" s="2">
        <v>2634.13</v>
      </c>
      <c r="F1387">
        <v>234</v>
      </c>
    </row>
    <row r="1388" spans="1:6">
      <c r="A1388" t="s">
        <v>58</v>
      </c>
      <c r="B1388" t="s">
        <v>32</v>
      </c>
      <c r="C1388" t="s">
        <v>57</v>
      </c>
      <c r="D1388" s="1">
        <v>45021</v>
      </c>
      <c r="E1388" s="2">
        <v>1630.95</v>
      </c>
      <c r="F1388">
        <v>321</v>
      </c>
    </row>
    <row r="1389" spans="1:6">
      <c r="A1389" t="s">
        <v>70</v>
      </c>
      <c r="B1389" t="s">
        <v>32</v>
      </c>
      <c r="C1389" t="s">
        <v>20</v>
      </c>
      <c r="D1389" t="s">
        <v>201</v>
      </c>
      <c r="E1389" s="2">
        <v>8250.66</v>
      </c>
      <c r="F1389">
        <v>258</v>
      </c>
    </row>
    <row r="1390" spans="1:6">
      <c r="A1390" t="s">
        <v>79</v>
      </c>
      <c r="B1390" t="s">
        <v>35</v>
      </c>
      <c r="C1390" t="s">
        <v>73</v>
      </c>
      <c r="D1390" s="1">
        <v>44993</v>
      </c>
      <c r="E1390" s="2">
        <v>4849.3</v>
      </c>
      <c r="F1390">
        <v>248</v>
      </c>
    </row>
    <row r="1391" spans="1:6">
      <c r="A1391" t="s">
        <v>40</v>
      </c>
      <c r="B1391" t="s">
        <v>25</v>
      </c>
      <c r="C1391" t="s">
        <v>46</v>
      </c>
      <c r="D1391" t="s">
        <v>225</v>
      </c>
      <c r="E1391" s="2">
        <v>7940.49</v>
      </c>
      <c r="F1391">
        <v>328</v>
      </c>
    </row>
    <row r="1392" spans="1:6">
      <c r="A1392" t="s">
        <v>77</v>
      </c>
      <c r="B1392" t="s">
        <v>15</v>
      </c>
      <c r="C1392" t="s">
        <v>75</v>
      </c>
      <c r="D1392" s="1">
        <v>45142</v>
      </c>
      <c r="E1392" s="2">
        <v>2106.9299999999998</v>
      </c>
      <c r="F1392">
        <v>69</v>
      </c>
    </row>
    <row r="1393" spans="1:6">
      <c r="A1393" t="s">
        <v>70</v>
      </c>
      <c r="B1393" t="s">
        <v>7</v>
      </c>
      <c r="C1393" t="s">
        <v>33</v>
      </c>
      <c r="D1393" s="1">
        <v>44934</v>
      </c>
      <c r="E1393" s="2">
        <v>3911.85</v>
      </c>
      <c r="F1393">
        <v>3</v>
      </c>
    </row>
    <row r="1394" spans="1:6">
      <c r="A1394" t="s">
        <v>58</v>
      </c>
      <c r="B1394" t="s">
        <v>35</v>
      </c>
      <c r="C1394" t="s">
        <v>36</v>
      </c>
      <c r="D1394" t="s">
        <v>234</v>
      </c>
      <c r="E1394" s="2">
        <v>483.04</v>
      </c>
      <c r="F1394">
        <v>45</v>
      </c>
    </row>
    <row r="1395" spans="1:6">
      <c r="A1395" t="s">
        <v>37</v>
      </c>
      <c r="B1395" t="s">
        <v>10</v>
      </c>
      <c r="C1395" t="s">
        <v>8</v>
      </c>
      <c r="D1395" t="s">
        <v>189</v>
      </c>
      <c r="E1395" s="2">
        <v>11380.7</v>
      </c>
      <c r="F1395">
        <v>192</v>
      </c>
    </row>
    <row r="1396" spans="1:6">
      <c r="A1396" t="s">
        <v>31</v>
      </c>
      <c r="B1396" t="s">
        <v>25</v>
      </c>
      <c r="C1396" t="s">
        <v>65</v>
      </c>
      <c r="D1396" t="s">
        <v>167</v>
      </c>
      <c r="E1396" s="2">
        <v>6372.68</v>
      </c>
      <c r="F1396">
        <v>131</v>
      </c>
    </row>
    <row r="1397" spans="1:6">
      <c r="A1397" t="s">
        <v>34</v>
      </c>
      <c r="B1397" t="s">
        <v>15</v>
      </c>
      <c r="C1397" t="s">
        <v>11</v>
      </c>
      <c r="D1397" t="s">
        <v>197</v>
      </c>
      <c r="E1397" s="2">
        <v>2714.76</v>
      </c>
      <c r="F1397">
        <v>52</v>
      </c>
    </row>
    <row r="1398" spans="1:6">
      <c r="A1398" t="s">
        <v>83</v>
      </c>
      <c r="B1398" t="s">
        <v>35</v>
      </c>
      <c r="C1398" t="s">
        <v>36</v>
      </c>
      <c r="D1398" s="1">
        <v>45200</v>
      </c>
      <c r="E1398" s="2">
        <v>2106.17</v>
      </c>
      <c r="F1398">
        <v>172</v>
      </c>
    </row>
    <row r="1399" spans="1:6">
      <c r="A1399" t="s">
        <v>12</v>
      </c>
      <c r="B1399" t="s">
        <v>15</v>
      </c>
      <c r="C1399" t="s">
        <v>59</v>
      </c>
      <c r="D1399" s="1">
        <v>45235</v>
      </c>
      <c r="E1399" s="2">
        <v>5805.24</v>
      </c>
      <c r="F1399">
        <v>83</v>
      </c>
    </row>
    <row r="1400" spans="1:6">
      <c r="A1400" t="s">
        <v>41</v>
      </c>
      <c r="B1400" t="s">
        <v>25</v>
      </c>
      <c r="C1400" t="s">
        <v>11</v>
      </c>
      <c r="D1400" t="s">
        <v>243</v>
      </c>
      <c r="E1400" s="2">
        <v>12205.52</v>
      </c>
      <c r="F1400">
        <v>23</v>
      </c>
    </row>
    <row r="1401" spans="1:6">
      <c r="A1401" t="s">
        <v>55</v>
      </c>
      <c r="B1401" t="s">
        <v>32</v>
      </c>
      <c r="C1401" t="s">
        <v>90</v>
      </c>
      <c r="D1401" t="s">
        <v>244</v>
      </c>
      <c r="E1401" s="2">
        <v>6318.7</v>
      </c>
      <c r="F1401">
        <v>124</v>
      </c>
    </row>
    <row r="1402" spans="1:6">
      <c r="A1402" t="s">
        <v>34</v>
      </c>
      <c r="B1402" t="s">
        <v>15</v>
      </c>
      <c r="C1402" t="s">
        <v>65</v>
      </c>
      <c r="D1402" s="1">
        <v>44934</v>
      </c>
      <c r="E1402" s="2">
        <v>8522.7999999999993</v>
      </c>
      <c r="F1402">
        <v>137</v>
      </c>
    </row>
    <row r="1403" spans="1:6">
      <c r="A1403" t="s">
        <v>28</v>
      </c>
      <c r="B1403" t="s">
        <v>35</v>
      </c>
      <c r="C1403" t="s">
        <v>11</v>
      </c>
      <c r="D1403" t="s">
        <v>173</v>
      </c>
      <c r="E1403" s="2">
        <v>10315.879999999999</v>
      </c>
      <c r="F1403">
        <v>268</v>
      </c>
    </row>
    <row r="1404" spans="1:6">
      <c r="A1404" t="s">
        <v>28</v>
      </c>
      <c r="B1404" t="s">
        <v>15</v>
      </c>
      <c r="C1404" t="s">
        <v>38</v>
      </c>
      <c r="D1404" t="s">
        <v>232</v>
      </c>
      <c r="E1404" s="2">
        <v>7262.12</v>
      </c>
      <c r="F1404">
        <v>158</v>
      </c>
    </row>
    <row r="1405" spans="1:6">
      <c r="A1405" t="s">
        <v>79</v>
      </c>
      <c r="B1405" t="s">
        <v>32</v>
      </c>
      <c r="C1405" t="s">
        <v>33</v>
      </c>
      <c r="D1405" t="s">
        <v>185</v>
      </c>
      <c r="E1405" s="2">
        <v>1414.84</v>
      </c>
      <c r="F1405">
        <v>112</v>
      </c>
    </row>
    <row r="1406" spans="1:6">
      <c r="A1406" t="s">
        <v>29</v>
      </c>
      <c r="B1406" t="s">
        <v>15</v>
      </c>
      <c r="C1406" t="s">
        <v>26</v>
      </c>
      <c r="D1406" t="s">
        <v>242</v>
      </c>
      <c r="E1406" s="2">
        <v>3067.9</v>
      </c>
      <c r="F1406">
        <v>42</v>
      </c>
    </row>
    <row r="1407" spans="1:6">
      <c r="A1407" t="s">
        <v>58</v>
      </c>
      <c r="B1407" t="s">
        <v>10</v>
      </c>
      <c r="C1407" t="s">
        <v>20</v>
      </c>
      <c r="D1407" t="s">
        <v>245</v>
      </c>
      <c r="E1407" s="2">
        <v>7369.69</v>
      </c>
      <c r="F1407">
        <v>325</v>
      </c>
    </row>
    <row r="1408" spans="1:6">
      <c r="A1408" t="s">
        <v>48</v>
      </c>
      <c r="B1408" t="s">
        <v>7</v>
      </c>
      <c r="C1408" t="s">
        <v>59</v>
      </c>
      <c r="D1408" s="1">
        <v>44928</v>
      </c>
      <c r="E1408" s="2">
        <v>1775.18</v>
      </c>
      <c r="F1408">
        <v>73</v>
      </c>
    </row>
    <row r="1409" spans="1:6">
      <c r="A1409" t="s">
        <v>70</v>
      </c>
      <c r="B1409" t="s">
        <v>15</v>
      </c>
      <c r="C1409" t="s">
        <v>23</v>
      </c>
      <c r="D1409" s="1">
        <v>44960</v>
      </c>
      <c r="E1409" s="2">
        <v>7683.78</v>
      </c>
      <c r="F1409">
        <v>279</v>
      </c>
    </row>
    <row r="1410" spans="1:6">
      <c r="A1410" t="s">
        <v>12</v>
      </c>
      <c r="B1410" t="s">
        <v>7</v>
      </c>
      <c r="C1410" t="s">
        <v>57</v>
      </c>
      <c r="D1410" s="1">
        <v>45081</v>
      </c>
      <c r="E1410" s="2">
        <v>1412.22</v>
      </c>
      <c r="F1410">
        <v>90</v>
      </c>
    </row>
    <row r="1411" spans="1:6">
      <c r="A1411" t="s">
        <v>22</v>
      </c>
      <c r="B1411" t="s">
        <v>15</v>
      </c>
      <c r="C1411" t="s">
        <v>73</v>
      </c>
      <c r="D1411" t="s">
        <v>226</v>
      </c>
      <c r="E1411" s="2">
        <v>607.08000000000004</v>
      </c>
      <c r="F1411">
        <v>76</v>
      </c>
    </row>
    <row r="1412" spans="1:6">
      <c r="A1412" t="s">
        <v>48</v>
      </c>
      <c r="B1412" t="s">
        <v>7</v>
      </c>
      <c r="C1412" t="s">
        <v>57</v>
      </c>
      <c r="D1412" t="s">
        <v>246</v>
      </c>
      <c r="E1412" s="2">
        <v>11688.75</v>
      </c>
      <c r="F1412">
        <v>136</v>
      </c>
    </row>
    <row r="1413" spans="1:6">
      <c r="A1413" t="s">
        <v>31</v>
      </c>
      <c r="B1413" t="s">
        <v>35</v>
      </c>
      <c r="C1413" t="s">
        <v>26</v>
      </c>
      <c r="D1413" t="s">
        <v>187</v>
      </c>
      <c r="E1413" s="2">
        <v>10275.549999999999</v>
      </c>
      <c r="F1413">
        <v>301</v>
      </c>
    </row>
    <row r="1414" spans="1:6">
      <c r="A1414" t="s">
        <v>48</v>
      </c>
      <c r="B1414" t="s">
        <v>32</v>
      </c>
      <c r="C1414" t="s">
        <v>50</v>
      </c>
      <c r="D1414" s="1">
        <v>45237</v>
      </c>
      <c r="E1414" s="2">
        <v>1788.1</v>
      </c>
      <c r="F1414">
        <v>271</v>
      </c>
    </row>
    <row r="1415" spans="1:6">
      <c r="A1415" t="s">
        <v>28</v>
      </c>
      <c r="B1415" t="s">
        <v>10</v>
      </c>
      <c r="C1415" t="s">
        <v>65</v>
      </c>
      <c r="D1415" t="s">
        <v>167</v>
      </c>
      <c r="E1415" s="2">
        <v>2378.08</v>
      </c>
      <c r="F1415">
        <v>222</v>
      </c>
    </row>
    <row r="1416" spans="1:6">
      <c r="A1416" t="s">
        <v>19</v>
      </c>
      <c r="B1416" t="s">
        <v>25</v>
      </c>
      <c r="C1416" t="s">
        <v>18</v>
      </c>
      <c r="D1416" s="1">
        <v>45114</v>
      </c>
      <c r="E1416" s="2">
        <v>9545.0300000000007</v>
      </c>
      <c r="F1416">
        <v>64</v>
      </c>
    </row>
    <row r="1417" spans="1:6">
      <c r="A1417" t="s">
        <v>14</v>
      </c>
      <c r="B1417" t="s">
        <v>10</v>
      </c>
      <c r="C1417" t="s">
        <v>11</v>
      </c>
      <c r="D1417" t="s">
        <v>203</v>
      </c>
      <c r="E1417" s="2">
        <v>4999.5200000000004</v>
      </c>
      <c r="F1417">
        <v>446</v>
      </c>
    </row>
    <row r="1418" spans="1:6">
      <c r="A1418" t="s">
        <v>40</v>
      </c>
      <c r="B1418" t="s">
        <v>10</v>
      </c>
      <c r="C1418" t="s">
        <v>57</v>
      </c>
      <c r="D1418" t="s">
        <v>224</v>
      </c>
      <c r="E1418" s="2">
        <v>5312.5</v>
      </c>
      <c r="F1418">
        <v>160</v>
      </c>
    </row>
    <row r="1419" spans="1:6">
      <c r="A1419" t="s">
        <v>67</v>
      </c>
      <c r="B1419" t="s">
        <v>25</v>
      </c>
      <c r="C1419" t="s">
        <v>26</v>
      </c>
      <c r="D1419" s="1">
        <v>44960</v>
      </c>
      <c r="E1419" s="2">
        <v>3750.88</v>
      </c>
      <c r="F1419">
        <v>208</v>
      </c>
    </row>
    <row r="1420" spans="1:6">
      <c r="A1420" t="s">
        <v>22</v>
      </c>
      <c r="B1420" t="s">
        <v>35</v>
      </c>
      <c r="C1420" t="s">
        <v>73</v>
      </c>
      <c r="D1420" t="s">
        <v>245</v>
      </c>
      <c r="E1420" s="2">
        <v>2375.7399999999998</v>
      </c>
      <c r="F1420">
        <v>129</v>
      </c>
    </row>
    <row r="1421" spans="1:6">
      <c r="A1421" t="s">
        <v>70</v>
      </c>
      <c r="B1421" t="s">
        <v>32</v>
      </c>
      <c r="C1421" t="s">
        <v>38</v>
      </c>
      <c r="D1421" t="s">
        <v>204</v>
      </c>
      <c r="E1421" s="2">
        <v>7013.61</v>
      </c>
      <c r="F1421">
        <v>170</v>
      </c>
    </row>
    <row r="1422" spans="1:6">
      <c r="A1422" t="s">
        <v>9</v>
      </c>
      <c r="B1422" t="s">
        <v>35</v>
      </c>
      <c r="C1422" t="s">
        <v>59</v>
      </c>
      <c r="D1422" t="s">
        <v>242</v>
      </c>
      <c r="E1422" s="2">
        <v>481.52</v>
      </c>
      <c r="F1422">
        <v>3</v>
      </c>
    </row>
    <row r="1423" spans="1:6">
      <c r="A1423" t="s">
        <v>29</v>
      </c>
      <c r="B1423" t="s">
        <v>32</v>
      </c>
      <c r="C1423" t="s">
        <v>87</v>
      </c>
      <c r="D1423" s="1">
        <v>45175</v>
      </c>
      <c r="E1423" s="2">
        <v>3136.92</v>
      </c>
      <c r="F1423">
        <v>64</v>
      </c>
    </row>
    <row r="1424" spans="1:6">
      <c r="A1424" t="s">
        <v>9</v>
      </c>
      <c r="B1424" t="s">
        <v>15</v>
      </c>
      <c r="C1424" t="s">
        <v>90</v>
      </c>
      <c r="D1424" t="s">
        <v>247</v>
      </c>
      <c r="E1424" s="2">
        <v>6584.26</v>
      </c>
      <c r="F1424">
        <v>62</v>
      </c>
    </row>
    <row r="1425" spans="1:6">
      <c r="A1425" t="s">
        <v>83</v>
      </c>
      <c r="B1425" t="s">
        <v>25</v>
      </c>
      <c r="C1425" t="s">
        <v>13</v>
      </c>
      <c r="D1425" s="1">
        <v>45019</v>
      </c>
      <c r="E1425" s="2">
        <v>1024.77</v>
      </c>
      <c r="F1425">
        <v>260</v>
      </c>
    </row>
    <row r="1426" spans="1:6">
      <c r="A1426" t="s">
        <v>70</v>
      </c>
      <c r="B1426" t="s">
        <v>35</v>
      </c>
      <c r="C1426" t="s">
        <v>46</v>
      </c>
      <c r="D1426" s="1">
        <v>45114</v>
      </c>
      <c r="E1426" s="2">
        <v>17680.189999999999</v>
      </c>
      <c r="F1426">
        <v>27</v>
      </c>
    </row>
    <row r="1427" spans="1:6">
      <c r="A1427" t="s">
        <v>58</v>
      </c>
      <c r="B1427" t="s">
        <v>35</v>
      </c>
      <c r="C1427" t="s">
        <v>75</v>
      </c>
      <c r="D1427" t="s">
        <v>167</v>
      </c>
      <c r="E1427" s="2">
        <v>10707.82</v>
      </c>
      <c r="F1427">
        <v>124</v>
      </c>
    </row>
    <row r="1428" spans="1:6">
      <c r="A1428" t="s">
        <v>48</v>
      </c>
      <c r="B1428" t="s">
        <v>15</v>
      </c>
      <c r="C1428" t="s">
        <v>65</v>
      </c>
      <c r="D1428" t="s">
        <v>198</v>
      </c>
      <c r="E1428" s="2">
        <v>3019.09</v>
      </c>
      <c r="F1428">
        <v>78</v>
      </c>
    </row>
    <row r="1429" spans="1:6">
      <c r="A1429" t="s">
        <v>77</v>
      </c>
      <c r="B1429" t="s">
        <v>15</v>
      </c>
      <c r="C1429" t="s">
        <v>11</v>
      </c>
      <c r="D1429" t="s">
        <v>214</v>
      </c>
      <c r="E1429" s="2">
        <v>1758.62</v>
      </c>
      <c r="F1429">
        <v>329</v>
      </c>
    </row>
    <row r="1430" spans="1:6">
      <c r="A1430" t="s">
        <v>12</v>
      </c>
      <c r="B1430" t="s">
        <v>7</v>
      </c>
      <c r="C1430" t="s">
        <v>26</v>
      </c>
      <c r="D1430" t="s">
        <v>248</v>
      </c>
      <c r="E1430" s="2">
        <v>8385.3799999999992</v>
      </c>
      <c r="F1430">
        <v>73</v>
      </c>
    </row>
    <row r="1431" spans="1:6">
      <c r="A1431" t="s">
        <v>83</v>
      </c>
      <c r="B1431" t="s">
        <v>7</v>
      </c>
      <c r="C1431" t="s">
        <v>60</v>
      </c>
      <c r="D1431" t="s">
        <v>174</v>
      </c>
      <c r="E1431" s="2">
        <v>4854.12</v>
      </c>
      <c r="F1431">
        <v>411</v>
      </c>
    </row>
    <row r="1432" spans="1:6">
      <c r="A1432" t="s">
        <v>12</v>
      </c>
      <c r="B1432" t="s">
        <v>7</v>
      </c>
      <c r="C1432" t="s">
        <v>100</v>
      </c>
      <c r="D1432" t="s">
        <v>249</v>
      </c>
      <c r="E1432" s="2">
        <v>949.18</v>
      </c>
      <c r="F1432">
        <v>83</v>
      </c>
    </row>
    <row r="1433" spans="1:6">
      <c r="A1433" t="s">
        <v>6</v>
      </c>
      <c r="B1433" t="s">
        <v>15</v>
      </c>
      <c r="C1433" t="s">
        <v>13</v>
      </c>
      <c r="D1433" t="s">
        <v>246</v>
      </c>
      <c r="E1433" s="2">
        <v>6047.05</v>
      </c>
      <c r="F1433">
        <v>40</v>
      </c>
    </row>
    <row r="1434" spans="1:6">
      <c r="A1434" t="s">
        <v>40</v>
      </c>
      <c r="B1434" t="s">
        <v>10</v>
      </c>
      <c r="C1434" t="s">
        <v>36</v>
      </c>
      <c r="D1434" t="s">
        <v>167</v>
      </c>
      <c r="E1434" s="2">
        <v>3883.32</v>
      </c>
      <c r="F1434">
        <v>94</v>
      </c>
    </row>
    <row r="1435" spans="1:6">
      <c r="A1435" t="s">
        <v>48</v>
      </c>
      <c r="B1435" t="s">
        <v>35</v>
      </c>
      <c r="C1435" t="s">
        <v>57</v>
      </c>
      <c r="D1435" s="1">
        <v>45020</v>
      </c>
      <c r="E1435" s="2">
        <v>4382.07</v>
      </c>
      <c r="F1435">
        <v>210</v>
      </c>
    </row>
    <row r="1436" spans="1:6">
      <c r="A1436" t="s">
        <v>55</v>
      </c>
      <c r="B1436" t="s">
        <v>7</v>
      </c>
      <c r="C1436" t="s">
        <v>18</v>
      </c>
      <c r="D1436" s="1">
        <v>45144</v>
      </c>
      <c r="E1436" s="2">
        <v>9928.1</v>
      </c>
      <c r="F1436">
        <v>599</v>
      </c>
    </row>
    <row r="1437" spans="1:6">
      <c r="A1437" t="s">
        <v>37</v>
      </c>
      <c r="B1437" t="s">
        <v>35</v>
      </c>
      <c r="C1437" t="s">
        <v>50</v>
      </c>
      <c r="D1437" s="1">
        <v>44965</v>
      </c>
      <c r="E1437" s="2">
        <v>6315.53</v>
      </c>
      <c r="F1437">
        <v>51</v>
      </c>
    </row>
    <row r="1438" spans="1:6">
      <c r="A1438" t="s">
        <v>70</v>
      </c>
      <c r="B1438" t="s">
        <v>32</v>
      </c>
      <c r="C1438" t="s">
        <v>42</v>
      </c>
      <c r="D1438" t="s">
        <v>244</v>
      </c>
      <c r="E1438" s="2">
        <v>10630.08</v>
      </c>
      <c r="F1438">
        <v>155</v>
      </c>
    </row>
    <row r="1439" spans="1:6">
      <c r="A1439" t="s">
        <v>48</v>
      </c>
      <c r="B1439" t="s">
        <v>10</v>
      </c>
      <c r="C1439" t="s">
        <v>50</v>
      </c>
      <c r="D1439" t="s">
        <v>196</v>
      </c>
      <c r="E1439" s="2">
        <v>167.33</v>
      </c>
      <c r="F1439">
        <v>143</v>
      </c>
    </row>
    <row r="1440" spans="1:6">
      <c r="A1440" t="s">
        <v>45</v>
      </c>
      <c r="B1440" t="s">
        <v>10</v>
      </c>
      <c r="C1440" t="s">
        <v>23</v>
      </c>
      <c r="D1440" t="s">
        <v>250</v>
      </c>
      <c r="E1440" s="2">
        <v>2690.14</v>
      </c>
      <c r="F1440">
        <v>117</v>
      </c>
    </row>
    <row r="1441" spans="1:6">
      <c r="A1441" t="s">
        <v>71</v>
      </c>
      <c r="B1441" t="s">
        <v>15</v>
      </c>
      <c r="C1441" t="s">
        <v>90</v>
      </c>
      <c r="D1441" s="1">
        <v>44962</v>
      </c>
      <c r="E1441" s="2">
        <v>3242.04</v>
      </c>
      <c r="F1441">
        <v>15</v>
      </c>
    </row>
    <row r="1442" spans="1:6">
      <c r="A1442" t="s">
        <v>48</v>
      </c>
      <c r="B1442" t="s">
        <v>15</v>
      </c>
      <c r="C1442" t="s">
        <v>20</v>
      </c>
      <c r="D1442" s="1">
        <v>45108</v>
      </c>
      <c r="E1442" s="2">
        <v>5363.69</v>
      </c>
      <c r="F1442">
        <v>87</v>
      </c>
    </row>
    <row r="1443" spans="1:6">
      <c r="A1443" t="s">
        <v>34</v>
      </c>
      <c r="B1443" t="s">
        <v>7</v>
      </c>
      <c r="C1443" t="s">
        <v>26</v>
      </c>
      <c r="D1443" t="s">
        <v>212</v>
      </c>
      <c r="E1443" s="2">
        <v>6160.89</v>
      </c>
      <c r="F1443">
        <v>95</v>
      </c>
    </row>
    <row r="1444" spans="1:6">
      <c r="A1444" t="s">
        <v>83</v>
      </c>
      <c r="B1444" t="s">
        <v>35</v>
      </c>
      <c r="C1444" t="s">
        <v>87</v>
      </c>
      <c r="D1444" t="s">
        <v>251</v>
      </c>
      <c r="E1444" s="2">
        <v>7968.23</v>
      </c>
      <c r="F1444">
        <v>373</v>
      </c>
    </row>
    <row r="1445" spans="1:6">
      <c r="A1445" t="s">
        <v>9</v>
      </c>
      <c r="B1445" t="s">
        <v>7</v>
      </c>
      <c r="C1445" t="s">
        <v>38</v>
      </c>
      <c r="D1445" s="1">
        <v>45020</v>
      </c>
      <c r="E1445" s="2">
        <v>6388.95</v>
      </c>
      <c r="F1445">
        <v>131</v>
      </c>
    </row>
    <row r="1446" spans="1:6">
      <c r="A1446" t="s">
        <v>22</v>
      </c>
      <c r="B1446" t="s">
        <v>35</v>
      </c>
      <c r="C1446" t="s">
        <v>57</v>
      </c>
      <c r="D1446" t="s">
        <v>165</v>
      </c>
      <c r="E1446" s="2">
        <v>15840.74</v>
      </c>
      <c r="F1446">
        <v>216</v>
      </c>
    </row>
    <row r="1447" spans="1:6">
      <c r="A1447" t="s">
        <v>22</v>
      </c>
      <c r="B1447" t="s">
        <v>25</v>
      </c>
      <c r="C1447" t="s">
        <v>50</v>
      </c>
      <c r="D1447" t="s">
        <v>191</v>
      </c>
      <c r="E1447" s="2">
        <v>7265.05</v>
      </c>
      <c r="F1447">
        <v>194</v>
      </c>
    </row>
    <row r="1448" spans="1:6">
      <c r="A1448" t="s">
        <v>22</v>
      </c>
      <c r="B1448" t="s">
        <v>15</v>
      </c>
      <c r="C1448" t="s">
        <v>38</v>
      </c>
      <c r="D1448" t="s">
        <v>225</v>
      </c>
      <c r="E1448" s="2">
        <v>2342.4899999999998</v>
      </c>
      <c r="F1448">
        <v>192</v>
      </c>
    </row>
    <row r="1449" spans="1:6">
      <c r="A1449" t="s">
        <v>37</v>
      </c>
      <c r="B1449" t="s">
        <v>25</v>
      </c>
      <c r="C1449" t="s">
        <v>57</v>
      </c>
      <c r="D1449" s="1">
        <v>45109</v>
      </c>
      <c r="E1449" s="2">
        <v>1365.88</v>
      </c>
      <c r="F1449">
        <v>147</v>
      </c>
    </row>
    <row r="1450" spans="1:6">
      <c r="A1450" t="s">
        <v>58</v>
      </c>
      <c r="B1450" t="s">
        <v>25</v>
      </c>
      <c r="C1450" t="s">
        <v>38</v>
      </c>
      <c r="D1450" s="1">
        <v>45231</v>
      </c>
      <c r="E1450" s="2">
        <v>4437.46</v>
      </c>
      <c r="F1450">
        <v>196</v>
      </c>
    </row>
    <row r="1451" spans="1:6">
      <c r="A1451" t="s">
        <v>6</v>
      </c>
      <c r="B1451" t="s">
        <v>10</v>
      </c>
      <c r="C1451" t="s">
        <v>20</v>
      </c>
      <c r="D1451" t="s">
        <v>207</v>
      </c>
      <c r="E1451" s="2">
        <v>2072.2399999999998</v>
      </c>
      <c r="F1451">
        <v>232</v>
      </c>
    </row>
    <row r="1452" spans="1:6">
      <c r="A1452" t="s">
        <v>79</v>
      </c>
      <c r="B1452" t="s">
        <v>15</v>
      </c>
      <c r="C1452" t="s">
        <v>8</v>
      </c>
      <c r="D1452" s="1">
        <v>44934</v>
      </c>
      <c r="E1452" s="2">
        <v>7091.81</v>
      </c>
      <c r="F1452">
        <v>27</v>
      </c>
    </row>
    <row r="1453" spans="1:6">
      <c r="A1453" t="s">
        <v>45</v>
      </c>
      <c r="B1453" t="s">
        <v>15</v>
      </c>
      <c r="C1453" t="s">
        <v>8</v>
      </c>
      <c r="D1453" s="1">
        <v>45051</v>
      </c>
      <c r="E1453" s="2">
        <v>7213.16</v>
      </c>
      <c r="F1453">
        <v>277</v>
      </c>
    </row>
    <row r="1454" spans="1:6">
      <c r="A1454" t="s">
        <v>77</v>
      </c>
      <c r="B1454" t="s">
        <v>25</v>
      </c>
      <c r="C1454" t="s">
        <v>73</v>
      </c>
      <c r="D1454" t="s">
        <v>190</v>
      </c>
      <c r="E1454" s="2">
        <v>9672.76</v>
      </c>
      <c r="F1454">
        <v>411</v>
      </c>
    </row>
    <row r="1455" spans="1:6">
      <c r="A1455" t="s">
        <v>79</v>
      </c>
      <c r="B1455" t="s">
        <v>25</v>
      </c>
      <c r="C1455" t="s">
        <v>75</v>
      </c>
      <c r="D1455" s="1">
        <v>45017</v>
      </c>
      <c r="E1455" s="2">
        <v>5750.05</v>
      </c>
      <c r="F1455">
        <v>350</v>
      </c>
    </row>
    <row r="1456" spans="1:6">
      <c r="A1456" t="s">
        <v>45</v>
      </c>
      <c r="B1456" t="s">
        <v>25</v>
      </c>
      <c r="C1456" t="s">
        <v>26</v>
      </c>
      <c r="D1456" s="1">
        <v>45174</v>
      </c>
      <c r="E1456" s="2">
        <v>4641.29</v>
      </c>
      <c r="F1456">
        <v>220</v>
      </c>
    </row>
    <row r="1457" spans="1:6">
      <c r="A1457" t="s">
        <v>29</v>
      </c>
      <c r="B1457" t="s">
        <v>10</v>
      </c>
      <c r="C1457" t="s">
        <v>18</v>
      </c>
      <c r="D1457" s="1">
        <v>45082</v>
      </c>
      <c r="E1457" s="2">
        <v>1871.33</v>
      </c>
      <c r="F1457">
        <v>88</v>
      </c>
    </row>
    <row r="1458" spans="1:6">
      <c r="A1458" t="s">
        <v>53</v>
      </c>
      <c r="B1458" t="s">
        <v>7</v>
      </c>
      <c r="C1458" t="s">
        <v>59</v>
      </c>
      <c r="D1458" t="s">
        <v>167</v>
      </c>
      <c r="E1458" s="2">
        <v>10843.46</v>
      </c>
      <c r="F1458">
        <v>142</v>
      </c>
    </row>
    <row r="1459" spans="1:6">
      <c r="A1459" t="s">
        <v>45</v>
      </c>
      <c r="B1459" t="s">
        <v>15</v>
      </c>
      <c r="C1459" t="s">
        <v>65</v>
      </c>
      <c r="D1459" t="s">
        <v>246</v>
      </c>
      <c r="E1459" s="2">
        <v>5032.45</v>
      </c>
      <c r="F1459">
        <v>79</v>
      </c>
    </row>
    <row r="1460" spans="1:6">
      <c r="A1460" t="s">
        <v>9</v>
      </c>
      <c r="B1460" t="s">
        <v>32</v>
      </c>
      <c r="C1460" t="s">
        <v>90</v>
      </c>
      <c r="D1460" t="s">
        <v>170</v>
      </c>
      <c r="E1460" s="2">
        <v>1106.3800000000001</v>
      </c>
      <c r="F1460">
        <v>21</v>
      </c>
    </row>
    <row r="1461" spans="1:6">
      <c r="A1461" t="s">
        <v>71</v>
      </c>
      <c r="B1461" t="s">
        <v>15</v>
      </c>
      <c r="C1461" t="s">
        <v>20</v>
      </c>
      <c r="D1461" t="s">
        <v>218</v>
      </c>
      <c r="E1461" s="2">
        <v>4977.55</v>
      </c>
      <c r="F1461">
        <v>97</v>
      </c>
    </row>
    <row r="1462" spans="1:6">
      <c r="A1462" t="s">
        <v>55</v>
      </c>
      <c r="B1462" t="s">
        <v>10</v>
      </c>
      <c r="C1462" t="s">
        <v>46</v>
      </c>
      <c r="D1462" s="1">
        <v>44962</v>
      </c>
      <c r="E1462" s="2">
        <v>3210.14</v>
      </c>
      <c r="F1462">
        <v>92</v>
      </c>
    </row>
    <row r="1463" spans="1:6">
      <c r="A1463" t="s">
        <v>83</v>
      </c>
      <c r="B1463" t="s">
        <v>15</v>
      </c>
      <c r="C1463" t="s">
        <v>18</v>
      </c>
      <c r="D1463" t="s">
        <v>192</v>
      </c>
      <c r="E1463" s="2">
        <v>7794.8</v>
      </c>
      <c r="F1463">
        <v>54</v>
      </c>
    </row>
    <row r="1464" spans="1:6">
      <c r="A1464" t="s">
        <v>34</v>
      </c>
      <c r="B1464" t="s">
        <v>32</v>
      </c>
      <c r="C1464" t="s">
        <v>65</v>
      </c>
      <c r="D1464" t="s">
        <v>210</v>
      </c>
      <c r="E1464" s="2">
        <v>7613.37</v>
      </c>
      <c r="F1464">
        <v>370</v>
      </c>
    </row>
    <row r="1465" spans="1:6">
      <c r="A1465" t="s">
        <v>55</v>
      </c>
      <c r="B1465" t="s">
        <v>35</v>
      </c>
      <c r="C1465" t="s">
        <v>20</v>
      </c>
      <c r="D1465" t="s">
        <v>246</v>
      </c>
      <c r="E1465" s="2">
        <v>1332.76</v>
      </c>
      <c r="F1465">
        <v>409</v>
      </c>
    </row>
    <row r="1466" spans="1:6">
      <c r="A1466" t="s">
        <v>19</v>
      </c>
      <c r="B1466" t="s">
        <v>7</v>
      </c>
      <c r="C1466" t="s">
        <v>23</v>
      </c>
      <c r="D1466" t="s">
        <v>248</v>
      </c>
      <c r="E1466" s="2">
        <v>2587.7600000000002</v>
      </c>
      <c r="F1466">
        <v>108</v>
      </c>
    </row>
    <row r="1467" spans="1:6">
      <c r="A1467" t="s">
        <v>22</v>
      </c>
      <c r="B1467" t="s">
        <v>7</v>
      </c>
      <c r="C1467" t="s">
        <v>36</v>
      </c>
      <c r="D1467" t="s">
        <v>224</v>
      </c>
      <c r="E1467" s="2">
        <v>3826.22</v>
      </c>
      <c r="F1467">
        <v>169</v>
      </c>
    </row>
    <row r="1468" spans="1:6">
      <c r="A1468" t="s">
        <v>79</v>
      </c>
      <c r="B1468" t="s">
        <v>32</v>
      </c>
      <c r="C1468" t="s">
        <v>90</v>
      </c>
      <c r="D1468" t="s">
        <v>184</v>
      </c>
      <c r="E1468" s="2">
        <v>18687.87</v>
      </c>
      <c r="F1468">
        <v>80</v>
      </c>
    </row>
    <row r="1469" spans="1:6">
      <c r="A1469" t="s">
        <v>14</v>
      </c>
      <c r="B1469" t="s">
        <v>10</v>
      </c>
      <c r="C1469" t="s">
        <v>13</v>
      </c>
      <c r="D1469" s="1">
        <v>45017</v>
      </c>
      <c r="E1469" s="2">
        <v>8859.6299999999992</v>
      </c>
      <c r="F1469">
        <v>184</v>
      </c>
    </row>
    <row r="1470" spans="1:6">
      <c r="A1470" t="s">
        <v>53</v>
      </c>
      <c r="B1470" t="s">
        <v>15</v>
      </c>
      <c r="C1470" t="s">
        <v>36</v>
      </c>
      <c r="D1470" s="1">
        <v>45023</v>
      </c>
      <c r="E1470" s="2">
        <v>7299.4</v>
      </c>
      <c r="F1470">
        <v>34</v>
      </c>
    </row>
    <row r="1471" spans="1:6">
      <c r="A1471" t="s">
        <v>41</v>
      </c>
      <c r="B1471" t="s">
        <v>32</v>
      </c>
      <c r="C1471" t="s">
        <v>18</v>
      </c>
      <c r="D1471" t="s">
        <v>165</v>
      </c>
      <c r="E1471" s="2">
        <v>2556.2600000000002</v>
      </c>
      <c r="F1471">
        <v>354</v>
      </c>
    </row>
    <row r="1472" spans="1:6">
      <c r="A1472" t="s">
        <v>71</v>
      </c>
      <c r="B1472" t="s">
        <v>15</v>
      </c>
      <c r="C1472" t="s">
        <v>60</v>
      </c>
      <c r="D1472" t="s">
        <v>226</v>
      </c>
      <c r="E1472" s="2">
        <v>703.4</v>
      </c>
      <c r="F1472">
        <v>181</v>
      </c>
    </row>
    <row r="1473" spans="1:6">
      <c r="A1473" t="s">
        <v>19</v>
      </c>
      <c r="B1473" t="s">
        <v>15</v>
      </c>
      <c r="C1473" t="s">
        <v>65</v>
      </c>
      <c r="D1473" t="s">
        <v>252</v>
      </c>
      <c r="E1473" s="2">
        <v>6421.18</v>
      </c>
      <c r="F1473">
        <v>242</v>
      </c>
    </row>
    <row r="1474" spans="1:6">
      <c r="A1474" t="s">
        <v>14</v>
      </c>
      <c r="B1474" t="s">
        <v>32</v>
      </c>
      <c r="C1474" t="s">
        <v>33</v>
      </c>
      <c r="D1474" t="s">
        <v>179</v>
      </c>
      <c r="E1474" s="2">
        <v>1048.26</v>
      </c>
      <c r="F1474">
        <v>149</v>
      </c>
    </row>
    <row r="1475" spans="1:6">
      <c r="A1475" t="s">
        <v>12</v>
      </c>
      <c r="B1475" t="s">
        <v>32</v>
      </c>
      <c r="C1475" t="s">
        <v>57</v>
      </c>
      <c r="D1475" t="s">
        <v>178</v>
      </c>
      <c r="E1475" s="2">
        <v>3099.14</v>
      </c>
      <c r="F1475">
        <v>115</v>
      </c>
    </row>
    <row r="1476" spans="1:6">
      <c r="A1476" t="s">
        <v>34</v>
      </c>
      <c r="B1476" t="s">
        <v>7</v>
      </c>
      <c r="C1476" t="s">
        <v>46</v>
      </c>
      <c r="D1476" s="1">
        <v>45200</v>
      </c>
      <c r="E1476" s="2">
        <v>3737.68</v>
      </c>
      <c r="F1476">
        <v>282</v>
      </c>
    </row>
    <row r="1477" spans="1:6">
      <c r="A1477" t="s">
        <v>48</v>
      </c>
      <c r="B1477" t="s">
        <v>32</v>
      </c>
      <c r="C1477" t="s">
        <v>73</v>
      </c>
      <c r="D1477" t="s">
        <v>234</v>
      </c>
      <c r="E1477" s="2">
        <v>3086.89</v>
      </c>
      <c r="F1477">
        <v>153</v>
      </c>
    </row>
    <row r="1478" spans="1:6">
      <c r="A1478" t="s">
        <v>40</v>
      </c>
      <c r="B1478" t="s">
        <v>35</v>
      </c>
      <c r="C1478" t="s">
        <v>46</v>
      </c>
      <c r="D1478" s="1">
        <v>45140</v>
      </c>
      <c r="E1478" s="2">
        <v>2618.15</v>
      </c>
      <c r="F1478">
        <v>312</v>
      </c>
    </row>
    <row r="1479" spans="1:6">
      <c r="A1479" t="s">
        <v>28</v>
      </c>
      <c r="B1479" t="s">
        <v>10</v>
      </c>
      <c r="C1479" t="s">
        <v>90</v>
      </c>
      <c r="D1479" t="s">
        <v>207</v>
      </c>
      <c r="E1479" s="2">
        <v>1643.45</v>
      </c>
      <c r="F1479">
        <v>110</v>
      </c>
    </row>
    <row r="1480" spans="1:6">
      <c r="A1480" t="s">
        <v>22</v>
      </c>
      <c r="B1480" t="s">
        <v>32</v>
      </c>
      <c r="C1480" t="s">
        <v>36</v>
      </c>
      <c r="D1480" s="1">
        <v>44990</v>
      </c>
      <c r="E1480" s="2">
        <v>7368.94</v>
      </c>
      <c r="F1480">
        <v>45</v>
      </c>
    </row>
    <row r="1481" spans="1:6">
      <c r="A1481" t="s">
        <v>45</v>
      </c>
      <c r="B1481" t="s">
        <v>32</v>
      </c>
      <c r="C1481" t="s">
        <v>57</v>
      </c>
      <c r="D1481" t="s">
        <v>230</v>
      </c>
      <c r="E1481" s="2">
        <v>6082.19</v>
      </c>
      <c r="F1481">
        <v>23</v>
      </c>
    </row>
    <row r="1482" spans="1:6">
      <c r="A1482" t="s">
        <v>22</v>
      </c>
      <c r="B1482" t="s">
        <v>10</v>
      </c>
      <c r="C1482" t="s">
        <v>26</v>
      </c>
      <c r="D1482" s="1">
        <v>45177</v>
      </c>
      <c r="E1482" s="2">
        <v>14456.14</v>
      </c>
      <c r="F1482">
        <v>79</v>
      </c>
    </row>
    <row r="1483" spans="1:6">
      <c r="A1483" t="s">
        <v>64</v>
      </c>
      <c r="B1483" t="s">
        <v>25</v>
      </c>
      <c r="C1483" t="s">
        <v>60</v>
      </c>
      <c r="D1483" s="1">
        <v>45237</v>
      </c>
      <c r="E1483" s="2">
        <v>4173.3999999999996</v>
      </c>
      <c r="F1483">
        <v>254</v>
      </c>
    </row>
    <row r="1484" spans="1:6">
      <c r="A1484" t="s">
        <v>55</v>
      </c>
      <c r="B1484" t="s">
        <v>7</v>
      </c>
      <c r="C1484" t="s">
        <v>60</v>
      </c>
      <c r="D1484" t="s">
        <v>225</v>
      </c>
      <c r="E1484" s="2">
        <v>7189.18</v>
      </c>
      <c r="F1484">
        <v>113</v>
      </c>
    </row>
    <row r="1485" spans="1:6">
      <c r="A1485" t="s">
        <v>9</v>
      </c>
      <c r="B1485" t="s">
        <v>35</v>
      </c>
      <c r="C1485" t="s">
        <v>60</v>
      </c>
      <c r="D1485" t="s">
        <v>163</v>
      </c>
      <c r="E1485" s="2">
        <v>8962.9599999999991</v>
      </c>
      <c r="F1485">
        <v>48</v>
      </c>
    </row>
    <row r="1486" spans="1:6">
      <c r="A1486" t="s">
        <v>64</v>
      </c>
      <c r="B1486" t="s">
        <v>25</v>
      </c>
      <c r="C1486" t="s">
        <v>65</v>
      </c>
      <c r="D1486" t="s">
        <v>234</v>
      </c>
      <c r="E1486" s="2">
        <v>10085.02</v>
      </c>
      <c r="F1486">
        <v>146</v>
      </c>
    </row>
    <row r="1487" spans="1:6">
      <c r="A1487" t="s">
        <v>19</v>
      </c>
      <c r="B1487" t="s">
        <v>25</v>
      </c>
      <c r="C1487" t="s">
        <v>87</v>
      </c>
      <c r="D1487" t="s">
        <v>217</v>
      </c>
      <c r="E1487" s="2">
        <v>12073.18</v>
      </c>
      <c r="F1487">
        <v>51</v>
      </c>
    </row>
    <row r="1488" spans="1:6">
      <c r="A1488" t="s">
        <v>58</v>
      </c>
      <c r="B1488" t="s">
        <v>15</v>
      </c>
      <c r="C1488" t="s">
        <v>42</v>
      </c>
      <c r="D1488" s="1">
        <v>45204</v>
      </c>
      <c r="E1488" s="2">
        <v>6655.62</v>
      </c>
      <c r="F1488">
        <v>39</v>
      </c>
    </row>
    <row r="1489" spans="1:6">
      <c r="A1489" t="s">
        <v>40</v>
      </c>
      <c r="B1489" t="s">
        <v>15</v>
      </c>
      <c r="C1489" t="s">
        <v>50</v>
      </c>
      <c r="D1489" t="s">
        <v>245</v>
      </c>
      <c r="E1489" s="2">
        <v>14193.67</v>
      </c>
      <c r="F1489">
        <v>302</v>
      </c>
    </row>
    <row r="1490" spans="1:6">
      <c r="A1490" t="s">
        <v>41</v>
      </c>
      <c r="B1490" t="s">
        <v>35</v>
      </c>
      <c r="C1490" t="s">
        <v>18</v>
      </c>
      <c r="D1490" t="s">
        <v>176</v>
      </c>
      <c r="E1490" s="2">
        <v>15507.29</v>
      </c>
      <c r="F1490">
        <v>352</v>
      </c>
    </row>
    <row r="1491" spans="1:6">
      <c r="A1491" t="s">
        <v>28</v>
      </c>
      <c r="B1491" t="s">
        <v>32</v>
      </c>
      <c r="C1491" t="s">
        <v>42</v>
      </c>
      <c r="D1491" t="s">
        <v>203</v>
      </c>
      <c r="E1491" s="2">
        <v>17383.080000000002</v>
      </c>
      <c r="F1491">
        <v>145</v>
      </c>
    </row>
    <row r="1492" spans="1:6">
      <c r="A1492" t="s">
        <v>45</v>
      </c>
      <c r="B1492" t="s">
        <v>25</v>
      </c>
      <c r="C1492" t="s">
        <v>87</v>
      </c>
      <c r="D1492" t="s">
        <v>228</v>
      </c>
      <c r="E1492" s="2">
        <v>5912.59</v>
      </c>
      <c r="F1492">
        <v>232</v>
      </c>
    </row>
    <row r="1493" spans="1:6">
      <c r="A1493" t="s">
        <v>9</v>
      </c>
      <c r="B1493" t="s">
        <v>7</v>
      </c>
      <c r="C1493" t="s">
        <v>11</v>
      </c>
      <c r="D1493" s="1">
        <v>45237</v>
      </c>
      <c r="E1493" s="2">
        <v>4029.28</v>
      </c>
      <c r="F1493">
        <v>128</v>
      </c>
    </row>
    <row r="1494" spans="1:6">
      <c r="A1494" t="s">
        <v>40</v>
      </c>
      <c r="B1494" t="s">
        <v>35</v>
      </c>
      <c r="C1494" t="s">
        <v>50</v>
      </c>
      <c r="D1494" s="1">
        <v>44986</v>
      </c>
      <c r="E1494" s="2">
        <v>3563.09</v>
      </c>
      <c r="F1494">
        <v>344</v>
      </c>
    </row>
    <row r="1495" spans="1:6">
      <c r="A1495" t="s">
        <v>29</v>
      </c>
      <c r="B1495" t="s">
        <v>25</v>
      </c>
      <c r="C1495" t="s">
        <v>100</v>
      </c>
      <c r="D1495" t="s">
        <v>182</v>
      </c>
      <c r="E1495" s="2">
        <v>773.73</v>
      </c>
      <c r="F1495">
        <v>280</v>
      </c>
    </row>
    <row r="1496" spans="1:6">
      <c r="A1496" t="s">
        <v>41</v>
      </c>
      <c r="B1496" t="s">
        <v>32</v>
      </c>
      <c r="C1496" t="s">
        <v>26</v>
      </c>
      <c r="D1496" t="s">
        <v>168</v>
      </c>
      <c r="E1496" s="2">
        <v>2620.19</v>
      </c>
      <c r="F1496">
        <v>340</v>
      </c>
    </row>
    <row r="1497" spans="1:6">
      <c r="A1497" t="s">
        <v>28</v>
      </c>
      <c r="B1497" t="s">
        <v>32</v>
      </c>
      <c r="C1497" t="s">
        <v>8</v>
      </c>
      <c r="D1497" t="s">
        <v>203</v>
      </c>
      <c r="E1497" s="2">
        <v>11426.56</v>
      </c>
      <c r="F1497">
        <v>151</v>
      </c>
    </row>
    <row r="1498" spans="1:6">
      <c r="A1498" t="s">
        <v>37</v>
      </c>
      <c r="B1498" t="s">
        <v>25</v>
      </c>
      <c r="C1498" t="s">
        <v>36</v>
      </c>
      <c r="D1498" s="1">
        <v>45082</v>
      </c>
      <c r="E1498" s="2">
        <v>2935.8</v>
      </c>
      <c r="F1498">
        <v>171</v>
      </c>
    </row>
    <row r="1499" spans="1:6">
      <c r="A1499" t="s">
        <v>31</v>
      </c>
      <c r="B1499" t="s">
        <v>10</v>
      </c>
      <c r="C1499" t="s">
        <v>38</v>
      </c>
      <c r="D1499" t="s">
        <v>210</v>
      </c>
      <c r="E1499" s="2">
        <v>2431.5300000000002</v>
      </c>
      <c r="F1499">
        <v>148</v>
      </c>
    </row>
    <row r="1500" spans="1:6">
      <c r="A1500" t="s">
        <v>40</v>
      </c>
      <c r="B1500" t="s">
        <v>7</v>
      </c>
      <c r="C1500" t="s">
        <v>33</v>
      </c>
      <c r="D1500" s="1">
        <v>45083</v>
      </c>
      <c r="E1500" s="2">
        <v>11882.82</v>
      </c>
      <c r="F1500">
        <v>13</v>
      </c>
    </row>
    <row r="1501" spans="1:6">
      <c r="A1501" t="s">
        <v>28</v>
      </c>
      <c r="B1501" t="s">
        <v>25</v>
      </c>
      <c r="C1501" t="s">
        <v>87</v>
      </c>
      <c r="D1501" s="1">
        <v>45267</v>
      </c>
      <c r="E1501" s="2">
        <v>6297.06</v>
      </c>
      <c r="F1501">
        <v>26</v>
      </c>
    </row>
    <row r="1502" spans="1:6">
      <c r="A1502" t="s">
        <v>83</v>
      </c>
      <c r="B1502" t="s">
        <v>35</v>
      </c>
      <c r="C1502" t="s">
        <v>50</v>
      </c>
      <c r="D1502" s="1">
        <v>45054</v>
      </c>
      <c r="E1502" s="2">
        <v>5859.21</v>
      </c>
      <c r="F1502">
        <v>193</v>
      </c>
    </row>
    <row r="1503" spans="1:6">
      <c r="A1503" t="s">
        <v>28</v>
      </c>
      <c r="B1503" t="s">
        <v>32</v>
      </c>
      <c r="C1503" t="s">
        <v>33</v>
      </c>
      <c r="D1503" t="s">
        <v>210</v>
      </c>
      <c r="E1503" s="2">
        <v>6276.91</v>
      </c>
      <c r="F1503">
        <v>157</v>
      </c>
    </row>
    <row r="1504" spans="1:6">
      <c r="A1504" t="s">
        <v>55</v>
      </c>
      <c r="B1504" t="s">
        <v>10</v>
      </c>
      <c r="C1504" t="s">
        <v>50</v>
      </c>
      <c r="D1504" t="s">
        <v>253</v>
      </c>
      <c r="E1504" s="2">
        <v>5674.7</v>
      </c>
      <c r="F1504">
        <v>147</v>
      </c>
    </row>
    <row r="1505" spans="1:6">
      <c r="A1505" t="s">
        <v>34</v>
      </c>
      <c r="B1505" t="s">
        <v>32</v>
      </c>
      <c r="C1505" t="s">
        <v>26</v>
      </c>
      <c r="D1505" t="s">
        <v>188</v>
      </c>
      <c r="E1505" s="2">
        <v>1960.1</v>
      </c>
      <c r="F1505">
        <v>14</v>
      </c>
    </row>
    <row r="1506" spans="1:6">
      <c r="A1506" t="s">
        <v>34</v>
      </c>
      <c r="B1506" t="s">
        <v>7</v>
      </c>
      <c r="C1506" t="s">
        <v>8</v>
      </c>
      <c r="D1506" t="s">
        <v>179</v>
      </c>
      <c r="E1506" s="2">
        <v>6540.3</v>
      </c>
      <c r="F1506">
        <v>2</v>
      </c>
    </row>
    <row r="1507" spans="1:6">
      <c r="A1507" t="s">
        <v>41</v>
      </c>
      <c r="B1507" t="s">
        <v>10</v>
      </c>
      <c r="C1507" t="s">
        <v>75</v>
      </c>
      <c r="D1507" t="s">
        <v>163</v>
      </c>
      <c r="E1507" s="2">
        <v>3818.21</v>
      </c>
      <c r="F1507">
        <v>287</v>
      </c>
    </row>
    <row r="1508" spans="1:6">
      <c r="A1508" t="s">
        <v>77</v>
      </c>
      <c r="B1508" t="s">
        <v>7</v>
      </c>
      <c r="C1508" t="s">
        <v>18</v>
      </c>
      <c r="D1508" s="1">
        <v>45019</v>
      </c>
      <c r="E1508" s="2">
        <v>14769.97</v>
      </c>
      <c r="F1508">
        <v>87</v>
      </c>
    </row>
    <row r="1509" spans="1:6">
      <c r="A1509" t="s">
        <v>12</v>
      </c>
      <c r="B1509" t="s">
        <v>10</v>
      </c>
      <c r="C1509" t="s">
        <v>36</v>
      </c>
      <c r="D1509" t="s">
        <v>249</v>
      </c>
      <c r="E1509" s="2">
        <v>3687.44</v>
      </c>
      <c r="F1509">
        <v>73</v>
      </c>
    </row>
    <row r="1510" spans="1:6">
      <c r="A1510" t="s">
        <v>29</v>
      </c>
      <c r="B1510" t="s">
        <v>15</v>
      </c>
      <c r="C1510" t="s">
        <v>42</v>
      </c>
      <c r="D1510" t="s">
        <v>169</v>
      </c>
      <c r="E1510" s="2">
        <v>1123.58</v>
      </c>
      <c r="F1510">
        <v>114</v>
      </c>
    </row>
    <row r="1511" spans="1:6">
      <c r="A1511" t="s">
        <v>19</v>
      </c>
      <c r="B1511" t="s">
        <v>25</v>
      </c>
      <c r="C1511" t="s">
        <v>59</v>
      </c>
      <c r="D1511" s="1">
        <v>45205</v>
      </c>
      <c r="E1511" s="2">
        <v>4612.08</v>
      </c>
      <c r="F1511">
        <v>38</v>
      </c>
    </row>
    <row r="1512" spans="1:6">
      <c r="A1512" t="s">
        <v>67</v>
      </c>
      <c r="B1512" t="s">
        <v>7</v>
      </c>
      <c r="C1512" t="s">
        <v>38</v>
      </c>
      <c r="D1512" t="s">
        <v>239</v>
      </c>
      <c r="E1512" s="2">
        <v>1600.11</v>
      </c>
      <c r="F1512">
        <v>70</v>
      </c>
    </row>
    <row r="1513" spans="1:6">
      <c r="A1513" t="s">
        <v>70</v>
      </c>
      <c r="B1513" t="s">
        <v>10</v>
      </c>
      <c r="C1513" t="s">
        <v>46</v>
      </c>
      <c r="D1513" t="s">
        <v>184</v>
      </c>
      <c r="E1513" s="2">
        <v>975.67</v>
      </c>
      <c r="F1513">
        <v>105</v>
      </c>
    </row>
    <row r="1514" spans="1:6">
      <c r="A1514" t="s">
        <v>37</v>
      </c>
      <c r="B1514" t="s">
        <v>25</v>
      </c>
      <c r="C1514" t="s">
        <v>90</v>
      </c>
      <c r="D1514" t="s">
        <v>200</v>
      </c>
      <c r="E1514" s="2">
        <v>5487.3</v>
      </c>
      <c r="F1514">
        <v>219</v>
      </c>
    </row>
    <row r="1515" spans="1:6">
      <c r="A1515" t="s">
        <v>67</v>
      </c>
      <c r="B1515" t="s">
        <v>25</v>
      </c>
      <c r="C1515" t="s">
        <v>42</v>
      </c>
      <c r="D1515" s="1">
        <v>45019</v>
      </c>
      <c r="E1515" s="2">
        <v>4948.1499999999996</v>
      </c>
      <c r="F1515">
        <v>39</v>
      </c>
    </row>
    <row r="1516" spans="1:6">
      <c r="A1516" t="s">
        <v>31</v>
      </c>
      <c r="B1516" t="s">
        <v>25</v>
      </c>
      <c r="C1516" t="s">
        <v>23</v>
      </c>
      <c r="D1516" t="s">
        <v>188</v>
      </c>
      <c r="E1516" s="2">
        <v>11460.08</v>
      </c>
      <c r="F1516">
        <v>81</v>
      </c>
    </row>
    <row r="1517" spans="1:6">
      <c r="A1517" t="s">
        <v>41</v>
      </c>
      <c r="B1517" t="s">
        <v>7</v>
      </c>
      <c r="C1517" t="s">
        <v>65</v>
      </c>
      <c r="D1517" t="s">
        <v>192</v>
      </c>
      <c r="E1517" s="2">
        <v>2628.33</v>
      </c>
      <c r="F1517">
        <v>101</v>
      </c>
    </row>
    <row r="1518" spans="1:6">
      <c r="A1518" t="s">
        <v>19</v>
      </c>
      <c r="B1518" t="s">
        <v>15</v>
      </c>
      <c r="C1518" t="s">
        <v>73</v>
      </c>
      <c r="D1518" t="s">
        <v>173</v>
      </c>
      <c r="E1518" s="2">
        <v>1044.3499999999999</v>
      </c>
      <c r="F1518">
        <v>126</v>
      </c>
    </row>
    <row r="1519" spans="1:6">
      <c r="A1519" t="s">
        <v>58</v>
      </c>
      <c r="B1519" t="s">
        <v>32</v>
      </c>
      <c r="C1519" t="s">
        <v>73</v>
      </c>
      <c r="D1519" t="s">
        <v>218</v>
      </c>
      <c r="E1519" s="2">
        <v>7449.7</v>
      </c>
      <c r="F1519">
        <v>264</v>
      </c>
    </row>
    <row r="1520" spans="1:6">
      <c r="A1520" t="s">
        <v>45</v>
      </c>
      <c r="B1520" t="s">
        <v>35</v>
      </c>
      <c r="C1520" t="s">
        <v>33</v>
      </c>
      <c r="D1520" s="1">
        <v>45171</v>
      </c>
      <c r="E1520" s="2">
        <v>9315.64</v>
      </c>
      <c r="F1520">
        <v>88</v>
      </c>
    </row>
    <row r="1521" spans="1:6">
      <c r="A1521" t="s">
        <v>34</v>
      </c>
      <c r="B1521" t="s">
        <v>35</v>
      </c>
      <c r="C1521" t="s">
        <v>33</v>
      </c>
      <c r="D1521" t="s">
        <v>213</v>
      </c>
      <c r="E1521" s="2">
        <v>3820.94</v>
      </c>
      <c r="F1521">
        <v>179</v>
      </c>
    </row>
    <row r="1522" spans="1:6">
      <c r="A1522" t="s">
        <v>77</v>
      </c>
      <c r="B1522" t="s">
        <v>25</v>
      </c>
      <c r="C1522" t="s">
        <v>90</v>
      </c>
      <c r="D1522" s="1">
        <v>44928</v>
      </c>
      <c r="E1522" s="2">
        <v>3782.83</v>
      </c>
      <c r="F1522">
        <v>150</v>
      </c>
    </row>
    <row r="1523" spans="1:6">
      <c r="A1523" t="s">
        <v>34</v>
      </c>
      <c r="B1523" t="s">
        <v>10</v>
      </c>
      <c r="C1523" t="s">
        <v>38</v>
      </c>
      <c r="D1523" s="1">
        <v>45110</v>
      </c>
      <c r="E1523" s="2">
        <v>4525.72</v>
      </c>
      <c r="F1523">
        <v>146</v>
      </c>
    </row>
    <row r="1524" spans="1:6">
      <c r="A1524" t="s">
        <v>83</v>
      </c>
      <c r="B1524" t="s">
        <v>7</v>
      </c>
      <c r="C1524" t="s">
        <v>59</v>
      </c>
      <c r="D1524" s="1">
        <v>44986</v>
      </c>
      <c r="E1524" s="2">
        <v>3730.79</v>
      </c>
      <c r="F1524">
        <v>237</v>
      </c>
    </row>
    <row r="1525" spans="1:6">
      <c r="A1525" t="s">
        <v>83</v>
      </c>
      <c r="B1525" t="s">
        <v>32</v>
      </c>
      <c r="C1525" t="s">
        <v>59</v>
      </c>
      <c r="D1525" s="1">
        <v>45232</v>
      </c>
      <c r="E1525" s="2">
        <v>6068.19</v>
      </c>
      <c r="F1525">
        <v>349</v>
      </c>
    </row>
    <row r="1526" spans="1:6">
      <c r="A1526" t="s">
        <v>58</v>
      </c>
      <c r="B1526" t="s">
        <v>25</v>
      </c>
      <c r="C1526" t="s">
        <v>33</v>
      </c>
      <c r="D1526" t="s">
        <v>211</v>
      </c>
      <c r="E1526" s="2">
        <v>4944.46</v>
      </c>
      <c r="F1526">
        <v>144</v>
      </c>
    </row>
    <row r="1527" spans="1:6">
      <c r="A1527" t="s">
        <v>79</v>
      </c>
      <c r="B1527" t="s">
        <v>10</v>
      </c>
      <c r="C1527" t="s">
        <v>59</v>
      </c>
      <c r="D1527" t="s">
        <v>215</v>
      </c>
      <c r="E1527" s="2">
        <v>12331.35</v>
      </c>
      <c r="F1527">
        <v>337</v>
      </c>
    </row>
    <row r="1528" spans="1:6">
      <c r="A1528" t="s">
        <v>12</v>
      </c>
      <c r="B1528" t="s">
        <v>10</v>
      </c>
      <c r="C1528" t="s">
        <v>60</v>
      </c>
      <c r="D1528" s="1">
        <v>45265</v>
      </c>
      <c r="E1528" s="2">
        <v>5290.76</v>
      </c>
      <c r="F1528">
        <v>76</v>
      </c>
    </row>
    <row r="1529" spans="1:6">
      <c r="A1529" t="s">
        <v>9</v>
      </c>
      <c r="B1529" t="s">
        <v>10</v>
      </c>
      <c r="C1529" t="s">
        <v>50</v>
      </c>
      <c r="D1529" s="1">
        <v>45234</v>
      </c>
      <c r="E1529" s="2">
        <v>6874.06</v>
      </c>
      <c r="F1529">
        <v>4</v>
      </c>
    </row>
    <row r="1530" spans="1:6">
      <c r="A1530" t="s">
        <v>14</v>
      </c>
      <c r="B1530" t="s">
        <v>25</v>
      </c>
      <c r="C1530" t="s">
        <v>8</v>
      </c>
      <c r="D1530" t="s">
        <v>180</v>
      </c>
      <c r="E1530" s="2">
        <v>20402.169999999998</v>
      </c>
      <c r="F1530">
        <v>297</v>
      </c>
    </row>
    <row r="1531" spans="1:6">
      <c r="A1531" t="s">
        <v>79</v>
      </c>
      <c r="B1531" t="s">
        <v>25</v>
      </c>
      <c r="C1531" t="s">
        <v>59</v>
      </c>
      <c r="D1531" t="s">
        <v>177</v>
      </c>
      <c r="E1531" s="2">
        <v>7923.1</v>
      </c>
      <c r="F1531">
        <v>62</v>
      </c>
    </row>
    <row r="1532" spans="1:6">
      <c r="A1532" t="s">
        <v>29</v>
      </c>
      <c r="B1532" t="s">
        <v>35</v>
      </c>
      <c r="C1532" t="s">
        <v>90</v>
      </c>
      <c r="D1532" s="1">
        <v>44934</v>
      </c>
      <c r="E1532" s="2">
        <v>8145.99</v>
      </c>
      <c r="F1532">
        <v>100</v>
      </c>
    </row>
    <row r="1533" spans="1:6">
      <c r="A1533" t="s">
        <v>55</v>
      </c>
      <c r="B1533" t="s">
        <v>32</v>
      </c>
      <c r="C1533" t="s">
        <v>46</v>
      </c>
      <c r="D1533" t="s">
        <v>177</v>
      </c>
      <c r="E1533" s="2">
        <v>16253.25</v>
      </c>
      <c r="F1533">
        <v>58</v>
      </c>
    </row>
    <row r="1534" spans="1:6">
      <c r="A1534" t="s">
        <v>28</v>
      </c>
      <c r="B1534" t="s">
        <v>10</v>
      </c>
      <c r="C1534" t="s">
        <v>23</v>
      </c>
      <c r="D1534" t="s">
        <v>214</v>
      </c>
      <c r="E1534" s="2">
        <v>5744.07</v>
      </c>
      <c r="F1534">
        <v>49</v>
      </c>
    </row>
    <row r="1535" spans="1:6">
      <c r="A1535" t="s">
        <v>19</v>
      </c>
      <c r="B1535" t="s">
        <v>25</v>
      </c>
      <c r="C1535" t="s">
        <v>73</v>
      </c>
      <c r="D1535" t="s">
        <v>233</v>
      </c>
      <c r="E1535" s="2">
        <v>4908.71</v>
      </c>
      <c r="F1535">
        <v>288</v>
      </c>
    </row>
    <row r="1536" spans="1:6">
      <c r="A1536" t="s">
        <v>58</v>
      </c>
      <c r="B1536" t="s">
        <v>32</v>
      </c>
      <c r="C1536" t="s">
        <v>38</v>
      </c>
      <c r="D1536" s="1">
        <v>45204</v>
      </c>
      <c r="E1536" s="2">
        <v>2369.87</v>
      </c>
      <c r="F1536">
        <v>139</v>
      </c>
    </row>
    <row r="1537" spans="1:6">
      <c r="A1537" t="s">
        <v>19</v>
      </c>
      <c r="B1537" t="s">
        <v>10</v>
      </c>
      <c r="C1537" t="s">
        <v>36</v>
      </c>
      <c r="D1537" t="s">
        <v>206</v>
      </c>
      <c r="E1537" s="2">
        <v>5973.24</v>
      </c>
      <c r="F1537">
        <v>337</v>
      </c>
    </row>
    <row r="1538" spans="1:6">
      <c r="A1538" t="s">
        <v>83</v>
      </c>
      <c r="B1538" t="s">
        <v>25</v>
      </c>
      <c r="C1538" t="s">
        <v>42</v>
      </c>
      <c r="D1538" t="s">
        <v>189</v>
      </c>
      <c r="E1538" s="2">
        <v>8047.16</v>
      </c>
      <c r="F1538">
        <v>86</v>
      </c>
    </row>
    <row r="1539" spans="1:6">
      <c r="A1539" t="s">
        <v>12</v>
      </c>
      <c r="B1539" t="s">
        <v>7</v>
      </c>
      <c r="C1539" t="s">
        <v>87</v>
      </c>
      <c r="D1539" t="s">
        <v>192</v>
      </c>
      <c r="E1539" s="2">
        <v>9656.56</v>
      </c>
      <c r="F1539">
        <v>400</v>
      </c>
    </row>
    <row r="1540" spans="1:6">
      <c r="A1540" t="s">
        <v>14</v>
      </c>
      <c r="B1540" t="s">
        <v>15</v>
      </c>
      <c r="C1540" t="s">
        <v>26</v>
      </c>
      <c r="D1540" t="s">
        <v>230</v>
      </c>
      <c r="E1540" s="2">
        <v>3925.06</v>
      </c>
      <c r="F1540">
        <v>186</v>
      </c>
    </row>
    <row r="1541" spans="1:6">
      <c r="A1541" t="s">
        <v>41</v>
      </c>
      <c r="B1541" t="s">
        <v>15</v>
      </c>
      <c r="C1541" t="s">
        <v>18</v>
      </c>
      <c r="D1541" t="s">
        <v>164</v>
      </c>
      <c r="E1541" s="2">
        <v>11682.62</v>
      </c>
      <c r="F1541">
        <v>506</v>
      </c>
    </row>
    <row r="1542" spans="1:6">
      <c r="A1542" t="s">
        <v>83</v>
      </c>
      <c r="B1542" t="s">
        <v>32</v>
      </c>
      <c r="C1542" t="s">
        <v>42</v>
      </c>
      <c r="D1542" t="s">
        <v>168</v>
      </c>
      <c r="E1542" s="2">
        <v>7874.15</v>
      </c>
      <c r="F1542">
        <v>13</v>
      </c>
    </row>
    <row r="1543" spans="1:6">
      <c r="A1543" t="s">
        <v>28</v>
      </c>
      <c r="B1543" t="s">
        <v>35</v>
      </c>
      <c r="C1543" t="s">
        <v>8</v>
      </c>
      <c r="D1543" t="s">
        <v>210</v>
      </c>
      <c r="E1543" s="2">
        <v>5061.37</v>
      </c>
      <c r="F1543">
        <v>179</v>
      </c>
    </row>
    <row r="1544" spans="1:6">
      <c r="A1544" t="s">
        <v>55</v>
      </c>
      <c r="B1544" t="s">
        <v>7</v>
      </c>
      <c r="C1544" t="s">
        <v>33</v>
      </c>
      <c r="D1544" t="s">
        <v>179</v>
      </c>
      <c r="E1544" s="2">
        <v>2099.2399999999998</v>
      </c>
      <c r="F1544">
        <v>186</v>
      </c>
    </row>
    <row r="1545" spans="1:6">
      <c r="A1545" t="s">
        <v>37</v>
      </c>
      <c r="B1545" t="s">
        <v>15</v>
      </c>
      <c r="C1545" t="s">
        <v>100</v>
      </c>
      <c r="D1545" t="s">
        <v>246</v>
      </c>
      <c r="E1545" s="2">
        <v>237.57</v>
      </c>
      <c r="F1545">
        <v>311</v>
      </c>
    </row>
    <row r="1546" spans="1:6">
      <c r="A1546" t="s">
        <v>22</v>
      </c>
      <c r="B1546" t="s">
        <v>35</v>
      </c>
      <c r="C1546" t="s">
        <v>8</v>
      </c>
      <c r="D1546" s="1">
        <v>44933</v>
      </c>
      <c r="E1546" s="2">
        <v>8829.77</v>
      </c>
      <c r="F1546">
        <v>445</v>
      </c>
    </row>
    <row r="1547" spans="1:6">
      <c r="A1547" t="s">
        <v>45</v>
      </c>
      <c r="B1547" t="s">
        <v>32</v>
      </c>
      <c r="C1547" t="s">
        <v>13</v>
      </c>
      <c r="D1547" t="s">
        <v>207</v>
      </c>
      <c r="E1547" s="2">
        <v>1733.09</v>
      </c>
      <c r="F1547">
        <v>135</v>
      </c>
    </row>
    <row r="1548" spans="1:6">
      <c r="A1548" t="s">
        <v>48</v>
      </c>
      <c r="B1548" t="s">
        <v>35</v>
      </c>
      <c r="C1548" t="s">
        <v>18</v>
      </c>
      <c r="D1548" s="1">
        <v>44934</v>
      </c>
      <c r="E1548" s="2">
        <v>3047.18</v>
      </c>
      <c r="F1548">
        <v>12</v>
      </c>
    </row>
    <row r="1549" spans="1:6">
      <c r="A1549" t="s">
        <v>19</v>
      </c>
      <c r="B1549" t="s">
        <v>15</v>
      </c>
      <c r="C1549" t="s">
        <v>46</v>
      </c>
      <c r="D1549" t="s">
        <v>249</v>
      </c>
      <c r="E1549" s="2">
        <v>8497.7199999999993</v>
      </c>
      <c r="F1549">
        <v>276</v>
      </c>
    </row>
    <row r="1550" spans="1:6">
      <c r="A1550" t="s">
        <v>71</v>
      </c>
      <c r="B1550" t="s">
        <v>25</v>
      </c>
      <c r="C1550" t="s">
        <v>50</v>
      </c>
      <c r="D1550" t="s">
        <v>164</v>
      </c>
      <c r="E1550" s="2">
        <v>12557.56</v>
      </c>
      <c r="F1550">
        <v>26</v>
      </c>
    </row>
    <row r="1551" spans="1:6">
      <c r="A1551" t="s">
        <v>12</v>
      </c>
      <c r="B1551" t="s">
        <v>7</v>
      </c>
      <c r="C1551" t="s">
        <v>46</v>
      </c>
      <c r="D1551" t="s">
        <v>247</v>
      </c>
      <c r="E1551" s="2">
        <v>1406.91</v>
      </c>
      <c r="F1551">
        <v>231</v>
      </c>
    </row>
    <row r="1552" spans="1:6">
      <c r="A1552" t="s">
        <v>67</v>
      </c>
      <c r="B1552" t="s">
        <v>15</v>
      </c>
      <c r="C1552" t="s">
        <v>11</v>
      </c>
      <c r="D1552" t="s">
        <v>202</v>
      </c>
      <c r="E1552" s="2">
        <v>4496.32</v>
      </c>
      <c r="F1552">
        <v>240</v>
      </c>
    </row>
    <row r="1553" spans="1:6">
      <c r="A1553" t="s">
        <v>71</v>
      </c>
      <c r="B1553" t="s">
        <v>15</v>
      </c>
      <c r="C1553" t="s">
        <v>18</v>
      </c>
      <c r="D1553" s="1">
        <v>44988</v>
      </c>
      <c r="E1553" s="2">
        <v>8220.25</v>
      </c>
      <c r="F1553">
        <v>125</v>
      </c>
    </row>
    <row r="1554" spans="1:6">
      <c r="A1554" t="s">
        <v>45</v>
      </c>
      <c r="B1554" t="s">
        <v>10</v>
      </c>
      <c r="C1554" t="s">
        <v>90</v>
      </c>
      <c r="D1554" t="s">
        <v>174</v>
      </c>
      <c r="E1554" s="2">
        <v>9588.0300000000007</v>
      </c>
      <c r="F1554">
        <v>562</v>
      </c>
    </row>
    <row r="1555" spans="1:6">
      <c r="A1555" t="s">
        <v>37</v>
      </c>
      <c r="B1555" t="s">
        <v>32</v>
      </c>
      <c r="C1555" t="s">
        <v>38</v>
      </c>
      <c r="D1555" t="s">
        <v>179</v>
      </c>
      <c r="E1555" s="2">
        <v>114.82</v>
      </c>
      <c r="F1555">
        <v>231</v>
      </c>
    </row>
    <row r="1556" spans="1:6">
      <c r="A1556" t="s">
        <v>67</v>
      </c>
      <c r="B1556" t="s">
        <v>35</v>
      </c>
      <c r="C1556" t="s">
        <v>42</v>
      </c>
      <c r="D1556" s="1">
        <v>45017</v>
      </c>
      <c r="E1556" s="2">
        <v>8804.98</v>
      </c>
      <c r="F1556">
        <v>214</v>
      </c>
    </row>
    <row r="1557" spans="1:6">
      <c r="A1557" t="s">
        <v>6</v>
      </c>
      <c r="B1557" t="s">
        <v>15</v>
      </c>
      <c r="C1557" t="s">
        <v>38</v>
      </c>
      <c r="D1557" t="s">
        <v>225</v>
      </c>
      <c r="E1557" s="2">
        <v>2900.61</v>
      </c>
      <c r="F1557">
        <v>68</v>
      </c>
    </row>
    <row r="1558" spans="1:6">
      <c r="A1558" t="s">
        <v>37</v>
      </c>
      <c r="B1558" t="s">
        <v>32</v>
      </c>
      <c r="C1558" t="s">
        <v>8</v>
      </c>
      <c r="D1558" t="s">
        <v>252</v>
      </c>
      <c r="E1558" s="2">
        <v>16773.080000000002</v>
      </c>
      <c r="F1558">
        <v>58</v>
      </c>
    </row>
    <row r="1559" spans="1:6">
      <c r="A1559" t="s">
        <v>48</v>
      </c>
      <c r="B1559" t="s">
        <v>25</v>
      </c>
      <c r="C1559" t="s">
        <v>50</v>
      </c>
      <c r="D1559" s="1">
        <v>45200</v>
      </c>
      <c r="E1559" s="2">
        <v>4153.59</v>
      </c>
      <c r="F1559">
        <v>513</v>
      </c>
    </row>
    <row r="1560" spans="1:6">
      <c r="A1560" t="s">
        <v>77</v>
      </c>
      <c r="B1560" t="s">
        <v>32</v>
      </c>
      <c r="C1560" t="s">
        <v>59</v>
      </c>
      <c r="D1560" s="1">
        <v>45021</v>
      </c>
      <c r="E1560" s="2">
        <v>12571.07</v>
      </c>
      <c r="F1560">
        <v>226</v>
      </c>
    </row>
    <row r="1561" spans="1:6">
      <c r="A1561" t="s">
        <v>67</v>
      </c>
      <c r="B1561" t="s">
        <v>32</v>
      </c>
      <c r="C1561" t="s">
        <v>50</v>
      </c>
      <c r="D1561" t="s">
        <v>239</v>
      </c>
      <c r="E1561" s="2">
        <v>2553.46</v>
      </c>
      <c r="F1561">
        <v>5</v>
      </c>
    </row>
    <row r="1562" spans="1:6">
      <c r="A1562" t="s">
        <v>31</v>
      </c>
      <c r="B1562" t="s">
        <v>25</v>
      </c>
      <c r="C1562" t="s">
        <v>57</v>
      </c>
      <c r="D1562" t="s">
        <v>254</v>
      </c>
      <c r="E1562" s="2">
        <v>1888.94</v>
      </c>
      <c r="F1562">
        <v>159</v>
      </c>
    </row>
    <row r="1563" spans="1:6">
      <c r="A1563" t="s">
        <v>19</v>
      </c>
      <c r="B1563" t="s">
        <v>35</v>
      </c>
      <c r="C1563" t="s">
        <v>42</v>
      </c>
      <c r="D1563" s="1">
        <v>45053</v>
      </c>
      <c r="E1563" s="2">
        <v>1310.04</v>
      </c>
      <c r="F1563">
        <v>71</v>
      </c>
    </row>
    <row r="1564" spans="1:6">
      <c r="A1564" t="s">
        <v>77</v>
      </c>
      <c r="B1564" t="s">
        <v>7</v>
      </c>
      <c r="C1564" t="s">
        <v>42</v>
      </c>
      <c r="D1564" t="s">
        <v>244</v>
      </c>
      <c r="E1564" s="2">
        <v>7805.9</v>
      </c>
      <c r="F1564">
        <v>179</v>
      </c>
    </row>
    <row r="1565" spans="1:6">
      <c r="A1565" t="s">
        <v>79</v>
      </c>
      <c r="B1565" t="s">
        <v>32</v>
      </c>
      <c r="C1565" t="s">
        <v>8</v>
      </c>
      <c r="D1565" t="s">
        <v>212</v>
      </c>
      <c r="E1565" s="2">
        <v>6101.12</v>
      </c>
      <c r="F1565">
        <v>261</v>
      </c>
    </row>
    <row r="1566" spans="1:6">
      <c r="A1566" t="s">
        <v>70</v>
      </c>
      <c r="B1566" t="s">
        <v>32</v>
      </c>
      <c r="C1566" t="s">
        <v>33</v>
      </c>
      <c r="D1566" s="1">
        <v>44987</v>
      </c>
      <c r="E1566" s="2">
        <v>1425.81</v>
      </c>
      <c r="F1566">
        <v>133</v>
      </c>
    </row>
    <row r="1567" spans="1:6">
      <c r="A1567" t="s">
        <v>12</v>
      </c>
      <c r="B1567" t="s">
        <v>15</v>
      </c>
      <c r="C1567" t="s">
        <v>90</v>
      </c>
      <c r="D1567" s="1">
        <v>45145</v>
      </c>
      <c r="E1567" s="2">
        <v>8724.4</v>
      </c>
      <c r="F1567">
        <v>147</v>
      </c>
    </row>
    <row r="1568" spans="1:6">
      <c r="A1568" t="s">
        <v>34</v>
      </c>
      <c r="B1568" t="s">
        <v>10</v>
      </c>
      <c r="C1568" t="s">
        <v>26</v>
      </c>
      <c r="D1568" t="s">
        <v>229</v>
      </c>
      <c r="E1568" s="2">
        <v>664.82</v>
      </c>
      <c r="F1568">
        <v>147</v>
      </c>
    </row>
    <row r="1569" spans="1:6">
      <c r="A1569" t="s">
        <v>9</v>
      </c>
      <c r="B1569" t="s">
        <v>25</v>
      </c>
      <c r="C1569" t="s">
        <v>8</v>
      </c>
      <c r="D1569" t="s">
        <v>172</v>
      </c>
      <c r="E1569" s="2">
        <v>4351.3100000000004</v>
      </c>
      <c r="F1569">
        <v>103</v>
      </c>
    </row>
    <row r="1570" spans="1:6">
      <c r="A1570" t="s">
        <v>9</v>
      </c>
      <c r="B1570" t="s">
        <v>10</v>
      </c>
      <c r="C1570" t="s">
        <v>26</v>
      </c>
      <c r="D1570" t="s">
        <v>233</v>
      </c>
      <c r="E1570" s="2">
        <v>5825.09</v>
      </c>
      <c r="F1570">
        <v>123</v>
      </c>
    </row>
    <row r="1571" spans="1:6">
      <c r="A1571" t="s">
        <v>9</v>
      </c>
      <c r="B1571" t="s">
        <v>32</v>
      </c>
      <c r="C1571" t="s">
        <v>60</v>
      </c>
      <c r="D1571" t="s">
        <v>229</v>
      </c>
      <c r="E1571" s="2">
        <v>2418.9299999999998</v>
      </c>
      <c r="F1571">
        <v>110</v>
      </c>
    </row>
    <row r="1572" spans="1:6">
      <c r="A1572" t="s">
        <v>64</v>
      </c>
      <c r="B1572" t="s">
        <v>32</v>
      </c>
      <c r="C1572" t="s">
        <v>33</v>
      </c>
      <c r="D1572" t="s">
        <v>176</v>
      </c>
      <c r="E1572" s="2">
        <v>7725.52</v>
      </c>
      <c r="F1572">
        <v>38</v>
      </c>
    </row>
    <row r="1573" spans="1:6">
      <c r="A1573" t="s">
        <v>31</v>
      </c>
      <c r="B1573" t="s">
        <v>25</v>
      </c>
      <c r="C1573" t="s">
        <v>36</v>
      </c>
      <c r="D1573" t="s">
        <v>205</v>
      </c>
      <c r="E1573" s="2">
        <v>7144.08</v>
      </c>
      <c r="F1573">
        <v>32</v>
      </c>
    </row>
    <row r="1574" spans="1:6">
      <c r="A1574" t="s">
        <v>12</v>
      </c>
      <c r="B1574" t="s">
        <v>32</v>
      </c>
      <c r="C1574" t="s">
        <v>23</v>
      </c>
      <c r="D1574" t="s">
        <v>225</v>
      </c>
      <c r="E1574" s="2">
        <v>2043.13</v>
      </c>
      <c r="F1574">
        <v>243</v>
      </c>
    </row>
    <row r="1575" spans="1:6">
      <c r="A1575" t="s">
        <v>31</v>
      </c>
      <c r="B1575" t="s">
        <v>25</v>
      </c>
      <c r="C1575" t="s">
        <v>8</v>
      </c>
      <c r="D1575" t="s">
        <v>212</v>
      </c>
      <c r="E1575" s="2">
        <v>6526.01</v>
      </c>
      <c r="F1575">
        <v>147</v>
      </c>
    </row>
    <row r="1576" spans="1:6">
      <c r="A1576" t="s">
        <v>58</v>
      </c>
      <c r="B1576" t="s">
        <v>35</v>
      </c>
      <c r="C1576" t="s">
        <v>11</v>
      </c>
      <c r="D1576" s="1">
        <v>44934</v>
      </c>
      <c r="E1576" s="2">
        <v>11334.77</v>
      </c>
      <c r="F1576">
        <v>89</v>
      </c>
    </row>
    <row r="1577" spans="1:6">
      <c r="A1577" t="s">
        <v>41</v>
      </c>
      <c r="B1577" t="s">
        <v>25</v>
      </c>
      <c r="C1577" t="s">
        <v>18</v>
      </c>
      <c r="D1577" t="s">
        <v>183</v>
      </c>
      <c r="E1577" s="2">
        <v>2492.67</v>
      </c>
      <c r="F1577">
        <v>58</v>
      </c>
    </row>
    <row r="1578" spans="1:6">
      <c r="A1578" t="s">
        <v>53</v>
      </c>
      <c r="B1578" t="s">
        <v>32</v>
      </c>
      <c r="C1578" t="s">
        <v>59</v>
      </c>
      <c r="D1578" t="s">
        <v>198</v>
      </c>
      <c r="E1578" s="2">
        <v>2066.48</v>
      </c>
      <c r="F1578">
        <v>59</v>
      </c>
    </row>
    <row r="1579" spans="1:6">
      <c r="A1579" t="s">
        <v>67</v>
      </c>
      <c r="B1579" t="s">
        <v>15</v>
      </c>
      <c r="C1579" t="s">
        <v>13</v>
      </c>
      <c r="D1579" t="s">
        <v>166</v>
      </c>
      <c r="E1579" s="2">
        <v>7009.01</v>
      </c>
      <c r="F1579">
        <v>150</v>
      </c>
    </row>
    <row r="1580" spans="1:6">
      <c r="A1580" t="s">
        <v>58</v>
      </c>
      <c r="B1580" t="s">
        <v>10</v>
      </c>
      <c r="C1580" t="s">
        <v>11</v>
      </c>
      <c r="D1580" t="s">
        <v>180</v>
      </c>
      <c r="E1580" s="2">
        <v>4562.97</v>
      </c>
      <c r="F1580">
        <v>21</v>
      </c>
    </row>
    <row r="1581" spans="1:6">
      <c r="A1581" t="s">
        <v>48</v>
      </c>
      <c r="B1581" t="s">
        <v>7</v>
      </c>
      <c r="C1581" t="s">
        <v>26</v>
      </c>
      <c r="D1581" s="1">
        <v>45141</v>
      </c>
      <c r="E1581" s="2">
        <v>3442.99</v>
      </c>
      <c r="F1581">
        <v>142</v>
      </c>
    </row>
    <row r="1582" spans="1:6">
      <c r="A1582" t="s">
        <v>22</v>
      </c>
      <c r="B1582" t="s">
        <v>32</v>
      </c>
      <c r="C1582" t="s">
        <v>57</v>
      </c>
      <c r="D1582" s="1">
        <v>45172</v>
      </c>
      <c r="E1582" s="2">
        <v>6669.6</v>
      </c>
      <c r="F1582">
        <v>99</v>
      </c>
    </row>
    <row r="1583" spans="1:6">
      <c r="A1583" t="s">
        <v>19</v>
      </c>
      <c r="B1583" t="s">
        <v>35</v>
      </c>
      <c r="C1583" t="s">
        <v>73</v>
      </c>
      <c r="D1583" t="s">
        <v>214</v>
      </c>
      <c r="E1583" s="2">
        <v>1902.47</v>
      </c>
      <c r="F1583">
        <v>217</v>
      </c>
    </row>
    <row r="1584" spans="1:6">
      <c r="A1584" t="s">
        <v>12</v>
      </c>
      <c r="B1584" t="s">
        <v>7</v>
      </c>
      <c r="C1584" t="s">
        <v>38</v>
      </c>
      <c r="D1584" t="s">
        <v>180</v>
      </c>
      <c r="E1584" s="2">
        <v>6157.17</v>
      </c>
      <c r="F1584">
        <v>43</v>
      </c>
    </row>
    <row r="1585" spans="1:6">
      <c r="A1585" t="s">
        <v>70</v>
      </c>
      <c r="B1585" t="s">
        <v>10</v>
      </c>
      <c r="C1585" t="s">
        <v>8</v>
      </c>
      <c r="D1585" t="s">
        <v>168</v>
      </c>
      <c r="E1585" s="2">
        <v>3012.68</v>
      </c>
      <c r="F1585">
        <v>129</v>
      </c>
    </row>
    <row r="1586" spans="1:6">
      <c r="A1586" t="s">
        <v>37</v>
      </c>
      <c r="B1586" t="s">
        <v>35</v>
      </c>
      <c r="C1586" t="s">
        <v>13</v>
      </c>
      <c r="D1586" s="1">
        <v>45268</v>
      </c>
      <c r="E1586" s="2">
        <v>3473.62</v>
      </c>
      <c r="F1586">
        <v>170</v>
      </c>
    </row>
    <row r="1587" spans="1:6">
      <c r="A1587" t="s">
        <v>31</v>
      </c>
      <c r="B1587" t="s">
        <v>7</v>
      </c>
      <c r="C1587" t="s">
        <v>8</v>
      </c>
      <c r="D1587" s="1">
        <v>45114</v>
      </c>
      <c r="E1587" s="2">
        <v>4129.9799999999996</v>
      </c>
      <c r="F1587">
        <v>332</v>
      </c>
    </row>
    <row r="1588" spans="1:6">
      <c r="A1588" t="s">
        <v>31</v>
      </c>
      <c r="B1588" t="s">
        <v>32</v>
      </c>
      <c r="C1588" t="s">
        <v>11</v>
      </c>
      <c r="D1588" t="s">
        <v>206</v>
      </c>
      <c r="E1588" s="2">
        <v>14566.22</v>
      </c>
      <c r="F1588">
        <v>45</v>
      </c>
    </row>
    <row r="1589" spans="1:6">
      <c r="A1589" t="s">
        <v>53</v>
      </c>
      <c r="B1589" t="s">
        <v>35</v>
      </c>
      <c r="C1589" t="s">
        <v>36</v>
      </c>
      <c r="D1589" t="s">
        <v>255</v>
      </c>
      <c r="E1589" s="2">
        <v>4049.61</v>
      </c>
      <c r="F1589">
        <v>255</v>
      </c>
    </row>
    <row r="1590" spans="1:6">
      <c r="A1590" t="s">
        <v>14</v>
      </c>
      <c r="B1590" t="s">
        <v>15</v>
      </c>
      <c r="C1590" t="s">
        <v>100</v>
      </c>
      <c r="D1590" s="1">
        <v>45019</v>
      </c>
      <c r="E1590" s="2">
        <v>5924.44</v>
      </c>
      <c r="F1590">
        <v>396</v>
      </c>
    </row>
    <row r="1591" spans="1:6">
      <c r="A1591" t="s">
        <v>40</v>
      </c>
      <c r="B1591" t="s">
        <v>25</v>
      </c>
      <c r="C1591" t="s">
        <v>57</v>
      </c>
      <c r="D1591" t="s">
        <v>206</v>
      </c>
      <c r="E1591" s="2">
        <v>10100.950000000001</v>
      </c>
      <c r="F1591">
        <v>4</v>
      </c>
    </row>
    <row r="1592" spans="1:6">
      <c r="A1592" t="s">
        <v>83</v>
      </c>
      <c r="B1592" t="s">
        <v>7</v>
      </c>
      <c r="C1592" t="s">
        <v>13</v>
      </c>
      <c r="D1592" t="s">
        <v>184</v>
      </c>
      <c r="E1592" s="2">
        <v>2362.0100000000002</v>
      </c>
      <c r="F1592">
        <v>272</v>
      </c>
    </row>
    <row r="1593" spans="1:6">
      <c r="A1593" t="s">
        <v>55</v>
      </c>
      <c r="B1593" t="s">
        <v>32</v>
      </c>
      <c r="C1593" t="s">
        <v>42</v>
      </c>
      <c r="D1593" s="1">
        <v>45233</v>
      </c>
      <c r="E1593" s="2">
        <v>2638.76</v>
      </c>
      <c r="F1593">
        <v>24</v>
      </c>
    </row>
    <row r="1594" spans="1:6">
      <c r="A1594" t="s">
        <v>71</v>
      </c>
      <c r="B1594" t="s">
        <v>32</v>
      </c>
      <c r="C1594" t="s">
        <v>73</v>
      </c>
      <c r="D1594" t="s">
        <v>222</v>
      </c>
      <c r="E1594" s="2">
        <v>3496.41</v>
      </c>
      <c r="F1594">
        <v>18</v>
      </c>
    </row>
    <row r="1595" spans="1:6">
      <c r="A1595" t="s">
        <v>28</v>
      </c>
      <c r="B1595" t="s">
        <v>25</v>
      </c>
      <c r="C1595" t="s">
        <v>60</v>
      </c>
      <c r="D1595" t="s">
        <v>230</v>
      </c>
      <c r="E1595" s="2">
        <v>17222.86</v>
      </c>
      <c r="F1595">
        <v>44</v>
      </c>
    </row>
    <row r="1596" spans="1:6">
      <c r="A1596" t="s">
        <v>6</v>
      </c>
      <c r="B1596" t="s">
        <v>25</v>
      </c>
      <c r="C1596" t="s">
        <v>23</v>
      </c>
      <c r="D1596" t="s">
        <v>195</v>
      </c>
      <c r="E1596" s="2">
        <v>1604.87</v>
      </c>
      <c r="F1596">
        <v>71</v>
      </c>
    </row>
    <row r="1597" spans="1:6">
      <c r="A1597" t="s">
        <v>6</v>
      </c>
      <c r="B1597" t="s">
        <v>32</v>
      </c>
      <c r="C1597" t="s">
        <v>18</v>
      </c>
      <c r="D1597" s="1">
        <v>45114</v>
      </c>
      <c r="E1597" s="2">
        <v>7170.21</v>
      </c>
      <c r="F1597">
        <v>151</v>
      </c>
    </row>
    <row r="1598" spans="1:6">
      <c r="A1598" t="s">
        <v>77</v>
      </c>
      <c r="B1598" t="s">
        <v>10</v>
      </c>
      <c r="C1598" t="s">
        <v>8</v>
      </c>
      <c r="D1598" t="s">
        <v>182</v>
      </c>
      <c r="E1598" s="2">
        <v>4090.16</v>
      </c>
      <c r="F1598">
        <v>75</v>
      </c>
    </row>
    <row r="1599" spans="1:6">
      <c r="A1599" t="s">
        <v>6</v>
      </c>
      <c r="B1599" t="s">
        <v>10</v>
      </c>
      <c r="C1599" t="s">
        <v>36</v>
      </c>
      <c r="D1599" t="s">
        <v>163</v>
      </c>
      <c r="E1599" s="2">
        <v>9574.3799999999992</v>
      </c>
      <c r="F1599">
        <v>134</v>
      </c>
    </row>
    <row r="1600" spans="1:6">
      <c r="A1600" t="s">
        <v>37</v>
      </c>
      <c r="B1600" t="s">
        <v>35</v>
      </c>
      <c r="C1600" t="s">
        <v>73</v>
      </c>
      <c r="D1600" s="1">
        <v>45174</v>
      </c>
      <c r="E1600" s="2">
        <v>717.9</v>
      </c>
      <c r="F1600">
        <v>213</v>
      </c>
    </row>
    <row r="1601" spans="1:6">
      <c r="A1601" t="s">
        <v>55</v>
      </c>
      <c r="B1601" t="s">
        <v>15</v>
      </c>
      <c r="C1601" t="s">
        <v>100</v>
      </c>
      <c r="D1601" s="1">
        <v>45140</v>
      </c>
      <c r="E1601" s="2">
        <v>7734.54</v>
      </c>
      <c r="F1601">
        <v>227</v>
      </c>
    </row>
    <row r="1602" spans="1:6">
      <c r="A1602" t="s">
        <v>45</v>
      </c>
      <c r="B1602" t="s">
        <v>7</v>
      </c>
      <c r="C1602" t="s">
        <v>100</v>
      </c>
      <c r="D1602" t="s">
        <v>165</v>
      </c>
      <c r="E1602" s="2">
        <v>1606.49</v>
      </c>
      <c r="F1602">
        <v>305</v>
      </c>
    </row>
    <row r="1603" spans="1:6">
      <c r="A1603" t="s">
        <v>29</v>
      </c>
      <c r="B1603" t="s">
        <v>32</v>
      </c>
      <c r="C1603" t="s">
        <v>38</v>
      </c>
      <c r="D1603" t="s">
        <v>196</v>
      </c>
      <c r="E1603" s="2">
        <v>9170.09</v>
      </c>
      <c r="F1603">
        <v>79</v>
      </c>
    </row>
    <row r="1604" spans="1:6">
      <c r="A1604" t="s">
        <v>34</v>
      </c>
      <c r="B1604" t="s">
        <v>35</v>
      </c>
      <c r="C1604" t="s">
        <v>60</v>
      </c>
      <c r="D1604" s="1">
        <v>45110</v>
      </c>
      <c r="E1604" s="2">
        <v>1583.57</v>
      </c>
      <c r="F1604">
        <v>122</v>
      </c>
    </row>
    <row r="1605" spans="1:6">
      <c r="A1605" t="s">
        <v>55</v>
      </c>
      <c r="B1605" t="s">
        <v>15</v>
      </c>
      <c r="C1605" t="s">
        <v>57</v>
      </c>
      <c r="D1605" t="s">
        <v>196</v>
      </c>
      <c r="E1605" s="2">
        <v>7684.52</v>
      </c>
      <c r="F1605">
        <v>83</v>
      </c>
    </row>
    <row r="1606" spans="1:6">
      <c r="A1606" t="s">
        <v>19</v>
      </c>
      <c r="B1606" t="s">
        <v>25</v>
      </c>
      <c r="C1606" t="s">
        <v>42</v>
      </c>
      <c r="D1606" t="s">
        <v>173</v>
      </c>
      <c r="E1606" s="2">
        <v>16765.07</v>
      </c>
      <c r="F1606">
        <v>261</v>
      </c>
    </row>
    <row r="1607" spans="1:6">
      <c r="A1607" t="s">
        <v>77</v>
      </c>
      <c r="B1607" t="s">
        <v>7</v>
      </c>
      <c r="C1607" t="s">
        <v>20</v>
      </c>
      <c r="D1607" t="s">
        <v>169</v>
      </c>
      <c r="E1607" s="2">
        <v>11796.63</v>
      </c>
      <c r="F1607">
        <v>45</v>
      </c>
    </row>
    <row r="1608" spans="1:6">
      <c r="A1608" t="s">
        <v>77</v>
      </c>
      <c r="B1608" t="s">
        <v>15</v>
      </c>
      <c r="C1608" t="s">
        <v>8</v>
      </c>
      <c r="D1608" s="1">
        <v>44962</v>
      </c>
      <c r="E1608" s="2">
        <v>2766.65</v>
      </c>
      <c r="F1608">
        <v>148</v>
      </c>
    </row>
    <row r="1609" spans="1:6">
      <c r="A1609" t="s">
        <v>48</v>
      </c>
      <c r="B1609" t="s">
        <v>35</v>
      </c>
      <c r="C1609" t="s">
        <v>20</v>
      </c>
      <c r="D1609" s="1">
        <v>45114</v>
      </c>
      <c r="E1609" s="2">
        <v>13232.74</v>
      </c>
      <c r="F1609">
        <v>7</v>
      </c>
    </row>
    <row r="1610" spans="1:6">
      <c r="A1610" t="s">
        <v>29</v>
      </c>
      <c r="B1610" t="s">
        <v>15</v>
      </c>
      <c r="C1610" t="s">
        <v>87</v>
      </c>
      <c r="D1610" t="s">
        <v>186</v>
      </c>
      <c r="E1610" s="2">
        <v>2820.41</v>
      </c>
      <c r="F1610">
        <v>50</v>
      </c>
    </row>
    <row r="1611" spans="1:6">
      <c r="A1611" t="s">
        <v>37</v>
      </c>
      <c r="B1611" t="s">
        <v>15</v>
      </c>
      <c r="C1611" t="s">
        <v>23</v>
      </c>
      <c r="D1611" s="1">
        <v>45238</v>
      </c>
      <c r="E1611" s="2">
        <v>2483.3200000000002</v>
      </c>
      <c r="F1611">
        <v>65</v>
      </c>
    </row>
    <row r="1612" spans="1:6">
      <c r="A1612" t="s">
        <v>40</v>
      </c>
      <c r="B1612" t="s">
        <v>7</v>
      </c>
      <c r="C1612" t="s">
        <v>20</v>
      </c>
      <c r="D1612" t="s">
        <v>167</v>
      </c>
      <c r="E1612" s="2">
        <v>9124.16</v>
      </c>
      <c r="F1612">
        <v>209</v>
      </c>
    </row>
    <row r="1613" spans="1:6">
      <c r="A1613" t="s">
        <v>22</v>
      </c>
      <c r="B1613" t="s">
        <v>15</v>
      </c>
      <c r="C1613" t="s">
        <v>26</v>
      </c>
      <c r="D1613" s="1">
        <v>44960</v>
      </c>
      <c r="E1613" s="2">
        <v>12728.16</v>
      </c>
      <c r="F1613">
        <v>111</v>
      </c>
    </row>
    <row r="1614" spans="1:6">
      <c r="A1614" t="s">
        <v>40</v>
      </c>
      <c r="B1614" t="s">
        <v>15</v>
      </c>
      <c r="C1614" t="s">
        <v>75</v>
      </c>
      <c r="D1614" t="s">
        <v>232</v>
      </c>
      <c r="E1614" s="2">
        <v>12624.64</v>
      </c>
      <c r="F1614">
        <v>41</v>
      </c>
    </row>
    <row r="1615" spans="1:6">
      <c r="A1615" t="s">
        <v>70</v>
      </c>
      <c r="B1615" t="s">
        <v>25</v>
      </c>
      <c r="C1615" t="s">
        <v>38</v>
      </c>
      <c r="D1615" s="1">
        <v>45202</v>
      </c>
      <c r="E1615" s="2">
        <v>17584.16</v>
      </c>
      <c r="F1615">
        <v>110</v>
      </c>
    </row>
    <row r="1616" spans="1:6">
      <c r="A1616" t="s">
        <v>41</v>
      </c>
      <c r="B1616" t="s">
        <v>32</v>
      </c>
      <c r="C1616" t="s">
        <v>11</v>
      </c>
      <c r="D1616" t="s">
        <v>202</v>
      </c>
      <c r="E1616" s="2">
        <v>13156.49</v>
      </c>
      <c r="F1616">
        <v>360</v>
      </c>
    </row>
    <row r="1617" spans="1:6">
      <c r="A1617" t="s">
        <v>45</v>
      </c>
      <c r="B1617" t="s">
        <v>32</v>
      </c>
      <c r="C1617" t="s">
        <v>36</v>
      </c>
      <c r="D1617" t="s">
        <v>217</v>
      </c>
      <c r="E1617" s="2">
        <v>4164.1000000000004</v>
      </c>
      <c r="F1617">
        <v>167</v>
      </c>
    </row>
    <row r="1618" spans="1:6">
      <c r="A1618" t="s">
        <v>58</v>
      </c>
      <c r="B1618" t="s">
        <v>7</v>
      </c>
      <c r="C1618" t="s">
        <v>46</v>
      </c>
      <c r="D1618" s="1">
        <v>45110</v>
      </c>
      <c r="E1618" s="2">
        <v>11698.98</v>
      </c>
      <c r="F1618">
        <v>436</v>
      </c>
    </row>
    <row r="1619" spans="1:6">
      <c r="A1619" t="s">
        <v>64</v>
      </c>
      <c r="B1619" t="s">
        <v>7</v>
      </c>
      <c r="C1619" t="s">
        <v>42</v>
      </c>
      <c r="D1619" s="1">
        <v>45267</v>
      </c>
      <c r="E1619" s="2">
        <v>4964.25</v>
      </c>
      <c r="F1619">
        <v>56</v>
      </c>
    </row>
    <row r="1620" spans="1:6">
      <c r="A1620" t="s">
        <v>77</v>
      </c>
      <c r="B1620" t="s">
        <v>32</v>
      </c>
      <c r="C1620" t="s">
        <v>33</v>
      </c>
      <c r="D1620" t="s">
        <v>192</v>
      </c>
      <c r="E1620" s="2">
        <v>8258.3700000000008</v>
      </c>
      <c r="F1620">
        <v>132</v>
      </c>
    </row>
    <row r="1621" spans="1:6">
      <c r="A1621" t="s">
        <v>22</v>
      </c>
      <c r="B1621" t="s">
        <v>10</v>
      </c>
      <c r="C1621" t="s">
        <v>18</v>
      </c>
      <c r="D1621" s="1">
        <v>44960</v>
      </c>
      <c r="E1621" s="2">
        <v>3938.2</v>
      </c>
      <c r="F1621">
        <v>70</v>
      </c>
    </row>
    <row r="1622" spans="1:6">
      <c r="A1622" t="s">
        <v>40</v>
      </c>
      <c r="B1622" t="s">
        <v>25</v>
      </c>
      <c r="C1622" t="s">
        <v>11</v>
      </c>
      <c r="D1622" t="s">
        <v>174</v>
      </c>
      <c r="E1622" s="2">
        <v>1368.27</v>
      </c>
      <c r="F1622">
        <v>163</v>
      </c>
    </row>
    <row r="1623" spans="1:6">
      <c r="A1623" t="s">
        <v>40</v>
      </c>
      <c r="B1623" t="s">
        <v>7</v>
      </c>
      <c r="C1623" t="s">
        <v>60</v>
      </c>
      <c r="D1623" s="1">
        <v>45205</v>
      </c>
      <c r="E1623" s="2">
        <v>12449.46</v>
      </c>
      <c r="F1623">
        <v>177</v>
      </c>
    </row>
    <row r="1624" spans="1:6">
      <c r="A1624" t="s">
        <v>28</v>
      </c>
      <c r="B1624" t="s">
        <v>32</v>
      </c>
      <c r="C1624" t="s">
        <v>20</v>
      </c>
      <c r="D1624" t="s">
        <v>216</v>
      </c>
      <c r="E1624" s="2">
        <v>7323.82</v>
      </c>
      <c r="F1624">
        <v>339</v>
      </c>
    </row>
    <row r="1625" spans="1:6">
      <c r="A1625" t="s">
        <v>41</v>
      </c>
      <c r="B1625" t="s">
        <v>25</v>
      </c>
      <c r="C1625" t="s">
        <v>8</v>
      </c>
      <c r="D1625" s="1">
        <v>45175</v>
      </c>
      <c r="E1625" s="2">
        <v>4560.8100000000004</v>
      </c>
      <c r="F1625">
        <v>102</v>
      </c>
    </row>
    <row r="1626" spans="1:6">
      <c r="A1626" t="s">
        <v>58</v>
      </c>
      <c r="B1626" t="s">
        <v>32</v>
      </c>
      <c r="C1626" t="s">
        <v>46</v>
      </c>
      <c r="D1626" s="1">
        <v>45265</v>
      </c>
      <c r="E1626" s="2">
        <v>777.46</v>
      </c>
      <c r="F1626">
        <v>58</v>
      </c>
    </row>
    <row r="1627" spans="1:6">
      <c r="A1627" t="s">
        <v>22</v>
      </c>
      <c r="B1627" t="s">
        <v>32</v>
      </c>
      <c r="C1627" t="s">
        <v>38</v>
      </c>
      <c r="D1627" s="1">
        <v>45174</v>
      </c>
      <c r="E1627" s="2">
        <v>3857.27</v>
      </c>
      <c r="F1627">
        <v>5</v>
      </c>
    </row>
    <row r="1628" spans="1:6">
      <c r="A1628" t="s">
        <v>28</v>
      </c>
      <c r="B1628" t="s">
        <v>35</v>
      </c>
      <c r="C1628" t="s">
        <v>60</v>
      </c>
      <c r="D1628" s="1">
        <v>45177</v>
      </c>
      <c r="E1628" s="2">
        <v>7442.69</v>
      </c>
      <c r="F1628">
        <v>179</v>
      </c>
    </row>
    <row r="1629" spans="1:6">
      <c r="A1629" t="s">
        <v>9</v>
      </c>
      <c r="B1629" t="s">
        <v>10</v>
      </c>
      <c r="C1629" t="s">
        <v>75</v>
      </c>
      <c r="D1629" t="s">
        <v>224</v>
      </c>
      <c r="E1629" s="2">
        <v>5799.3</v>
      </c>
      <c r="F1629">
        <v>125</v>
      </c>
    </row>
    <row r="1630" spans="1:6">
      <c r="A1630" t="s">
        <v>67</v>
      </c>
      <c r="B1630" t="s">
        <v>32</v>
      </c>
      <c r="C1630" t="s">
        <v>90</v>
      </c>
      <c r="D1630" s="1">
        <v>44962</v>
      </c>
      <c r="E1630" s="2">
        <v>8836.9</v>
      </c>
      <c r="F1630">
        <v>48</v>
      </c>
    </row>
    <row r="1631" spans="1:6">
      <c r="A1631" t="s">
        <v>79</v>
      </c>
      <c r="B1631" t="s">
        <v>32</v>
      </c>
      <c r="C1631" t="s">
        <v>20</v>
      </c>
      <c r="D1631" s="1">
        <v>45177</v>
      </c>
      <c r="E1631" s="2">
        <v>4185</v>
      </c>
      <c r="F1631">
        <v>315</v>
      </c>
    </row>
    <row r="1632" spans="1:6">
      <c r="A1632" t="s">
        <v>71</v>
      </c>
      <c r="B1632" t="s">
        <v>15</v>
      </c>
      <c r="C1632" t="s">
        <v>73</v>
      </c>
      <c r="D1632" t="s">
        <v>202</v>
      </c>
      <c r="E1632" s="2">
        <v>6984.06</v>
      </c>
      <c r="F1632">
        <v>174</v>
      </c>
    </row>
    <row r="1633" spans="1:6">
      <c r="A1633" t="s">
        <v>22</v>
      </c>
      <c r="B1633" t="s">
        <v>10</v>
      </c>
      <c r="C1633" t="s">
        <v>50</v>
      </c>
      <c r="D1633" t="s">
        <v>233</v>
      </c>
      <c r="E1633" s="2">
        <v>7362.7</v>
      </c>
      <c r="F1633">
        <v>179</v>
      </c>
    </row>
    <row r="1634" spans="1:6">
      <c r="A1634" t="s">
        <v>37</v>
      </c>
      <c r="B1634" t="s">
        <v>32</v>
      </c>
      <c r="C1634" t="s">
        <v>60</v>
      </c>
      <c r="D1634" s="1">
        <v>44928</v>
      </c>
      <c r="E1634" s="2">
        <v>10338.27</v>
      </c>
      <c r="F1634">
        <v>73</v>
      </c>
    </row>
    <row r="1635" spans="1:6">
      <c r="A1635" t="s">
        <v>71</v>
      </c>
      <c r="B1635" t="s">
        <v>32</v>
      </c>
      <c r="C1635" t="s">
        <v>26</v>
      </c>
      <c r="D1635" t="s">
        <v>245</v>
      </c>
      <c r="E1635" s="2">
        <v>6215.72</v>
      </c>
      <c r="F1635">
        <v>324</v>
      </c>
    </row>
    <row r="1636" spans="1:6">
      <c r="A1636" t="s">
        <v>77</v>
      </c>
      <c r="B1636" t="s">
        <v>7</v>
      </c>
      <c r="C1636" t="s">
        <v>75</v>
      </c>
      <c r="D1636" t="s">
        <v>178</v>
      </c>
      <c r="E1636" s="2">
        <v>10400.66</v>
      </c>
      <c r="F1636">
        <v>144</v>
      </c>
    </row>
    <row r="1637" spans="1:6">
      <c r="A1637" t="s">
        <v>14</v>
      </c>
      <c r="B1637" t="s">
        <v>35</v>
      </c>
      <c r="C1637" t="s">
        <v>8</v>
      </c>
      <c r="D1637" s="1">
        <v>44930</v>
      </c>
      <c r="E1637" s="2">
        <v>1062.6099999999999</v>
      </c>
      <c r="F1637">
        <v>217</v>
      </c>
    </row>
    <row r="1638" spans="1:6">
      <c r="A1638" t="s">
        <v>71</v>
      </c>
      <c r="B1638" t="s">
        <v>35</v>
      </c>
      <c r="C1638" t="s">
        <v>100</v>
      </c>
      <c r="D1638" t="s">
        <v>232</v>
      </c>
      <c r="E1638" s="2">
        <v>10095.709999999999</v>
      </c>
      <c r="F1638">
        <v>151</v>
      </c>
    </row>
    <row r="1639" spans="1:6">
      <c r="A1639" t="s">
        <v>83</v>
      </c>
      <c r="B1639" t="s">
        <v>10</v>
      </c>
      <c r="C1639" t="s">
        <v>13</v>
      </c>
      <c r="D1639" t="s">
        <v>199</v>
      </c>
      <c r="E1639" s="2">
        <v>23251.68</v>
      </c>
      <c r="F1639">
        <v>210</v>
      </c>
    </row>
    <row r="1640" spans="1:6">
      <c r="A1640" t="s">
        <v>14</v>
      </c>
      <c r="B1640" t="s">
        <v>10</v>
      </c>
      <c r="C1640" t="s">
        <v>75</v>
      </c>
      <c r="D1640" s="1">
        <v>45268</v>
      </c>
      <c r="E1640" s="2">
        <v>2669.61</v>
      </c>
      <c r="F1640">
        <v>143</v>
      </c>
    </row>
    <row r="1641" spans="1:6">
      <c r="A1641" t="s">
        <v>12</v>
      </c>
      <c r="B1641" t="s">
        <v>35</v>
      </c>
      <c r="C1641" t="s">
        <v>65</v>
      </c>
      <c r="D1641" s="1">
        <v>44928</v>
      </c>
      <c r="E1641" s="2">
        <v>10265.969999999999</v>
      </c>
      <c r="F1641">
        <v>49</v>
      </c>
    </row>
    <row r="1642" spans="1:6">
      <c r="A1642" t="s">
        <v>29</v>
      </c>
      <c r="B1642" t="s">
        <v>10</v>
      </c>
      <c r="C1642" t="s">
        <v>23</v>
      </c>
      <c r="D1642" s="1">
        <v>44960</v>
      </c>
      <c r="E1642" s="2">
        <v>5423.54</v>
      </c>
      <c r="F1642">
        <v>203</v>
      </c>
    </row>
    <row r="1643" spans="1:6">
      <c r="A1643" t="s">
        <v>70</v>
      </c>
      <c r="B1643" t="s">
        <v>15</v>
      </c>
      <c r="C1643" t="s">
        <v>20</v>
      </c>
      <c r="D1643" t="s">
        <v>180</v>
      </c>
      <c r="E1643" s="2">
        <v>3272.68</v>
      </c>
      <c r="F1643">
        <v>32</v>
      </c>
    </row>
    <row r="1644" spans="1:6">
      <c r="A1644" t="s">
        <v>79</v>
      </c>
      <c r="B1644" t="s">
        <v>15</v>
      </c>
      <c r="C1644" t="s">
        <v>50</v>
      </c>
      <c r="D1644" t="s">
        <v>255</v>
      </c>
      <c r="E1644" s="2">
        <v>8840.59</v>
      </c>
      <c r="F1644">
        <v>92</v>
      </c>
    </row>
    <row r="1645" spans="1:6">
      <c r="A1645" t="s">
        <v>28</v>
      </c>
      <c r="B1645" t="s">
        <v>32</v>
      </c>
      <c r="C1645" t="s">
        <v>46</v>
      </c>
      <c r="D1645" s="1">
        <v>45114</v>
      </c>
      <c r="E1645" s="2">
        <v>14460.51</v>
      </c>
      <c r="F1645">
        <v>124</v>
      </c>
    </row>
    <row r="1646" spans="1:6">
      <c r="A1646" t="s">
        <v>34</v>
      </c>
      <c r="B1646" t="s">
        <v>25</v>
      </c>
      <c r="C1646" t="s">
        <v>8</v>
      </c>
      <c r="D1646" t="s">
        <v>200</v>
      </c>
      <c r="E1646" s="2">
        <v>1461.99</v>
      </c>
      <c r="F1646">
        <v>109</v>
      </c>
    </row>
    <row r="1647" spans="1:6">
      <c r="A1647" t="s">
        <v>41</v>
      </c>
      <c r="B1647" t="s">
        <v>7</v>
      </c>
      <c r="C1647" t="s">
        <v>20</v>
      </c>
      <c r="D1647" s="1">
        <v>45207</v>
      </c>
      <c r="E1647" s="2">
        <v>3701.6</v>
      </c>
      <c r="F1647">
        <v>131</v>
      </c>
    </row>
    <row r="1648" spans="1:6">
      <c r="A1648" t="s">
        <v>41</v>
      </c>
      <c r="B1648" t="s">
        <v>32</v>
      </c>
      <c r="C1648" t="s">
        <v>13</v>
      </c>
      <c r="D1648" t="s">
        <v>201</v>
      </c>
      <c r="E1648" s="2">
        <v>13951.32</v>
      </c>
      <c r="F1648">
        <v>329</v>
      </c>
    </row>
    <row r="1649" spans="1:6">
      <c r="A1649" t="s">
        <v>28</v>
      </c>
      <c r="B1649" t="s">
        <v>25</v>
      </c>
      <c r="C1649" t="s">
        <v>59</v>
      </c>
      <c r="D1649" t="s">
        <v>177</v>
      </c>
      <c r="E1649" s="2">
        <v>5774.92</v>
      </c>
      <c r="F1649">
        <v>325</v>
      </c>
    </row>
    <row r="1650" spans="1:6">
      <c r="A1650" t="s">
        <v>40</v>
      </c>
      <c r="B1650" t="s">
        <v>32</v>
      </c>
      <c r="C1650" t="s">
        <v>87</v>
      </c>
      <c r="D1650" t="s">
        <v>169</v>
      </c>
      <c r="E1650" s="2">
        <v>9718.8700000000008</v>
      </c>
      <c r="F1650">
        <v>10</v>
      </c>
    </row>
    <row r="1651" spans="1:6">
      <c r="A1651" t="s">
        <v>70</v>
      </c>
      <c r="B1651" t="s">
        <v>32</v>
      </c>
      <c r="C1651" t="s">
        <v>50</v>
      </c>
      <c r="D1651" t="s">
        <v>219</v>
      </c>
      <c r="E1651" s="2">
        <v>87.52</v>
      </c>
      <c r="F1651">
        <v>69</v>
      </c>
    </row>
    <row r="1652" spans="1:6">
      <c r="A1652" t="s">
        <v>34</v>
      </c>
      <c r="B1652" t="s">
        <v>35</v>
      </c>
      <c r="C1652" t="s">
        <v>59</v>
      </c>
      <c r="D1652" s="1">
        <v>44988</v>
      </c>
      <c r="E1652" s="2">
        <v>3398.51</v>
      </c>
      <c r="F1652">
        <v>74</v>
      </c>
    </row>
    <row r="1653" spans="1:6">
      <c r="A1653" t="s">
        <v>55</v>
      </c>
      <c r="B1653" t="s">
        <v>15</v>
      </c>
      <c r="C1653" t="s">
        <v>65</v>
      </c>
      <c r="D1653" t="s">
        <v>228</v>
      </c>
      <c r="E1653" s="2">
        <v>4371.7700000000004</v>
      </c>
      <c r="F1653">
        <v>375</v>
      </c>
    </row>
    <row r="1654" spans="1:6">
      <c r="A1654" t="s">
        <v>19</v>
      </c>
      <c r="B1654" t="s">
        <v>32</v>
      </c>
      <c r="C1654" t="s">
        <v>18</v>
      </c>
      <c r="D1654" s="1">
        <v>45019</v>
      </c>
      <c r="E1654" s="2">
        <v>3632.32</v>
      </c>
      <c r="F1654">
        <v>169</v>
      </c>
    </row>
    <row r="1655" spans="1:6">
      <c r="A1655" t="s">
        <v>58</v>
      </c>
      <c r="B1655" t="s">
        <v>10</v>
      </c>
      <c r="C1655" t="s">
        <v>18</v>
      </c>
      <c r="D1655" s="1">
        <v>45114</v>
      </c>
      <c r="E1655" s="2">
        <v>3343.85</v>
      </c>
      <c r="F1655">
        <v>10</v>
      </c>
    </row>
    <row r="1656" spans="1:6">
      <c r="A1656" t="s">
        <v>71</v>
      </c>
      <c r="B1656" t="s">
        <v>25</v>
      </c>
      <c r="C1656" t="s">
        <v>90</v>
      </c>
      <c r="D1656" t="s">
        <v>256</v>
      </c>
      <c r="E1656" s="2">
        <v>4400.28</v>
      </c>
      <c r="F1656">
        <v>364</v>
      </c>
    </row>
    <row r="1657" spans="1:6">
      <c r="A1657" t="s">
        <v>14</v>
      </c>
      <c r="B1657" t="s">
        <v>35</v>
      </c>
      <c r="C1657" t="s">
        <v>90</v>
      </c>
      <c r="D1657" s="1">
        <v>44965</v>
      </c>
      <c r="E1657" s="2">
        <v>10802.13</v>
      </c>
      <c r="F1657">
        <v>124</v>
      </c>
    </row>
    <row r="1658" spans="1:6">
      <c r="A1658" t="s">
        <v>19</v>
      </c>
      <c r="B1658" t="s">
        <v>32</v>
      </c>
      <c r="C1658" t="s">
        <v>87</v>
      </c>
      <c r="D1658" s="1">
        <v>45268</v>
      </c>
      <c r="E1658" s="2">
        <v>9154.17</v>
      </c>
      <c r="F1658">
        <v>123</v>
      </c>
    </row>
    <row r="1659" spans="1:6">
      <c r="A1659" t="s">
        <v>77</v>
      </c>
      <c r="B1659" t="s">
        <v>25</v>
      </c>
      <c r="C1659" t="s">
        <v>13</v>
      </c>
      <c r="D1659" t="s">
        <v>210</v>
      </c>
      <c r="E1659" s="2">
        <v>5360.89</v>
      </c>
      <c r="F1659">
        <v>340</v>
      </c>
    </row>
    <row r="1660" spans="1:6">
      <c r="A1660" t="s">
        <v>70</v>
      </c>
      <c r="B1660" t="s">
        <v>15</v>
      </c>
      <c r="C1660" t="s">
        <v>33</v>
      </c>
      <c r="D1660" t="s">
        <v>219</v>
      </c>
      <c r="E1660" s="2">
        <v>11597.46</v>
      </c>
      <c r="F1660">
        <v>462</v>
      </c>
    </row>
    <row r="1661" spans="1:6">
      <c r="A1661" t="s">
        <v>40</v>
      </c>
      <c r="B1661" t="s">
        <v>15</v>
      </c>
      <c r="C1661" t="s">
        <v>60</v>
      </c>
      <c r="D1661" s="1">
        <v>45050</v>
      </c>
      <c r="E1661" s="2">
        <v>14939.24</v>
      </c>
      <c r="F1661">
        <v>238</v>
      </c>
    </row>
    <row r="1662" spans="1:6">
      <c r="A1662" t="s">
        <v>55</v>
      </c>
      <c r="B1662" t="s">
        <v>35</v>
      </c>
      <c r="C1662" t="s">
        <v>60</v>
      </c>
      <c r="D1662" t="s">
        <v>218</v>
      </c>
      <c r="E1662" s="2">
        <v>10845.85</v>
      </c>
      <c r="F1662">
        <v>146</v>
      </c>
    </row>
    <row r="1663" spans="1:6">
      <c r="A1663" t="s">
        <v>6</v>
      </c>
      <c r="B1663" t="s">
        <v>7</v>
      </c>
      <c r="C1663" t="s">
        <v>87</v>
      </c>
      <c r="D1663" t="s">
        <v>192</v>
      </c>
      <c r="E1663" s="2">
        <v>2832.78</v>
      </c>
      <c r="F1663">
        <v>104</v>
      </c>
    </row>
    <row r="1664" spans="1:6">
      <c r="A1664" t="s">
        <v>70</v>
      </c>
      <c r="B1664" t="s">
        <v>15</v>
      </c>
      <c r="C1664" t="s">
        <v>59</v>
      </c>
      <c r="D1664" t="s">
        <v>182</v>
      </c>
      <c r="E1664" s="2">
        <v>8879.7199999999993</v>
      </c>
      <c r="F1664">
        <v>177</v>
      </c>
    </row>
    <row r="1665" spans="1:6">
      <c r="A1665" t="s">
        <v>48</v>
      </c>
      <c r="B1665" t="s">
        <v>10</v>
      </c>
      <c r="C1665" t="s">
        <v>11</v>
      </c>
      <c r="D1665" t="s">
        <v>218</v>
      </c>
      <c r="E1665" s="2">
        <v>298.33999999999997</v>
      </c>
      <c r="F1665">
        <v>399</v>
      </c>
    </row>
    <row r="1666" spans="1:6">
      <c r="A1666" t="s">
        <v>55</v>
      </c>
      <c r="B1666" t="s">
        <v>32</v>
      </c>
      <c r="C1666" t="s">
        <v>36</v>
      </c>
      <c r="D1666" t="s">
        <v>186</v>
      </c>
      <c r="E1666" s="2">
        <v>7799.51</v>
      </c>
      <c r="F1666">
        <v>10</v>
      </c>
    </row>
    <row r="1667" spans="1:6">
      <c r="A1667" t="s">
        <v>22</v>
      </c>
      <c r="B1667" t="s">
        <v>7</v>
      </c>
      <c r="C1667" t="s">
        <v>20</v>
      </c>
      <c r="D1667" s="1">
        <v>45110</v>
      </c>
      <c r="E1667" s="2">
        <v>8.0399999999999991</v>
      </c>
      <c r="F1667">
        <v>85</v>
      </c>
    </row>
    <row r="1668" spans="1:6">
      <c r="A1668" t="s">
        <v>41</v>
      </c>
      <c r="B1668" t="s">
        <v>7</v>
      </c>
      <c r="C1668" t="s">
        <v>75</v>
      </c>
      <c r="D1668" s="1">
        <v>45019</v>
      </c>
      <c r="E1668" s="2">
        <v>3212.35</v>
      </c>
      <c r="F1668">
        <v>66</v>
      </c>
    </row>
    <row r="1669" spans="1:6">
      <c r="A1669" t="s">
        <v>79</v>
      </c>
      <c r="B1669" t="s">
        <v>35</v>
      </c>
      <c r="C1669" t="s">
        <v>60</v>
      </c>
      <c r="D1669" t="s">
        <v>237</v>
      </c>
      <c r="E1669" s="2">
        <v>12048.56</v>
      </c>
      <c r="F1669">
        <v>113</v>
      </c>
    </row>
    <row r="1670" spans="1:6">
      <c r="A1670" t="s">
        <v>55</v>
      </c>
      <c r="B1670" t="s">
        <v>15</v>
      </c>
      <c r="C1670" t="s">
        <v>46</v>
      </c>
      <c r="D1670" s="1">
        <v>45175</v>
      </c>
      <c r="E1670" s="2">
        <v>4499.6400000000003</v>
      </c>
      <c r="F1670">
        <v>91</v>
      </c>
    </row>
    <row r="1671" spans="1:6">
      <c r="A1671" t="s">
        <v>14</v>
      </c>
      <c r="B1671" t="s">
        <v>35</v>
      </c>
      <c r="C1671" t="s">
        <v>57</v>
      </c>
      <c r="D1671" t="s">
        <v>216</v>
      </c>
      <c r="E1671" s="2">
        <v>9984.16</v>
      </c>
      <c r="F1671">
        <v>207</v>
      </c>
    </row>
    <row r="1672" spans="1:6">
      <c r="A1672" t="s">
        <v>14</v>
      </c>
      <c r="B1672" t="s">
        <v>10</v>
      </c>
      <c r="C1672" t="s">
        <v>18</v>
      </c>
      <c r="D1672" s="1">
        <v>44993</v>
      </c>
      <c r="E1672" s="2">
        <v>11867.83</v>
      </c>
      <c r="F1672">
        <v>95</v>
      </c>
    </row>
    <row r="1673" spans="1:6">
      <c r="A1673" t="s">
        <v>29</v>
      </c>
      <c r="B1673" t="s">
        <v>15</v>
      </c>
      <c r="C1673" t="s">
        <v>60</v>
      </c>
      <c r="D1673" s="1">
        <v>44993</v>
      </c>
      <c r="E1673" s="2">
        <v>4806.6499999999996</v>
      </c>
      <c r="F1673">
        <v>132</v>
      </c>
    </row>
    <row r="1674" spans="1:6">
      <c r="A1674" t="s">
        <v>6</v>
      </c>
      <c r="B1674" t="s">
        <v>7</v>
      </c>
      <c r="C1674" t="s">
        <v>46</v>
      </c>
      <c r="D1674" s="1">
        <v>44990</v>
      </c>
      <c r="E1674" s="2">
        <v>13420.93</v>
      </c>
      <c r="F1674">
        <v>232</v>
      </c>
    </row>
    <row r="1675" spans="1:6">
      <c r="A1675" t="s">
        <v>53</v>
      </c>
      <c r="B1675" t="s">
        <v>35</v>
      </c>
      <c r="C1675" t="s">
        <v>23</v>
      </c>
      <c r="D1675" t="s">
        <v>208</v>
      </c>
      <c r="E1675" s="2">
        <v>10407.51</v>
      </c>
      <c r="F1675">
        <v>301</v>
      </c>
    </row>
    <row r="1676" spans="1:6">
      <c r="A1676" t="s">
        <v>45</v>
      </c>
      <c r="B1676" t="s">
        <v>32</v>
      </c>
      <c r="C1676" t="s">
        <v>26</v>
      </c>
      <c r="D1676" s="1">
        <v>45232</v>
      </c>
      <c r="E1676" s="2">
        <v>10849.39</v>
      </c>
      <c r="F1676">
        <v>330</v>
      </c>
    </row>
    <row r="1677" spans="1:6">
      <c r="A1677" t="s">
        <v>9</v>
      </c>
      <c r="B1677" t="s">
        <v>10</v>
      </c>
      <c r="C1677" t="s">
        <v>65</v>
      </c>
      <c r="D1677" t="s">
        <v>230</v>
      </c>
      <c r="E1677" s="2">
        <v>7247.29</v>
      </c>
      <c r="F1677">
        <v>402</v>
      </c>
    </row>
    <row r="1678" spans="1:6">
      <c r="A1678" t="s">
        <v>70</v>
      </c>
      <c r="B1678" t="s">
        <v>32</v>
      </c>
      <c r="C1678" t="s">
        <v>26</v>
      </c>
      <c r="D1678" t="s">
        <v>213</v>
      </c>
      <c r="E1678" s="2">
        <v>6387.65</v>
      </c>
      <c r="F1678">
        <v>227</v>
      </c>
    </row>
    <row r="1679" spans="1:6">
      <c r="A1679" t="s">
        <v>77</v>
      </c>
      <c r="B1679" t="s">
        <v>35</v>
      </c>
      <c r="C1679" t="s">
        <v>11</v>
      </c>
      <c r="D1679" t="s">
        <v>173</v>
      </c>
      <c r="E1679" s="2">
        <v>8373.42</v>
      </c>
      <c r="F1679">
        <v>108</v>
      </c>
    </row>
    <row r="1680" spans="1:6">
      <c r="A1680" t="s">
        <v>58</v>
      </c>
      <c r="B1680" t="s">
        <v>35</v>
      </c>
      <c r="C1680" t="s">
        <v>18</v>
      </c>
      <c r="D1680" t="s">
        <v>226</v>
      </c>
      <c r="E1680" s="2">
        <v>1887.19</v>
      </c>
      <c r="F1680">
        <v>488</v>
      </c>
    </row>
    <row r="1681" spans="1:6">
      <c r="A1681" t="s">
        <v>34</v>
      </c>
      <c r="B1681" t="s">
        <v>15</v>
      </c>
      <c r="C1681" t="s">
        <v>50</v>
      </c>
      <c r="D1681" t="s">
        <v>179</v>
      </c>
      <c r="E1681" s="2">
        <v>6054.04</v>
      </c>
      <c r="F1681">
        <v>287</v>
      </c>
    </row>
    <row r="1682" spans="1:6">
      <c r="A1682" t="s">
        <v>83</v>
      </c>
      <c r="B1682" t="s">
        <v>35</v>
      </c>
      <c r="C1682" t="s">
        <v>75</v>
      </c>
      <c r="D1682" t="s">
        <v>182</v>
      </c>
      <c r="E1682" s="2">
        <v>16254.61</v>
      </c>
      <c r="F1682">
        <v>268</v>
      </c>
    </row>
    <row r="1683" spans="1:6">
      <c r="A1683" t="s">
        <v>12</v>
      </c>
      <c r="B1683" t="s">
        <v>35</v>
      </c>
      <c r="C1683" t="s">
        <v>50</v>
      </c>
      <c r="D1683" s="1">
        <v>45023</v>
      </c>
      <c r="E1683" s="2">
        <v>13173.56</v>
      </c>
      <c r="F1683">
        <v>301</v>
      </c>
    </row>
    <row r="1684" spans="1:6">
      <c r="A1684" t="s">
        <v>45</v>
      </c>
      <c r="B1684" t="s">
        <v>25</v>
      </c>
      <c r="C1684" t="s">
        <v>65</v>
      </c>
      <c r="D1684" t="s">
        <v>205</v>
      </c>
      <c r="E1684" s="2">
        <v>2721.46</v>
      </c>
      <c r="F1684">
        <v>72</v>
      </c>
    </row>
    <row r="1685" spans="1:6">
      <c r="A1685" t="s">
        <v>48</v>
      </c>
      <c r="B1685" t="s">
        <v>10</v>
      </c>
      <c r="C1685" t="s">
        <v>18</v>
      </c>
      <c r="D1685" t="s">
        <v>188</v>
      </c>
      <c r="E1685" s="2">
        <v>19283.64</v>
      </c>
      <c r="F1685">
        <v>139</v>
      </c>
    </row>
    <row r="1686" spans="1:6">
      <c r="A1686" t="s">
        <v>83</v>
      </c>
      <c r="B1686" t="s">
        <v>25</v>
      </c>
      <c r="C1686" t="s">
        <v>8</v>
      </c>
      <c r="D1686" t="s">
        <v>218</v>
      </c>
      <c r="E1686" s="2">
        <v>9327.52</v>
      </c>
      <c r="F1686">
        <v>232</v>
      </c>
    </row>
    <row r="1687" spans="1:6">
      <c r="A1687" t="s">
        <v>9</v>
      </c>
      <c r="B1687" t="s">
        <v>25</v>
      </c>
      <c r="C1687" t="s">
        <v>57</v>
      </c>
      <c r="D1687" t="s">
        <v>255</v>
      </c>
      <c r="E1687" s="2">
        <v>3184.03</v>
      </c>
      <c r="F1687">
        <v>85</v>
      </c>
    </row>
    <row r="1688" spans="1:6">
      <c r="A1688" t="s">
        <v>67</v>
      </c>
      <c r="B1688" t="s">
        <v>25</v>
      </c>
      <c r="C1688" t="s">
        <v>8</v>
      </c>
      <c r="D1688" t="s">
        <v>252</v>
      </c>
      <c r="E1688" s="2">
        <v>9738.74</v>
      </c>
      <c r="F1688">
        <v>209</v>
      </c>
    </row>
    <row r="1689" spans="1:6">
      <c r="A1689" t="s">
        <v>67</v>
      </c>
      <c r="B1689" t="s">
        <v>7</v>
      </c>
      <c r="C1689" t="s">
        <v>46</v>
      </c>
      <c r="D1689" s="1">
        <v>45232</v>
      </c>
      <c r="E1689" s="2">
        <v>16486.650000000001</v>
      </c>
      <c r="F1689">
        <v>314</v>
      </c>
    </row>
    <row r="1690" spans="1:6">
      <c r="A1690" t="s">
        <v>71</v>
      </c>
      <c r="B1690" t="s">
        <v>32</v>
      </c>
      <c r="C1690" t="s">
        <v>60</v>
      </c>
      <c r="D1690" t="s">
        <v>251</v>
      </c>
      <c r="E1690" s="2">
        <v>16792.23</v>
      </c>
      <c r="F1690">
        <v>184</v>
      </c>
    </row>
    <row r="1691" spans="1:6">
      <c r="A1691" t="s">
        <v>22</v>
      </c>
      <c r="B1691" t="s">
        <v>25</v>
      </c>
      <c r="C1691" t="s">
        <v>65</v>
      </c>
      <c r="D1691" s="1">
        <v>45047</v>
      </c>
      <c r="E1691" s="2">
        <v>5752.62</v>
      </c>
      <c r="F1691">
        <v>125</v>
      </c>
    </row>
    <row r="1692" spans="1:6">
      <c r="A1692" t="s">
        <v>28</v>
      </c>
      <c r="B1692" t="s">
        <v>10</v>
      </c>
      <c r="C1692" t="s">
        <v>73</v>
      </c>
      <c r="D1692" t="s">
        <v>174</v>
      </c>
      <c r="E1692" s="2">
        <v>6833.28</v>
      </c>
      <c r="F1692">
        <v>157</v>
      </c>
    </row>
    <row r="1693" spans="1:6">
      <c r="A1693" t="s">
        <v>6</v>
      </c>
      <c r="B1693" t="s">
        <v>32</v>
      </c>
      <c r="C1693" t="s">
        <v>20</v>
      </c>
      <c r="D1693" s="1">
        <v>45017</v>
      </c>
      <c r="E1693" s="2">
        <v>2815.72</v>
      </c>
      <c r="F1693">
        <v>222</v>
      </c>
    </row>
    <row r="1694" spans="1:6">
      <c r="A1694" t="s">
        <v>41</v>
      </c>
      <c r="B1694" t="s">
        <v>15</v>
      </c>
      <c r="C1694" t="s">
        <v>57</v>
      </c>
      <c r="D1694" t="s">
        <v>237</v>
      </c>
      <c r="E1694" s="2">
        <v>1545.36</v>
      </c>
      <c r="F1694">
        <v>269</v>
      </c>
    </row>
    <row r="1695" spans="1:6">
      <c r="A1695" t="s">
        <v>12</v>
      </c>
      <c r="B1695" t="s">
        <v>35</v>
      </c>
      <c r="C1695" t="s">
        <v>46</v>
      </c>
      <c r="D1695" s="1">
        <v>45201</v>
      </c>
      <c r="E1695" s="2">
        <v>3432.73</v>
      </c>
      <c r="F1695">
        <v>120</v>
      </c>
    </row>
    <row r="1696" spans="1:6">
      <c r="A1696" t="s">
        <v>79</v>
      </c>
      <c r="B1696" t="s">
        <v>10</v>
      </c>
      <c r="C1696" t="s">
        <v>50</v>
      </c>
      <c r="D1696" s="1">
        <v>45268</v>
      </c>
      <c r="E1696" s="2">
        <v>1001.99</v>
      </c>
      <c r="F1696">
        <v>217</v>
      </c>
    </row>
    <row r="1697" spans="1:6">
      <c r="A1697" t="s">
        <v>22</v>
      </c>
      <c r="B1697" t="s">
        <v>32</v>
      </c>
      <c r="C1697" t="s">
        <v>42</v>
      </c>
      <c r="D1697" s="1">
        <v>45207</v>
      </c>
      <c r="E1697" s="2">
        <v>2494.19</v>
      </c>
      <c r="F1697">
        <v>315</v>
      </c>
    </row>
    <row r="1698" spans="1:6">
      <c r="A1698" t="s">
        <v>70</v>
      </c>
      <c r="B1698" t="s">
        <v>15</v>
      </c>
      <c r="C1698" t="s">
        <v>73</v>
      </c>
      <c r="D1698" s="1">
        <v>45113</v>
      </c>
      <c r="E1698" s="2">
        <v>770.25</v>
      </c>
      <c r="F1698">
        <v>61</v>
      </c>
    </row>
    <row r="1699" spans="1:6">
      <c r="A1699" t="s">
        <v>6</v>
      </c>
      <c r="B1699" t="s">
        <v>10</v>
      </c>
      <c r="C1699" t="s">
        <v>87</v>
      </c>
      <c r="D1699" s="1">
        <v>45083</v>
      </c>
      <c r="E1699" s="2">
        <v>2261.98</v>
      </c>
      <c r="F1699">
        <v>73</v>
      </c>
    </row>
    <row r="1700" spans="1:6">
      <c r="A1700" t="s">
        <v>37</v>
      </c>
      <c r="B1700" t="s">
        <v>25</v>
      </c>
      <c r="C1700" t="s">
        <v>87</v>
      </c>
      <c r="D1700" s="1">
        <v>45050</v>
      </c>
      <c r="E1700" s="2">
        <v>5667.58</v>
      </c>
      <c r="F1700">
        <v>204</v>
      </c>
    </row>
    <row r="1701" spans="1:6">
      <c r="A1701" t="s">
        <v>64</v>
      </c>
      <c r="B1701" t="s">
        <v>32</v>
      </c>
      <c r="C1701" t="s">
        <v>26</v>
      </c>
      <c r="D1701" t="s">
        <v>257</v>
      </c>
      <c r="E1701" s="2">
        <v>4738.71</v>
      </c>
      <c r="F1701">
        <v>125</v>
      </c>
    </row>
    <row r="1702" spans="1:6">
      <c r="A1702" t="s">
        <v>67</v>
      </c>
      <c r="B1702" t="s">
        <v>10</v>
      </c>
      <c r="C1702" t="s">
        <v>26</v>
      </c>
      <c r="D1702" t="s">
        <v>200</v>
      </c>
      <c r="E1702" s="2">
        <v>13661.89</v>
      </c>
      <c r="F1702">
        <v>15</v>
      </c>
    </row>
    <row r="1703" spans="1:6">
      <c r="A1703" t="s">
        <v>77</v>
      </c>
      <c r="B1703" t="s">
        <v>32</v>
      </c>
      <c r="C1703" t="s">
        <v>87</v>
      </c>
      <c r="D1703" t="s">
        <v>186</v>
      </c>
      <c r="E1703" s="2">
        <v>6067.19</v>
      </c>
      <c r="F1703">
        <v>151</v>
      </c>
    </row>
    <row r="1704" spans="1:6">
      <c r="A1704" t="s">
        <v>6</v>
      </c>
      <c r="B1704" t="s">
        <v>15</v>
      </c>
      <c r="C1704" t="s">
        <v>20</v>
      </c>
      <c r="D1704" t="s">
        <v>207</v>
      </c>
      <c r="E1704" s="2">
        <v>11720.99</v>
      </c>
      <c r="F1704">
        <v>204</v>
      </c>
    </row>
    <row r="1705" spans="1:6">
      <c r="A1705" t="s">
        <v>14</v>
      </c>
      <c r="B1705" t="s">
        <v>15</v>
      </c>
      <c r="C1705" t="s">
        <v>8</v>
      </c>
      <c r="D1705" t="s">
        <v>228</v>
      </c>
      <c r="E1705" s="2">
        <v>19999.55</v>
      </c>
      <c r="F1705">
        <v>106</v>
      </c>
    </row>
    <row r="1706" spans="1:6">
      <c r="A1706" t="s">
        <v>19</v>
      </c>
      <c r="B1706" t="s">
        <v>25</v>
      </c>
      <c r="C1706" t="s">
        <v>46</v>
      </c>
      <c r="D1706" s="1">
        <v>45261</v>
      </c>
      <c r="E1706" s="2">
        <v>4484.03</v>
      </c>
      <c r="F1706">
        <v>201</v>
      </c>
    </row>
    <row r="1707" spans="1:6">
      <c r="A1707" t="s">
        <v>28</v>
      </c>
      <c r="B1707" t="s">
        <v>7</v>
      </c>
      <c r="C1707" t="s">
        <v>65</v>
      </c>
      <c r="D1707" t="s">
        <v>203</v>
      </c>
      <c r="E1707" s="2">
        <v>107.24</v>
      </c>
      <c r="F1707">
        <v>129</v>
      </c>
    </row>
    <row r="1708" spans="1:6">
      <c r="A1708" t="s">
        <v>70</v>
      </c>
      <c r="B1708" t="s">
        <v>10</v>
      </c>
      <c r="C1708" t="s">
        <v>18</v>
      </c>
      <c r="D1708" s="1">
        <v>44928</v>
      </c>
      <c r="E1708" s="2">
        <v>2525.98</v>
      </c>
      <c r="F1708">
        <v>8</v>
      </c>
    </row>
    <row r="1709" spans="1:6">
      <c r="A1709" t="s">
        <v>29</v>
      </c>
      <c r="B1709" t="s">
        <v>7</v>
      </c>
      <c r="C1709" t="s">
        <v>36</v>
      </c>
      <c r="D1709" t="s">
        <v>162</v>
      </c>
      <c r="E1709" s="2">
        <v>1577.84</v>
      </c>
      <c r="F1709">
        <v>67</v>
      </c>
    </row>
    <row r="1710" spans="1:6">
      <c r="A1710" t="s">
        <v>12</v>
      </c>
      <c r="B1710" t="s">
        <v>32</v>
      </c>
      <c r="C1710" t="s">
        <v>18</v>
      </c>
      <c r="D1710" t="s">
        <v>181</v>
      </c>
      <c r="E1710" s="2">
        <v>2972.07</v>
      </c>
      <c r="F1710">
        <v>129</v>
      </c>
    </row>
    <row r="1711" spans="1:6">
      <c r="A1711" t="s">
        <v>48</v>
      </c>
      <c r="B1711" t="s">
        <v>25</v>
      </c>
      <c r="C1711" t="s">
        <v>8</v>
      </c>
      <c r="D1711" t="s">
        <v>169</v>
      </c>
      <c r="E1711" s="2">
        <v>3691.63</v>
      </c>
      <c r="F1711">
        <v>284</v>
      </c>
    </row>
    <row r="1712" spans="1:6">
      <c r="A1712" t="s">
        <v>48</v>
      </c>
      <c r="B1712" t="s">
        <v>32</v>
      </c>
      <c r="C1712" t="s">
        <v>8</v>
      </c>
      <c r="D1712" t="s">
        <v>182</v>
      </c>
      <c r="E1712" s="2">
        <v>5188.8900000000003</v>
      </c>
      <c r="F1712">
        <v>293</v>
      </c>
    </row>
    <row r="1713" spans="1:6">
      <c r="A1713" t="s">
        <v>77</v>
      </c>
      <c r="B1713" t="s">
        <v>25</v>
      </c>
      <c r="C1713" t="s">
        <v>57</v>
      </c>
      <c r="D1713" t="s">
        <v>218</v>
      </c>
      <c r="E1713" s="2">
        <v>5766.51</v>
      </c>
      <c r="F1713">
        <v>21</v>
      </c>
    </row>
    <row r="1714" spans="1:6">
      <c r="A1714" t="s">
        <v>37</v>
      </c>
      <c r="B1714" t="s">
        <v>10</v>
      </c>
      <c r="C1714" t="s">
        <v>11</v>
      </c>
      <c r="D1714" t="s">
        <v>258</v>
      </c>
      <c r="E1714" s="2">
        <v>1036.77</v>
      </c>
      <c r="F1714">
        <v>82</v>
      </c>
    </row>
    <row r="1715" spans="1:6">
      <c r="A1715" t="s">
        <v>83</v>
      </c>
      <c r="B1715" t="s">
        <v>15</v>
      </c>
      <c r="C1715" t="s">
        <v>90</v>
      </c>
      <c r="D1715" t="s">
        <v>255</v>
      </c>
      <c r="E1715" s="2">
        <v>10033.52</v>
      </c>
      <c r="F1715">
        <v>163</v>
      </c>
    </row>
    <row r="1716" spans="1:6">
      <c r="A1716" t="s">
        <v>70</v>
      </c>
      <c r="B1716" t="s">
        <v>32</v>
      </c>
      <c r="C1716" t="s">
        <v>57</v>
      </c>
      <c r="D1716" t="s">
        <v>173</v>
      </c>
      <c r="E1716" s="2">
        <v>5220.6899999999996</v>
      </c>
      <c r="F1716">
        <v>154</v>
      </c>
    </row>
    <row r="1717" spans="1:6">
      <c r="A1717" t="s">
        <v>70</v>
      </c>
      <c r="B1717" t="s">
        <v>35</v>
      </c>
      <c r="C1717" t="s">
        <v>13</v>
      </c>
      <c r="D1717" s="1">
        <v>45142</v>
      </c>
      <c r="E1717" s="2">
        <v>8106.62</v>
      </c>
      <c r="F1717">
        <v>47</v>
      </c>
    </row>
    <row r="1718" spans="1:6">
      <c r="A1718" t="s">
        <v>12</v>
      </c>
      <c r="B1718" t="s">
        <v>35</v>
      </c>
      <c r="C1718" t="s">
        <v>38</v>
      </c>
      <c r="D1718" s="1">
        <v>45084</v>
      </c>
      <c r="E1718" s="2">
        <v>3934.09</v>
      </c>
      <c r="F1718">
        <v>86</v>
      </c>
    </row>
    <row r="1719" spans="1:6">
      <c r="A1719" t="s">
        <v>53</v>
      </c>
      <c r="B1719" t="s">
        <v>10</v>
      </c>
      <c r="C1719" t="s">
        <v>57</v>
      </c>
      <c r="D1719" s="1">
        <v>45020</v>
      </c>
      <c r="E1719" s="2">
        <v>4508.93</v>
      </c>
      <c r="F1719">
        <v>231</v>
      </c>
    </row>
    <row r="1720" spans="1:6">
      <c r="A1720" t="s">
        <v>14</v>
      </c>
      <c r="B1720" t="s">
        <v>25</v>
      </c>
      <c r="C1720" t="s">
        <v>42</v>
      </c>
      <c r="D1720" s="1">
        <v>44960</v>
      </c>
      <c r="E1720" s="2">
        <v>1921.57</v>
      </c>
      <c r="F1720">
        <v>226</v>
      </c>
    </row>
    <row r="1721" spans="1:6">
      <c r="A1721" t="s">
        <v>12</v>
      </c>
      <c r="B1721" t="s">
        <v>25</v>
      </c>
      <c r="C1721" t="s">
        <v>73</v>
      </c>
      <c r="D1721" s="1">
        <v>45177</v>
      </c>
      <c r="E1721" s="2">
        <v>1161.31</v>
      </c>
      <c r="F1721">
        <v>181</v>
      </c>
    </row>
    <row r="1722" spans="1:6">
      <c r="A1722" t="s">
        <v>58</v>
      </c>
      <c r="B1722" t="s">
        <v>15</v>
      </c>
      <c r="C1722" t="s">
        <v>46</v>
      </c>
      <c r="D1722" s="1">
        <v>45175</v>
      </c>
      <c r="E1722" s="2">
        <v>11389.29</v>
      </c>
      <c r="F1722">
        <v>282</v>
      </c>
    </row>
    <row r="1723" spans="1:6">
      <c r="A1723" t="s">
        <v>83</v>
      </c>
      <c r="B1723" t="s">
        <v>7</v>
      </c>
      <c r="C1723" t="s">
        <v>90</v>
      </c>
      <c r="D1723" s="1">
        <v>44963</v>
      </c>
      <c r="E1723" s="2">
        <v>3032.3</v>
      </c>
      <c r="F1723">
        <v>313</v>
      </c>
    </row>
    <row r="1724" spans="1:6">
      <c r="A1724" t="s">
        <v>9</v>
      </c>
      <c r="B1724" t="s">
        <v>32</v>
      </c>
      <c r="C1724" t="s">
        <v>57</v>
      </c>
      <c r="D1724" s="1">
        <v>45053</v>
      </c>
      <c r="E1724" s="2">
        <v>6871.55</v>
      </c>
      <c r="F1724">
        <v>238</v>
      </c>
    </row>
    <row r="1725" spans="1:6">
      <c r="A1725" t="s">
        <v>67</v>
      </c>
      <c r="B1725" t="s">
        <v>35</v>
      </c>
      <c r="C1725" t="s">
        <v>36</v>
      </c>
      <c r="D1725" s="1">
        <v>45238</v>
      </c>
      <c r="E1725" s="2">
        <v>339.99</v>
      </c>
      <c r="F1725">
        <v>124</v>
      </c>
    </row>
    <row r="1726" spans="1:6">
      <c r="A1726" t="s">
        <v>77</v>
      </c>
      <c r="B1726" t="s">
        <v>10</v>
      </c>
      <c r="C1726" t="s">
        <v>75</v>
      </c>
      <c r="D1726" s="1">
        <v>45232</v>
      </c>
      <c r="E1726" s="2">
        <v>3720.22</v>
      </c>
      <c r="F1726">
        <v>141</v>
      </c>
    </row>
    <row r="1727" spans="1:6">
      <c r="A1727" t="s">
        <v>70</v>
      </c>
      <c r="B1727" t="s">
        <v>25</v>
      </c>
      <c r="C1727" t="s">
        <v>50</v>
      </c>
      <c r="D1727" s="1">
        <v>45238</v>
      </c>
      <c r="E1727" s="2">
        <v>731.19</v>
      </c>
      <c r="F1727">
        <v>69</v>
      </c>
    </row>
    <row r="1728" spans="1:6">
      <c r="A1728" t="s">
        <v>45</v>
      </c>
      <c r="B1728" t="s">
        <v>15</v>
      </c>
      <c r="C1728" t="s">
        <v>38</v>
      </c>
      <c r="D1728" s="1">
        <v>45265</v>
      </c>
      <c r="E1728" s="2">
        <v>13288.65</v>
      </c>
      <c r="F1728">
        <v>112</v>
      </c>
    </row>
    <row r="1729" spans="1:6">
      <c r="A1729" t="s">
        <v>64</v>
      </c>
      <c r="B1729" t="s">
        <v>32</v>
      </c>
      <c r="C1729" t="s">
        <v>46</v>
      </c>
      <c r="D1729" t="s">
        <v>189</v>
      </c>
      <c r="E1729" s="2">
        <v>5332.79</v>
      </c>
      <c r="F1729">
        <v>101</v>
      </c>
    </row>
    <row r="1730" spans="1:6">
      <c r="A1730" t="s">
        <v>67</v>
      </c>
      <c r="B1730" t="s">
        <v>10</v>
      </c>
      <c r="C1730" t="s">
        <v>42</v>
      </c>
      <c r="D1730" t="s">
        <v>218</v>
      </c>
      <c r="E1730" s="2">
        <v>3971.78</v>
      </c>
      <c r="F1730">
        <v>131</v>
      </c>
    </row>
    <row r="1731" spans="1:6">
      <c r="A1731" t="s">
        <v>77</v>
      </c>
      <c r="B1731" t="s">
        <v>7</v>
      </c>
      <c r="C1731" t="s">
        <v>57</v>
      </c>
      <c r="D1731" s="1">
        <v>45047</v>
      </c>
      <c r="E1731" s="2">
        <v>9538.2099999999991</v>
      </c>
      <c r="F1731">
        <v>198</v>
      </c>
    </row>
    <row r="1732" spans="1:6">
      <c r="A1732" t="s">
        <v>48</v>
      </c>
      <c r="B1732" t="s">
        <v>15</v>
      </c>
      <c r="C1732" t="s">
        <v>26</v>
      </c>
      <c r="D1732" t="s">
        <v>179</v>
      </c>
      <c r="E1732" s="2">
        <v>547.85</v>
      </c>
      <c r="F1732">
        <v>221</v>
      </c>
    </row>
    <row r="1733" spans="1:6">
      <c r="A1733" t="s">
        <v>28</v>
      </c>
      <c r="B1733" t="s">
        <v>35</v>
      </c>
      <c r="C1733" t="s">
        <v>73</v>
      </c>
      <c r="D1733" t="s">
        <v>230</v>
      </c>
      <c r="E1733" s="2">
        <v>2994.76</v>
      </c>
      <c r="F1733">
        <v>47</v>
      </c>
    </row>
    <row r="1734" spans="1:6">
      <c r="A1734" t="s">
        <v>22</v>
      </c>
      <c r="B1734" t="s">
        <v>10</v>
      </c>
      <c r="C1734" t="s">
        <v>8</v>
      </c>
      <c r="D1734" s="1">
        <v>45146</v>
      </c>
      <c r="E1734" s="2">
        <v>4451.38</v>
      </c>
      <c r="F1734">
        <v>71</v>
      </c>
    </row>
    <row r="1735" spans="1:6">
      <c r="A1735" t="s">
        <v>58</v>
      </c>
      <c r="B1735" t="s">
        <v>10</v>
      </c>
      <c r="C1735" t="s">
        <v>8</v>
      </c>
      <c r="D1735" t="s">
        <v>213</v>
      </c>
      <c r="E1735" s="2">
        <v>14691.77</v>
      </c>
      <c r="F1735">
        <v>143</v>
      </c>
    </row>
    <row r="1736" spans="1:6">
      <c r="A1736" t="s">
        <v>31</v>
      </c>
      <c r="B1736" t="s">
        <v>10</v>
      </c>
      <c r="C1736" t="s">
        <v>90</v>
      </c>
      <c r="D1736" s="1">
        <v>45017</v>
      </c>
      <c r="E1736" s="2">
        <v>7042.98</v>
      </c>
      <c r="F1736">
        <v>107</v>
      </c>
    </row>
    <row r="1737" spans="1:6">
      <c r="A1737" t="s">
        <v>28</v>
      </c>
      <c r="B1737" t="s">
        <v>10</v>
      </c>
      <c r="C1737" t="s">
        <v>46</v>
      </c>
      <c r="D1737" t="s">
        <v>228</v>
      </c>
      <c r="E1737" s="2">
        <v>15583</v>
      </c>
      <c r="F1737">
        <v>248</v>
      </c>
    </row>
    <row r="1738" spans="1:6">
      <c r="A1738" t="s">
        <v>41</v>
      </c>
      <c r="B1738" t="s">
        <v>7</v>
      </c>
      <c r="C1738" t="s">
        <v>50</v>
      </c>
      <c r="D1738" t="s">
        <v>173</v>
      </c>
      <c r="E1738" s="2">
        <v>9059.82</v>
      </c>
      <c r="F1738">
        <v>268</v>
      </c>
    </row>
    <row r="1739" spans="1:6">
      <c r="A1739" t="s">
        <v>31</v>
      </c>
      <c r="B1739" t="s">
        <v>32</v>
      </c>
      <c r="C1739" t="s">
        <v>65</v>
      </c>
      <c r="D1739" s="1">
        <v>44987</v>
      </c>
      <c r="E1739" s="2">
        <v>430.59</v>
      </c>
      <c r="F1739">
        <v>85</v>
      </c>
    </row>
    <row r="1740" spans="1:6">
      <c r="A1740" t="s">
        <v>9</v>
      </c>
      <c r="B1740" t="s">
        <v>35</v>
      </c>
      <c r="C1740" t="s">
        <v>73</v>
      </c>
      <c r="D1740" t="s">
        <v>226</v>
      </c>
      <c r="E1740" s="2">
        <v>1264.25</v>
      </c>
      <c r="F1740">
        <v>137</v>
      </c>
    </row>
    <row r="1741" spans="1:6">
      <c r="A1741" t="s">
        <v>64</v>
      </c>
      <c r="B1741" t="s">
        <v>15</v>
      </c>
      <c r="C1741" t="s">
        <v>87</v>
      </c>
      <c r="D1741" t="s">
        <v>164</v>
      </c>
      <c r="E1741" s="2">
        <v>2995.47</v>
      </c>
      <c r="F1741">
        <v>156</v>
      </c>
    </row>
    <row r="1742" spans="1:6">
      <c r="A1742" t="s">
        <v>28</v>
      </c>
      <c r="B1742" t="s">
        <v>15</v>
      </c>
      <c r="C1742" t="s">
        <v>46</v>
      </c>
      <c r="D1742" t="s">
        <v>232</v>
      </c>
      <c r="E1742" s="2">
        <v>2117.8200000000002</v>
      </c>
      <c r="F1742">
        <v>56</v>
      </c>
    </row>
    <row r="1743" spans="1:6">
      <c r="A1743" t="s">
        <v>53</v>
      </c>
      <c r="B1743" t="s">
        <v>15</v>
      </c>
      <c r="C1743" t="s">
        <v>57</v>
      </c>
      <c r="D1743" t="s">
        <v>210</v>
      </c>
      <c r="E1743" s="2">
        <v>8081.79</v>
      </c>
      <c r="F1743">
        <v>54</v>
      </c>
    </row>
    <row r="1744" spans="1:6">
      <c r="A1744" t="s">
        <v>77</v>
      </c>
      <c r="B1744" t="s">
        <v>15</v>
      </c>
      <c r="C1744" t="s">
        <v>42</v>
      </c>
      <c r="D1744" s="1">
        <v>45053</v>
      </c>
      <c r="E1744" s="2">
        <v>11542.54</v>
      </c>
      <c r="F1744">
        <v>49</v>
      </c>
    </row>
    <row r="1745" spans="1:6">
      <c r="A1745" t="s">
        <v>9</v>
      </c>
      <c r="B1745" t="s">
        <v>10</v>
      </c>
      <c r="C1745" t="s">
        <v>59</v>
      </c>
      <c r="D1745" t="s">
        <v>234</v>
      </c>
      <c r="E1745" s="2">
        <v>2183.6799999999998</v>
      </c>
      <c r="F1745">
        <v>46</v>
      </c>
    </row>
    <row r="1746" spans="1:6">
      <c r="A1746" t="s">
        <v>22</v>
      </c>
      <c r="B1746" t="s">
        <v>35</v>
      </c>
      <c r="C1746" t="s">
        <v>23</v>
      </c>
      <c r="D1746" s="1">
        <v>45024</v>
      </c>
      <c r="E1746" s="2">
        <v>3125.34</v>
      </c>
      <c r="F1746">
        <v>191</v>
      </c>
    </row>
    <row r="1747" spans="1:6">
      <c r="A1747" t="s">
        <v>14</v>
      </c>
      <c r="B1747" t="s">
        <v>32</v>
      </c>
      <c r="C1747" t="s">
        <v>57</v>
      </c>
      <c r="D1747" t="s">
        <v>172</v>
      </c>
      <c r="E1747" s="2">
        <v>4891.8599999999997</v>
      </c>
      <c r="F1747">
        <v>380</v>
      </c>
    </row>
    <row r="1748" spans="1:6">
      <c r="A1748" t="s">
        <v>14</v>
      </c>
      <c r="B1748" t="s">
        <v>35</v>
      </c>
      <c r="C1748" t="s">
        <v>23</v>
      </c>
      <c r="D1748" t="s">
        <v>198</v>
      </c>
      <c r="E1748" s="2">
        <v>4881.32</v>
      </c>
      <c r="F1748">
        <v>183</v>
      </c>
    </row>
    <row r="1749" spans="1:6">
      <c r="A1749" t="s">
        <v>31</v>
      </c>
      <c r="B1749" t="s">
        <v>25</v>
      </c>
      <c r="C1749" t="s">
        <v>60</v>
      </c>
      <c r="D1749" t="s">
        <v>163</v>
      </c>
      <c r="E1749" s="2">
        <v>5917.62</v>
      </c>
      <c r="F1749">
        <v>238</v>
      </c>
    </row>
    <row r="1750" spans="1:6">
      <c r="A1750" t="s">
        <v>37</v>
      </c>
      <c r="B1750" t="s">
        <v>25</v>
      </c>
      <c r="C1750" t="s">
        <v>11</v>
      </c>
      <c r="D1750" t="s">
        <v>191</v>
      </c>
      <c r="E1750" s="2">
        <v>6312.53</v>
      </c>
      <c r="F1750">
        <v>60</v>
      </c>
    </row>
    <row r="1751" spans="1:6">
      <c r="A1751" t="s">
        <v>19</v>
      </c>
      <c r="B1751" t="s">
        <v>15</v>
      </c>
      <c r="C1751" t="s">
        <v>11</v>
      </c>
      <c r="D1751" t="s">
        <v>180</v>
      </c>
      <c r="E1751" s="2">
        <v>7956.28</v>
      </c>
      <c r="F1751">
        <v>27</v>
      </c>
    </row>
    <row r="1752" spans="1:6">
      <c r="A1752" t="s">
        <v>48</v>
      </c>
      <c r="B1752" t="s">
        <v>35</v>
      </c>
      <c r="C1752" t="s">
        <v>75</v>
      </c>
      <c r="D1752" t="s">
        <v>201</v>
      </c>
      <c r="E1752" s="2">
        <v>5895.88</v>
      </c>
      <c r="F1752">
        <v>7</v>
      </c>
    </row>
    <row r="1753" spans="1:6">
      <c r="A1753" t="s">
        <v>55</v>
      </c>
      <c r="B1753" t="s">
        <v>10</v>
      </c>
      <c r="C1753" t="s">
        <v>100</v>
      </c>
      <c r="D1753" t="s">
        <v>209</v>
      </c>
      <c r="E1753" s="2">
        <v>13535.7</v>
      </c>
      <c r="F1753">
        <v>296</v>
      </c>
    </row>
    <row r="1754" spans="1:6">
      <c r="A1754" t="s">
        <v>41</v>
      </c>
      <c r="B1754" t="s">
        <v>32</v>
      </c>
      <c r="C1754" t="s">
        <v>59</v>
      </c>
      <c r="D1754" s="1">
        <v>45233</v>
      </c>
      <c r="E1754" s="2">
        <v>5639.9</v>
      </c>
      <c r="F1754">
        <v>129</v>
      </c>
    </row>
    <row r="1755" spans="1:6">
      <c r="A1755" t="s">
        <v>83</v>
      </c>
      <c r="B1755" t="s">
        <v>25</v>
      </c>
      <c r="C1755" t="s">
        <v>23</v>
      </c>
      <c r="D1755" t="s">
        <v>245</v>
      </c>
      <c r="E1755" s="2">
        <v>5813.44</v>
      </c>
      <c r="F1755">
        <v>356</v>
      </c>
    </row>
    <row r="1756" spans="1:6">
      <c r="A1756" t="s">
        <v>53</v>
      </c>
      <c r="B1756" t="s">
        <v>10</v>
      </c>
      <c r="C1756" t="s">
        <v>50</v>
      </c>
      <c r="D1756" t="s">
        <v>186</v>
      </c>
      <c r="E1756" s="2">
        <v>2514.8200000000002</v>
      </c>
      <c r="F1756">
        <v>32</v>
      </c>
    </row>
    <row r="1757" spans="1:6">
      <c r="A1757" t="s">
        <v>22</v>
      </c>
      <c r="B1757" t="s">
        <v>35</v>
      </c>
      <c r="C1757" t="s">
        <v>26</v>
      </c>
      <c r="D1757" s="1">
        <v>45017</v>
      </c>
      <c r="E1757" s="2">
        <v>3044.01</v>
      </c>
      <c r="F1757">
        <v>22</v>
      </c>
    </row>
    <row r="1758" spans="1:6">
      <c r="A1758" t="s">
        <v>48</v>
      </c>
      <c r="B1758" t="s">
        <v>10</v>
      </c>
      <c r="C1758" t="s">
        <v>46</v>
      </c>
      <c r="D1758" s="1">
        <v>45050</v>
      </c>
      <c r="E1758" s="2">
        <v>3902.04</v>
      </c>
      <c r="F1758">
        <v>214</v>
      </c>
    </row>
    <row r="1759" spans="1:6">
      <c r="A1759" t="s">
        <v>41</v>
      </c>
      <c r="B1759" t="s">
        <v>10</v>
      </c>
      <c r="C1759" t="s">
        <v>46</v>
      </c>
      <c r="D1759" t="s">
        <v>184</v>
      </c>
      <c r="E1759" s="2">
        <v>1928.74</v>
      </c>
      <c r="F1759">
        <v>354</v>
      </c>
    </row>
    <row r="1760" spans="1:6">
      <c r="A1760" t="s">
        <v>53</v>
      </c>
      <c r="B1760" t="s">
        <v>15</v>
      </c>
      <c r="C1760" t="s">
        <v>59</v>
      </c>
      <c r="D1760" s="1">
        <v>45235</v>
      </c>
      <c r="E1760" s="2">
        <v>3251.53</v>
      </c>
      <c r="F1760">
        <v>241</v>
      </c>
    </row>
    <row r="1761" spans="1:6">
      <c r="A1761" t="s">
        <v>67</v>
      </c>
      <c r="B1761" t="s">
        <v>35</v>
      </c>
      <c r="C1761" t="s">
        <v>60</v>
      </c>
      <c r="D1761" t="s">
        <v>244</v>
      </c>
      <c r="E1761" s="2">
        <v>5031.9399999999996</v>
      </c>
      <c r="F1761">
        <v>495</v>
      </c>
    </row>
    <row r="1762" spans="1:6">
      <c r="A1762" t="s">
        <v>14</v>
      </c>
      <c r="B1762" t="s">
        <v>25</v>
      </c>
      <c r="C1762" t="s">
        <v>33</v>
      </c>
      <c r="D1762" s="1">
        <v>45232</v>
      </c>
      <c r="E1762" s="2">
        <v>1350.26</v>
      </c>
      <c r="F1762">
        <v>89</v>
      </c>
    </row>
    <row r="1763" spans="1:6">
      <c r="A1763" t="s">
        <v>67</v>
      </c>
      <c r="B1763" t="s">
        <v>35</v>
      </c>
      <c r="C1763" t="s">
        <v>18</v>
      </c>
      <c r="D1763" s="1">
        <v>45145</v>
      </c>
      <c r="E1763" s="2">
        <v>1187.71</v>
      </c>
      <c r="F1763">
        <v>75</v>
      </c>
    </row>
    <row r="1764" spans="1:6">
      <c r="A1764" t="s">
        <v>22</v>
      </c>
      <c r="B1764" t="s">
        <v>7</v>
      </c>
      <c r="C1764" t="s">
        <v>73</v>
      </c>
      <c r="D1764" s="1">
        <v>45238</v>
      </c>
      <c r="E1764" s="2">
        <v>7055.38</v>
      </c>
      <c r="F1764">
        <v>334</v>
      </c>
    </row>
    <row r="1765" spans="1:6">
      <c r="A1765" t="s">
        <v>53</v>
      </c>
      <c r="B1765" t="s">
        <v>25</v>
      </c>
      <c r="C1765" t="s">
        <v>23</v>
      </c>
      <c r="D1765" s="1">
        <v>45024</v>
      </c>
      <c r="E1765" s="2">
        <v>7231.89</v>
      </c>
      <c r="F1765">
        <v>8</v>
      </c>
    </row>
    <row r="1766" spans="1:6">
      <c r="A1766" t="s">
        <v>67</v>
      </c>
      <c r="B1766" t="s">
        <v>25</v>
      </c>
      <c r="C1766" t="s">
        <v>33</v>
      </c>
      <c r="D1766" t="s">
        <v>230</v>
      </c>
      <c r="E1766" s="2">
        <v>9295.83</v>
      </c>
      <c r="F1766">
        <v>93</v>
      </c>
    </row>
    <row r="1767" spans="1:6">
      <c r="A1767" t="s">
        <v>58</v>
      </c>
      <c r="B1767" t="s">
        <v>7</v>
      </c>
      <c r="C1767" t="s">
        <v>87</v>
      </c>
      <c r="D1767" t="s">
        <v>255</v>
      </c>
      <c r="E1767" s="2">
        <v>2276.94</v>
      </c>
      <c r="F1767">
        <v>296</v>
      </c>
    </row>
    <row r="1768" spans="1:6">
      <c r="A1768" t="s">
        <v>6</v>
      </c>
      <c r="B1768" t="s">
        <v>35</v>
      </c>
      <c r="C1768" t="s">
        <v>33</v>
      </c>
      <c r="D1768" t="s">
        <v>245</v>
      </c>
      <c r="E1768" s="2">
        <v>4229.79</v>
      </c>
      <c r="F1768">
        <v>548</v>
      </c>
    </row>
    <row r="1769" spans="1:6">
      <c r="A1769" t="s">
        <v>6</v>
      </c>
      <c r="B1769" t="s">
        <v>7</v>
      </c>
      <c r="C1769" t="s">
        <v>18</v>
      </c>
      <c r="D1769" t="s">
        <v>182</v>
      </c>
      <c r="E1769" s="2">
        <v>1640.53</v>
      </c>
      <c r="F1769">
        <v>119</v>
      </c>
    </row>
    <row r="1770" spans="1:6">
      <c r="A1770" t="s">
        <v>67</v>
      </c>
      <c r="B1770" t="s">
        <v>7</v>
      </c>
      <c r="C1770" t="s">
        <v>90</v>
      </c>
      <c r="D1770" s="1">
        <v>45113</v>
      </c>
      <c r="E1770" s="2">
        <v>8234.5</v>
      </c>
      <c r="F1770">
        <v>294</v>
      </c>
    </row>
    <row r="1771" spans="1:6">
      <c r="A1771" t="s">
        <v>14</v>
      </c>
      <c r="B1771" t="s">
        <v>7</v>
      </c>
      <c r="C1771" t="s">
        <v>59</v>
      </c>
      <c r="D1771" t="s">
        <v>250</v>
      </c>
      <c r="E1771" s="2">
        <v>10087.040000000001</v>
      </c>
      <c r="F1771">
        <v>46</v>
      </c>
    </row>
    <row r="1772" spans="1:6">
      <c r="A1772" t="s">
        <v>79</v>
      </c>
      <c r="B1772" t="s">
        <v>32</v>
      </c>
      <c r="C1772" t="s">
        <v>57</v>
      </c>
      <c r="D1772" t="s">
        <v>198</v>
      </c>
      <c r="E1772" s="2">
        <v>3169.26</v>
      </c>
      <c r="F1772">
        <v>281</v>
      </c>
    </row>
    <row r="1773" spans="1:6">
      <c r="A1773" t="s">
        <v>70</v>
      </c>
      <c r="B1773" t="s">
        <v>7</v>
      </c>
      <c r="C1773" t="s">
        <v>75</v>
      </c>
      <c r="D1773" t="s">
        <v>178</v>
      </c>
      <c r="E1773" s="2">
        <v>10355.42</v>
      </c>
      <c r="F1773">
        <v>215</v>
      </c>
    </row>
    <row r="1774" spans="1:6">
      <c r="A1774" t="s">
        <v>22</v>
      </c>
      <c r="B1774" t="s">
        <v>25</v>
      </c>
      <c r="C1774" t="s">
        <v>23</v>
      </c>
      <c r="D1774" s="1">
        <v>45177</v>
      </c>
      <c r="E1774" s="2">
        <v>7772.63</v>
      </c>
      <c r="F1774">
        <v>140</v>
      </c>
    </row>
    <row r="1775" spans="1:6">
      <c r="A1775" t="s">
        <v>55</v>
      </c>
      <c r="B1775" t="s">
        <v>35</v>
      </c>
      <c r="C1775" t="s">
        <v>11</v>
      </c>
      <c r="D1775" s="1">
        <v>45081</v>
      </c>
      <c r="E1775" s="2">
        <v>1992.77</v>
      </c>
      <c r="F1775">
        <v>31</v>
      </c>
    </row>
    <row r="1776" spans="1:6">
      <c r="A1776" t="s">
        <v>14</v>
      </c>
      <c r="B1776" t="s">
        <v>25</v>
      </c>
      <c r="C1776" t="s">
        <v>60</v>
      </c>
      <c r="D1776" t="s">
        <v>168</v>
      </c>
      <c r="E1776" s="2">
        <v>1815.56</v>
      </c>
      <c r="F1776">
        <v>266</v>
      </c>
    </row>
    <row r="1777" spans="1:6">
      <c r="A1777" t="s">
        <v>22</v>
      </c>
      <c r="B1777" t="s">
        <v>25</v>
      </c>
      <c r="C1777" t="s">
        <v>73</v>
      </c>
      <c r="D1777" t="s">
        <v>182</v>
      </c>
      <c r="E1777" s="2">
        <v>727.11</v>
      </c>
      <c r="F1777">
        <v>50</v>
      </c>
    </row>
    <row r="1778" spans="1:6">
      <c r="A1778" t="s">
        <v>9</v>
      </c>
      <c r="B1778" t="s">
        <v>15</v>
      </c>
      <c r="C1778" t="s">
        <v>20</v>
      </c>
      <c r="D1778" t="s">
        <v>255</v>
      </c>
      <c r="E1778" s="2">
        <v>114.96</v>
      </c>
      <c r="F1778">
        <v>132</v>
      </c>
    </row>
    <row r="1779" spans="1:6">
      <c r="A1779" t="s">
        <v>48</v>
      </c>
      <c r="B1779" t="s">
        <v>32</v>
      </c>
      <c r="C1779" t="s">
        <v>38</v>
      </c>
      <c r="D1779" s="1">
        <v>45109</v>
      </c>
      <c r="E1779" s="2">
        <v>5378.09</v>
      </c>
      <c r="F1779">
        <v>142</v>
      </c>
    </row>
    <row r="1780" spans="1:6">
      <c r="A1780" t="s">
        <v>28</v>
      </c>
      <c r="B1780" t="s">
        <v>15</v>
      </c>
      <c r="C1780" t="s">
        <v>50</v>
      </c>
      <c r="D1780" s="1">
        <v>45174</v>
      </c>
      <c r="E1780" s="2">
        <v>6707.63</v>
      </c>
      <c r="F1780">
        <v>269</v>
      </c>
    </row>
    <row r="1781" spans="1:6">
      <c r="A1781" t="s">
        <v>34</v>
      </c>
      <c r="B1781" t="s">
        <v>25</v>
      </c>
      <c r="C1781" t="s">
        <v>11</v>
      </c>
      <c r="D1781" s="1">
        <v>45083</v>
      </c>
      <c r="E1781" s="2">
        <v>8167.18</v>
      </c>
      <c r="F1781">
        <v>102</v>
      </c>
    </row>
    <row r="1782" spans="1:6">
      <c r="A1782" t="s">
        <v>64</v>
      </c>
      <c r="B1782" t="s">
        <v>32</v>
      </c>
      <c r="C1782" t="s">
        <v>75</v>
      </c>
      <c r="D1782" s="1">
        <v>45083</v>
      </c>
      <c r="E1782" s="2">
        <v>9950.14</v>
      </c>
      <c r="F1782">
        <v>6</v>
      </c>
    </row>
    <row r="1783" spans="1:6">
      <c r="A1783" t="s">
        <v>41</v>
      </c>
      <c r="B1783" t="s">
        <v>25</v>
      </c>
      <c r="C1783" t="s">
        <v>42</v>
      </c>
      <c r="D1783" t="s">
        <v>178</v>
      </c>
      <c r="E1783" s="2">
        <v>7229.26</v>
      </c>
      <c r="F1783">
        <v>215</v>
      </c>
    </row>
    <row r="1784" spans="1:6">
      <c r="A1784" t="s">
        <v>22</v>
      </c>
      <c r="B1784" t="s">
        <v>7</v>
      </c>
      <c r="C1784" t="s">
        <v>26</v>
      </c>
      <c r="D1784" t="s">
        <v>167</v>
      </c>
      <c r="E1784" s="2">
        <v>2260.21</v>
      </c>
      <c r="F1784">
        <v>128</v>
      </c>
    </row>
    <row r="1785" spans="1:6">
      <c r="A1785" t="s">
        <v>40</v>
      </c>
      <c r="B1785" t="s">
        <v>32</v>
      </c>
      <c r="C1785" t="s">
        <v>73</v>
      </c>
      <c r="D1785" t="s">
        <v>239</v>
      </c>
      <c r="E1785" s="2">
        <v>6206.9</v>
      </c>
      <c r="F1785">
        <v>149</v>
      </c>
    </row>
    <row r="1786" spans="1:6">
      <c r="A1786" t="s">
        <v>6</v>
      </c>
      <c r="B1786" t="s">
        <v>7</v>
      </c>
      <c r="C1786" t="s">
        <v>59</v>
      </c>
      <c r="D1786" t="s">
        <v>179</v>
      </c>
      <c r="E1786" s="2">
        <v>1889.83</v>
      </c>
      <c r="F1786">
        <v>286</v>
      </c>
    </row>
    <row r="1787" spans="1:6">
      <c r="A1787" t="s">
        <v>6</v>
      </c>
      <c r="B1787" t="s">
        <v>25</v>
      </c>
      <c r="C1787" t="s">
        <v>11</v>
      </c>
      <c r="D1787" s="1">
        <v>45233</v>
      </c>
      <c r="E1787" s="2">
        <v>7797.24</v>
      </c>
      <c r="F1787">
        <v>88</v>
      </c>
    </row>
    <row r="1788" spans="1:6">
      <c r="A1788" t="s">
        <v>79</v>
      </c>
      <c r="B1788" t="s">
        <v>32</v>
      </c>
      <c r="C1788" t="s">
        <v>11</v>
      </c>
      <c r="D1788" t="s">
        <v>217</v>
      </c>
      <c r="E1788" s="2">
        <v>11644.92</v>
      </c>
      <c r="F1788">
        <v>536</v>
      </c>
    </row>
    <row r="1789" spans="1:6">
      <c r="A1789" t="s">
        <v>29</v>
      </c>
      <c r="B1789" t="s">
        <v>15</v>
      </c>
      <c r="C1789" t="s">
        <v>18</v>
      </c>
      <c r="D1789" t="s">
        <v>174</v>
      </c>
      <c r="E1789" s="2">
        <v>4207.22</v>
      </c>
      <c r="F1789">
        <v>255</v>
      </c>
    </row>
    <row r="1790" spans="1:6">
      <c r="A1790" t="s">
        <v>48</v>
      </c>
      <c r="B1790" t="s">
        <v>10</v>
      </c>
      <c r="C1790" t="s">
        <v>60</v>
      </c>
      <c r="D1790" t="s">
        <v>239</v>
      </c>
      <c r="E1790" s="2">
        <v>1683.88</v>
      </c>
      <c r="F1790">
        <v>169</v>
      </c>
    </row>
    <row r="1791" spans="1:6">
      <c r="A1791" t="s">
        <v>34</v>
      </c>
      <c r="B1791" t="s">
        <v>32</v>
      </c>
      <c r="C1791" t="s">
        <v>13</v>
      </c>
      <c r="D1791" t="s">
        <v>239</v>
      </c>
      <c r="E1791" s="2">
        <v>1337.36</v>
      </c>
      <c r="F1791">
        <v>18</v>
      </c>
    </row>
    <row r="1792" spans="1:6">
      <c r="A1792" t="s">
        <v>9</v>
      </c>
      <c r="B1792" t="s">
        <v>35</v>
      </c>
      <c r="C1792" t="s">
        <v>13</v>
      </c>
      <c r="D1792" t="s">
        <v>246</v>
      </c>
      <c r="E1792" s="2">
        <v>7147.04</v>
      </c>
      <c r="F1792">
        <v>300</v>
      </c>
    </row>
    <row r="1793" spans="1:6">
      <c r="A1793" t="s">
        <v>70</v>
      </c>
      <c r="B1793" t="s">
        <v>25</v>
      </c>
      <c r="C1793" t="s">
        <v>18</v>
      </c>
      <c r="D1793" s="1">
        <v>45233</v>
      </c>
      <c r="E1793" s="2">
        <v>12030.46</v>
      </c>
      <c r="F1793">
        <v>296</v>
      </c>
    </row>
    <row r="1794" spans="1:6">
      <c r="A1794" t="s">
        <v>29</v>
      </c>
      <c r="B1794" t="s">
        <v>32</v>
      </c>
      <c r="C1794" t="s">
        <v>18</v>
      </c>
      <c r="D1794" t="s">
        <v>232</v>
      </c>
      <c r="E1794" s="2">
        <v>15844.58</v>
      </c>
      <c r="F1794">
        <v>232</v>
      </c>
    </row>
    <row r="1795" spans="1:6">
      <c r="A1795" t="s">
        <v>29</v>
      </c>
      <c r="B1795" t="s">
        <v>32</v>
      </c>
      <c r="C1795" t="s">
        <v>59</v>
      </c>
      <c r="D1795" t="s">
        <v>259</v>
      </c>
      <c r="E1795" s="2">
        <v>5025.84</v>
      </c>
      <c r="F1795">
        <v>133</v>
      </c>
    </row>
    <row r="1796" spans="1:6">
      <c r="A1796" t="s">
        <v>45</v>
      </c>
      <c r="B1796" t="s">
        <v>35</v>
      </c>
      <c r="C1796" t="s">
        <v>18</v>
      </c>
      <c r="D1796" s="1">
        <v>45110</v>
      </c>
      <c r="E1796" s="2">
        <v>9902.0300000000007</v>
      </c>
      <c r="F1796">
        <v>12</v>
      </c>
    </row>
    <row r="1797" spans="1:6">
      <c r="A1797" t="s">
        <v>48</v>
      </c>
      <c r="B1797" t="s">
        <v>25</v>
      </c>
      <c r="C1797" t="s">
        <v>23</v>
      </c>
      <c r="D1797" s="1">
        <v>45050</v>
      </c>
      <c r="E1797" s="2">
        <v>7944.07</v>
      </c>
      <c r="F1797">
        <v>33</v>
      </c>
    </row>
    <row r="1798" spans="1:6">
      <c r="A1798" t="s">
        <v>71</v>
      </c>
      <c r="B1798" t="s">
        <v>10</v>
      </c>
      <c r="C1798" t="s">
        <v>11</v>
      </c>
      <c r="D1798" s="1">
        <v>45021</v>
      </c>
      <c r="E1798" s="2">
        <v>9523.65</v>
      </c>
      <c r="F1798">
        <v>55</v>
      </c>
    </row>
    <row r="1799" spans="1:6">
      <c r="A1799" t="s">
        <v>83</v>
      </c>
      <c r="B1799" t="s">
        <v>32</v>
      </c>
      <c r="C1799" t="s">
        <v>75</v>
      </c>
      <c r="D1799" s="1">
        <v>45017</v>
      </c>
      <c r="E1799" s="2">
        <v>16240.71</v>
      </c>
      <c r="F1799">
        <v>93</v>
      </c>
    </row>
    <row r="1800" spans="1:6">
      <c r="A1800" t="s">
        <v>40</v>
      </c>
      <c r="B1800" t="s">
        <v>15</v>
      </c>
      <c r="C1800" t="s">
        <v>87</v>
      </c>
      <c r="D1800" t="s">
        <v>167</v>
      </c>
      <c r="E1800" s="2">
        <v>5891.94</v>
      </c>
      <c r="F1800">
        <v>109</v>
      </c>
    </row>
    <row r="1801" spans="1:6">
      <c r="A1801" t="s">
        <v>64</v>
      </c>
      <c r="B1801" t="s">
        <v>25</v>
      </c>
      <c r="C1801" t="s">
        <v>57</v>
      </c>
      <c r="D1801" s="1">
        <v>45237</v>
      </c>
      <c r="E1801" s="2">
        <v>6924.52</v>
      </c>
      <c r="F1801">
        <v>94</v>
      </c>
    </row>
    <row r="1802" spans="1:6">
      <c r="A1802" t="s">
        <v>55</v>
      </c>
      <c r="B1802" t="s">
        <v>15</v>
      </c>
      <c r="C1802" t="s">
        <v>8</v>
      </c>
      <c r="D1802" t="s">
        <v>247</v>
      </c>
      <c r="E1802" s="2">
        <v>4552.57</v>
      </c>
      <c r="F1802">
        <v>158</v>
      </c>
    </row>
    <row r="1803" spans="1:6">
      <c r="A1803" t="s">
        <v>71</v>
      </c>
      <c r="B1803" t="s">
        <v>25</v>
      </c>
      <c r="C1803" t="s">
        <v>13</v>
      </c>
      <c r="D1803" t="s">
        <v>244</v>
      </c>
      <c r="E1803" s="2">
        <v>1724.91</v>
      </c>
      <c r="F1803">
        <v>60</v>
      </c>
    </row>
    <row r="1804" spans="1:6">
      <c r="A1804" t="s">
        <v>48</v>
      </c>
      <c r="B1804" t="s">
        <v>35</v>
      </c>
      <c r="C1804" t="s">
        <v>42</v>
      </c>
      <c r="D1804" t="s">
        <v>228</v>
      </c>
      <c r="E1804" s="2">
        <v>897.3</v>
      </c>
      <c r="F1804">
        <v>21</v>
      </c>
    </row>
    <row r="1805" spans="1:6">
      <c r="A1805" t="s">
        <v>14</v>
      </c>
      <c r="B1805" t="s">
        <v>10</v>
      </c>
      <c r="C1805" t="s">
        <v>20</v>
      </c>
      <c r="D1805" t="s">
        <v>239</v>
      </c>
      <c r="E1805" s="2">
        <v>10283.9</v>
      </c>
      <c r="F1805">
        <v>178</v>
      </c>
    </row>
    <row r="1806" spans="1:6">
      <c r="A1806" t="s">
        <v>29</v>
      </c>
      <c r="B1806" t="s">
        <v>35</v>
      </c>
      <c r="C1806" t="s">
        <v>38</v>
      </c>
      <c r="D1806" s="1">
        <v>45267</v>
      </c>
      <c r="E1806" s="2">
        <v>10415.77</v>
      </c>
      <c r="F1806">
        <v>200</v>
      </c>
    </row>
    <row r="1807" spans="1:6">
      <c r="A1807" t="s">
        <v>14</v>
      </c>
      <c r="B1807" t="s">
        <v>7</v>
      </c>
      <c r="C1807" t="s">
        <v>33</v>
      </c>
      <c r="D1807" t="s">
        <v>177</v>
      </c>
      <c r="E1807" s="2">
        <v>4220.83</v>
      </c>
      <c r="F1807">
        <v>193</v>
      </c>
    </row>
    <row r="1808" spans="1:6">
      <c r="A1808" t="s">
        <v>31</v>
      </c>
      <c r="B1808" t="s">
        <v>25</v>
      </c>
      <c r="C1808" t="s">
        <v>26</v>
      </c>
      <c r="D1808" t="s">
        <v>245</v>
      </c>
      <c r="E1808" s="2">
        <v>4909.8599999999997</v>
      </c>
      <c r="F1808">
        <v>304</v>
      </c>
    </row>
    <row r="1809" spans="1:6">
      <c r="A1809" t="s">
        <v>48</v>
      </c>
      <c r="B1809" t="s">
        <v>15</v>
      </c>
      <c r="C1809" t="s">
        <v>36</v>
      </c>
      <c r="D1809" t="s">
        <v>235</v>
      </c>
      <c r="E1809" s="2">
        <v>6549.62</v>
      </c>
      <c r="F1809">
        <v>53</v>
      </c>
    </row>
    <row r="1810" spans="1:6">
      <c r="A1810" t="s">
        <v>14</v>
      </c>
      <c r="B1810" t="s">
        <v>10</v>
      </c>
      <c r="C1810" t="s">
        <v>90</v>
      </c>
      <c r="D1810" s="1">
        <v>45023</v>
      </c>
      <c r="E1810" s="2">
        <v>88.72</v>
      </c>
      <c r="F1810">
        <v>165</v>
      </c>
    </row>
    <row r="1811" spans="1:6">
      <c r="A1811" t="s">
        <v>67</v>
      </c>
      <c r="B1811" t="s">
        <v>7</v>
      </c>
      <c r="C1811" t="s">
        <v>59</v>
      </c>
      <c r="D1811" s="1">
        <v>45265</v>
      </c>
      <c r="E1811" s="2">
        <v>9793.16</v>
      </c>
      <c r="F1811">
        <v>110</v>
      </c>
    </row>
    <row r="1812" spans="1:6">
      <c r="A1812" t="s">
        <v>71</v>
      </c>
      <c r="B1812" t="s">
        <v>25</v>
      </c>
      <c r="C1812" t="s">
        <v>73</v>
      </c>
      <c r="D1812" s="1">
        <v>45020</v>
      </c>
      <c r="E1812" s="2">
        <v>4823.6499999999996</v>
      </c>
      <c r="F1812">
        <v>143</v>
      </c>
    </row>
    <row r="1813" spans="1:6">
      <c r="A1813" t="s">
        <v>77</v>
      </c>
      <c r="B1813" t="s">
        <v>15</v>
      </c>
      <c r="C1813" t="s">
        <v>33</v>
      </c>
      <c r="D1813" t="s">
        <v>184</v>
      </c>
      <c r="E1813" s="2">
        <v>7556.55</v>
      </c>
      <c r="F1813">
        <v>404</v>
      </c>
    </row>
    <row r="1814" spans="1:6">
      <c r="A1814" t="s">
        <v>45</v>
      </c>
      <c r="B1814" t="s">
        <v>35</v>
      </c>
      <c r="C1814" t="s">
        <v>36</v>
      </c>
      <c r="D1814" s="1">
        <v>45141</v>
      </c>
      <c r="E1814" s="2">
        <v>7082.03</v>
      </c>
      <c r="F1814">
        <v>95</v>
      </c>
    </row>
    <row r="1815" spans="1:6">
      <c r="A1815" t="s">
        <v>37</v>
      </c>
      <c r="B1815" t="s">
        <v>10</v>
      </c>
      <c r="C1815" t="s">
        <v>59</v>
      </c>
      <c r="D1815" t="s">
        <v>255</v>
      </c>
      <c r="E1815" s="2">
        <v>8361.4699999999993</v>
      </c>
      <c r="F1815">
        <v>231</v>
      </c>
    </row>
    <row r="1816" spans="1:6">
      <c r="A1816" t="s">
        <v>64</v>
      </c>
      <c r="B1816" t="s">
        <v>10</v>
      </c>
      <c r="C1816" t="s">
        <v>8</v>
      </c>
      <c r="D1816" t="s">
        <v>186</v>
      </c>
      <c r="E1816" s="2">
        <v>1310.5</v>
      </c>
      <c r="F1816">
        <v>52</v>
      </c>
    </row>
    <row r="1817" spans="1:6">
      <c r="A1817" t="s">
        <v>67</v>
      </c>
      <c r="B1817" t="s">
        <v>7</v>
      </c>
      <c r="C1817" t="s">
        <v>20</v>
      </c>
      <c r="D1817" t="s">
        <v>216</v>
      </c>
      <c r="E1817" s="2">
        <v>1288.0999999999999</v>
      </c>
      <c r="F1817">
        <v>67</v>
      </c>
    </row>
    <row r="1818" spans="1:6">
      <c r="A1818" t="s">
        <v>40</v>
      </c>
      <c r="B1818" t="s">
        <v>7</v>
      </c>
      <c r="C1818" t="s">
        <v>26</v>
      </c>
      <c r="D1818" t="s">
        <v>230</v>
      </c>
      <c r="E1818" s="2">
        <v>3288.29</v>
      </c>
      <c r="F1818">
        <v>133</v>
      </c>
    </row>
    <row r="1819" spans="1:6">
      <c r="A1819" t="s">
        <v>83</v>
      </c>
      <c r="B1819" t="s">
        <v>10</v>
      </c>
      <c r="C1819" t="s">
        <v>75</v>
      </c>
      <c r="D1819" s="1">
        <v>45050</v>
      </c>
      <c r="E1819" s="2">
        <v>10669.09</v>
      </c>
      <c r="F1819">
        <v>85</v>
      </c>
    </row>
    <row r="1820" spans="1:6">
      <c r="A1820" t="s">
        <v>77</v>
      </c>
      <c r="B1820" t="s">
        <v>7</v>
      </c>
      <c r="C1820" t="s">
        <v>73</v>
      </c>
      <c r="D1820" t="s">
        <v>197</v>
      </c>
      <c r="E1820" s="2">
        <v>7361.93</v>
      </c>
      <c r="F1820">
        <v>344</v>
      </c>
    </row>
    <row r="1821" spans="1:6">
      <c r="A1821" t="s">
        <v>64</v>
      </c>
      <c r="B1821" t="s">
        <v>15</v>
      </c>
      <c r="C1821" t="s">
        <v>26</v>
      </c>
      <c r="D1821" s="1">
        <v>44993</v>
      </c>
      <c r="E1821" s="2">
        <v>10336.219999999999</v>
      </c>
      <c r="F1821">
        <v>123</v>
      </c>
    </row>
    <row r="1822" spans="1:6">
      <c r="A1822" t="s">
        <v>12</v>
      </c>
      <c r="B1822" t="s">
        <v>35</v>
      </c>
      <c r="C1822" t="s">
        <v>59</v>
      </c>
      <c r="D1822" s="1">
        <v>45237</v>
      </c>
      <c r="E1822" s="2">
        <v>6985.95</v>
      </c>
      <c r="F1822">
        <v>4</v>
      </c>
    </row>
    <row r="1823" spans="1:6">
      <c r="A1823" t="s">
        <v>64</v>
      </c>
      <c r="B1823" t="s">
        <v>25</v>
      </c>
      <c r="C1823" t="s">
        <v>36</v>
      </c>
      <c r="D1823" s="1">
        <v>45233</v>
      </c>
      <c r="E1823" s="2">
        <v>3394.46</v>
      </c>
      <c r="F1823">
        <v>21</v>
      </c>
    </row>
    <row r="1824" spans="1:6">
      <c r="A1824" t="s">
        <v>28</v>
      </c>
      <c r="B1824" t="s">
        <v>7</v>
      </c>
      <c r="C1824" t="s">
        <v>13</v>
      </c>
      <c r="D1824" s="1">
        <v>45200</v>
      </c>
      <c r="E1824" s="2">
        <v>15337.23</v>
      </c>
      <c r="F1824">
        <v>31</v>
      </c>
    </row>
    <row r="1825" spans="1:6">
      <c r="A1825" t="s">
        <v>45</v>
      </c>
      <c r="B1825" t="s">
        <v>7</v>
      </c>
      <c r="C1825" t="s">
        <v>87</v>
      </c>
      <c r="D1825" s="1">
        <v>45020</v>
      </c>
      <c r="E1825" s="2">
        <v>15925.17</v>
      </c>
      <c r="F1825">
        <v>378</v>
      </c>
    </row>
    <row r="1826" spans="1:6">
      <c r="A1826" t="s">
        <v>37</v>
      </c>
      <c r="B1826" t="s">
        <v>15</v>
      </c>
      <c r="C1826" t="s">
        <v>26</v>
      </c>
      <c r="D1826" t="s">
        <v>255</v>
      </c>
      <c r="E1826" s="2">
        <v>7355.77</v>
      </c>
      <c r="F1826">
        <v>772</v>
      </c>
    </row>
    <row r="1827" spans="1:6">
      <c r="A1827" t="s">
        <v>40</v>
      </c>
      <c r="B1827" t="s">
        <v>25</v>
      </c>
      <c r="C1827" t="s">
        <v>42</v>
      </c>
      <c r="D1827" s="1">
        <v>45145</v>
      </c>
      <c r="E1827" s="2">
        <v>9489.27</v>
      </c>
      <c r="F1827">
        <v>54</v>
      </c>
    </row>
    <row r="1828" spans="1:6">
      <c r="A1828" t="s">
        <v>14</v>
      </c>
      <c r="B1828" t="s">
        <v>7</v>
      </c>
      <c r="C1828" t="s">
        <v>42</v>
      </c>
      <c r="D1828" s="1">
        <v>45264</v>
      </c>
      <c r="E1828" s="2">
        <v>1281.32</v>
      </c>
      <c r="F1828">
        <v>354</v>
      </c>
    </row>
    <row r="1829" spans="1:6">
      <c r="A1829" t="s">
        <v>29</v>
      </c>
      <c r="B1829" t="s">
        <v>35</v>
      </c>
      <c r="C1829" t="s">
        <v>57</v>
      </c>
      <c r="D1829" t="s">
        <v>182</v>
      </c>
      <c r="E1829" s="2">
        <v>518.07000000000005</v>
      </c>
      <c r="F1829">
        <v>192</v>
      </c>
    </row>
    <row r="1830" spans="1:6">
      <c r="A1830" t="s">
        <v>83</v>
      </c>
      <c r="B1830" t="s">
        <v>7</v>
      </c>
      <c r="C1830" t="s">
        <v>75</v>
      </c>
      <c r="D1830" s="1">
        <v>45113</v>
      </c>
      <c r="E1830" s="2">
        <v>1933.56</v>
      </c>
      <c r="F1830">
        <v>239</v>
      </c>
    </row>
    <row r="1831" spans="1:6">
      <c r="A1831" t="s">
        <v>22</v>
      </c>
      <c r="B1831" t="s">
        <v>35</v>
      </c>
      <c r="C1831" t="s">
        <v>65</v>
      </c>
      <c r="D1831" t="s">
        <v>168</v>
      </c>
      <c r="E1831" s="2">
        <v>1308.52</v>
      </c>
      <c r="F1831">
        <v>30</v>
      </c>
    </row>
    <row r="1832" spans="1:6">
      <c r="A1832" t="s">
        <v>53</v>
      </c>
      <c r="B1832" t="s">
        <v>32</v>
      </c>
      <c r="C1832" t="s">
        <v>20</v>
      </c>
      <c r="D1832" t="s">
        <v>212</v>
      </c>
      <c r="E1832" s="2">
        <v>9878.5</v>
      </c>
      <c r="F1832">
        <v>111</v>
      </c>
    </row>
    <row r="1833" spans="1:6">
      <c r="A1833" t="s">
        <v>58</v>
      </c>
      <c r="B1833" t="s">
        <v>35</v>
      </c>
      <c r="C1833" t="s">
        <v>8</v>
      </c>
      <c r="D1833" s="1">
        <v>45142</v>
      </c>
      <c r="E1833" s="2">
        <v>1943.7</v>
      </c>
      <c r="F1833">
        <v>297</v>
      </c>
    </row>
    <row r="1834" spans="1:6">
      <c r="A1834" t="s">
        <v>28</v>
      </c>
      <c r="B1834" t="s">
        <v>7</v>
      </c>
      <c r="C1834" t="s">
        <v>60</v>
      </c>
      <c r="D1834" t="s">
        <v>191</v>
      </c>
      <c r="E1834" s="2">
        <v>80.62</v>
      </c>
      <c r="F1834">
        <v>103</v>
      </c>
    </row>
    <row r="1835" spans="1:6">
      <c r="A1835" t="s">
        <v>9</v>
      </c>
      <c r="B1835" t="s">
        <v>7</v>
      </c>
      <c r="C1835" t="s">
        <v>87</v>
      </c>
      <c r="D1835" t="s">
        <v>165</v>
      </c>
      <c r="E1835" s="2">
        <v>2678.37</v>
      </c>
      <c r="F1835">
        <v>20</v>
      </c>
    </row>
    <row r="1836" spans="1:6">
      <c r="A1836" t="s">
        <v>31</v>
      </c>
      <c r="B1836" t="s">
        <v>15</v>
      </c>
      <c r="C1836" t="s">
        <v>90</v>
      </c>
      <c r="D1836" t="s">
        <v>223</v>
      </c>
      <c r="E1836" s="2">
        <v>2931.1</v>
      </c>
      <c r="F1836">
        <v>60</v>
      </c>
    </row>
    <row r="1837" spans="1:6">
      <c r="A1837" t="s">
        <v>58</v>
      </c>
      <c r="B1837" t="s">
        <v>32</v>
      </c>
      <c r="C1837" t="s">
        <v>36</v>
      </c>
      <c r="D1837" t="s">
        <v>203</v>
      </c>
      <c r="E1837" s="2">
        <v>2316.09</v>
      </c>
      <c r="F1837">
        <v>90</v>
      </c>
    </row>
    <row r="1838" spans="1:6">
      <c r="A1838" t="s">
        <v>12</v>
      </c>
      <c r="B1838" t="s">
        <v>15</v>
      </c>
      <c r="C1838" t="s">
        <v>73</v>
      </c>
      <c r="D1838" t="s">
        <v>258</v>
      </c>
      <c r="E1838" s="2">
        <v>6722.22</v>
      </c>
      <c r="F1838">
        <v>330</v>
      </c>
    </row>
    <row r="1839" spans="1:6">
      <c r="A1839" t="s">
        <v>58</v>
      </c>
      <c r="B1839" t="s">
        <v>32</v>
      </c>
      <c r="C1839" t="s">
        <v>42</v>
      </c>
      <c r="D1839" t="s">
        <v>248</v>
      </c>
      <c r="E1839" s="2">
        <v>14528.51</v>
      </c>
      <c r="F1839">
        <v>134</v>
      </c>
    </row>
    <row r="1840" spans="1:6">
      <c r="A1840" t="s">
        <v>41</v>
      </c>
      <c r="B1840" t="s">
        <v>35</v>
      </c>
      <c r="C1840" t="s">
        <v>33</v>
      </c>
      <c r="D1840" s="1">
        <v>45204</v>
      </c>
      <c r="E1840" s="2">
        <v>9390.2800000000007</v>
      </c>
      <c r="F1840">
        <v>104</v>
      </c>
    </row>
    <row r="1841" spans="1:6">
      <c r="A1841" t="s">
        <v>34</v>
      </c>
      <c r="B1841" t="s">
        <v>15</v>
      </c>
      <c r="C1841" t="s">
        <v>75</v>
      </c>
      <c r="D1841" t="s">
        <v>236</v>
      </c>
      <c r="E1841" s="2">
        <v>16230.41</v>
      </c>
      <c r="F1841">
        <v>94</v>
      </c>
    </row>
    <row r="1842" spans="1:6">
      <c r="A1842" t="s">
        <v>83</v>
      </c>
      <c r="B1842" t="s">
        <v>10</v>
      </c>
      <c r="C1842" t="s">
        <v>90</v>
      </c>
      <c r="D1842" t="s">
        <v>177</v>
      </c>
      <c r="E1842" s="2">
        <v>7224.39</v>
      </c>
      <c r="F1842">
        <v>55</v>
      </c>
    </row>
    <row r="1843" spans="1:6">
      <c r="A1843" t="s">
        <v>9</v>
      </c>
      <c r="B1843" t="s">
        <v>35</v>
      </c>
      <c r="C1843" t="s">
        <v>26</v>
      </c>
      <c r="D1843" s="1">
        <v>45265</v>
      </c>
      <c r="E1843" s="2">
        <v>15567.58</v>
      </c>
      <c r="F1843">
        <v>57</v>
      </c>
    </row>
    <row r="1844" spans="1:6">
      <c r="A1844" t="s">
        <v>70</v>
      </c>
      <c r="B1844" t="s">
        <v>25</v>
      </c>
      <c r="C1844" t="s">
        <v>87</v>
      </c>
      <c r="D1844" t="s">
        <v>245</v>
      </c>
      <c r="E1844" s="2">
        <v>2964.2</v>
      </c>
      <c r="F1844">
        <v>105</v>
      </c>
    </row>
    <row r="1845" spans="1:6">
      <c r="A1845" t="s">
        <v>41</v>
      </c>
      <c r="B1845" t="s">
        <v>10</v>
      </c>
      <c r="C1845" t="s">
        <v>50</v>
      </c>
      <c r="D1845" t="s">
        <v>241</v>
      </c>
      <c r="E1845" s="2">
        <v>3357.08</v>
      </c>
      <c r="F1845">
        <v>186</v>
      </c>
    </row>
    <row r="1846" spans="1:6">
      <c r="A1846" t="s">
        <v>12</v>
      </c>
      <c r="B1846" t="s">
        <v>15</v>
      </c>
      <c r="C1846" t="s">
        <v>65</v>
      </c>
      <c r="D1846" t="s">
        <v>238</v>
      </c>
      <c r="E1846" s="2">
        <v>1010.37</v>
      </c>
      <c r="F1846">
        <v>127</v>
      </c>
    </row>
    <row r="1847" spans="1:6">
      <c r="A1847" t="s">
        <v>29</v>
      </c>
      <c r="B1847" t="s">
        <v>25</v>
      </c>
      <c r="C1847" t="s">
        <v>36</v>
      </c>
      <c r="D1847" s="1">
        <v>45109</v>
      </c>
      <c r="E1847" s="2">
        <v>20470.43</v>
      </c>
      <c r="F1847">
        <v>54</v>
      </c>
    </row>
    <row r="1848" spans="1:6">
      <c r="A1848" t="s">
        <v>70</v>
      </c>
      <c r="B1848" t="s">
        <v>35</v>
      </c>
      <c r="C1848" t="s">
        <v>18</v>
      </c>
      <c r="D1848" t="s">
        <v>226</v>
      </c>
      <c r="E1848" s="2">
        <v>8762.75</v>
      </c>
      <c r="F1848">
        <v>115</v>
      </c>
    </row>
    <row r="1849" spans="1:6">
      <c r="A1849" t="s">
        <v>14</v>
      </c>
      <c r="B1849" t="s">
        <v>10</v>
      </c>
      <c r="C1849" t="s">
        <v>87</v>
      </c>
      <c r="D1849" s="1">
        <v>44934</v>
      </c>
      <c r="E1849" s="2">
        <v>14613.52</v>
      </c>
      <c r="F1849">
        <v>85</v>
      </c>
    </row>
    <row r="1850" spans="1:6">
      <c r="A1850" t="s">
        <v>6</v>
      </c>
      <c r="B1850" t="s">
        <v>15</v>
      </c>
      <c r="C1850" t="s">
        <v>46</v>
      </c>
      <c r="D1850" t="s">
        <v>236</v>
      </c>
      <c r="E1850" s="2">
        <v>9839.4599999999991</v>
      </c>
      <c r="F1850">
        <v>31</v>
      </c>
    </row>
    <row r="1851" spans="1:6">
      <c r="A1851" t="s">
        <v>12</v>
      </c>
      <c r="B1851" t="s">
        <v>35</v>
      </c>
      <c r="C1851" t="s">
        <v>57</v>
      </c>
      <c r="D1851" t="s">
        <v>230</v>
      </c>
      <c r="E1851" s="2">
        <v>6633.23</v>
      </c>
      <c r="F1851">
        <v>103</v>
      </c>
    </row>
    <row r="1852" spans="1:6">
      <c r="A1852" t="s">
        <v>41</v>
      </c>
      <c r="B1852" t="s">
        <v>7</v>
      </c>
      <c r="C1852" t="s">
        <v>36</v>
      </c>
      <c r="D1852" t="s">
        <v>237</v>
      </c>
      <c r="E1852" s="2">
        <v>9749.07</v>
      </c>
      <c r="F1852">
        <v>169</v>
      </c>
    </row>
    <row r="1853" spans="1:6">
      <c r="A1853" t="s">
        <v>40</v>
      </c>
      <c r="B1853" t="s">
        <v>25</v>
      </c>
      <c r="C1853" t="s">
        <v>36</v>
      </c>
      <c r="D1853" t="s">
        <v>218</v>
      </c>
      <c r="E1853" s="2">
        <v>5254.38</v>
      </c>
      <c r="F1853">
        <v>31</v>
      </c>
    </row>
    <row r="1854" spans="1:6">
      <c r="A1854" t="s">
        <v>53</v>
      </c>
      <c r="B1854" t="s">
        <v>15</v>
      </c>
      <c r="C1854" t="s">
        <v>20</v>
      </c>
      <c r="D1854" t="s">
        <v>197</v>
      </c>
      <c r="E1854" s="2">
        <v>3430.43</v>
      </c>
      <c r="F1854">
        <v>123</v>
      </c>
    </row>
    <row r="1855" spans="1:6">
      <c r="A1855" t="s">
        <v>22</v>
      </c>
      <c r="B1855" t="s">
        <v>25</v>
      </c>
      <c r="C1855" t="s">
        <v>57</v>
      </c>
      <c r="D1855" s="1">
        <v>45205</v>
      </c>
      <c r="E1855" s="2">
        <v>10454.549999999999</v>
      </c>
      <c r="F1855">
        <v>434</v>
      </c>
    </row>
    <row r="1856" spans="1:6">
      <c r="A1856" t="s">
        <v>48</v>
      </c>
      <c r="B1856" t="s">
        <v>35</v>
      </c>
      <c r="C1856" t="s">
        <v>100</v>
      </c>
      <c r="D1856" t="s">
        <v>200</v>
      </c>
      <c r="E1856" s="2">
        <v>2413.87</v>
      </c>
      <c r="F1856">
        <v>7</v>
      </c>
    </row>
    <row r="1857" spans="1:6">
      <c r="A1857" t="s">
        <v>70</v>
      </c>
      <c r="B1857" t="s">
        <v>25</v>
      </c>
      <c r="C1857" t="s">
        <v>60</v>
      </c>
      <c r="D1857" s="1">
        <v>45142</v>
      </c>
      <c r="E1857" s="2">
        <v>1445.14</v>
      </c>
      <c r="F1857">
        <v>108</v>
      </c>
    </row>
    <row r="1858" spans="1:6">
      <c r="A1858" t="s">
        <v>79</v>
      </c>
      <c r="B1858" t="s">
        <v>15</v>
      </c>
      <c r="C1858" t="s">
        <v>87</v>
      </c>
      <c r="D1858" s="1">
        <v>45113</v>
      </c>
      <c r="E1858" s="2">
        <v>4022.64</v>
      </c>
      <c r="F1858">
        <v>71</v>
      </c>
    </row>
    <row r="1859" spans="1:6">
      <c r="A1859" t="s">
        <v>31</v>
      </c>
      <c r="B1859" t="s">
        <v>15</v>
      </c>
      <c r="C1859" t="s">
        <v>11</v>
      </c>
      <c r="D1859" s="1">
        <v>45201</v>
      </c>
      <c r="E1859" s="2">
        <v>8651.2000000000007</v>
      </c>
      <c r="F1859">
        <v>43</v>
      </c>
    </row>
    <row r="1860" spans="1:6">
      <c r="A1860" t="s">
        <v>41</v>
      </c>
      <c r="B1860" t="s">
        <v>15</v>
      </c>
      <c r="C1860" t="s">
        <v>26</v>
      </c>
      <c r="D1860" t="s">
        <v>192</v>
      </c>
      <c r="E1860" s="2">
        <v>725.16</v>
      </c>
      <c r="F1860">
        <v>453</v>
      </c>
    </row>
    <row r="1861" spans="1:6">
      <c r="A1861" t="s">
        <v>22</v>
      </c>
      <c r="B1861" t="s">
        <v>10</v>
      </c>
      <c r="C1861" t="s">
        <v>87</v>
      </c>
      <c r="D1861" t="s">
        <v>236</v>
      </c>
      <c r="E1861" s="2">
        <v>2385.4</v>
      </c>
      <c r="F1861">
        <v>540</v>
      </c>
    </row>
    <row r="1862" spans="1:6">
      <c r="A1862" t="s">
        <v>9</v>
      </c>
      <c r="B1862" t="s">
        <v>15</v>
      </c>
      <c r="C1862" t="s">
        <v>26</v>
      </c>
      <c r="D1862" t="s">
        <v>198</v>
      </c>
      <c r="E1862" s="2">
        <v>726.04</v>
      </c>
      <c r="F1862">
        <v>131</v>
      </c>
    </row>
    <row r="1863" spans="1:6">
      <c r="A1863" t="s">
        <v>19</v>
      </c>
      <c r="B1863" t="s">
        <v>32</v>
      </c>
      <c r="C1863" t="s">
        <v>60</v>
      </c>
      <c r="D1863" t="s">
        <v>216</v>
      </c>
      <c r="E1863" s="2">
        <v>4742.3500000000004</v>
      </c>
      <c r="F1863">
        <v>83</v>
      </c>
    </row>
    <row r="1864" spans="1:6">
      <c r="A1864" t="s">
        <v>9</v>
      </c>
      <c r="B1864" t="s">
        <v>35</v>
      </c>
      <c r="C1864" t="s">
        <v>75</v>
      </c>
      <c r="D1864" t="s">
        <v>240</v>
      </c>
      <c r="E1864" s="2">
        <v>2556.96</v>
      </c>
      <c r="F1864">
        <v>312</v>
      </c>
    </row>
    <row r="1865" spans="1:6">
      <c r="A1865" t="s">
        <v>37</v>
      </c>
      <c r="B1865" t="s">
        <v>35</v>
      </c>
      <c r="C1865" t="s">
        <v>100</v>
      </c>
      <c r="D1865" t="s">
        <v>246</v>
      </c>
      <c r="E1865" s="2">
        <v>8376.69</v>
      </c>
      <c r="F1865">
        <v>646</v>
      </c>
    </row>
    <row r="1866" spans="1:6">
      <c r="A1866" t="s">
        <v>70</v>
      </c>
      <c r="B1866" t="s">
        <v>35</v>
      </c>
      <c r="C1866" t="s">
        <v>57</v>
      </c>
      <c r="D1866" t="s">
        <v>196</v>
      </c>
      <c r="E1866" s="2">
        <v>840.71</v>
      </c>
      <c r="F1866">
        <v>162</v>
      </c>
    </row>
    <row r="1867" spans="1:6">
      <c r="A1867" t="s">
        <v>71</v>
      </c>
      <c r="B1867" t="s">
        <v>10</v>
      </c>
      <c r="C1867" t="s">
        <v>20</v>
      </c>
      <c r="D1867" s="1">
        <v>44965</v>
      </c>
      <c r="E1867" s="2">
        <v>207.87</v>
      </c>
      <c r="F1867">
        <v>216</v>
      </c>
    </row>
    <row r="1868" spans="1:6">
      <c r="A1868" t="s">
        <v>77</v>
      </c>
      <c r="B1868" t="s">
        <v>25</v>
      </c>
      <c r="C1868" t="s">
        <v>100</v>
      </c>
      <c r="D1868" t="s">
        <v>228</v>
      </c>
      <c r="E1868" s="2">
        <v>13370.34</v>
      </c>
      <c r="F1868">
        <v>94</v>
      </c>
    </row>
    <row r="1869" spans="1:6">
      <c r="A1869" t="s">
        <v>34</v>
      </c>
      <c r="B1869" t="s">
        <v>25</v>
      </c>
      <c r="C1869" t="s">
        <v>33</v>
      </c>
      <c r="D1869" s="1">
        <v>44928</v>
      </c>
      <c r="E1869" s="2">
        <v>6811.37</v>
      </c>
      <c r="F1869">
        <v>25</v>
      </c>
    </row>
    <row r="1870" spans="1:6">
      <c r="A1870" t="s">
        <v>14</v>
      </c>
      <c r="B1870" t="s">
        <v>35</v>
      </c>
      <c r="C1870" t="s">
        <v>100</v>
      </c>
      <c r="D1870" t="s">
        <v>170</v>
      </c>
      <c r="E1870" s="2">
        <v>6096.52</v>
      </c>
      <c r="F1870">
        <v>300</v>
      </c>
    </row>
    <row r="1871" spans="1:6">
      <c r="A1871" t="s">
        <v>70</v>
      </c>
      <c r="B1871" t="s">
        <v>15</v>
      </c>
      <c r="C1871" t="s">
        <v>46</v>
      </c>
      <c r="D1871" t="s">
        <v>163</v>
      </c>
      <c r="E1871" s="2">
        <v>8684.58</v>
      </c>
      <c r="F1871">
        <v>120</v>
      </c>
    </row>
    <row r="1872" spans="1:6">
      <c r="A1872" t="s">
        <v>58</v>
      </c>
      <c r="B1872" t="s">
        <v>10</v>
      </c>
      <c r="C1872" t="s">
        <v>33</v>
      </c>
      <c r="D1872" t="s">
        <v>236</v>
      </c>
      <c r="E1872" s="2">
        <v>873.26</v>
      </c>
      <c r="F1872">
        <v>140</v>
      </c>
    </row>
    <row r="1873" spans="1:6">
      <c r="A1873" t="s">
        <v>53</v>
      </c>
      <c r="B1873" t="s">
        <v>7</v>
      </c>
      <c r="C1873" t="s">
        <v>36</v>
      </c>
      <c r="D1873" t="s">
        <v>243</v>
      </c>
      <c r="E1873" s="2">
        <v>1912.66</v>
      </c>
      <c r="F1873">
        <v>253</v>
      </c>
    </row>
    <row r="1874" spans="1:6">
      <c r="A1874" t="s">
        <v>12</v>
      </c>
      <c r="B1874" t="s">
        <v>32</v>
      </c>
      <c r="C1874" t="s">
        <v>13</v>
      </c>
      <c r="D1874" s="1">
        <v>45174</v>
      </c>
      <c r="E1874" s="2">
        <v>321.61</v>
      </c>
      <c r="F1874">
        <v>76</v>
      </c>
    </row>
    <row r="1875" spans="1:6">
      <c r="A1875" t="s">
        <v>64</v>
      </c>
      <c r="B1875" t="s">
        <v>32</v>
      </c>
      <c r="C1875" t="s">
        <v>18</v>
      </c>
      <c r="D1875" t="s">
        <v>218</v>
      </c>
      <c r="E1875" s="2">
        <v>511.12</v>
      </c>
      <c r="F1875">
        <v>96</v>
      </c>
    </row>
    <row r="1876" spans="1:6">
      <c r="A1876" t="s">
        <v>48</v>
      </c>
      <c r="B1876" t="s">
        <v>10</v>
      </c>
      <c r="C1876" t="s">
        <v>59</v>
      </c>
      <c r="D1876" s="1">
        <v>45023</v>
      </c>
      <c r="E1876" s="2">
        <v>7887.15</v>
      </c>
      <c r="F1876">
        <v>335</v>
      </c>
    </row>
    <row r="1877" spans="1:6">
      <c r="A1877" t="s">
        <v>19</v>
      </c>
      <c r="B1877" t="s">
        <v>25</v>
      </c>
      <c r="C1877" t="s">
        <v>50</v>
      </c>
      <c r="D1877" s="1">
        <v>44991</v>
      </c>
      <c r="E1877" s="2">
        <v>1793.67</v>
      </c>
      <c r="F1877">
        <v>13</v>
      </c>
    </row>
    <row r="1878" spans="1:6">
      <c r="A1878" t="s">
        <v>41</v>
      </c>
      <c r="B1878" t="s">
        <v>25</v>
      </c>
      <c r="C1878" t="s">
        <v>13</v>
      </c>
      <c r="D1878" t="s">
        <v>185</v>
      </c>
      <c r="E1878" s="2">
        <v>12129.42</v>
      </c>
      <c r="F1878">
        <v>29</v>
      </c>
    </row>
    <row r="1879" spans="1:6">
      <c r="A1879" t="s">
        <v>79</v>
      </c>
      <c r="B1879" t="s">
        <v>25</v>
      </c>
      <c r="C1879" t="s">
        <v>20</v>
      </c>
      <c r="D1879" s="1">
        <v>45174</v>
      </c>
      <c r="E1879" s="2">
        <v>11749.75</v>
      </c>
      <c r="F1879">
        <v>213</v>
      </c>
    </row>
    <row r="1880" spans="1:6">
      <c r="A1880" t="s">
        <v>70</v>
      </c>
      <c r="B1880" t="s">
        <v>10</v>
      </c>
      <c r="C1880" t="s">
        <v>100</v>
      </c>
      <c r="D1880" s="1">
        <v>45083</v>
      </c>
      <c r="E1880" s="2">
        <v>3967.25</v>
      </c>
      <c r="F1880">
        <v>101</v>
      </c>
    </row>
    <row r="1881" spans="1:6">
      <c r="A1881" t="s">
        <v>70</v>
      </c>
      <c r="B1881" t="s">
        <v>10</v>
      </c>
      <c r="C1881" t="s">
        <v>38</v>
      </c>
      <c r="D1881" s="1">
        <v>45023</v>
      </c>
      <c r="E1881" s="2">
        <v>8105.37</v>
      </c>
      <c r="F1881">
        <v>255</v>
      </c>
    </row>
    <row r="1882" spans="1:6">
      <c r="A1882" t="s">
        <v>28</v>
      </c>
      <c r="B1882" t="s">
        <v>25</v>
      </c>
      <c r="C1882" t="s">
        <v>38</v>
      </c>
      <c r="D1882" s="1">
        <v>45083</v>
      </c>
      <c r="E1882" s="2">
        <v>1614.17</v>
      </c>
      <c r="F1882">
        <v>106</v>
      </c>
    </row>
    <row r="1883" spans="1:6">
      <c r="A1883" t="s">
        <v>79</v>
      </c>
      <c r="B1883" t="s">
        <v>15</v>
      </c>
      <c r="C1883" t="s">
        <v>65</v>
      </c>
      <c r="D1883" t="s">
        <v>233</v>
      </c>
      <c r="E1883" s="2">
        <v>1613.3</v>
      </c>
      <c r="F1883">
        <v>91</v>
      </c>
    </row>
    <row r="1884" spans="1:6">
      <c r="A1884" t="s">
        <v>64</v>
      </c>
      <c r="B1884" t="s">
        <v>25</v>
      </c>
      <c r="C1884" t="s">
        <v>42</v>
      </c>
      <c r="D1884" t="s">
        <v>200</v>
      </c>
      <c r="E1884" s="2">
        <v>2155.64</v>
      </c>
      <c r="F1884">
        <v>281</v>
      </c>
    </row>
    <row r="1885" spans="1:6">
      <c r="A1885" t="s">
        <v>83</v>
      </c>
      <c r="B1885" t="s">
        <v>25</v>
      </c>
      <c r="C1885" t="s">
        <v>90</v>
      </c>
      <c r="D1885" t="s">
        <v>180</v>
      </c>
      <c r="E1885" s="2">
        <v>8184.37</v>
      </c>
      <c r="F1885">
        <v>43</v>
      </c>
    </row>
    <row r="1886" spans="1:6">
      <c r="A1886" t="s">
        <v>31</v>
      </c>
      <c r="B1886" t="s">
        <v>35</v>
      </c>
      <c r="C1886" t="s">
        <v>60</v>
      </c>
      <c r="D1886" t="s">
        <v>206</v>
      </c>
      <c r="E1886" s="2">
        <v>3613.32</v>
      </c>
      <c r="F1886">
        <v>251</v>
      </c>
    </row>
    <row r="1887" spans="1:6">
      <c r="A1887" t="s">
        <v>12</v>
      </c>
      <c r="B1887" t="s">
        <v>25</v>
      </c>
      <c r="C1887" t="s">
        <v>18</v>
      </c>
      <c r="D1887" s="1">
        <v>45200</v>
      </c>
      <c r="E1887" s="2">
        <v>801.09</v>
      </c>
      <c r="F1887">
        <v>101</v>
      </c>
    </row>
    <row r="1888" spans="1:6">
      <c r="A1888" t="s">
        <v>28</v>
      </c>
      <c r="B1888" t="s">
        <v>32</v>
      </c>
      <c r="C1888" t="s">
        <v>60</v>
      </c>
      <c r="D1888" t="s">
        <v>186</v>
      </c>
      <c r="E1888" s="2">
        <v>2069.48</v>
      </c>
      <c r="F1888">
        <v>8</v>
      </c>
    </row>
    <row r="1889" spans="1:6">
      <c r="A1889" t="s">
        <v>45</v>
      </c>
      <c r="B1889" t="s">
        <v>25</v>
      </c>
      <c r="C1889" t="s">
        <v>11</v>
      </c>
      <c r="D1889" t="s">
        <v>195</v>
      </c>
      <c r="E1889" s="2">
        <v>5096.21</v>
      </c>
      <c r="F1889">
        <v>284</v>
      </c>
    </row>
    <row r="1890" spans="1:6">
      <c r="A1890" t="s">
        <v>19</v>
      </c>
      <c r="B1890" t="s">
        <v>7</v>
      </c>
      <c r="C1890" t="s">
        <v>18</v>
      </c>
      <c r="D1890" t="s">
        <v>229</v>
      </c>
      <c r="E1890" s="2">
        <v>10573.5</v>
      </c>
      <c r="F1890">
        <v>338</v>
      </c>
    </row>
    <row r="1891" spans="1:6">
      <c r="A1891" t="s">
        <v>19</v>
      </c>
      <c r="B1891" t="s">
        <v>7</v>
      </c>
      <c r="C1891" t="s">
        <v>73</v>
      </c>
      <c r="D1891" s="1">
        <v>45142</v>
      </c>
      <c r="E1891" s="2">
        <v>4611.37</v>
      </c>
      <c r="F1891">
        <v>322</v>
      </c>
    </row>
    <row r="1892" spans="1:6">
      <c r="A1892" t="s">
        <v>45</v>
      </c>
      <c r="B1892" t="s">
        <v>32</v>
      </c>
      <c r="C1892" t="s">
        <v>38</v>
      </c>
      <c r="D1892" t="s">
        <v>212</v>
      </c>
      <c r="E1892" s="2">
        <v>3288.77</v>
      </c>
      <c r="F1892">
        <v>148</v>
      </c>
    </row>
    <row r="1893" spans="1:6">
      <c r="A1893" t="s">
        <v>67</v>
      </c>
      <c r="B1893" t="s">
        <v>15</v>
      </c>
      <c r="C1893" t="s">
        <v>60</v>
      </c>
      <c r="D1893" t="s">
        <v>258</v>
      </c>
      <c r="E1893" s="2">
        <v>10883.13</v>
      </c>
      <c r="F1893">
        <v>394</v>
      </c>
    </row>
    <row r="1894" spans="1:6">
      <c r="A1894" t="s">
        <v>34</v>
      </c>
      <c r="B1894" t="s">
        <v>10</v>
      </c>
      <c r="C1894" t="s">
        <v>73</v>
      </c>
      <c r="D1894" s="1">
        <v>44960</v>
      </c>
      <c r="E1894" s="2">
        <v>1516.56</v>
      </c>
      <c r="F1894">
        <v>2</v>
      </c>
    </row>
    <row r="1895" spans="1:6">
      <c r="A1895" t="s">
        <v>6</v>
      </c>
      <c r="B1895" t="s">
        <v>32</v>
      </c>
      <c r="C1895" t="s">
        <v>33</v>
      </c>
      <c r="D1895" t="s">
        <v>168</v>
      </c>
      <c r="E1895" s="2">
        <v>391.33</v>
      </c>
      <c r="F1895">
        <v>184</v>
      </c>
    </row>
    <row r="1896" spans="1:6">
      <c r="A1896" t="s">
        <v>55</v>
      </c>
      <c r="B1896" t="s">
        <v>25</v>
      </c>
      <c r="C1896" t="s">
        <v>100</v>
      </c>
      <c r="D1896" t="s">
        <v>165</v>
      </c>
      <c r="E1896" s="2">
        <v>7969.08</v>
      </c>
      <c r="F1896">
        <v>38</v>
      </c>
    </row>
    <row r="1897" spans="1:6">
      <c r="A1897" t="s">
        <v>48</v>
      </c>
      <c r="B1897" t="s">
        <v>15</v>
      </c>
      <c r="C1897" t="s">
        <v>23</v>
      </c>
      <c r="D1897" s="1">
        <v>45238</v>
      </c>
      <c r="E1897" s="2">
        <v>63.71</v>
      </c>
      <c r="F1897">
        <v>109</v>
      </c>
    </row>
    <row r="1898" spans="1:6">
      <c r="A1898" t="s">
        <v>53</v>
      </c>
      <c r="B1898" t="s">
        <v>7</v>
      </c>
      <c r="C1898" t="s">
        <v>65</v>
      </c>
      <c r="D1898" t="s">
        <v>247</v>
      </c>
      <c r="E1898" s="2">
        <v>8832.33</v>
      </c>
      <c r="F1898">
        <v>175</v>
      </c>
    </row>
    <row r="1899" spans="1:6">
      <c r="A1899" t="s">
        <v>55</v>
      </c>
      <c r="B1899" t="s">
        <v>35</v>
      </c>
      <c r="C1899" t="s">
        <v>75</v>
      </c>
      <c r="D1899" t="s">
        <v>190</v>
      </c>
      <c r="E1899" s="2">
        <v>3542.19</v>
      </c>
      <c r="F1899">
        <v>180</v>
      </c>
    </row>
    <row r="1900" spans="1:6">
      <c r="A1900" t="s">
        <v>45</v>
      </c>
      <c r="B1900" t="s">
        <v>7</v>
      </c>
      <c r="C1900" t="s">
        <v>13</v>
      </c>
      <c r="D1900" t="s">
        <v>238</v>
      </c>
      <c r="E1900" s="2">
        <v>6052.07</v>
      </c>
      <c r="F1900">
        <v>173</v>
      </c>
    </row>
    <row r="1901" spans="1:6">
      <c r="A1901" t="s">
        <v>83</v>
      </c>
      <c r="B1901" t="s">
        <v>25</v>
      </c>
      <c r="C1901" t="s">
        <v>36</v>
      </c>
      <c r="D1901" s="1">
        <v>45020</v>
      </c>
      <c r="E1901" s="2">
        <v>543.20000000000005</v>
      </c>
      <c r="F1901">
        <v>54</v>
      </c>
    </row>
    <row r="1902" spans="1:6">
      <c r="A1902" t="s">
        <v>28</v>
      </c>
      <c r="B1902" t="s">
        <v>10</v>
      </c>
      <c r="C1902" t="s">
        <v>11</v>
      </c>
      <c r="D1902" s="1">
        <v>45177</v>
      </c>
      <c r="E1902" s="2">
        <v>18894.919999999998</v>
      </c>
      <c r="F1902">
        <v>201</v>
      </c>
    </row>
    <row r="1903" spans="1:6">
      <c r="A1903" t="s">
        <v>28</v>
      </c>
      <c r="B1903" t="s">
        <v>25</v>
      </c>
      <c r="C1903" t="s">
        <v>42</v>
      </c>
      <c r="D1903" t="s">
        <v>255</v>
      </c>
      <c r="E1903" s="2">
        <v>689.4</v>
      </c>
      <c r="F1903">
        <v>331</v>
      </c>
    </row>
    <row r="1904" spans="1:6">
      <c r="A1904" t="s">
        <v>67</v>
      </c>
      <c r="B1904" t="s">
        <v>35</v>
      </c>
      <c r="C1904" t="s">
        <v>59</v>
      </c>
      <c r="D1904" t="s">
        <v>170</v>
      </c>
      <c r="E1904" s="2">
        <v>4435.95</v>
      </c>
      <c r="F1904">
        <v>31</v>
      </c>
    </row>
    <row r="1905" spans="1:6">
      <c r="A1905" t="s">
        <v>12</v>
      </c>
      <c r="B1905" t="s">
        <v>25</v>
      </c>
      <c r="C1905" t="s">
        <v>33</v>
      </c>
      <c r="D1905" t="s">
        <v>192</v>
      </c>
      <c r="E1905" s="2">
        <v>9111.34</v>
      </c>
      <c r="F1905">
        <v>324</v>
      </c>
    </row>
    <row r="1906" spans="1:6">
      <c r="A1906" t="s">
        <v>83</v>
      </c>
      <c r="B1906" t="s">
        <v>35</v>
      </c>
      <c r="C1906" t="s">
        <v>18</v>
      </c>
      <c r="D1906" t="s">
        <v>211</v>
      </c>
      <c r="E1906" s="2">
        <v>10369.709999999999</v>
      </c>
      <c r="F1906">
        <v>129</v>
      </c>
    </row>
    <row r="1907" spans="1:6">
      <c r="A1907" t="s">
        <v>53</v>
      </c>
      <c r="B1907" t="s">
        <v>35</v>
      </c>
      <c r="C1907" t="s">
        <v>100</v>
      </c>
      <c r="D1907" t="s">
        <v>200</v>
      </c>
      <c r="E1907" s="2">
        <v>5833.2</v>
      </c>
      <c r="F1907">
        <v>290</v>
      </c>
    </row>
    <row r="1908" spans="1:6">
      <c r="A1908" t="s">
        <v>31</v>
      </c>
      <c r="B1908" t="s">
        <v>35</v>
      </c>
      <c r="C1908" t="s">
        <v>42</v>
      </c>
      <c r="D1908" s="1">
        <v>45202</v>
      </c>
      <c r="E1908" s="2">
        <v>1229.96</v>
      </c>
      <c r="F1908">
        <v>219</v>
      </c>
    </row>
    <row r="1909" spans="1:6">
      <c r="A1909" t="s">
        <v>19</v>
      </c>
      <c r="B1909" t="s">
        <v>7</v>
      </c>
      <c r="C1909" t="s">
        <v>42</v>
      </c>
      <c r="D1909" t="s">
        <v>180</v>
      </c>
      <c r="E1909" s="2">
        <v>8839.7199999999993</v>
      </c>
      <c r="F1909">
        <v>170</v>
      </c>
    </row>
    <row r="1910" spans="1:6">
      <c r="A1910" t="s">
        <v>9</v>
      </c>
      <c r="B1910" t="s">
        <v>25</v>
      </c>
      <c r="C1910" t="s">
        <v>36</v>
      </c>
      <c r="D1910" s="1">
        <v>44929</v>
      </c>
      <c r="E1910" s="2">
        <v>5747.66</v>
      </c>
      <c r="F1910">
        <v>176</v>
      </c>
    </row>
    <row r="1911" spans="1:6">
      <c r="A1911" t="s">
        <v>34</v>
      </c>
      <c r="B1911" t="s">
        <v>7</v>
      </c>
      <c r="C1911" t="s">
        <v>38</v>
      </c>
      <c r="D1911" t="s">
        <v>194</v>
      </c>
      <c r="E1911" s="2">
        <v>3666.04</v>
      </c>
      <c r="F1911">
        <v>107</v>
      </c>
    </row>
    <row r="1912" spans="1:6">
      <c r="A1912" t="s">
        <v>19</v>
      </c>
      <c r="B1912" t="s">
        <v>7</v>
      </c>
      <c r="C1912" t="s">
        <v>46</v>
      </c>
      <c r="D1912" s="1">
        <v>45237</v>
      </c>
      <c r="E1912" s="2">
        <v>6853.82</v>
      </c>
      <c r="F1912">
        <v>220</v>
      </c>
    </row>
    <row r="1913" spans="1:6">
      <c r="A1913" t="s">
        <v>37</v>
      </c>
      <c r="B1913" t="s">
        <v>25</v>
      </c>
      <c r="C1913" t="s">
        <v>8</v>
      </c>
      <c r="D1913" s="1">
        <v>44960</v>
      </c>
      <c r="E1913" s="2">
        <v>4361.01</v>
      </c>
      <c r="F1913">
        <v>59</v>
      </c>
    </row>
    <row r="1914" spans="1:6">
      <c r="A1914" t="s">
        <v>6</v>
      </c>
      <c r="B1914" t="s">
        <v>32</v>
      </c>
      <c r="C1914" t="s">
        <v>73</v>
      </c>
      <c r="D1914" s="1">
        <v>45019</v>
      </c>
      <c r="E1914" s="2">
        <v>7686.15</v>
      </c>
      <c r="F1914">
        <v>141</v>
      </c>
    </row>
    <row r="1915" spans="1:6">
      <c r="A1915" t="s">
        <v>70</v>
      </c>
      <c r="B1915" t="s">
        <v>7</v>
      </c>
      <c r="C1915" t="s">
        <v>11</v>
      </c>
      <c r="D1915" t="s">
        <v>245</v>
      </c>
      <c r="E1915" s="2">
        <v>4188.43</v>
      </c>
      <c r="F1915">
        <v>235</v>
      </c>
    </row>
    <row r="1916" spans="1:6">
      <c r="A1916" t="s">
        <v>70</v>
      </c>
      <c r="B1916" t="s">
        <v>32</v>
      </c>
      <c r="C1916" t="s">
        <v>65</v>
      </c>
      <c r="D1916" t="s">
        <v>199</v>
      </c>
      <c r="E1916" s="2">
        <v>5425.24</v>
      </c>
      <c r="F1916">
        <v>234</v>
      </c>
    </row>
    <row r="1917" spans="1:6">
      <c r="A1917" t="s">
        <v>40</v>
      </c>
      <c r="B1917" t="s">
        <v>35</v>
      </c>
      <c r="C1917" t="s">
        <v>33</v>
      </c>
      <c r="D1917" t="s">
        <v>225</v>
      </c>
      <c r="E1917" s="2">
        <v>2896.97</v>
      </c>
      <c r="F1917">
        <v>456</v>
      </c>
    </row>
    <row r="1918" spans="1:6">
      <c r="A1918" t="s">
        <v>58</v>
      </c>
      <c r="B1918" t="s">
        <v>10</v>
      </c>
      <c r="C1918" t="s">
        <v>57</v>
      </c>
      <c r="D1918" t="s">
        <v>223</v>
      </c>
      <c r="E1918" s="2">
        <v>1071.31</v>
      </c>
      <c r="F1918">
        <v>23</v>
      </c>
    </row>
    <row r="1919" spans="1:6">
      <c r="A1919" t="s">
        <v>28</v>
      </c>
      <c r="B1919" t="s">
        <v>35</v>
      </c>
      <c r="C1919" t="s">
        <v>18</v>
      </c>
      <c r="D1919" t="s">
        <v>233</v>
      </c>
      <c r="E1919" s="2">
        <v>6417.05</v>
      </c>
      <c r="F1919">
        <v>497</v>
      </c>
    </row>
    <row r="1920" spans="1:6">
      <c r="A1920" t="s">
        <v>31</v>
      </c>
      <c r="B1920" t="s">
        <v>35</v>
      </c>
      <c r="C1920" t="s">
        <v>87</v>
      </c>
      <c r="D1920" s="1">
        <v>44987</v>
      </c>
      <c r="E1920" s="2">
        <v>10967.31</v>
      </c>
      <c r="F1920">
        <v>172</v>
      </c>
    </row>
    <row r="1921" spans="1:6">
      <c r="A1921" t="s">
        <v>28</v>
      </c>
      <c r="B1921" t="s">
        <v>10</v>
      </c>
      <c r="C1921" t="s">
        <v>18</v>
      </c>
      <c r="D1921" t="s">
        <v>194</v>
      </c>
      <c r="E1921" s="2">
        <v>6345.02</v>
      </c>
      <c r="F1921">
        <v>28</v>
      </c>
    </row>
    <row r="1922" spans="1:6">
      <c r="A1922" t="s">
        <v>14</v>
      </c>
      <c r="B1922" t="s">
        <v>15</v>
      </c>
      <c r="C1922" t="s">
        <v>38</v>
      </c>
      <c r="D1922" t="s">
        <v>260</v>
      </c>
      <c r="E1922" s="2">
        <v>2824.71</v>
      </c>
      <c r="F1922">
        <v>25</v>
      </c>
    </row>
    <row r="1923" spans="1:6">
      <c r="A1923" t="s">
        <v>28</v>
      </c>
      <c r="B1923" t="s">
        <v>10</v>
      </c>
      <c r="C1923" t="s">
        <v>50</v>
      </c>
      <c r="D1923" t="s">
        <v>210</v>
      </c>
      <c r="E1923" s="2">
        <v>1463.67</v>
      </c>
      <c r="F1923">
        <v>34</v>
      </c>
    </row>
    <row r="1924" spans="1:6">
      <c r="A1924" t="s">
        <v>9</v>
      </c>
      <c r="B1924" t="s">
        <v>7</v>
      </c>
      <c r="C1924" t="s">
        <v>36</v>
      </c>
      <c r="D1924" t="s">
        <v>179</v>
      </c>
      <c r="E1924" s="2">
        <v>5856.52</v>
      </c>
      <c r="F1924">
        <v>115</v>
      </c>
    </row>
    <row r="1925" spans="1:6">
      <c r="A1925" t="s">
        <v>64</v>
      </c>
      <c r="B1925" t="s">
        <v>10</v>
      </c>
      <c r="C1925" t="s">
        <v>90</v>
      </c>
      <c r="D1925" t="s">
        <v>167</v>
      </c>
      <c r="E1925" s="2">
        <v>4303.8599999999997</v>
      </c>
      <c r="F1925">
        <v>282</v>
      </c>
    </row>
    <row r="1926" spans="1:6">
      <c r="A1926" t="s">
        <v>6</v>
      </c>
      <c r="B1926" t="s">
        <v>7</v>
      </c>
      <c r="C1926" t="s">
        <v>23</v>
      </c>
      <c r="D1926" t="s">
        <v>172</v>
      </c>
      <c r="E1926" s="2">
        <v>2047.77</v>
      </c>
      <c r="F1926">
        <v>169</v>
      </c>
    </row>
    <row r="1927" spans="1:6">
      <c r="A1927" t="s">
        <v>31</v>
      </c>
      <c r="B1927" t="s">
        <v>35</v>
      </c>
      <c r="C1927" t="s">
        <v>59</v>
      </c>
      <c r="D1927" t="s">
        <v>221</v>
      </c>
      <c r="E1927" s="2">
        <v>4692.3599999999997</v>
      </c>
      <c r="F1927">
        <v>1</v>
      </c>
    </row>
    <row r="1928" spans="1:6">
      <c r="A1928" t="s">
        <v>22</v>
      </c>
      <c r="B1928" t="s">
        <v>10</v>
      </c>
      <c r="C1928" t="s">
        <v>42</v>
      </c>
      <c r="D1928" s="1">
        <v>44991</v>
      </c>
      <c r="E1928" s="2">
        <v>7302.42</v>
      </c>
      <c r="F1928">
        <v>153</v>
      </c>
    </row>
    <row r="1929" spans="1:6">
      <c r="A1929" t="s">
        <v>34</v>
      </c>
      <c r="B1929" t="s">
        <v>35</v>
      </c>
      <c r="C1929" t="s">
        <v>18</v>
      </c>
      <c r="D1929" t="s">
        <v>251</v>
      </c>
      <c r="E1929" s="2">
        <v>2056.92</v>
      </c>
      <c r="F1929">
        <v>103</v>
      </c>
    </row>
    <row r="1930" spans="1:6">
      <c r="A1930" t="s">
        <v>34</v>
      </c>
      <c r="B1930" t="s">
        <v>10</v>
      </c>
      <c r="C1930" t="s">
        <v>36</v>
      </c>
      <c r="D1930" s="1">
        <v>45264</v>
      </c>
      <c r="E1930" s="2">
        <v>11032.79</v>
      </c>
      <c r="F1930">
        <v>49</v>
      </c>
    </row>
    <row r="1931" spans="1:6">
      <c r="A1931" t="s">
        <v>29</v>
      </c>
      <c r="B1931" t="s">
        <v>15</v>
      </c>
      <c r="C1931" t="s">
        <v>73</v>
      </c>
      <c r="D1931" t="s">
        <v>208</v>
      </c>
      <c r="E1931" s="2">
        <v>7773.64</v>
      </c>
      <c r="F1931">
        <v>247</v>
      </c>
    </row>
    <row r="1932" spans="1:6">
      <c r="A1932" t="s">
        <v>37</v>
      </c>
      <c r="B1932" t="s">
        <v>7</v>
      </c>
      <c r="C1932" t="s">
        <v>26</v>
      </c>
      <c r="D1932" s="1">
        <v>45081</v>
      </c>
      <c r="E1932" s="2">
        <v>3843.01</v>
      </c>
      <c r="F1932">
        <v>295</v>
      </c>
    </row>
    <row r="1933" spans="1:6">
      <c r="A1933" t="s">
        <v>55</v>
      </c>
      <c r="B1933" t="s">
        <v>15</v>
      </c>
      <c r="C1933" t="s">
        <v>26</v>
      </c>
      <c r="D1933" s="1">
        <v>44965</v>
      </c>
      <c r="E1933" s="2">
        <v>9163.7900000000009</v>
      </c>
      <c r="F1933">
        <v>81</v>
      </c>
    </row>
    <row r="1934" spans="1:6">
      <c r="A1934" t="s">
        <v>12</v>
      </c>
      <c r="B1934" t="s">
        <v>15</v>
      </c>
      <c r="C1934" t="s">
        <v>36</v>
      </c>
      <c r="D1934" s="1">
        <v>45264</v>
      </c>
      <c r="E1934" s="2">
        <v>7628.59</v>
      </c>
      <c r="F1934">
        <v>146</v>
      </c>
    </row>
    <row r="1935" spans="1:6">
      <c r="A1935" t="s">
        <v>19</v>
      </c>
      <c r="B1935" t="s">
        <v>10</v>
      </c>
      <c r="C1935" t="s">
        <v>38</v>
      </c>
      <c r="D1935" t="s">
        <v>244</v>
      </c>
      <c r="E1935" s="2">
        <v>18220.59</v>
      </c>
      <c r="F1935">
        <v>139</v>
      </c>
    </row>
    <row r="1936" spans="1:6">
      <c r="A1936" t="s">
        <v>9</v>
      </c>
      <c r="B1936" t="s">
        <v>25</v>
      </c>
      <c r="C1936" t="s">
        <v>87</v>
      </c>
      <c r="D1936" t="s">
        <v>242</v>
      </c>
      <c r="E1936" s="2">
        <v>9828.94</v>
      </c>
      <c r="F1936">
        <v>24</v>
      </c>
    </row>
    <row r="1937" spans="1:6">
      <c r="A1937" t="s">
        <v>53</v>
      </c>
      <c r="B1937" t="s">
        <v>10</v>
      </c>
      <c r="C1937" t="s">
        <v>13</v>
      </c>
      <c r="D1937" s="1">
        <v>45174</v>
      </c>
      <c r="E1937" s="2">
        <v>4726.6499999999996</v>
      </c>
      <c r="F1937">
        <v>5</v>
      </c>
    </row>
    <row r="1938" spans="1:6">
      <c r="A1938" t="s">
        <v>67</v>
      </c>
      <c r="B1938" t="s">
        <v>15</v>
      </c>
      <c r="C1938" t="s">
        <v>87</v>
      </c>
      <c r="D1938" s="1">
        <v>45177</v>
      </c>
      <c r="E1938" s="2">
        <v>344.82</v>
      </c>
      <c r="F1938">
        <v>118</v>
      </c>
    </row>
    <row r="1939" spans="1:6">
      <c r="A1939" t="s">
        <v>77</v>
      </c>
      <c r="B1939" t="s">
        <v>35</v>
      </c>
      <c r="C1939" t="s">
        <v>75</v>
      </c>
      <c r="D1939" t="s">
        <v>261</v>
      </c>
      <c r="E1939" s="2">
        <v>3451.24</v>
      </c>
      <c r="F1939">
        <v>283</v>
      </c>
    </row>
    <row r="1940" spans="1:6">
      <c r="A1940" t="s">
        <v>28</v>
      </c>
      <c r="B1940" t="s">
        <v>10</v>
      </c>
      <c r="C1940" t="s">
        <v>100</v>
      </c>
      <c r="D1940" t="s">
        <v>195</v>
      </c>
      <c r="E1940" s="2">
        <v>5071.49</v>
      </c>
      <c r="F1940">
        <v>439</v>
      </c>
    </row>
    <row r="1941" spans="1:6">
      <c r="A1941" t="s">
        <v>6</v>
      </c>
      <c r="B1941" t="s">
        <v>35</v>
      </c>
      <c r="C1941" t="s">
        <v>59</v>
      </c>
      <c r="D1941" t="s">
        <v>164</v>
      </c>
      <c r="E1941" s="2">
        <v>4719.38</v>
      </c>
      <c r="F1941">
        <v>132</v>
      </c>
    </row>
    <row r="1942" spans="1:6">
      <c r="A1942" t="s">
        <v>67</v>
      </c>
      <c r="B1942" t="s">
        <v>15</v>
      </c>
      <c r="C1942" t="s">
        <v>65</v>
      </c>
      <c r="D1942" t="s">
        <v>217</v>
      </c>
      <c r="E1942" s="2">
        <v>3430.58</v>
      </c>
      <c r="F1942">
        <v>174</v>
      </c>
    </row>
    <row r="1943" spans="1:6">
      <c r="A1943" t="s">
        <v>79</v>
      </c>
      <c r="B1943" t="s">
        <v>35</v>
      </c>
      <c r="C1943" t="s">
        <v>23</v>
      </c>
      <c r="D1943" t="s">
        <v>255</v>
      </c>
      <c r="E1943" s="2">
        <v>268.3</v>
      </c>
      <c r="F1943">
        <v>239</v>
      </c>
    </row>
    <row r="1944" spans="1:6">
      <c r="A1944" t="s">
        <v>37</v>
      </c>
      <c r="B1944" t="s">
        <v>32</v>
      </c>
      <c r="C1944" t="s">
        <v>36</v>
      </c>
      <c r="D1944" t="s">
        <v>215</v>
      </c>
      <c r="E1944" s="2">
        <v>991.46</v>
      </c>
      <c r="F1944">
        <v>133</v>
      </c>
    </row>
    <row r="1945" spans="1:6">
      <c r="A1945" t="s">
        <v>37</v>
      </c>
      <c r="B1945" t="s">
        <v>35</v>
      </c>
      <c r="C1945" t="s">
        <v>57</v>
      </c>
      <c r="D1945" s="1">
        <v>44963</v>
      </c>
      <c r="E1945" s="2">
        <v>213.45</v>
      </c>
      <c r="F1945">
        <v>17</v>
      </c>
    </row>
    <row r="1946" spans="1:6">
      <c r="A1946" t="s">
        <v>22</v>
      </c>
      <c r="B1946" t="s">
        <v>32</v>
      </c>
      <c r="C1946" t="s">
        <v>11</v>
      </c>
      <c r="D1946" t="s">
        <v>180</v>
      </c>
      <c r="E1946" s="2">
        <v>7586.38</v>
      </c>
      <c r="F1946">
        <v>131</v>
      </c>
    </row>
    <row r="1947" spans="1:6">
      <c r="A1947" t="s">
        <v>79</v>
      </c>
      <c r="B1947" t="s">
        <v>25</v>
      </c>
      <c r="C1947" t="s">
        <v>73</v>
      </c>
      <c r="D1947" s="1">
        <v>45201</v>
      </c>
      <c r="E1947" s="2">
        <v>6192.19</v>
      </c>
      <c r="F1947">
        <v>99</v>
      </c>
    </row>
    <row r="1948" spans="1:6">
      <c r="A1948" t="s">
        <v>40</v>
      </c>
      <c r="B1948" t="s">
        <v>35</v>
      </c>
      <c r="C1948" t="s">
        <v>90</v>
      </c>
      <c r="D1948" t="s">
        <v>185</v>
      </c>
      <c r="E1948" s="2">
        <v>1510.58</v>
      </c>
      <c r="F1948">
        <v>602</v>
      </c>
    </row>
    <row r="1949" spans="1:6">
      <c r="A1949" t="s">
        <v>58</v>
      </c>
      <c r="B1949" t="s">
        <v>10</v>
      </c>
      <c r="C1949" t="s">
        <v>42</v>
      </c>
      <c r="D1949" t="s">
        <v>199</v>
      </c>
      <c r="E1949" s="2">
        <v>8693.31</v>
      </c>
      <c r="F1949">
        <v>209</v>
      </c>
    </row>
    <row r="1950" spans="1:6">
      <c r="A1950" t="s">
        <v>71</v>
      </c>
      <c r="B1950" t="s">
        <v>7</v>
      </c>
      <c r="C1950" t="s">
        <v>8</v>
      </c>
      <c r="D1950" t="s">
        <v>193</v>
      </c>
      <c r="E1950" s="2">
        <v>5509.77</v>
      </c>
      <c r="F1950">
        <v>307</v>
      </c>
    </row>
    <row r="1951" spans="1:6">
      <c r="A1951" t="s">
        <v>28</v>
      </c>
      <c r="B1951" t="s">
        <v>32</v>
      </c>
      <c r="C1951" t="s">
        <v>100</v>
      </c>
      <c r="D1951" t="s">
        <v>195</v>
      </c>
      <c r="E1951" s="2">
        <v>1863.2</v>
      </c>
      <c r="F1951">
        <v>22</v>
      </c>
    </row>
    <row r="1952" spans="1:6">
      <c r="A1952" t="s">
        <v>77</v>
      </c>
      <c r="B1952" t="s">
        <v>15</v>
      </c>
      <c r="C1952" t="s">
        <v>20</v>
      </c>
      <c r="D1952" s="1">
        <v>44934</v>
      </c>
      <c r="E1952" s="2">
        <v>4822.5</v>
      </c>
      <c r="F1952">
        <v>159</v>
      </c>
    </row>
    <row r="1953" spans="1:6">
      <c r="A1953" t="s">
        <v>34</v>
      </c>
      <c r="B1953" t="s">
        <v>15</v>
      </c>
      <c r="C1953" t="s">
        <v>36</v>
      </c>
      <c r="D1953" t="s">
        <v>186</v>
      </c>
      <c r="E1953" s="2">
        <v>10856.55</v>
      </c>
      <c r="F1953">
        <v>229</v>
      </c>
    </row>
    <row r="1954" spans="1:6">
      <c r="A1954" t="s">
        <v>40</v>
      </c>
      <c r="B1954" t="s">
        <v>10</v>
      </c>
      <c r="C1954" t="s">
        <v>20</v>
      </c>
      <c r="D1954" t="s">
        <v>181</v>
      </c>
      <c r="E1954" s="2">
        <v>11252.11</v>
      </c>
      <c r="F1954">
        <v>159</v>
      </c>
    </row>
    <row r="1955" spans="1:6">
      <c r="A1955" t="s">
        <v>53</v>
      </c>
      <c r="B1955" t="s">
        <v>32</v>
      </c>
      <c r="C1955" t="s">
        <v>57</v>
      </c>
      <c r="D1955" t="s">
        <v>262</v>
      </c>
      <c r="E1955" s="2">
        <v>1387.72</v>
      </c>
      <c r="F1955">
        <v>27</v>
      </c>
    </row>
    <row r="1956" spans="1:6">
      <c r="A1956" t="s">
        <v>70</v>
      </c>
      <c r="B1956" t="s">
        <v>15</v>
      </c>
      <c r="C1956" t="s">
        <v>65</v>
      </c>
      <c r="D1956" t="s">
        <v>174</v>
      </c>
      <c r="E1956" s="2">
        <v>5509.22</v>
      </c>
      <c r="F1956">
        <v>341</v>
      </c>
    </row>
    <row r="1957" spans="1:6">
      <c r="A1957" t="s">
        <v>83</v>
      </c>
      <c r="B1957" t="s">
        <v>32</v>
      </c>
      <c r="C1957" t="s">
        <v>46</v>
      </c>
      <c r="D1957" t="s">
        <v>244</v>
      </c>
      <c r="E1957" s="2">
        <v>2444.25</v>
      </c>
      <c r="F1957">
        <v>155</v>
      </c>
    </row>
    <row r="1958" spans="1:6">
      <c r="A1958" t="s">
        <v>14</v>
      </c>
      <c r="B1958" t="s">
        <v>7</v>
      </c>
      <c r="C1958" t="s">
        <v>90</v>
      </c>
      <c r="D1958" s="1">
        <v>44965</v>
      </c>
      <c r="E1958" s="2">
        <v>3175.62</v>
      </c>
      <c r="F1958">
        <v>507</v>
      </c>
    </row>
    <row r="1959" spans="1:6">
      <c r="A1959" t="s">
        <v>28</v>
      </c>
      <c r="B1959" t="s">
        <v>25</v>
      </c>
      <c r="C1959" t="s">
        <v>100</v>
      </c>
      <c r="D1959" t="s">
        <v>177</v>
      </c>
      <c r="E1959" s="2">
        <v>7900.42</v>
      </c>
      <c r="F1959">
        <v>143</v>
      </c>
    </row>
    <row r="1960" spans="1:6">
      <c r="A1960" t="s">
        <v>19</v>
      </c>
      <c r="B1960" t="s">
        <v>10</v>
      </c>
      <c r="C1960" t="s">
        <v>11</v>
      </c>
      <c r="D1960" s="1">
        <v>45053</v>
      </c>
      <c r="E1960" s="2">
        <v>9072.4599999999991</v>
      </c>
      <c r="F1960">
        <v>142</v>
      </c>
    </row>
    <row r="1961" spans="1:6">
      <c r="A1961" t="s">
        <v>55</v>
      </c>
      <c r="B1961" t="s">
        <v>25</v>
      </c>
      <c r="C1961" t="s">
        <v>18</v>
      </c>
      <c r="D1961" s="1">
        <v>45264</v>
      </c>
      <c r="E1961" s="2">
        <v>8.06</v>
      </c>
      <c r="F1961">
        <v>513</v>
      </c>
    </row>
    <row r="1962" spans="1:6">
      <c r="A1962" t="s">
        <v>12</v>
      </c>
      <c r="B1962" t="s">
        <v>15</v>
      </c>
      <c r="C1962" t="s">
        <v>100</v>
      </c>
      <c r="D1962" t="s">
        <v>201</v>
      </c>
      <c r="E1962" s="2">
        <v>1548.54</v>
      </c>
      <c r="F1962">
        <v>104</v>
      </c>
    </row>
    <row r="1963" spans="1:6">
      <c r="A1963" t="s">
        <v>14</v>
      </c>
      <c r="B1963" t="s">
        <v>7</v>
      </c>
      <c r="C1963" t="s">
        <v>26</v>
      </c>
      <c r="D1963" s="1">
        <v>45261</v>
      </c>
      <c r="E1963" s="2">
        <v>5501.67</v>
      </c>
      <c r="F1963">
        <v>298</v>
      </c>
    </row>
    <row r="1964" spans="1:6">
      <c r="A1964" t="s">
        <v>22</v>
      </c>
      <c r="B1964" t="s">
        <v>35</v>
      </c>
      <c r="C1964" t="s">
        <v>59</v>
      </c>
      <c r="D1964" s="1">
        <v>45238</v>
      </c>
      <c r="E1964" s="2">
        <v>7685.42</v>
      </c>
      <c r="F1964">
        <v>15</v>
      </c>
    </row>
    <row r="1965" spans="1:6">
      <c r="A1965" t="s">
        <v>6</v>
      </c>
      <c r="B1965" t="s">
        <v>15</v>
      </c>
      <c r="C1965" t="s">
        <v>50</v>
      </c>
      <c r="D1965" t="s">
        <v>167</v>
      </c>
      <c r="E1965" s="2">
        <v>5147.7700000000004</v>
      </c>
      <c r="F1965">
        <v>402</v>
      </c>
    </row>
    <row r="1966" spans="1:6">
      <c r="A1966" t="s">
        <v>53</v>
      </c>
      <c r="B1966" t="s">
        <v>7</v>
      </c>
      <c r="C1966" t="s">
        <v>87</v>
      </c>
      <c r="D1966" t="s">
        <v>219</v>
      </c>
      <c r="E1966" s="2">
        <v>3070.43</v>
      </c>
      <c r="F1966">
        <v>143</v>
      </c>
    </row>
    <row r="1967" spans="1:6">
      <c r="A1967" t="s">
        <v>29</v>
      </c>
      <c r="B1967" t="s">
        <v>25</v>
      </c>
      <c r="C1967" t="s">
        <v>23</v>
      </c>
      <c r="D1967" s="1">
        <v>45114</v>
      </c>
      <c r="E1967" s="2">
        <v>1127.5</v>
      </c>
      <c r="F1967">
        <v>88</v>
      </c>
    </row>
    <row r="1968" spans="1:6">
      <c r="A1968" t="s">
        <v>77</v>
      </c>
      <c r="B1968" t="s">
        <v>25</v>
      </c>
      <c r="C1968" t="s">
        <v>8</v>
      </c>
      <c r="D1968" s="1">
        <v>45233</v>
      </c>
      <c r="E1968" s="2">
        <v>8502.77</v>
      </c>
      <c r="F1968">
        <v>4</v>
      </c>
    </row>
    <row r="1969" spans="1:6">
      <c r="A1969" t="s">
        <v>77</v>
      </c>
      <c r="B1969" t="s">
        <v>7</v>
      </c>
      <c r="C1969" t="s">
        <v>100</v>
      </c>
      <c r="D1969" t="s">
        <v>171</v>
      </c>
      <c r="E1969" s="2">
        <v>5961.02</v>
      </c>
      <c r="F1969">
        <v>241</v>
      </c>
    </row>
    <row r="1970" spans="1:6">
      <c r="A1970" t="s">
        <v>31</v>
      </c>
      <c r="B1970" t="s">
        <v>15</v>
      </c>
      <c r="C1970" t="s">
        <v>42</v>
      </c>
      <c r="D1970" s="1">
        <v>45108</v>
      </c>
      <c r="E1970" s="2">
        <v>2478.33</v>
      </c>
      <c r="F1970">
        <v>33</v>
      </c>
    </row>
    <row r="1971" spans="1:6">
      <c r="A1971" t="s">
        <v>41</v>
      </c>
      <c r="B1971" t="s">
        <v>25</v>
      </c>
      <c r="C1971" t="s">
        <v>38</v>
      </c>
      <c r="D1971" s="1">
        <v>45261</v>
      </c>
      <c r="E1971" s="2">
        <v>1269.56</v>
      </c>
      <c r="F1971">
        <v>497</v>
      </c>
    </row>
    <row r="1972" spans="1:6">
      <c r="A1972" t="s">
        <v>41</v>
      </c>
      <c r="B1972" t="s">
        <v>10</v>
      </c>
      <c r="C1972" t="s">
        <v>36</v>
      </c>
      <c r="D1972" s="1">
        <v>45175</v>
      </c>
      <c r="E1972" s="2">
        <v>11130.52</v>
      </c>
      <c r="F1972">
        <v>144</v>
      </c>
    </row>
    <row r="1973" spans="1:6">
      <c r="A1973" t="s">
        <v>67</v>
      </c>
      <c r="B1973" t="s">
        <v>10</v>
      </c>
      <c r="C1973" t="s">
        <v>36</v>
      </c>
      <c r="D1973" t="s">
        <v>192</v>
      </c>
      <c r="E1973" s="2">
        <v>2455.09</v>
      </c>
      <c r="F1973">
        <v>83</v>
      </c>
    </row>
    <row r="1974" spans="1:6">
      <c r="A1974" t="s">
        <v>12</v>
      </c>
      <c r="B1974" t="s">
        <v>7</v>
      </c>
      <c r="C1974" t="s">
        <v>11</v>
      </c>
      <c r="D1974" t="s">
        <v>245</v>
      </c>
      <c r="E1974" s="2">
        <v>12764.94</v>
      </c>
      <c r="F1974">
        <v>100</v>
      </c>
    </row>
    <row r="1975" spans="1:6">
      <c r="A1975" t="s">
        <v>45</v>
      </c>
      <c r="B1975" t="s">
        <v>7</v>
      </c>
      <c r="C1975" t="s">
        <v>73</v>
      </c>
      <c r="D1975" t="s">
        <v>210</v>
      </c>
      <c r="E1975" s="2">
        <v>13351.42</v>
      </c>
      <c r="F1975">
        <v>198</v>
      </c>
    </row>
    <row r="1976" spans="1:6">
      <c r="A1976" t="s">
        <v>79</v>
      </c>
      <c r="B1976" t="s">
        <v>7</v>
      </c>
      <c r="C1976" t="s">
        <v>8</v>
      </c>
      <c r="D1976" t="s">
        <v>263</v>
      </c>
      <c r="E1976" s="2">
        <v>2763.22</v>
      </c>
      <c r="F1976">
        <v>223</v>
      </c>
    </row>
    <row r="1977" spans="1:6">
      <c r="A1977" t="s">
        <v>31</v>
      </c>
      <c r="B1977" t="s">
        <v>35</v>
      </c>
      <c r="C1977" t="s">
        <v>38</v>
      </c>
      <c r="D1977" t="s">
        <v>257</v>
      </c>
      <c r="E1977" s="2">
        <v>6523.34</v>
      </c>
      <c r="F1977">
        <v>245</v>
      </c>
    </row>
    <row r="1978" spans="1:6">
      <c r="A1978" t="s">
        <v>19</v>
      </c>
      <c r="B1978" t="s">
        <v>32</v>
      </c>
      <c r="C1978" t="s">
        <v>46</v>
      </c>
      <c r="D1978" t="s">
        <v>230</v>
      </c>
      <c r="E1978" s="2">
        <v>1868.25</v>
      </c>
      <c r="F1978">
        <v>82</v>
      </c>
    </row>
    <row r="1979" spans="1:6">
      <c r="A1979" t="s">
        <v>19</v>
      </c>
      <c r="B1979" t="s">
        <v>7</v>
      </c>
      <c r="C1979" t="s">
        <v>33</v>
      </c>
      <c r="D1979" t="s">
        <v>184</v>
      </c>
      <c r="E1979" s="2">
        <v>8431.83</v>
      </c>
      <c r="F1979">
        <v>251</v>
      </c>
    </row>
    <row r="1980" spans="1:6">
      <c r="A1980" t="s">
        <v>48</v>
      </c>
      <c r="B1980" t="s">
        <v>35</v>
      </c>
      <c r="C1980" t="s">
        <v>13</v>
      </c>
      <c r="D1980" t="s">
        <v>183</v>
      </c>
      <c r="E1980" s="2">
        <v>5646.99</v>
      </c>
      <c r="F1980">
        <v>64</v>
      </c>
    </row>
    <row r="1981" spans="1:6">
      <c r="A1981" t="s">
        <v>12</v>
      </c>
      <c r="B1981" t="s">
        <v>10</v>
      </c>
      <c r="C1981" t="s">
        <v>59</v>
      </c>
      <c r="D1981" t="s">
        <v>224</v>
      </c>
      <c r="E1981" s="2">
        <v>1484.67</v>
      </c>
      <c r="F1981">
        <v>180</v>
      </c>
    </row>
    <row r="1982" spans="1:6">
      <c r="A1982" t="s">
        <v>53</v>
      </c>
      <c r="B1982" t="s">
        <v>35</v>
      </c>
      <c r="C1982" t="s">
        <v>75</v>
      </c>
      <c r="D1982" t="s">
        <v>215</v>
      </c>
      <c r="E1982" s="2">
        <v>3859.95</v>
      </c>
      <c r="F1982">
        <v>395</v>
      </c>
    </row>
    <row r="1983" spans="1:6">
      <c r="A1983" t="s">
        <v>64</v>
      </c>
      <c r="B1983" t="s">
        <v>10</v>
      </c>
      <c r="C1983" t="s">
        <v>75</v>
      </c>
      <c r="D1983" t="s">
        <v>186</v>
      </c>
      <c r="E1983" s="2">
        <v>3237.3</v>
      </c>
      <c r="F1983">
        <v>227</v>
      </c>
    </row>
    <row r="1984" spans="1:6">
      <c r="A1984" t="s">
        <v>64</v>
      </c>
      <c r="B1984" t="s">
        <v>25</v>
      </c>
      <c r="C1984" t="s">
        <v>87</v>
      </c>
      <c r="D1984" t="s">
        <v>237</v>
      </c>
      <c r="E1984" s="2">
        <v>4072.43</v>
      </c>
      <c r="F1984">
        <v>64</v>
      </c>
    </row>
    <row r="1985" spans="1:6">
      <c r="A1985" t="s">
        <v>55</v>
      </c>
      <c r="B1985" t="s">
        <v>7</v>
      </c>
      <c r="C1985" t="s">
        <v>75</v>
      </c>
      <c r="D1985" s="1">
        <v>44993</v>
      </c>
      <c r="E1985" s="2">
        <v>8054.87</v>
      </c>
      <c r="F1985">
        <v>118</v>
      </c>
    </row>
    <row r="1986" spans="1:6">
      <c r="A1986" t="s">
        <v>58</v>
      </c>
      <c r="B1986" t="s">
        <v>25</v>
      </c>
      <c r="C1986" t="s">
        <v>42</v>
      </c>
      <c r="D1986" s="1">
        <v>45017</v>
      </c>
      <c r="E1986" s="2">
        <v>420.3</v>
      </c>
      <c r="F1986">
        <v>224</v>
      </c>
    </row>
    <row r="1987" spans="1:6">
      <c r="A1987" t="s">
        <v>70</v>
      </c>
      <c r="B1987" t="s">
        <v>35</v>
      </c>
      <c r="C1987" t="s">
        <v>23</v>
      </c>
      <c r="D1987" t="s">
        <v>167</v>
      </c>
      <c r="E1987" s="2">
        <v>17073.990000000002</v>
      </c>
      <c r="F1987">
        <v>218</v>
      </c>
    </row>
    <row r="1988" spans="1:6">
      <c r="A1988" t="s">
        <v>9</v>
      </c>
      <c r="B1988" t="s">
        <v>15</v>
      </c>
      <c r="C1988" t="s">
        <v>87</v>
      </c>
      <c r="D1988" s="1">
        <v>45235</v>
      </c>
      <c r="E1988" s="2">
        <v>13624.31</v>
      </c>
      <c r="F1988">
        <v>33</v>
      </c>
    </row>
    <row r="1989" spans="1:6">
      <c r="A1989" t="s">
        <v>53</v>
      </c>
      <c r="B1989" t="s">
        <v>25</v>
      </c>
      <c r="C1989" t="s">
        <v>13</v>
      </c>
      <c r="D1989" t="s">
        <v>171</v>
      </c>
      <c r="E1989" s="2">
        <v>2318.46</v>
      </c>
      <c r="F1989">
        <v>235</v>
      </c>
    </row>
    <row r="1990" spans="1:6">
      <c r="A1990" t="s">
        <v>55</v>
      </c>
      <c r="B1990" t="s">
        <v>7</v>
      </c>
      <c r="C1990" t="s">
        <v>90</v>
      </c>
      <c r="D1990" t="s">
        <v>222</v>
      </c>
      <c r="E1990" s="2">
        <v>10740.05</v>
      </c>
      <c r="F1990">
        <v>67</v>
      </c>
    </row>
    <row r="1991" spans="1:6">
      <c r="A1991" t="s">
        <v>6</v>
      </c>
      <c r="B1991" t="s">
        <v>7</v>
      </c>
      <c r="C1991" t="s">
        <v>38</v>
      </c>
      <c r="D1991" s="1">
        <v>44987</v>
      </c>
      <c r="E1991" s="2">
        <v>7624.67</v>
      </c>
      <c r="F1991">
        <v>422</v>
      </c>
    </row>
    <row r="1992" spans="1:6">
      <c r="A1992" t="s">
        <v>41</v>
      </c>
      <c r="B1992" t="s">
        <v>10</v>
      </c>
      <c r="C1992" t="s">
        <v>60</v>
      </c>
      <c r="D1992" s="1">
        <v>45082</v>
      </c>
      <c r="E1992" s="2">
        <v>10168.32</v>
      </c>
      <c r="F1992">
        <v>159</v>
      </c>
    </row>
    <row r="1993" spans="1:6">
      <c r="A1993" t="s">
        <v>22</v>
      </c>
      <c r="B1993" t="s">
        <v>7</v>
      </c>
      <c r="C1993" t="s">
        <v>75</v>
      </c>
      <c r="D1993" t="s">
        <v>180</v>
      </c>
      <c r="E1993" s="2">
        <v>6635.15</v>
      </c>
      <c r="F1993">
        <v>141</v>
      </c>
    </row>
    <row r="1994" spans="1:6">
      <c r="A1994" t="s">
        <v>22</v>
      </c>
      <c r="B1994" t="s">
        <v>7</v>
      </c>
      <c r="C1994" t="s">
        <v>18</v>
      </c>
      <c r="D1994" t="s">
        <v>242</v>
      </c>
      <c r="E1994" s="2">
        <v>860.12</v>
      </c>
      <c r="F1994">
        <v>158</v>
      </c>
    </row>
    <row r="1995" spans="1:6">
      <c r="A1995" t="s">
        <v>71</v>
      </c>
      <c r="B1995" t="s">
        <v>35</v>
      </c>
      <c r="C1995" t="s">
        <v>33</v>
      </c>
      <c r="D1995" t="s">
        <v>173</v>
      </c>
      <c r="E1995" s="2">
        <v>8671.2099999999991</v>
      </c>
      <c r="F1995">
        <v>52</v>
      </c>
    </row>
    <row r="1996" spans="1:6">
      <c r="A1996" t="s">
        <v>6</v>
      </c>
      <c r="B1996" t="s">
        <v>7</v>
      </c>
      <c r="C1996" t="s">
        <v>11</v>
      </c>
      <c r="D1996" s="1">
        <v>45114</v>
      </c>
      <c r="E1996" s="2">
        <v>5534.11</v>
      </c>
      <c r="F1996">
        <v>63</v>
      </c>
    </row>
    <row r="1997" spans="1:6">
      <c r="A1997" t="s">
        <v>19</v>
      </c>
      <c r="B1997" t="s">
        <v>7</v>
      </c>
      <c r="C1997" t="s">
        <v>100</v>
      </c>
      <c r="D1997" t="s">
        <v>211</v>
      </c>
      <c r="E1997" s="2">
        <v>6800.26</v>
      </c>
      <c r="F1997">
        <v>187</v>
      </c>
    </row>
    <row r="1998" spans="1:6">
      <c r="A1998" t="s">
        <v>70</v>
      </c>
      <c r="B1998" t="s">
        <v>7</v>
      </c>
      <c r="C1998" t="s">
        <v>20</v>
      </c>
      <c r="D1998" s="1">
        <v>45268</v>
      </c>
      <c r="E1998" s="2">
        <v>3927.83</v>
      </c>
      <c r="F1998">
        <v>123</v>
      </c>
    </row>
    <row r="1999" spans="1:6">
      <c r="A1999" t="s">
        <v>12</v>
      </c>
      <c r="B1999" t="s">
        <v>25</v>
      </c>
      <c r="C1999" t="s">
        <v>23</v>
      </c>
      <c r="D1999" t="s">
        <v>227</v>
      </c>
      <c r="E1999" s="2">
        <v>5833.8</v>
      </c>
      <c r="F1999">
        <v>196</v>
      </c>
    </row>
    <row r="2000" spans="1:6">
      <c r="A2000" t="s">
        <v>19</v>
      </c>
      <c r="B2000" t="s">
        <v>15</v>
      </c>
      <c r="C2000" t="s">
        <v>26</v>
      </c>
      <c r="D2000" s="1">
        <v>45082</v>
      </c>
      <c r="E2000" s="2">
        <v>733.08</v>
      </c>
      <c r="F2000">
        <v>147</v>
      </c>
    </row>
    <row r="2001" spans="1:6">
      <c r="A2001" t="s">
        <v>19</v>
      </c>
      <c r="B2001" t="s">
        <v>35</v>
      </c>
      <c r="C2001" t="s">
        <v>26</v>
      </c>
      <c r="D2001" t="s">
        <v>246</v>
      </c>
      <c r="E2001" s="2">
        <v>7164.51</v>
      </c>
      <c r="F2001">
        <v>140</v>
      </c>
    </row>
    <row r="2002" spans="1:6">
      <c r="A2002" t="s">
        <v>31</v>
      </c>
      <c r="B2002" t="s">
        <v>32</v>
      </c>
      <c r="C2002" t="s">
        <v>59</v>
      </c>
      <c r="D2002" s="1">
        <v>45051</v>
      </c>
      <c r="E2002" s="2">
        <v>7900.52</v>
      </c>
      <c r="F2002">
        <v>175</v>
      </c>
    </row>
    <row r="2003" spans="1:6">
      <c r="A2003" t="s">
        <v>29</v>
      </c>
      <c r="B2003" t="s">
        <v>25</v>
      </c>
      <c r="C2003" t="s">
        <v>20</v>
      </c>
      <c r="D2003" t="s">
        <v>235</v>
      </c>
      <c r="E2003" s="2">
        <v>3550.76</v>
      </c>
      <c r="F2003">
        <v>85</v>
      </c>
    </row>
    <row r="2004" spans="1:6">
      <c r="A2004" t="s">
        <v>48</v>
      </c>
      <c r="B2004" t="s">
        <v>15</v>
      </c>
      <c r="C2004" t="s">
        <v>90</v>
      </c>
      <c r="D2004" t="s">
        <v>170</v>
      </c>
      <c r="E2004" s="2">
        <v>10281.51</v>
      </c>
      <c r="F2004">
        <v>136</v>
      </c>
    </row>
    <row r="2005" spans="1:6">
      <c r="A2005" t="s">
        <v>48</v>
      </c>
      <c r="B2005" t="s">
        <v>25</v>
      </c>
      <c r="C2005" t="s">
        <v>11</v>
      </c>
      <c r="D2005" s="1">
        <v>45265</v>
      </c>
      <c r="E2005" s="2">
        <v>5936.81</v>
      </c>
      <c r="F2005">
        <v>180</v>
      </c>
    </row>
    <row r="2006" spans="1:6">
      <c r="A2006" t="s">
        <v>31</v>
      </c>
      <c r="B2006" t="s">
        <v>25</v>
      </c>
      <c r="C2006" t="s">
        <v>18</v>
      </c>
      <c r="D2006" t="s">
        <v>164</v>
      </c>
      <c r="E2006" s="2">
        <v>4552.1499999999996</v>
      </c>
      <c r="F2006">
        <v>172</v>
      </c>
    </row>
    <row r="2007" spans="1:6">
      <c r="A2007" t="s">
        <v>83</v>
      </c>
      <c r="B2007" t="s">
        <v>7</v>
      </c>
      <c r="C2007" t="s">
        <v>11</v>
      </c>
      <c r="D2007" t="s">
        <v>191</v>
      </c>
      <c r="E2007" s="2">
        <v>15944.86</v>
      </c>
      <c r="F2007">
        <v>11</v>
      </c>
    </row>
    <row r="2008" spans="1:6">
      <c r="A2008" t="s">
        <v>58</v>
      </c>
      <c r="B2008" t="s">
        <v>15</v>
      </c>
      <c r="C2008" t="s">
        <v>38</v>
      </c>
      <c r="D2008" t="s">
        <v>198</v>
      </c>
      <c r="E2008" s="2">
        <v>7722.58</v>
      </c>
      <c r="F2008">
        <v>188</v>
      </c>
    </row>
    <row r="2009" spans="1:6">
      <c r="A2009" t="s">
        <v>45</v>
      </c>
      <c r="B2009" t="s">
        <v>32</v>
      </c>
      <c r="C2009" t="s">
        <v>46</v>
      </c>
      <c r="D2009" t="s">
        <v>192</v>
      </c>
      <c r="E2009" s="2">
        <v>3105.38</v>
      </c>
      <c r="F2009">
        <v>268</v>
      </c>
    </row>
    <row r="2010" spans="1:6">
      <c r="A2010" t="s">
        <v>14</v>
      </c>
      <c r="B2010" t="s">
        <v>10</v>
      </c>
      <c r="C2010" t="s">
        <v>23</v>
      </c>
      <c r="D2010" t="s">
        <v>175</v>
      </c>
      <c r="E2010" s="2">
        <v>6994.35</v>
      </c>
      <c r="F2010">
        <v>179</v>
      </c>
    </row>
    <row r="2011" spans="1:6">
      <c r="A2011" t="s">
        <v>22</v>
      </c>
      <c r="B2011" t="s">
        <v>32</v>
      </c>
      <c r="C2011" t="s">
        <v>23</v>
      </c>
      <c r="D2011" t="s">
        <v>215</v>
      </c>
      <c r="E2011" s="2">
        <v>4264.49</v>
      </c>
      <c r="F2011">
        <v>252</v>
      </c>
    </row>
    <row r="2012" spans="1:6">
      <c r="A2012" t="s">
        <v>83</v>
      </c>
      <c r="B2012" t="s">
        <v>10</v>
      </c>
      <c r="C2012" t="s">
        <v>33</v>
      </c>
      <c r="D2012" t="s">
        <v>171</v>
      </c>
      <c r="E2012" s="2">
        <v>1215.3</v>
      </c>
      <c r="F2012">
        <v>271</v>
      </c>
    </row>
    <row r="2013" spans="1:6">
      <c r="A2013" t="s">
        <v>34</v>
      </c>
      <c r="B2013" t="s">
        <v>7</v>
      </c>
      <c r="C2013" t="s">
        <v>60</v>
      </c>
      <c r="D2013" t="s">
        <v>177</v>
      </c>
      <c r="E2013" s="2">
        <v>8519.3700000000008</v>
      </c>
      <c r="F2013">
        <v>45</v>
      </c>
    </row>
    <row r="2014" spans="1:6">
      <c r="A2014" t="s">
        <v>31</v>
      </c>
      <c r="B2014" t="s">
        <v>15</v>
      </c>
      <c r="C2014" t="s">
        <v>73</v>
      </c>
      <c r="D2014" t="s">
        <v>194</v>
      </c>
      <c r="E2014" s="2">
        <v>9810.9500000000007</v>
      </c>
      <c r="F2014">
        <v>105</v>
      </c>
    </row>
    <row r="2015" spans="1:6">
      <c r="A2015" t="s">
        <v>64</v>
      </c>
      <c r="B2015" t="s">
        <v>32</v>
      </c>
      <c r="C2015" t="s">
        <v>38</v>
      </c>
      <c r="D2015" t="s">
        <v>230</v>
      </c>
      <c r="E2015" s="2">
        <v>1065.6300000000001</v>
      </c>
      <c r="F2015">
        <v>107</v>
      </c>
    </row>
    <row r="2016" spans="1:6">
      <c r="A2016" t="s">
        <v>64</v>
      </c>
      <c r="B2016" t="s">
        <v>10</v>
      </c>
      <c r="C2016" t="s">
        <v>36</v>
      </c>
      <c r="D2016" t="s">
        <v>207</v>
      </c>
      <c r="E2016" s="2">
        <v>3894.68</v>
      </c>
      <c r="F2016">
        <v>80</v>
      </c>
    </row>
    <row r="2017" spans="1:6">
      <c r="A2017" t="s">
        <v>64</v>
      </c>
      <c r="B2017" t="s">
        <v>10</v>
      </c>
      <c r="C2017" t="s">
        <v>23</v>
      </c>
      <c r="D2017" s="1">
        <v>45024</v>
      </c>
      <c r="E2017" s="2">
        <v>12194.27</v>
      </c>
      <c r="F2017">
        <v>252</v>
      </c>
    </row>
    <row r="2018" spans="1:6">
      <c r="A2018" t="s">
        <v>70</v>
      </c>
      <c r="B2018" t="s">
        <v>10</v>
      </c>
      <c r="C2018" t="s">
        <v>20</v>
      </c>
      <c r="D2018" t="s">
        <v>191</v>
      </c>
      <c r="E2018" s="2">
        <v>2455.13</v>
      </c>
      <c r="F2018">
        <v>236</v>
      </c>
    </row>
    <row r="2019" spans="1:6">
      <c r="A2019" t="s">
        <v>22</v>
      </c>
      <c r="B2019" t="s">
        <v>35</v>
      </c>
      <c r="C2019" t="s">
        <v>50</v>
      </c>
      <c r="D2019" s="1">
        <v>45050</v>
      </c>
      <c r="E2019" s="2">
        <v>14887.76</v>
      </c>
      <c r="F2019">
        <v>12</v>
      </c>
    </row>
    <row r="2020" spans="1:6">
      <c r="A2020" t="s">
        <v>77</v>
      </c>
      <c r="B2020" t="s">
        <v>35</v>
      </c>
      <c r="C2020" t="s">
        <v>13</v>
      </c>
      <c r="D2020" s="1">
        <v>45053</v>
      </c>
      <c r="E2020" s="2">
        <v>15276.46</v>
      </c>
      <c r="F2020">
        <v>121</v>
      </c>
    </row>
    <row r="2021" spans="1:6">
      <c r="A2021" t="s">
        <v>55</v>
      </c>
      <c r="B2021" t="s">
        <v>25</v>
      </c>
      <c r="C2021" t="s">
        <v>36</v>
      </c>
      <c r="D2021" t="s">
        <v>264</v>
      </c>
      <c r="E2021" s="2">
        <v>13520.48</v>
      </c>
      <c r="F2021">
        <v>47</v>
      </c>
    </row>
    <row r="2022" spans="1:6">
      <c r="A2022" t="s">
        <v>83</v>
      </c>
      <c r="B2022" t="s">
        <v>25</v>
      </c>
      <c r="C2022" t="s">
        <v>38</v>
      </c>
      <c r="D2022" t="s">
        <v>171</v>
      </c>
      <c r="E2022" s="2">
        <v>9195.5300000000007</v>
      </c>
      <c r="F2022">
        <v>127</v>
      </c>
    </row>
    <row r="2023" spans="1:6">
      <c r="A2023" t="s">
        <v>48</v>
      </c>
      <c r="B2023" t="s">
        <v>7</v>
      </c>
      <c r="C2023" t="s">
        <v>38</v>
      </c>
      <c r="D2023" s="1">
        <v>45267</v>
      </c>
      <c r="E2023" s="2">
        <v>460.98</v>
      </c>
      <c r="F2023">
        <v>182</v>
      </c>
    </row>
    <row r="2024" spans="1:6">
      <c r="A2024" t="s">
        <v>70</v>
      </c>
      <c r="B2024" t="s">
        <v>10</v>
      </c>
      <c r="C2024" t="s">
        <v>73</v>
      </c>
      <c r="D2024" t="s">
        <v>214</v>
      </c>
      <c r="E2024" s="2">
        <v>8216.56</v>
      </c>
      <c r="F2024">
        <v>257</v>
      </c>
    </row>
    <row r="2025" spans="1:6">
      <c r="A2025" t="s">
        <v>79</v>
      </c>
      <c r="B2025" t="s">
        <v>15</v>
      </c>
      <c r="C2025" t="s">
        <v>75</v>
      </c>
      <c r="D2025" t="s">
        <v>224</v>
      </c>
      <c r="E2025" s="2">
        <v>1863.54</v>
      </c>
      <c r="F2025">
        <v>277</v>
      </c>
    </row>
    <row r="2026" spans="1:6">
      <c r="A2026" t="s">
        <v>55</v>
      </c>
      <c r="B2026" t="s">
        <v>7</v>
      </c>
      <c r="C2026" t="s">
        <v>26</v>
      </c>
      <c r="D2026" t="s">
        <v>212</v>
      </c>
      <c r="E2026" s="2">
        <v>3283</v>
      </c>
      <c r="F2026">
        <v>72</v>
      </c>
    </row>
    <row r="2027" spans="1:6">
      <c r="A2027" t="s">
        <v>45</v>
      </c>
      <c r="B2027" t="s">
        <v>35</v>
      </c>
      <c r="C2027" t="s">
        <v>75</v>
      </c>
      <c r="D2027" s="1">
        <v>45235</v>
      </c>
      <c r="E2027" s="2">
        <v>5967.18</v>
      </c>
      <c r="F2027">
        <v>247</v>
      </c>
    </row>
    <row r="2028" spans="1:6">
      <c r="A2028" t="s">
        <v>83</v>
      </c>
      <c r="B2028" t="s">
        <v>10</v>
      </c>
      <c r="C2028" t="s">
        <v>26</v>
      </c>
      <c r="D2028" t="s">
        <v>184</v>
      </c>
      <c r="E2028" s="2">
        <v>12083.5</v>
      </c>
      <c r="F2028">
        <v>334</v>
      </c>
    </row>
    <row r="2029" spans="1:6">
      <c r="A2029" t="s">
        <v>19</v>
      </c>
      <c r="B2029" t="s">
        <v>35</v>
      </c>
      <c r="C2029" t="s">
        <v>13</v>
      </c>
      <c r="D2029" s="1">
        <v>45113</v>
      </c>
      <c r="E2029" s="2">
        <v>12397.06</v>
      </c>
      <c r="F2029">
        <v>179</v>
      </c>
    </row>
    <row r="2030" spans="1:6">
      <c r="A2030" t="s">
        <v>19</v>
      </c>
      <c r="B2030" t="s">
        <v>7</v>
      </c>
      <c r="C2030" t="s">
        <v>59</v>
      </c>
      <c r="D2030" t="s">
        <v>172</v>
      </c>
      <c r="E2030" s="2">
        <v>1746.01</v>
      </c>
      <c r="F2030">
        <v>280</v>
      </c>
    </row>
    <row r="2031" spans="1:6">
      <c r="A2031" t="s">
        <v>31</v>
      </c>
      <c r="B2031" t="s">
        <v>10</v>
      </c>
      <c r="C2031" t="s">
        <v>23</v>
      </c>
      <c r="D2031" t="s">
        <v>223</v>
      </c>
      <c r="E2031" s="2">
        <v>9021.65</v>
      </c>
      <c r="F2031">
        <v>104</v>
      </c>
    </row>
    <row r="2032" spans="1:6">
      <c r="A2032" t="s">
        <v>64</v>
      </c>
      <c r="B2032" t="s">
        <v>35</v>
      </c>
      <c r="C2032" t="s">
        <v>18</v>
      </c>
      <c r="D2032" s="1">
        <v>44963</v>
      </c>
      <c r="E2032" s="2">
        <v>5263.45</v>
      </c>
      <c r="F2032">
        <v>165</v>
      </c>
    </row>
    <row r="2033" spans="1:6">
      <c r="A2033" t="s">
        <v>29</v>
      </c>
      <c r="B2033" t="s">
        <v>10</v>
      </c>
      <c r="C2033" t="s">
        <v>8</v>
      </c>
      <c r="D2033" t="s">
        <v>169</v>
      </c>
      <c r="E2033" s="2">
        <v>15473</v>
      </c>
      <c r="F2033">
        <v>91</v>
      </c>
    </row>
    <row r="2034" spans="1:6">
      <c r="A2034" t="s">
        <v>29</v>
      </c>
      <c r="B2034" t="s">
        <v>35</v>
      </c>
      <c r="C2034" t="s">
        <v>20</v>
      </c>
      <c r="D2034" s="1">
        <v>44960</v>
      </c>
      <c r="E2034" s="2">
        <v>5566.57</v>
      </c>
      <c r="F2034">
        <v>140</v>
      </c>
    </row>
    <row r="2035" spans="1:6">
      <c r="A2035" t="s">
        <v>9</v>
      </c>
      <c r="B2035" t="s">
        <v>15</v>
      </c>
      <c r="C2035" t="s">
        <v>100</v>
      </c>
      <c r="D2035" s="1">
        <v>45200</v>
      </c>
      <c r="E2035" s="2">
        <v>8111.43</v>
      </c>
      <c r="F2035">
        <v>111</v>
      </c>
    </row>
    <row r="2036" spans="1:6">
      <c r="A2036" t="s">
        <v>41</v>
      </c>
      <c r="B2036" t="s">
        <v>32</v>
      </c>
      <c r="C2036" t="s">
        <v>100</v>
      </c>
      <c r="D2036" t="s">
        <v>172</v>
      </c>
      <c r="E2036" s="2">
        <v>2341.8000000000002</v>
      </c>
      <c r="F2036">
        <v>117</v>
      </c>
    </row>
    <row r="2037" spans="1:6">
      <c r="A2037" t="s">
        <v>31</v>
      </c>
      <c r="B2037" t="s">
        <v>35</v>
      </c>
      <c r="C2037" t="s">
        <v>33</v>
      </c>
      <c r="D2037" t="s">
        <v>180</v>
      </c>
      <c r="E2037" s="2">
        <v>8650.42</v>
      </c>
      <c r="F2037">
        <v>19</v>
      </c>
    </row>
    <row r="2038" spans="1:6">
      <c r="A2038" t="s">
        <v>45</v>
      </c>
      <c r="B2038" t="s">
        <v>15</v>
      </c>
      <c r="C2038" t="s">
        <v>11</v>
      </c>
      <c r="D2038" s="1">
        <v>45145</v>
      </c>
      <c r="E2038" s="2">
        <v>4444.72</v>
      </c>
      <c r="F2038">
        <v>77</v>
      </c>
    </row>
    <row r="2039" spans="1:6">
      <c r="A2039" t="s">
        <v>19</v>
      </c>
      <c r="B2039" t="s">
        <v>10</v>
      </c>
      <c r="C2039" t="s">
        <v>50</v>
      </c>
      <c r="D2039" s="1">
        <v>45144</v>
      </c>
      <c r="E2039" s="2">
        <v>12531.37</v>
      </c>
      <c r="F2039">
        <v>86</v>
      </c>
    </row>
    <row r="2040" spans="1:6">
      <c r="A2040" t="s">
        <v>14</v>
      </c>
      <c r="B2040" t="s">
        <v>7</v>
      </c>
      <c r="C2040" t="s">
        <v>60</v>
      </c>
      <c r="D2040" t="s">
        <v>201</v>
      </c>
      <c r="E2040" s="2">
        <v>3558.89</v>
      </c>
      <c r="F2040">
        <v>231</v>
      </c>
    </row>
    <row r="2041" spans="1:6">
      <c r="A2041" t="s">
        <v>55</v>
      </c>
      <c r="B2041" t="s">
        <v>15</v>
      </c>
      <c r="C2041" t="s">
        <v>23</v>
      </c>
      <c r="D2041" s="1">
        <v>45142</v>
      </c>
      <c r="E2041" s="2">
        <v>7889.9</v>
      </c>
      <c r="F2041">
        <v>300</v>
      </c>
    </row>
    <row r="2042" spans="1:6">
      <c r="A2042" t="s">
        <v>64</v>
      </c>
      <c r="B2042" t="s">
        <v>35</v>
      </c>
      <c r="C2042" t="s">
        <v>57</v>
      </c>
      <c r="D2042" s="1">
        <v>45146</v>
      </c>
      <c r="E2042" s="2">
        <v>3589.18</v>
      </c>
      <c r="F2042">
        <v>176</v>
      </c>
    </row>
    <row r="2043" spans="1:6">
      <c r="A2043" t="s">
        <v>64</v>
      </c>
      <c r="B2043" t="s">
        <v>7</v>
      </c>
      <c r="C2043" t="s">
        <v>46</v>
      </c>
      <c r="D2043" t="s">
        <v>197</v>
      </c>
      <c r="E2043" s="2">
        <v>305.39</v>
      </c>
      <c r="F2043">
        <v>62</v>
      </c>
    </row>
    <row r="2044" spans="1:6">
      <c r="A2044" t="s">
        <v>19</v>
      </c>
      <c r="B2044" t="s">
        <v>35</v>
      </c>
      <c r="C2044" t="s">
        <v>57</v>
      </c>
      <c r="D2044" t="s">
        <v>225</v>
      </c>
      <c r="E2044" s="2">
        <v>1896.64</v>
      </c>
      <c r="F2044">
        <v>161</v>
      </c>
    </row>
    <row r="2045" spans="1:6">
      <c r="A2045" t="s">
        <v>58</v>
      </c>
      <c r="B2045" t="s">
        <v>32</v>
      </c>
      <c r="C2045" t="s">
        <v>87</v>
      </c>
      <c r="D2045" s="1">
        <v>45238</v>
      </c>
      <c r="E2045" s="2">
        <v>18494.72</v>
      </c>
      <c r="F2045">
        <v>298</v>
      </c>
    </row>
    <row r="2046" spans="1:6">
      <c r="A2046" t="s">
        <v>77</v>
      </c>
      <c r="B2046" t="s">
        <v>32</v>
      </c>
      <c r="C2046" t="s">
        <v>65</v>
      </c>
      <c r="D2046" t="s">
        <v>229</v>
      </c>
      <c r="E2046" s="2">
        <v>11103.47</v>
      </c>
      <c r="F2046">
        <v>24</v>
      </c>
    </row>
    <row r="2047" spans="1:6">
      <c r="A2047" t="s">
        <v>9</v>
      </c>
      <c r="B2047" t="s">
        <v>25</v>
      </c>
      <c r="C2047" t="s">
        <v>26</v>
      </c>
      <c r="D2047" s="1">
        <v>45237</v>
      </c>
      <c r="E2047" s="2">
        <v>4162.28</v>
      </c>
      <c r="F2047">
        <v>11</v>
      </c>
    </row>
    <row r="2048" spans="1:6">
      <c r="A2048" t="s">
        <v>37</v>
      </c>
      <c r="B2048" t="s">
        <v>35</v>
      </c>
      <c r="C2048" t="s">
        <v>90</v>
      </c>
      <c r="D2048" s="1">
        <v>44960</v>
      </c>
      <c r="E2048" s="2">
        <v>3357.3</v>
      </c>
      <c r="F2048">
        <v>308</v>
      </c>
    </row>
    <row r="2049" spans="1:6">
      <c r="A2049" t="s">
        <v>77</v>
      </c>
      <c r="B2049" t="s">
        <v>15</v>
      </c>
      <c r="C2049" t="s">
        <v>73</v>
      </c>
      <c r="D2049" t="s">
        <v>198</v>
      </c>
      <c r="E2049" s="2">
        <v>7033.52</v>
      </c>
      <c r="F2049">
        <v>94</v>
      </c>
    </row>
    <row r="2050" spans="1:6">
      <c r="A2050" t="s">
        <v>29</v>
      </c>
      <c r="B2050" t="s">
        <v>7</v>
      </c>
      <c r="C2050" t="s">
        <v>50</v>
      </c>
      <c r="D2050" s="1">
        <v>44993</v>
      </c>
      <c r="E2050" s="2">
        <v>9896.7999999999993</v>
      </c>
      <c r="F2050">
        <v>143</v>
      </c>
    </row>
    <row r="2051" spans="1:6">
      <c r="A2051" t="s">
        <v>48</v>
      </c>
      <c r="B2051" t="s">
        <v>7</v>
      </c>
      <c r="C2051" t="s">
        <v>13</v>
      </c>
      <c r="D2051" s="1">
        <v>44929</v>
      </c>
      <c r="E2051" s="2">
        <v>15653.44</v>
      </c>
      <c r="F2051">
        <v>175</v>
      </c>
    </row>
    <row r="2052" spans="1:6">
      <c r="A2052" t="s">
        <v>70</v>
      </c>
      <c r="B2052" t="s">
        <v>25</v>
      </c>
      <c r="C2052" t="s">
        <v>59</v>
      </c>
      <c r="D2052" t="s">
        <v>224</v>
      </c>
      <c r="E2052" s="2">
        <v>7899.31</v>
      </c>
      <c r="F2052">
        <v>148</v>
      </c>
    </row>
    <row r="2053" spans="1:6">
      <c r="A2053" t="s">
        <v>41</v>
      </c>
      <c r="B2053" t="s">
        <v>35</v>
      </c>
      <c r="C2053" t="s">
        <v>57</v>
      </c>
      <c r="D2053" t="s">
        <v>170</v>
      </c>
      <c r="E2053" s="2">
        <v>10644.74</v>
      </c>
      <c r="F2053">
        <v>172</v>
      </c>
    </row>
    <row r="2054" spans="1:6">
      <c r="A2054" t="s">
        <v>34</v>
      </c>
      <c r="B2054" t="s">
        <v>10</v>
      </c>
      <c r="C2054" t="s">
        <v>59</v>
      </c>
      <c r="D2054" t="s">
        <v>204</v>
      </c>
      <c r="E2054" s="2">
        <v>872.83</v>
      </c>
      <c r="F2054">
        <v>224</v>
      </c>
    </row>
    <row r="2055" spans="1:6">
      <c r="A2055" t="s">
        <v>28</v>
      </c>
      <c r="B2055" t="s">
        <v>7</v>
      </c>
      <c r="C2055" t="s">
        <v>38</v>
      </c>
      <c r="D2055" t="s">
        <v>199</v>
      </c>
      <c r="E2055" s="2">
        <v>6337.94</v>
      </c>
      <c r="F2055">
        <v>128</v>
      </c>
    </row>
    <row r="2056" spans="1:6">
      <c r="A2056" t="s">
        <v>6</v>
      </c>
      <c r="B2056" t="s">
        <v>10</v>
      </c>
      <c r="C2056" t="s">
        <v>13</v>
      </c>
      <c r="D2056" t="s">
        <v>195</v>
      </c>
      <c r="E2056" s="2">
        <v>31.15</v>
      </c>
      <c r="F2056">
        <v>451</v>
      </c>
    </row>
    <row r="2057" spans="1:6">
      <c r="A2057" t="s">
        <v>19</v>
      </c>
      <c r="B2057" t="s">
        <v>32</v>
      </c>
      <c r="C2057" t="s">
        <v>65</v>
      </c>
      <c r="D2057" t="s">
        <v>183</v>
      </c>
      <c r="E2057" s="2">
        <v>7107.55</v>
      </c>
      <c r="F2057">
        <v>142</v>
      </c>
    </row>
    <row r="2058" spans="1:6">
      <c r="A2058" t="s">
        <v>53</v>
      </c>
      <c r="B2058" t="s">
        <v>10</v>
      </c>
      <c r="C2058" t="s">
        <v>36</v>
      </c>
      <c r="D2058" s="1">
        <v>45171</v>
      </c>
      <c r="E2058" s="2">
        <v>5465.85</v>
      </c>
      <c r="F2058">
        <v>56</v>
      </c>
    </row>
    <row r="2059" spans="1:6">
      <c r="A2059" t="s">
        <v>28</v>
      </c>
      <c r="B2059" t="s">
        <v>7</v>
      </c>
      <c r="C2059" t="s">
        <v>50</v>
      </c>
      <c r="D2059" t="s">
        <v>203</v>
      </c>
      <c r="E2059" s="2">
        <v>2462.14</v>
      </c>
      <c r="F2059">
        <v>60</v>
      </c>
    </row>
    <row r="2060" spans="1:6">
      <c r="A2060" t="s">
        <v>19</v>
      </c>
      <c r="B2060" t="s">
        <v>15</v>
      </c>
      <c r="C2060" t="s">
        <v>60</v>
      </c>
      <c r="D2060" t="s">
        <v>169</v>
      </c>
      <c r="E2060" s="2">
        <v>4194.4399999999996</v>
      </c>
      <c r="F2060">
        <v>80</v>
      </c>
    </row>
    <row r="2061" spans="1:6">
      <c r="A2061" t="s">
        <v>41</v>
      </c>
      <c r="B2061" t="s">
        <v>10</v>
      </c>
      <c r="C2061" t="s">
        <v>59</v>
      </c>
      <c r="D2061" s="1">
        <v>45023</v>
      </c>
      <c r="E2061" s="2">
        <v>1994.44</v>
      </c>
      <c r="F2061">
        <v>299</v>
      </c>
    </row>
    <row r="2062" spans="1:6">
      <c r="A2062" t="s">
        <v>83</v>
      </c>
      <c r="B2062" t="s">
        <v>10</v>
      </c>
      <c r="C2062" t="s">
        <v>65</v>
      </c>
      <c r="D2062" t="s">
        <v>224</v>
      </c>
      <c r="E2062" s="2">
        <v>12124.05</v>
      </c>
      <c r="F2062">
        <v>80</v>
      </c>
    </row>
    <row r="2063" spans="1:6">
      <c r="A2063" t="s">
        <v>12</v>
      </c>
      <c r="B2063" t="s">
        <v>15</v>
      </c>
      <c r="C2063" t="s">
        <v>18</v>
      </c>
      <c r="D2063" t="s">
        <v>164</v>
      </c>
      <c r="E2063" s="2">
        <v>5884.09</v>
      </c>
      <c r="F2063">
        <v>117</v>
      </c>
    </row>
    <row r="2064" spans="1:6">
      <c r="A2064" t="s">
        <v>71</v>
      </c>
      <c r="B2064" t="s">
        <v>32</v>
      </c>
      <c r="C2064" t="s">
        <v>11</v>
      </c>
      <c r="D2064" t="s">
        <v>217</v>
      </c>
      <c r="E2064" s="2">
        <v>2639.16</v>
      </c>
      <c r="F2064">
        <v>80</v>
      </c>
    </row>
    <row r="2065" spans="1:6">
      <c r="A2065" t="s">
        <v>71</v>
      </c>
      <c r="B2065" t="s">
        <v>32</v>
      </c>
      <c r="C2065" t="s">
        <v>36</v>
      </c>
      <c r="D2065" s="1">
        <v>45205</v>
      </c>
      <c r="E2065" s="2">
        <v>5031.3999999999996</v>
      </c>
      <c r="F2065">
        <v>401</v>
      </c>
    </row>
    <row r="2066" spans="1:6">
      <c r="A2066" t="s">
        <v>77</v>
      </c>
      <c r="B2066" t="s">
        <v>25</v>
      </c>
      <c r="C2066" t="s">
        <v>59</v>
      </c>
      <c r="D2066" t="s">
        <v>186</v>
      </c>
      <c r="E2066" s="2">
        <v>11510.71</v>
      </c>
      <c r="F2066">
        <v>56</v>
      </c>
    </row>
    <row r="2067" spans="1:6">
      <c r="A2067" t="s">
        <v>9</v>
      </c>
      <c r="B2067" t="s">
        <v>10</v>
      </c>
      <c r="C2067" t="s">
        <v>23</v>
      </c>
      <c r="D2067" t="s">
        <v>172</v>
      </c>
      <c r="E2067" s="2">
        <v>15021.98</v>
      </c>
      <c r="F2067">
        <v>211</v>
      </c>
    </row>
    <row r="2068" spans="1:6">
      <c r="A2068" t="s">
        <v>53</v>
      </c>
      <c r="B2068" t="s">
        <v>10</v>
      </c>
      <c r="C2068" t="s">
        <v>33</v>
      </c>
      <c r="D2068" t="s">
        <v>180</v>
      </c>
      <c r="E2068" s="2">
        <v>4517.1899999999996</v>
      </c>
      <c r="F2068">
        <v>40</v>
      </c>
    </row>
    <row r="2069" spans="1:6">
      <c r="A2069" t="s">
        <v>6</v>
      </c>
      <c r="B2069" t="s">
        <v>10</v>
      </c>
      <c r="C2069" t="s">
        <v>65</v>
      </c>
      <c r="D2069" t="s">
        <v>243</v>
      </c>
      <c r="E2069" s="2">
        <v>10778.53</v>
      </c>
      <c r="F2069">
        <v>99</v>
      </c>
    </row>
    <row r="2070" spans="1:6">
      <c r="A2070" t="s">
        <v>37</v>
      </c>
      <c r="B2070" t="s">
        <v>15</v>
      </c>
      <c r="C2070" t="s">
        <v>73</v>
      </c>
      <c r="D2070" t="s">
        <v>202</v>
      </c>
      <c r="E2070" s="2">
        <v>1145.72</v>
      </c>
      <c r="F2070">
        <v>60</v>
      </c>
    </row>
    <row r="2071" spans="1:6">
      <c r="A2071" t="s">
        <v>71</v>
      </c>
      <c r="B2071" t="s">
        <v>25</v>
      </c>
      <c r="C2071" t="s">
        <v>20</v>
      </c>
      <c r="D2071" t="s">
        <v>197</v>
      </c>
      <c r="E2071" s="2">
        <v>2518.5</v>
      </c>
      <c r="F2071">
        <v>45</v>
      </c>
    </row>
    <row r="2072" spans="1:6">
      <c r="A2072" t="s">
        <v>12</v>
      </c>
      <c r="B2072" t="s">
        <v>15</v>
      </c>
      <c r="C2072" t="s">
        <v>33</v>
      </c>
      <c r="D2072" s="1">
        <v>45172</v>
      </c>
      <c r="E2072" s="2">
        <v>596.63</v>
      </c>
      <c r="F2072">
        <v>158</v>
      </c>
    </row>
    <row r="2073" spans="1:6">
      <c r="A2073" t="s">
        <v>70</v>
      </c>
      <c r="B2073" t="s">
        <v>7</v>
      </c>
      <c r="C2073" t="s">
        <v>38</v>
      </c>
      <c r="D2073" t="s">
        <v>166</v>
      </c>
      <c r="E2073" s="2">
        <v>1858.71</v>
      </c>
      <c r="F2073">
        <v>24</v>
      </c>
    </row>
    <row r="2074" spans="1:6">
      <c r="A2074" t="s">
        <v>34</v>
      </c>
      <c r="B2074" t="s">
        <v>35</v>
      </c>
      <c r="C2074" t="s">
        <v>90</v>
      </c>
      <c r="D2074" s="1">
        <v>45205</v>
      </c>
      <c r="E2074" s="2">
        <v>5194.28</v>
      </c>
      <c r="F2074">
        <v>547</v>
      </c>
    </row>
    <row r="2075" spans="1:6">
      <c r="A2075" t="s">
        <v>53</v>
      </c>
      <c r="B2075" t="s">
        <v>15</v>
      </c>
      <c r="C2075" t="s">
        <v>42</v>
      </c>
      <c r="D2075" s="1">
        <v>45140</v>
      </c>
      <c r="E2075" s="2">
        <v>960.69</v>
      </c>
      <c r="F2075">
        <v>155</v>
      </c>
    </row>
    <row r="2076" spans="1:6">
      <c r="A2076" t="s">
        <v>28</v>
      </c>
      <c r="B2076" t="s">
        <v>15</v>
      </c>
      <c r="C2076" t="s">
        <v>59</v>
      </c>
      <c r="D2076" t="s">
        <v>206</v>
      </c>
      <c r="E2076" s="2">
        <v>5347.12</v>
      </c>
      <c r="F2076">
        <v>23</v>
      </c>
    </row>
    <row r="2077" spans="1:6">
      <c r="A2077" t="s">
        <v>79</v>
      </c>
      <c r="B2077" t="s">
        <v>10</v>
      </c>
      <c r="C2077" t="s">
        <v>13</v>
      </c>
      <c r="D2077" t="s">
        <v>171</v>
      </c>
      <c r="E2077" s="2">
        <v>9805.11</v>
      </c>
      <c r="F2077">
        <v>76</v>
      </c>
    </row>
    <row r="2078" spans="1:6">
      <c r="A2078" t="s">
        <v>58</v>
      </c>
      <c r="B2078" t="s">
        <v>7</v>
      </c>
      <c r="C2078" t="s">
        <v>20</v>
      </c>
      <c r="D2078" t="s">
        <v>174</v>
      </c>
      <c r="E2078" s="2">
        <v>13205.42</v>
      </c>
      <c r="F2078">
        <v>26</v>
      </c>
    </row>
    <row r="2079" spans="1:6">
      <c r="A2079" t="s">
        <v>12</v>
      </c>
      <c r="B2079" t="s">
        <v>25</v>
      </c>
      <c r="C2079" t="s">
        <v>26</v>
      </c>
      <c r="D2079" t="s">
        <v>179</v>
      </c>
      <c r="E2079" s="2">
        <v>5929.2</v>
      </c>
      <c r="F2079">
        <v>65</v>
      </c>
    </row>
    <row r="2080" spans="1:6">
      <c r="A2080" t="s">
        <v>12</v>
      </c>
      <c r="B2080" t="s">
        <v>32</v>
      </c>
      <c r="C2080" t="s">
        <v>46</v>
      </c>
      <c r="D2080" t="s">
        <v>214</v>
      </c>
      <c r="E2080" s="2">
        <v>516.91999999999996</v>
      </c>
      <c r="F2080">
        <v>141</v>
      </c>
    </row>
    <row r="2081" spans="1:6">
      <c r="A2081" t="s">
        <v>28</v>
      </c>
      <c r="B2081" t="s">
        <v>7</v>
      </c>
      <c r="C2081" t="s">
        <v>90</v>
      </c>
      <c r="D2081" s="1">
        <v>45019</v>
      </c>
      <c r="E2081" s="2">
        <v>2882.76</v>
      </c>
      <c r="F2081">
        <v>145</v>
      </c>
    </row>
    <row r="2082" spans="1:6">
      <c r="A2082" t="s">
        <v>48</v>
      </c>
      <c r="B2082" t="s">
        <v>25</v>
      </c>
      <c r="C2082" t="s">
        <v>13</v>
      </c>
      <c r="D2082" t="s">
        <v>234</v>
      </c>
      <c r="E2082" s="2">
        <v>1637.72</v>
      </c>
      <c r="F2082">
        <v>454</v>
      </c>
    </row>
    <row r="2083" spans="1:6">
      <c r="A2083" t="s">
        <v>48</v>
      </c>
      <c r="B2083" t="s">
        <v>25</v>
      </c>
      <c r="C2083" t="s">
        <v>26</v>
      </c>
      <c r="D2083" t="s">
        <v>199</v>
      </c>
      <c r="E2083" s="2">
        <v>10791.46</v>
      </c>
      <c r="F2083">
        <v>88</v>
      </c>
    </row>
    <row r="2084" spans="1:6">
      <c r="A2084" t="s">
        <v>41</v>
      </c>
      <c r="B2084" t="s">
        <v>35</v>
      </c>
      <c r="C2084" t="s">
        <v>38</v>
      </c>
      <c r="D2084" s="1">
        <v>45053</v>
      </c>
      <c r="E2084" s="2">
        <v>1093.46</v>
      </c>
      <c r="F2084">
        <v>115</v>
      </c>
    </row>
    <row r="2085" spans="1:6">
      <c r="A2085" t="s">
        <v>31</v>
      </c>
      <c r="B2085" t="s">
        <v>32</v>
      </c>
      <c r="C2085" t="s">
        <v>90</v>
      </c>
      <c r="D2085" t="s">
        <v>221</v>
      </c>
      <c r="E2085" s="2">
        <v>3407.61</v>
      </c>
      <c r="F2085">
        <v>316</v>
      </c>
    </row>
    <row r="2086" spans="1:6">
      <c r="A2086" t="s">
        <v>34</v>
      </c>
      <c r="B2086" t="s">
        <v>35</v>
      </c>
      <c r="C2086" t="s">
        <v>65</v>
      </c>
      <c r="D2086" s="1">
        <v>45265</v>
      </c>
      <c r="E2086" s="2">
        <v>4753.93</v>
      </c>
      <c r="F2086">
        <v>37</v>
      </c>
    </row>
    <row r="2087" spans="1:6">
      <c r="A2087" t="s">
        <v>19</v>
      </c>
      <c r="B2087" t="s">
        <v>32</v>
      </c>
      <c r="C2087" t="s">
        <v>38</v>
      </c>
      <c r="D2087" s="1">
        <v>45233</v>
      </c>
      <c r="E2087" s="2">
        <v>8280.6200000000008</v>
      </c>
      <c r="F2087">
        <v>47</v>
      </c>
    </row>
    <row r="2088" spans="1:6">
      <c r="A2088" t="s">
        <v>28</v>
      </c>
      <c r="B2088" t="s">
        <v>25</v>
      </c>
      <c r="C2088" t="s">
        <v>36</v>
      </c>
      <c r="D2088" s="1">
        <v>45237</v>
      </c>
      <c r="E2088" s="2">
        <v>4981.78</v>
      </c>
      <c r="F2088">
        <v>299</v>
      </c>
    </row>
    <row r="2089" spans="1:6">
      <c r="A2089" t="s">
        <v>22</v>
      </c>
      <c r="B2089" t="s">
        <v>25</v>
      </c>
      <c r="C2089" t="s">
        <v>75</v>
      </c>
      <c r="D2089" s="1">
        <v>44934</v>
      </c>
      <c r="E2089" s="2">
        <v>13998.33</v>
      </c>
      <c r="F2089">
        <v>60</v>
      </c>
    </row>
    <row r="2090" spans="1:6">
      <c r="A2090" t="s">
        <v>22</v>
      </c>
      <c r="B2090" t="s">
        <v>7</v>
      </c>
      <c r="C2090" t="s">
        <v>50</v>
      </c>
      <c r="D2090" t="s">
        <v>171</v>
      </c>
      <c r="E2090" s="2">
        <v>13105.65</v>
      </c>
      <c r="F2090">
        <v>199</v>
      </c>
    </row>
    <row r="2091" spans="1:6">
      <c r="A2091" t="s">
        <v>48</v>
      </c>
      <c r="B2091" t="s">
        <v>32</v>
      </c>
      <c r="C2091" t="s">
        <v>23</v>
      </c>
      <c r="D2091" t="s">
        <v>224</v>
      </c>
      <c r="E2091" s="2">
        <v>15728.81</v>
      </c>
      <c r="F2091">
        <v>256</v>
      </c>
    </row>
    <row r="2092" spans="1:6">
      <c r="A2092" t="s">
        <v>19</v>
      </c>
      <c r="B2092" t="s">
        <v>10</v>
      </c>
      <c r="C2092" t="s">
        <v>75</v>
      </c>
      <c r="D2092" t="s">
        <v>170</v>
      </c>
      <c r="E2092" s="2">
        <v>53.85</v>
      </c>
      <c r="F2092">
        <v>399</v>
      </c>
    </row>
    <row r="2093" spans="1:6">
      <c r="A2093" t="s">
        <v>83</v>
      </c>
      <c r="B2093" t="s">
        <v>15</v>
      </c>
      <c r="C2093" t="s">
        <v>13</v>
      </c>
      <c r="D2093" t="s">
        <v>175</v>
      </c>
      <c r="E2093" s="2">
        <v>10857.23</v>
      </c>
      <c r="F2093">
        <v>73</v>
      </c>
    </row>
    <row r="2094" spans="1:6">
      <c r="A2094" t="s">
        <v>19</v>
      </c>
      <c r="B2094" t="s">
        <v>15</v>
      </c>
      <c r="C2094" t="s">
        <v>50</v>
      </c>
      <c r="D2094" t="s">
        <v>254</v>
      </c>
      <c r="E2094" s="2">
        <v>12412.53</v>
      </c>
      <c r="F2094">
        <v>25</v>
      </c>
    </row>
    <row r="2095" spans="1:6">
      <c r="A2095" t="s">
        <v>6</v>
      </c>
      <c r="B2095" t="s">
        <v>35</v>
      </c>
      <c r="C2095" t="s">
        <v>60</v>
      </c>
      <c r="D2095" s="1">
        <v>45050</v>
      </c>
      <c r="E2095" s="2">
        <v>3669.15</v>
      </c>
      <c r="F2095">
        <v>209</v>
      </c>
    </row>
    <row r="2096" spans="1:6">
      <c r="A2096" t="s">
        <v>71</v>
      </c>
      <c r="B2096" t="s">
        <v>35</v>
      </c>
      <c r="C2096" t="s">
        <v>38</v>
      </c>
      <c r="D2096" s="1">
        <v>44988</v>
      </c>
      <c r="E2096" s="2">
        <v>13555.26</v>
      </c>
      <c r="F2096">
        <v>279</v>
      </c>
    </row>
    <row r="2097" spans="1:6">
      <c r="A2097" t="s">
        <v>55</v>
      </c>
      <c r="B2097" t="s">
        <v>32</v>
      </c>
      <c r="C2097" t="s">
        <v>50</v>
      </c>
      <c r="D2097" t="s">
        <v>231</v>
      </c>
      <c r="E2097" s="2">
        <v>2333.84</v>
      </c>
      <c r="F2097">
        <v>171</v>
      </c>
    </row>
    <row r="2098" spans="1:6">
      <c r="A2098" t="s">
        <v>40</v>
      </c>
      <c r="B2098" t="s">
        <v>25</v>
      </c>
      <c r="C2098" t="s">
        <v>100</v>
      </c>
      <c r="D2098" t="s">
        <v>170</v>
      </c>
      <c r="E2098" s="2">
        <v>8973.0499999999993</v>
      </c>
      <c r="F2098">
        <v>360</v>
      </c>
    </row>
    <row r="2099" spans="1:6">
      <c r="A2099" t="s">
        <v>45</v>
      </c>
      <c r="B2099" t="s">
        <v>25</v>
      </c>
      <c r="C2099" t="s">
        <v>20</v>
      </c>
      <c r="D2099" t="s">
        <v>257</v>
      </c>
      <c r="E2099" s="2">
        <v>8610.3799999999992</v>
      </c>
      <c r="F2099">
        <v>188</v>
      </c>
    </row>
    <row r="2100" spans="1:6">
      <c r="A2100" t="s">
        <v>19</v>
      </c>
      <c r="B2100" t="s">
        <v>25</v>
      </c>
      <c r="C2100" t="s">
        <v>11</v>
      </c>
      <c r="D2100" s="1">
        <v>44928</v>
      </c>
      <c r="E2100" s="2">
        <v>3432.3</v>
      </c>
      <c r="F2100">
        <v>452</v>
      </c>
    </row>
    <row r="2101" spans="1:6">
      <c r="A2101" t="s">
        <v>79</v>
      </c>
      <c r="B2101" t="s">
        <v>25</v>
      </c>
      <c r="C2101" t="s">
        <v>33</v>
      </c>
      <c r="D2101" s="1">
        <v>45024</v>
      </c>
      <c r="E2101" s="2">
        <v>2283.39</v>
      </c>
      <c r="F2101">
        <v>155</v>
      </c>
    </row>
    <row r="2102" spans="1:6">
      <c r="A2102" t="s">
        <v>67</v>
      </c>
      <c r="B2102" t="s">
        <v>25</v>
      </c>
      <c r="C2102" t="s">
        <v>65</v>
      </c>
      <c r="D2102" s="1">
        <v>45050</v>
      </c>
      <c r="E2102" s="2">
        <v>7190.49</v>
      </c>
      <c r="F2102">
        <v>165</v>
      </c>
    </row>
    <row r="2103" spans="1:6">
      <c r="A2103" t="s">
        <v>37</v>
      </c>
      <c r="B2103" t="s">
        <v>15</v>
      </c>
      <c r="C2103" t="s">
        <v>20</v>
      </c>
      <c r="D2103" t="s">
        <v>169</v>
      </c>
      <c r="E2103" s="2">
        <v>11303.07</v>
      </c>
      <c r="F2103">
        <v>166</v>
      </c>
    </row>
    <row r="2104" spans="1:6">
      <c r="A2104" t="s">
        <v>55</v>
      </c>
      <c r="B2104" t="s">
        <v>7</v>
      </c>
      <c r="C2104" t="s">
        <v>23</v>
      </c>
      <c r="D2104" t="s">
        <v>227</v>
      </c>
      <c r="E2104" s="2">
        <v>18911.490000000002</v>
      </c>
      <c r="F2104">
        <v>171</v>
      </c>
    </row>
    <row r="2105" spans="1:6">
      <c r="A2105" t="s">
        <v>55</v>
      </c>
      <c r="B2105" t="s">
        <v>35</v>
      </c>
      <c r="C2105" t="s">
        <v>23</v>
      </c>
      <c r="D2105" t="s">
        <v>186</v>
      </c>
      <c r="E2105" s="2">
        <v>6233.02</v>
      </c>
      <c r="F2105">
        <v>178</v>
      </c>
    </row>
    <row r="2106" spans="1:6">
      <c r="A2106" t="s">
        <v>55</v>
      </c>
      <c r="B2106" t="s">
        <v>7</v>
      </c>
      <c r="C2106" t="s">
        <v>38</v>
      </c>
      <c r="D2106" t="s">
        <v>199</v>
      </c>
      <c r="E2106" s="2">
        <v>2334.5</v>
      </c>
      <c r="F2106">
        <v>233</v>
      </c>
    </row>
    <row r="2107" spans="1:6">
      <c r="A2107" t="s">
        <v>29</v>
      </c>
      <c r="B2107" t="s">
        <v>7</v>
      </c>
      <c r="C2107" t="s">
        <v>26</v>
      </c>
      <c r="D2107" t="s">
        <v>171</v>
      </c>
      <c r="E2107" s="2">
        <v>11099.73</v>
      </c>
      <c r="F2107">
        <v>73</v>
      </c>
    </row>
    <row r="2108" spans="1:6">
      <c r="A2108" t="s">
        <v>79</v>
      </c>
      <c r="B2108" t="s">
        <v>32</v>
      </c>
      <c r="C2108" t="s">
        <v>73</v>
      </c>
      <c r="D2108" s="1">
        <v>44986</v>
      </c>
      <c r="E2108" s="2">
        <v>3590.55</v>
      </c>
      <c r="F2108">
        <v>47</v>
      </c>
    </row>
    <row r="2109" spans="1:6">
      <c r="A2109" t="s">
        <v>37</v>
      </c>
      <c r="B2109" t="s">
        <v>32</v>
      </c>
      <c r="C2109" t="s">
        <v>59</v>
      </c>
      <c r="D2109" t="s">
        <v>182</v>
      </c>
      <c r="E2109" s="2">
        <v>5209.3999999999996</v>
      </c>
      <c r="F2109">
        <v>2</v>
      </c>
    </row>
    <row r="2110" spans="1:6">
      <c r="A2110" t="s">
        <v>19</v>
      </c>
      <c r="B2110" t="s">
        <v>32</v>
      </c>
      <c r="C2110" t="s">
        <v>50</v>
      </c>
      <c r="D2110" s="1">
        <v>45109</v>
      </c>
      <c r="E2110" s="2">
        <v>6315.14</v>
      </c>
      <c r="F2110">
        <v>398</v>
      </c>
    </row>
    <row r="2111" spans="1:6">
      <c r="A2111" t="s">
        <v>34</v>
      </c>
      <c r="B2111" t="s">
        <v>15</v>
      </c>
      <c r="C2111" t="s">
        <v>18</v>
      </c>
      <c r="D2111" s="1">
        <v>45232</v>
      </c>
      <c r="E2111" s="2">
        <v>4454.71</v>
      </c>
      <c r="F2111">
        <v>117</v>
      </c>
    </row>
    <row r="2112" spans="1:6">
      <c r="A2112" t="s">
        <v>55</v>
      </c>
      <c r="B2112" t="s">
        <v>35</v>
      </c>
      <c r="C2112" t="s">
        <v>42</v>
      </c>
      <c r="D2112" t="s">
        <v>221</v>
      </c>
      <c r="E2112" s="2">
        <v>6078.71</v>
      </c>
      <c r="F2112">
        <v>78</v>
      </c>
    </row>
    <row r="2113" spans="1:6">
      <c r="A2113" t="s">
        <v>40</v>
      </c>
      <c r="B2113" t="s">
        <v>32</v>
      </c>
      <c r="C2113" t="s">
        <v>13</v>
      </c>
      <c r="D2113" t="s">
        <v>177</v>
      </c>
      <c r="E2113" s="2">
        <v>695.96</v>
      </c>
      <c r="F2113">
        <v>363</v>
      </c>
    </row>
    <row r="2114" spans="1:6">
      <c r="A2114" t="s">
        <v>58</v>
      </c>
      <c r="B2114" t="s">
        <v>7</v>
      </c>
      <c r="C2114" t="s">
        <v>18</v>
      </c>
      <c r="D2114" t="s">
        <v>254</v>
      </c>
      <c r="E2114" s="2">
        <v>563.76</v>
      </c>
      <c r="F2114">
        <v>151</v>
      </c>
    </row>
    <row r="2115" spans="1:6">
      <c r="A2115" t="s">
        <v>28</v>
      </c>
      <c r="B2115" t="s">
        <v>15</v>
      </c>
      <c r="C2115" t="s">
        <v>42</v>
      </c>
      <c r="D2115" t="s">
        <v>189</v>
      </c>
      <c r="E2115" s="2">
        <v>4479.6899999999996</v>
      </c>
      <c r="F2115">
        <v>261</v>
      </c>
    </row>
    <row r="2116" spans="1:6">
      <c r="A2116" t="s">
        <v>41</v>
      </c>
      <c r="B2116" t="s">
        <v>10</v>
      </c>
      <c r="C2116" t="s">
        <v>42</v>
      </c>
      <c r="D2116" t="s">
        <v>245</v>
      </c>
      <c r="E2116" s="2">
        <v>1093.72</v>
      </c>
      <c r="F2116">
        <v>22</v>
      </c>
    </row>
    <row r="2117" spans="1:6">
      <c r="A2117" t="s">
        <v>58</v>
      </c>
      <c r="B2117" t="s">
        <v>15</v>
      </c>
      <c r="C2117" t="s">
        <v>87</v>
      </c>
      <c r="D2117" s="1">
        <v>45231</v>
      </c>
      <c r="E2117" s="2">
        <v>15870.43</v>
      </c>
      <c r="F2117">
        <v>449</v>
      </c>
    </row>
    <row r="2118" spans="1:6">
      <c r="A2118" t="s">
        <v>41</v>
      </c>
      <c r="B2118" t="s">
        <v>7</v>
      </c>
      <c r="C2118" t="s">
        <v>26</v>
      </c>
      <c r="D2118" s="1">
        <v>45171</v>
      </c>
      <c r="E2118" s="2">
        <v>2529.8200000000002</v>
      </c>
      <c r="F2118">
        <v>297</v>
      </c>
    </row>
    <row r="2119" spans="1:6">
      <c r="A2119" t="s">
        <v>9</v>
      </c>
      <c r="B2119" t="s">
        <v>7</v>
      </c>
      <c r="C2119" t="s">
        <v>65</v>
      </c>
      <c r="D2119" s="1">
        <v>45083</v>
      </c>
      <c r="E2119" s="2">
        <v>11258.39</v>
      </c>
      <c r="F2119">
        <v>217</v>
      </c>
    </row>
    <row r="2120" spans="1:6">
      <c r="A2120" t="s">
        <v>79</v>
      </c>
      <c r="B2120" t="s">
        <v>7</v>
      </c>
      <c r="C2120" t="s">
        <v>90</v>
      </c>
      <c r="D2120" s="1">
        <v>45207</v>
      </c>
      <c r="E2120" s="2">
        <v>6180.45</v>
      </c>
      <c r="F2120">
        <v>230</v>
      </c>
    </row>
    <row r="2121" spans="1:6">
      <c r="A2121" t="s">
        <v>64</v>
      </c>
      <c r="B2121" t="s">
        <v>15</v>
      </c>
      <c r="C2121" t="s">
        <v>18</v>
      </c>
      <c r="D2121" s="1">
        <v>45017</v>
      </c>
      <c r="E2121" s="2">
        <v>2496.06</v>
      </c>
      <c r="F2121">
        <v>45</v>
      </c>
    </row>
    <row r="2122" spans="1:6">
      <c r="A2122" t="s">
        <v>67</v>
      </c>
      <c r="B2122" t="s">
        <v>35</v>
      </c>
      <c r="C2122" t="s">
        <v>100</v>
      </c>
      <c r="D2122" s="1">
        <v>45142</v>
      </c>
      <c r="E2122" s="2">
        <v>10964.29</v>
      </c>
      <c r="F2122">
        <v>16</v>
      </c>
    </row>
    <row r="2123" spans="1:6">
      <c r="A2123" t="s">
        <v>31</v>
      </c>
      <c r="B2123" t="s">
        <v>7</v>
      </c>
      <c r="C2123" t="s">
        <v>46</v>
      </c>
      <c r="D2123" s="1">
        <v>44960</v>
      </c>
      <c r="E2123" s="2">
        <v>4012.51</v>
      </c>
      <c r="F2123">
        <v>409</v>
      </c>
    </row>
    <row r="2124" spans="1:6">
      <c r="A2124" t="s">
        <v>9</v>
      </c>
      <c r="B2124" t="s">
        <v>35</v>
      </c>
      <c r="C2124" t="s">
        <v>38</v>
      </c>
      <c r="D2124" t="s">
        <v>177</v>
      </c>
      <c r="E2124" s="2">
        <v>4919.25</v>
      </c>
      <c r="F2124">
        <v>746</v>
      </c>
    </row>
    <row r="2125" spans="1:6">
      <c r="A2125" t="s">
        <v>6</v>
      </c>
      <c r="B2125" t="s">
        <v>15</v>
      </c>
      <c r="C2125" t="s">
        <v>23</v>
      </c>
      <c r="D2125" t="s">
        <v>170</v>
      </c>
      <c r="E2125" s="2">
        <v>5602.02</v>
      </c>
      <c r="F2125">
        <v>51</v>
      </c>
    </row>
    <row r="2126" spans="1:6">
      <c r="A2126" t="s">
        <v>53</v>
      </c>
      <c r="B2126" t="s">
        <v>7</v>
      </c>
      <c r="C2126" t="s">
        <v>23</v>
      </c>
      <c r="D2126" s="1">
        <v>45053</v>
      </c>
      <c r="E2126" s="2">
        <v>3563.87</v>
      </c>
      <c r="F2126">
        <v>372</v>
      </c>
    </row>
    <row r="2127" spans="1:6">
      <c r="A2127" t="s">
        <v>31</v>
      </c>
      <c r="B2127" t="s">
        <v>10</v>
      </c>
      <c r="C2127" t="s">
        <v>8</v>
      </c>
      <c r="D2127" s="1">
        <v>45261</v>
      </c>
      <c r="E2127" s="2">
        <v>8313.09</v>
      </c>
      <c r="F2127">
        <v>493</v>
      </c>
    </row>
    <row r="2128" spans="1:6">
      <c r="A2128" t="s">
        <v>48</v>
      </c>
      <c r="B2128" t="s">
        <v>10</v>
      </c>
      <c r="C2128" t="s">
        <v>8</v>
      </c>
      <c r="D2128" s="1">
        <v>44988</v>
      </c>
      <c r="E2128" s="2">
        <v>8447.48</v>
      </c>
      <c r="F2128">
        <v>96</v>
      </c>
    </row>
    <row r="2129" spans="1:6">
      <c r="A2129" t="s">
        <v>6</v>
      </c>
      <c r="B2129" t="s">
        <v>25</v>
      </c>
      <c r="C2129" t="s">
        <v>46</v>
      </c>
      <c r="D2129" t="s">
        <v>190</v>
      </c>
      <c r="E2129" s="2">
        <v>2646.23</v>
      </c>
      <c r="F2129">
        <v>198</v>
      </c>
    </row>
    <row r="2130" spans="1:6">
      <c r="A2130" t="s">
        <v>22</v>
      </c>
      <c r="B2130" t="s">
        <v>10</v>
      </c>
      <c r="C2130" t="s">
        <v>90</v>
      </c>
      <c r="D2130" t="s">
        <v>168</v>
      </c>
      <c r="E2130" s="2">
        <v>2706.83</v>
      </c>
      <c r="F2130">
        <v>198</v>
      </c>
    </row>
    <row r="2131" spans="1:6">
      <c r="A2131" t="s">
        <v>48</v>
      </c>
      <c r="B2131" t="s">
        <v>7</v>
      </c>
      <c r="C2131" t="s">
        <v>60</v>
      </c>
      <c r="D2131" s="1">
        <v>45109</v>
      </c>
      <c r="E2131" s="2">
        <v>1710.48</v>
      </c>
      <c r="F2131">
        <v>108</v>
      </c>
    </row>
    <row r="2132" spans="1:6">
      <c r="A2132" t="s">
        <v>67</v>
      </c>
      <c r="B2132" t="s">
        <v>10</v>
      </c>
      <c r="C2132" t="s">
        <v>33</v>
      </c>
      <c r="D2132" t="s">
        <v>174</v>
      </c>
      <c r="E2132" s="2">
        <v>318.19</v>
      </c>
      <c r="F2132">
        <v>417</v>
      </c>
    </row>
    <row r="2133" spans="1:6">
      <c r="A2133" t="s">
        <v>34</v>
      </c>
      <c r="B2133" t="s">
        <v>15</v>
      </c>
      <c r="C2133" t="s">
        <v>73</v>
      </c>
      <c r="D2133" t="s">
        <v>217</v>
      </c>
      <c r="E2133" s="2">
        <v>9479.65</v>
      </c>
      <c r="F2133">
        <v>26</v>
      </c>
    </row>
    <row r="2134" spans="1:6">
      <c r="A2134" t="s">
        <v>41</v>
      </c>
      <c r="B2134" t="s">
        <v>35</v>
      </c>
      <c r="C2134" t="s">
        <v>11</v>
      </c>
      <c r="D2134" t="s">
        <v>171</v>
      </c>
      <c r="E2134" s="2">
        <v>6393.2</v>
      </c>
      <c r="F2134">
        <v>44</v>
      </c>
    </row>
    <row r="2135" spans="1:6">
      <c r="A2135" t="s">
        <v>70</v>
      </c>
      <c r="B2135" t="s">
        <v>15</v>
      </c>
      <c r="C2135" t="s">
        <v>38</v>
      </c>
      <c r="D2135" s="1">
        <v>45021</v>
      </c>
      <c r="E2135" s="2">
        <v>1355.65</v>
      </c>
      <c r="F2135">
        <v>60</v>
      </c>
    </row>
    <row r="2136" spans="1:6">
      <c r="A2136" t="s">
        <v>9</v>
      </c>
      <c r="B2136" t="s">
        <v>35</v>
      </c>
      <c r="C2136" t="s">
        <v>100</v>
      </c>
      <c r="D2136" s="1">
        <v>44963</v>
      </c>
      <c r="E2136" s="2">
        <v>7911.23</v>
      </c>
      <c r="F2136">
        <v>74</v>
      </c>
    </row>
    <row r="2137" spans="1:6">
      <c r="A2137" t="s">
        <v>58</v>
      </c>
      <c r="B2137" t="s">
        <v>32</v>
      </c>
      <c r="C2137" t="s">
        <v>90</v>
      </c>
      <c r="D2137" s="1">
        <v>45237</v>
      </c>
      <c r="E2137" s="2">
        <v>2583.0300000000002</v>
      </c>
      <c r="F2137">
        <v>501</v>
      </c>
    </row>
    <row r="2138" spans="1:6">
      <c r="A2138" t="s">
        <v>41</v>
      </c>
      <c r="B2138" t="s">
        <v>25</v>
      </c>
      <c r="C2138" t="s">
        <v>50</v>
      </c>
      <c r="D2138" s="1">
        <v>45113</v>
      </c>
      <c r="E2138" s="2">
        <v>66.13</v>
      </c>
      <c r="F2138">
        <v>65</v>
      </c>
    </row>
    <row r="2139" spans="1:6">
      <c r="A2139" t="s">
        <v>14</v>
      </c>
      <c r="B2139" t="s">
        <v>7</v>
      </c>
      <c r="C2139" t="s">
        <v>65</v>
      </c>
      <c r="D2139" s="1">
        <v>45084</v>
      </c>
      <c r="E2139" s="2">
        <v>10668.69</v>
      </c>
      <c r="F2139">
        <v>150</v>
      </c>
    </row>
    <row r="2140" spans="1:6">
      <c r="A2140" t="s">
        <v>53</v>
      </c>
      <c r="B2140" t="s">
        <v>10</v>
      </c>
      <c r="C2140" t="s">
        <v>73</v>
      </c>
      <c r="D2140" t="s">
        <v>177</v>
      </c>
      <c r="E2140" s="2">
        <v>10994.3</v>
      </c>
      <c r="F2140">
        <v>152</v>
      </c>
    </row>
    <row r="2141" spans="1:6">
      <c r="A2141" t="s">
        <v>79</v>
      </c>
      <c r="B2141" t="s">
        <v>10</v>
      </c>
      <c r="C2141" t="s">
        <v>8</v>
      </c>
      <c r="D2141" t="s">
        <v>195</v>
      </c>
      <c r="E2141" s="2">
        <v>1259.6099999999999</v>
      </c>
      <c r="F2141">
        <v>227</v>
      </c>
    </row>
    <row r="2142" spans="1:6">
      <c r="A2142" t="s">
        <v>71</v>
      </c>
      <c r="B2142" t="s">
        <v>10</v>
      </c>
      <c r="C2142" t="s">
        <v>38</v>
      </c>
      <c r="D2142" s="1">
        <v>45146</v>
      </c>
      <c r="E2142" s="2">
        <v>492.13</v>
      </c>
      <c r="F2142">
        <v>164</v>
      </c>
    </row>
    <row r="2143" spans="1:6">
      <c r="A2143" t="s">
        <v>40</v>
      </c>
      <c r="B2143" t="s">
        <v>7</v>
      </c>
      <c r="C2143" t="s">
        <v>38</v>
      </c>
      <c r="D2143" t="s">
        <v>221</v>
      </c>
      <c r="E2143" s="2">
        <v>1016.77</v>
      </c>
      <c r="F2143">
        <v>28</v>
      </c>
    </row>
    <row r="2144" spans="1:6">
      <c r="A2144" t="s">
        <v>45</v>
      </c>
      <c r="B2144" t="s">
        <v>15</v>
      </c>
      <c r="C2144" t="s">
        <v>42</v>
      </c>
      <c r="D2144" s="1">
        <v>45023</v>
      </c>
      <c r="E2144" s="2">
        <v>4111.42</v>
      </c>
      <c r="F2144">
        <v>81</v>
      </c>
    </row>
    <row r="2145" spans="1:6">
      <c r="A2145" t="s">
        <v>83</v>
      </c>
      <c r="B2145" t="s">
        <v>10</v>
      </c>
      <c r="C2145" t="s">
        <v>20</v>
      </c>
      <c r="D2145" t="s">
        <v>171</v>
      </c>
      <c r="E2145" s="2">
        <v>503.97</v>
      </c>
      <c r="F2145">
        <v>105</v>
      </c>
    </row>
    <row r="2146" spans="1:6">
      <c r="A2146" t="s">
        <v>29</v>
      </c>
      <c r="B2146" t="s">
        <v>35</v>
      </c>
      <c r="C2146" t="s">
        <v>50</v>
      </c>
      <c r="D2146" s="1">
        <v>44962</v>
      </c>
      <c r="E2146" s="2">
        <v>2883.71</v>
      </c>
      <c r="F2146">
        <v>163</v>
      </c>
    </row>
    <row r="2147" spans="1:6">
      <c r="A2147" t="s">
        <v>9</v>
      </c>
      <c r="B2147" t="s">
        <v>10</v>
      </c>
      <c r="C2147" t="s">
        <v>36</v>
      </c>
      <c r="D2147" t="s">
        <v>244</v>
      </c>
      <c r="E2147" s="2">
        <v>11861.89</v>
      </c>
      <c r="F2147">
        <v>105</v>
      </c>
    </row>
    <row r="2148" spans="1:6">
      <c r="A2148" t="s">
        <v>22</v>
      </c>
      <c r="B2148" t="s">
        <v>15</v>
      </c>
      <c r="C2148" t="s">
        <v>20</v>
      </c>
      <c r="D2148" t="s">
        <v>201</v>
      </c>
      <c r="E2148" s="2">
        <v>8564.73</v>
      </c>
      <c r="F2148">
        <v>237</v>
      </c>
    </row>
    <row r="2149" spans="1:6">
      <c r="A2149" t="s">
        <v>55</v>
      </c>
      <c r="B2149" t="s">
        <v>32</v>
      </c>
      <c r="C2149" t="s">
        <v>11</v>
      </c>
      <c r="D2149" t="s">
        <v>250</v>
      </c>
      <c r="E2149" s="2">
        <v>538.03</v>
      </c>
      <c r="F2149">
        <v>271</v>
      </c>
    </row>
    <row r="2150" spans="1:6">
      <c r="A2150" t="s">
        <v>71</v>
      </c>
      <c r="B2150" t="s">
        <v>7</v>
      </c>
      <c r="C2150" t="s">
        <v>13</v>
      </c>
      <c r="D2150" t="s">
        <v>187</v>
      </c>
      <c r="E2150" s="2">
        <v>5231.88</v>
      </c>
      <c r="F2150">
        <v>125</v>
      </c>
    </row>
    <row r="2151" spans="1:6">
      <c r="A2151" t="s">
        <v>77</v>
      </c>
      <c r="B2151" t="s">
        <v>7</v>
      </c>
      <c r="C2151" t="s">
        <v>13</v>
      </c>
      <c r="D2151" s="1">
        <v>45268</v>
      </c>
      <c r="E2151" s="2">
        <v>7916.13</v>
      </c>
      <c r="F2151">
        <v>84</v>
      </c>
    </row>
    <row r="2152" spans="1:6">
      <c r="A2152" t="s">
        <v>77</v>
      </c>
      <c r="B2152" t="s">
        <v>32</v>
      </c>
      <c r="C2152" t="s">
        <v>75</v>
      </c>
      <c r="D2152" s="1">
        <v>45113</v>
      </c>
      <c r="E2152" s="2">
        <v>6016.32</v>
      </c>
      <c r="F2152">
        <v>143</v>
      </c>
    </row>
    <row r="2153" spans="1:6">
      <c r="A2153" t="s">
        <v>40</v>
      </c>
      <c r="B2153" t="s">
        <v>35</v>
      </c>
      <c r="C2153" t="s">
        <v>13</v>
      </c>
      <c r="D2153" s="1">
        <v>45141</v>
      </c>
      <c r="E2153" s="2">
        <v>7504.86</v>
      </c>
      <c r="F2153">
        <v>97</v>
      </c>
    </row>
    <row r="2154" spans="1:6">
      <c r="A2154" t="s">
        <v>83</v>
      </c>
      <c r="B2154" t="s">
        <v>15</v>
      </c>
      <c r="C2154" t="s">
        <v>75</v>
      </c>
      <c r="D2154" s="1">
        <v>45142</v>
      </c>
      <c r="E2154" s="2">
        <v>1590.98</v>
      </c>
      <c r="F2154">
        <v>182</v>
      </c>
    </row>
    <row r="2155" spans="1:6">
      <c r="A2155" t="s">
        <v>48</v>
      </c>
      <c r="B2155" t="s">
        <v>35</v>
      </c>
      <c r="C2155" t="s">
        <v>36</v>
      </c>
      <c r="D2155" s="1">
        <v>45082</v>
      </c>
      <c r="E2155" s="2">
        <v>740.07</v>
      </c>
      <c r="F2155">
        <v>205</v>
      </c>
    </row>
    <row r="2156" spans="1:6">
      <c r="A2156" t="s">
        <v>45</v>
      </c>
      <c r="B2156" t="s">
        <v>10</v>
      </c>
      <c r="C2156" t="s">
        <v>38</v>
      </c>
      <c r="D2156" t="s">
        <v>229</v>
      </c>
      <c r="E2156" s="2">
        <v>4591.1099999999997</v>
      </c>
      <c r="F2156">
        <v>11</v>
      </c>
    </row>
    <row r="2157" spans="1:6">
      <c r="A2157" t="s">
        <v>9</v>
      </c>
      <c r="B2157" t="s">
        <v>15</v>
      </c>
      <c r="C2157" t="s">
        <v>8</v>
      </c>
      <c r="D2157" t="s">
        <v>167</v>
      </c>
      <c r="E2157" s="2">
        <v>2686.51</v>
      </c>
      <c r="F2157">
        <v>324</v>
      </c>
    </row>
    <row r="2158" spans="1:6">
      <c r="A2158" t="s">
        <v>58</v>
      </c>
      <c r="B2158" t="s">
        <v>32</v>
      </c>
      <c r="C2158" t="s">
        <v>100</v>
      </c>
      <c r="D2158" t="s">
        <v>234</v>
      </c>
      <c r="E2158" s="2">
        <v>735.48</v>
      </c>
      <c r="F2158">
        <v>77</v>
      </c>
    </row>
    <row r="2159" spans="1:6">
      <c r="A2159" t="s">
        <v>67</v>
      </c>
      <c r="B2159" t="s">
        <v>35</v>
      </c>
      <c r="C2159" t="s">
        <v>13</v>
      </c>
      <c r="D2159" t="s">
        <v>171</v>
      </c>
      <c r="E2159" s="2">
        <v>1160.54</v>
      </c>
      <c r="F2159">
        <v>311</v>
      </c>
    </row>
    <row r="2160" spans="1:6">
      <c r="A2160" t="s">
        <v>12</v>
      </c>
      <c r="B2160" t="s">
        <v>32</v>
      </c>
      <c r="C2160" t="s">
        <v>100</v>
      </c>
      <c r="D2160" t="s">
        <v>225</v>
      </c>
      <c r="E2160" s="2">
        <v>8078.15</v>
      </c>
      <c r="F2160">
        <v>189</v>
      </c>
    </row>
    <row r="2161" spans="1:6">
      <c r="A2161" t="s">
        <v>29</v>
      </c>
      <c r="B2161" t="s">
        <v>15</v>
      </c>
      <c r="C2161" t="s">
        <v>59</v>
      </c>
      <c r="D2161" t="s">
        <v>251</v>
      </c>
      <c r="E2161" s="2">
        <v>7467.74</v>
      </c>
      <c r="F2161">
        <v>111</v>
      </c>
    </row>
    <row r="2162" spans="1:6">
      <c r="A2162" t="s">
        <v>45</v>
      </c>
      <c r="B2162" t="s">
        <v>35</v>
      </c>
      <c r="C2162" t="s">
        <v>38</v>
      </c>
      <c r="D2162" t="s">
        <v>247</v>
      </c>
      <c r="E2162" s="2">
        <v>7588.41</v>
      </c>
      <c r="F2162">
        <v>342</v>
      </c>
    </row>
    <row r="2163" spans="1:6">
      <c r="A2163" t="s">
        <v>71</v>
      </c>
      <c r="B2163" t="s">
        <v>25</v>
      </c>
      <c r="C2163" t="s">
        <v>11</v>
      </c>
      <c r="D2163" s="1">
        <v>45146</v>
      </c>
      <c r="E2163" s="2">
        <v>15372.54</v>
      </c>
      <c r="F2163">
        <v>57</v>
      </c>
    </row>
    <row r="2164" spans="1:6">
      <c r="A2164" t="s">
        <v>77</v>
      </c>
      <c r="B2164" t="s">
        <v>35</v>
      </c>
      <c r="C2164" t="s">
        <v>46</v>
      </c>
      <c r="D2164" t="s">
        <v>254</v>
      </c>
      <c r="E2164" s="2">
        <v>3907.5</v>
      </c>
      <c r="F2164">
        <v>86</v>
      </c>
    </row>
    <row r="2165" spans="1:6">
      <c r="A2165" t="s">
        <v>77</v>
      </c>
      <c r="B2165" t="s">
        <v>15</v>
      </c>
      <c r="C2165" t="s">
        <v>100</v>
      </c>
      <c r="D2165" t="s">
        <v>184</v>
      </c>
      <c r="E2165" s="2">
        <v>3740.76</v>
      </c>
      <c r="F2165">
        <v>255</v>
      </c>
    </row>
    <row r="2166" spans="1:6">
      <c r="A2166" t="s">
        <v>19</v>
      </c>
      <c r="B2166" t="s">
        <v>35</v>
      </c>
      <c r="C2166" t="s">
        <v>36</v>
      </c>
      <c r="D2166" t="s">
        <v>183</v>
      </c>
      <c r="E2166" s="2">
        <v>6211.75</v>
      </c>
      <c r="F2166">
        <v>561</v>
      </c>
    </row>
    <row r="2167" spans="1:6">
      <c r="A2167" t="s">
        <v>58</v>
      </c>
      <c r="B2167" t="s">
        <v>35</v>
      </c>
      <c r="C2167" t="s">
        <v>38</v>
      </c>
      <c r="D2167" s="1">
        <v>45200</v>
      </c>
      <c r="E2167" s="2">
        <v>2924.46</v>
      </c>
      <c r="F2167">
        <v>25</v>
      </c>
    </row>
    <row r="2168" spans="1:6">
      <c r="A2168" t="s">
        <v>34</v>
      </c>
      <c r="B2168" t="s">
        <v>25</v>
      </c>
      <c r="C2168" t="s">
        <v>23</v>
      </c>
      <c r="D2168" s="1">
        <v>45021</v>
      </c>
      <c r="E2168" s="2">
        <v>501.79</v>
      </c>
      <c r="F2168">
        <v>241</v>
      </c>
    </row>
    <row r="2169" spans="1:6">
      <c r="A2169" t="s">
        <v>45</v>
      </c>
      <c r="B2169" t="s">
        <v>35</v>
      </c>
      <c r="C2169" t="s">
        <v>59</v>
      </c>
      <c r="D2169" s="1">
        <v>45050</v>
      </c>
      <c r="E2169" s="2">
        <v>6594.09</v>
      </c>
      <c r="F2169">
        <v>270</v>
      </c>
    </row>
    <row r="2170" spans="1:6">
      <c r="A2170" t="s">
        <v>67</v>
      </c>
      <c r="B2170" t="s">
        <v>10</v>
      </c>
      <c r="C2170" t="s">
        <v>23</v>
      </c>
      <c r="D2170" t="s">
        <v>255</v>
      </c>
      <c r="E2170" s="2">
        <v>960.68</v>
      </c>
      <c r="F2170">
        <v>71</v>
      </c>
    </row>
    <row r="2171" spans="1:6">
      <c r="A2171" t="s">
        <v>45</v>
      </c>
      <c r="B2171" t="s">
        <v>10</v>
      </c>
      <c r="C2171" t="s">
        <v>50</v>
      </c>
      <c r="D2171" t="s">
        <v>242</v>
      </c>
      <c r="E2171" s="2">
        <v>11370.32</v>
      </c>
      <c r="F2171">
        <v>170</v>
      </c>
    </row>
    <row r="2172" spans="1:6">
      <c r="A2172" t="s">
        <v>79</v>
      </c>
      <c r="B2172" t="s">
        <v>15</v>
      </c>
      <c r="C2172" t="s">
        <v>59</v>
      </c>
      <c r="D2172" s="1">
        <v>45053</v>
      </c>
      <c r="E2172" s="2">
        <v>6067.94</v>
      </c>
      <c r="F2172">
        <v>94</v>
      </c>
    </row>
    <row r="2173" spans="1:6">
      <c r="A2173" t="s">
        <v>19</v>
      </c>
      <c r="B2173" t="s">
        <v>35</v>
      </c>
      <c r="C2173" t="s">
        <v>33</v>
      </c>
      <c r="D2173" t="s">
        <v>162</v>
      </c>
      <c r="E2173" s="2">
        <v>8909.75</v>
      </c>
      <c r="F2173">
        <v>355</v>
      </c>
    </row>
    <row r="2174" spans="1:6">
      <c r="A2174" t="s">
        <v>55</v>
      </c>
      <c r="B2174" t="s">
        <v>35</v>
      </c>
      <c r="C2174" t="s">
        <v>65</v>
      </c>
      <c r="D2174" s="1">
        <v>45268</v>
      </c>
      <c r="E2174" s="2">
        <v>6865.35</v>
      </c>
      <c r="F2174">
        <v>75</v>
      </c>
    </row>
    <row r="2175" spans="1:6">
      <c r="A2175" t="s">
        <v>14</v>
      </c>
      <c r="B2175" t="s">
        <v>7</v>
      </c>
      <c r="C2175" t="s">
        <v>87</v>
      </c>
      <c r="D2175" s="1">
        <v>45233</v>
      </c>
      <c r="E2175" s="2">
        <v>805.23</v>
      </c>
      <c r="F2175">
        <v>259</v>
      </c>
    </row>
    <row r="2176" spans="1:6">
      <c r="A2176" t="s">
        <v>6</v>
      </c>
      <c r="B2176" t="s">
        <v>7</v>
      </c>
      <c r="C2176" t="s">
        <v>57</v>
      </c>
      <c r="D2176" t="s">
        <v>233</v>
      </c>
      <c r="E2176" s="2">
        <v>9851.6200000000008</v>
      </c>
      <c r="F2176">
        <v>221</v>
      </c>
    </row>
    <row r="2177" spans="1:6">
      <c r="A2177" t="s">
        <v>58</v>
      </c>
      <c r="B2177" t="s">
        <v>32</v>
      </c>
      <c r="C2177" t="s">
        <v>18</v>
      </c>
      <c r="D2177" s="1">
        <v>45265</v>
      </c>
      <c r="E2177" s="2">
        <v>11823.35</v>
      </c>
      <c r="F2177">
        <v>90</v>
      </c>
    </row>
    <row r="2178" spans="1:6">
      <c r="A2178" t="s">
        <v>28</v>
      </c>
      <c r="B2178" t="s">
        <v>32</v>
      </c>
      <c r="C2178" t="s">
        <v>73</v>
      </c>
      <c r="D2178" s="1">
        <v>45261</v>
      </c>
      <c r="E2178" s="2">
        <v>683.63</v>
      </c>
      <c r="F2178">
        <v>202</v>
      </c>
    </row>
    <row r="2179" spans="1:6">
      <c r="A2179" t="s">
        <v>77</v>
      </c>
      <c r="B2179" t="s">
        <v>25</v>
      </c>
      <c r="C2179" t="s">
        <v>46</v>
      </c>
      <c r="D2179" t="s">
        <v>221</v>
      </c>
      <c r="E2179" s="2">
        <v>14002.42</v>
      </c>
      <c r="F2179">
        <v>388</v>
      </c>
    </row>
    <row r="2180" spans="1:6">
      <c r="A2180" t="s">
        <v>45</v>
      </c>
      <c r="B2180" t="s">
        <v>10</v>
      </c>
      <c r="C2180" t="s">
        <v>26</v>
      </c>
      <c r="D2180" t="s">
        <v>175</v>
      </c>
      <c r="E2180" s="2">
        <v>8744.9500000000007</v>
      </c>
      <c r="F2180">
        <v>12</v>
      </c>
    </row>
    <row r="2181" spans="1:6">
      <c r="A2181" t="s">
        <v>31</v>
      </c>
      <c r="B2181" t="s">
        <v>25</v>
      </c>
      <c r="C2181" t="s">
        <v>20</v>
      </c>
      <c r="D2181" t="s">
        <v>178</v>
      </c>
      <c r="E2181" s="2">
        <v>9294.14</v>
      </c>
      <c r="F2181">
        <v>201</v>
      </c>
    </row>
    <row r="2182" spans="1:6">
      <c r="A2182" t="s">
        <v>58</v>
      </c>
      <c r="B2182" t="s">
        <v>35</v>
      </c>
      <c r="C2182" t="s">
        <v>42</v>
      </c>
      <c r="D2182" t="s">
        <v>210</v>
      </c>
      <c r="E2182" s="2">
        <v>8831.89</v>
      </c>
      <c r="F2182">
        <v>79</v>
      </c>
    </row>
    <row r="2183" spans="1:6">
      <c r="A2183" t="s">
        <v>41</v>
      </c>
      <c r="B2183" t="s">
        <v>10</v>
      </c>
      <c r="C2183" t="s">
        <v>65</v>
      </c>
      <c r="D2183" t="s">
        <v>178</v>
      </c>
      <c r="E2183" s="2">
        <v>3474.98</v>
      </c>
      <c r="F2183">
        <v>104</v>
      </c>
    </row>
    <row r="2184" spans="1:6">
      <c r="A2184" t="s">
        <v>28</v>
      </c>
      <c r="B2184" t="s">
        <v>15</v>
      </c>
      <c r="C2184" t="s">
        <v>13</v>
      </c>
      <c r="D2184" t="s">
        <v>240</v>
      </c>
      <c r="E2184" s="2">
        <v>311.61</v>
      </c>
      <c r="F2184">
        <v>204</v>
      </c>
    </row>
    <row r="2185" spans="1:6">
      <c r="A2185" t="s">
        <v>37</v>
      </c>
      <c r="B2185" t="s">
        <v>15</v>
      </c>
      <c r="C2185" t="s">
        <v>50</v>
      </c>
      <c r="D2185" t="s">
        <v>247</v>
      </c>
      <c r="E2185" s="2">
        <v>4791.2</v>
      </c>
      <c r="F2185">
        <v>335</v>
      </c>
    </row>
    <row r="2186" spans="1:6">
      <c r="A2186" t="s">
        <v>6</v>
      </c>
      <c r="B2186" t="s">
        <v>32</v>
      </c>
      <c r="C2186" t="s">
        <v>59</v>
      </c>
      <c r="D2186" s="1">
        <v>45113</v>
      </c>
      <c r="E2186" s="2">
        <v>6646.33</v>
      </c>
      <c r="F2186">
        <v>117</v>
      </c>
    </row>
    <row r="2187" spans="1:6">
      <c r="A2187" t="s">
        <v>83</v>
      </c>
      <c r="B2187" t="s">
        <v>35</v>
      </c>
      <c r="C2187" t="s">
        <v>42</v>
      </c>
      <c r="D2187" t="s">
        <v>204</v>
      </c>
      <c r="E2187" s="2">
        <v>593.63</v>
      </c>
      <c r="F2187">
        <v>229</v>
      </c>
    </row>
    <row r="2188" spans="1:6">
      <c r="A2188" t="s">
        <v>79</v>
      </c>
      <c r="B2188" t="s">
        <v>10</v>
      </c>
      <c r="C2188" t="s">
        <v>36</v>
      </c>
      <c r="D2188" t="s">
        <v>168</v>
      </c>
      <c r="E2188" s="2">
        <v>2345.9499999999998</v>
      </c>
      <c r="F2188">
        <v>406</v>
      </c>
    </row>
    <row r="2189" spans="1:6">
      <c r="A2189" t="s">
        <v>37</v>
      </c>
      <c r="B2189" t="s">
        <v>10</v>
      </c>
      <c r="C2189" t="s">
        <v>100</v>
      </c>
      <c r="D2189" t="s">
        <v>239</v>
      </c>
      <c r="E2189" s="2">
        <v>5083.07</v>
      </c>
      <c r="F2189">
        <v>368</v>
      </c>
    </row>
    <row r="2190" spans="1:6">
      <c r="A2190" t="s">
        <v>6</v>
      </c>
      <c r="B2190" t="s">
        <v>7</v>
      </c>
      <c r="C2190" t="s">
        <v>8</v>
      </c>
      <c r="D2190" s="1">
        <v>45383</v>
      </c>
      <c r="E2190" s="2">
        <v>6339.57</v>
      </c>
      <c r="F2190">
        <v>187</v>
      </c>
    </row>
    <row r="2191" spans="1:6">
      <c r="A2191" t="s">
        <v>9</v>
      </c>
      <c r="B2191" t="s">
        <v>10</v>
      </c>
      <c r="C2191" t="s">
        <v>11</v>
      </c>
      <c r="D2191" s="1">
        <v>45299</v>
      </c>
      <c r="E2191" s="2">
        <v>9005.8700000000008</v>
      </c>
      <c r="F2191">
        <v>90</v>
      </c>
    </row>
    <row r="2192" spans="1:6">
      <c r="A2192" t="s">
        <v>12</v>
      </c>
      <c r="B2192" t="s">
        <v>10</v>
      </c>
      <c r="C2192" t="s">
        <v>13</v>
      </c>
      <c r="D2192" s="1">
        <v>45480</v>
      </c>
      <c r="E2192" s="2">
        <v>5159.07</v>
      </c>
      <c r="F2192">
        <v>87</v>
      </c>
    </row>
    <row r="2193" spans="1:6">
      <c r="A2193" t="s">
        <v>14</v>
      </c>
      <c r="B2193" t="s">
        <v>15</v>
      </c>
      <c r="C2193" t="s">
        <v>13</v>
      </c>
      <c r="D2193" t="s">
        <v>265</v>
      </c>
      <c r="E2193" s="2">
        <v>13370.97</v>
      </c>
      <c r="F2193">
        <v>349</v>
      </c>
    </row>
    <row r="2194" spans="1:6">
      <c r="A2194" t="s">
        <v>6</v>
      </c>
      <c r="B2194" t="s">
        <v>7</v>
      </c>
      <c r="C2194" t="s">
        <v>13</v>
      </c>
      <c r="D2194" t="s">
        <v>266</v>
      </c>
      <c r="E2194" s="2">
        <v>14791.64</v>
      </c>
      <c r="F2194">
        <v>182</v>
      </c>
    </row>
    <row r="2195" spans="1:6">
      <c r="A2195" t="s">
        <v>9</v>
      </c>
      <c r="B2195" t="s">
        <v>10</v>
      </c>
      <c r="C2195" t="s">
        <v>18</v>
      </c>
      <c r="D2195" s="1">
        <v>45449</v>
      </c>
      <c r="E2195" s="2">
        <v>6429.35</v>
      </c>
      <c r="F2195">
        <v>40</v>
      </c>
    </row>
    <row r="2196" spans="1:6">
      <c r="A2196" t="s">
        <v>19</v>
      </c>
      <c r="B2196" t="s">
        <v>7</v>
      </c>
      <c r="C2196" t="s">
        <v>20</v>
      </c>
      <c r="D2196" t="s">
        <v>267</v>
      </c>
      <c r="E2196" s="2">
        <v>15900.6</v>
      </c>
      <c r="F2196">
        <v>188</v>
      </c>
    </row>
    <row r="2197" spans="1:6">
      <c r="A2197" t="s">
        <v>22</v>
      </c>
      <c r="B2197" t="s">
        <v>15</v>
      </c>
      <c r="C2197" t="s">
        <v>23</v>
      </c>
      <c r="D2197" t="s">
        <v>268</v>
      </c>
      <c r="E2197" s="2">
        <v>3400.26</v>
      </c>
      <c r="F2197">
        <v>77</v>
      </c>
    </row>
    <row r="2198" spans="1:6">
      <c r="A2198" t="s">
        <v>6</v>
      </c>
      <c r="B2198" t="s">
        <v>25</v>
      </c>
      <c r="C2198" t="s">
        <v>26</v>
      </c>
      <c r="D2198" t="s">
        <v>269</v>
      </c>
      <c r="E2198" s="2">
        <v>4357.76</v>
      </c>
      <c r="F2198">
        <v>63</v>
      </c>
    </row>
    <row r="2199" spans="1:6">
      <c r="A2199" t="s">
        <v>28</v>
      </c>
      <c r="B2199" t="s">
        <v>15</v>
      </c>
      <c r="C2199" t="s">
        <v>20</v>
      </c>
      <c r="D2199" s="1">
        <v>45389</v>
      </c>
      <c r="E2199" s="2">
        <v>3356.17</v>
      </c>
      <c r="F2199">
        <v>111</v>
      </c>
    </row>
    <row r="2200" spans="1:6">
      <c r="A2200" t="s">
        <v>29</v>
      </c>
      <c r="B2200" t="s">
        <v>7</v>
      </c>
      <c r="C2200" t="s">
        <v>18</v>
      </c>
      <c r="D2200" t="s">
        <v>270</v>
      </c>
      <c r="E2200" s="2">
        <v>5287.86</v>
      </c>
      <c r="F2200">
        <v>67</v>
      </c>
    </row>
    <row r="2201" spans="1:6">
      <c r="A2201" t="s">
        <v>31</v>
      </c>
      <c r="B2201" t="s">
        <v>32</v>
      </c>
      <c r="C2201" t="s">
        <v>33</v>
      </c>
      <c r="D2201" s="1">
        <v>45568</v>
      </c>
      <c r="E2201" s="2">
        <v>4244.3599999999997</v>
      </c>
      <c r="F2201">
        <v>11</v>
      </c>
    </row>
    <row r="2202" spans="1:6">
      <c r="A2202" t="s">
        <v>34</v>
      </c>
      <c r="B2202" t="s">
        <v>35</v>
      </c>
      <c r="C2202" t="s">
        <v>36</v>
      </c>
      <c r="D2202" t="s">
        <v>270</v>
      </c>
      <c r="E2202" s="2">
        <v>1671.64</v>
      </c>
      <c r="F2202">
        <v>277</v>
      </c>
    </row>
    <row r="2203" spans="1:6">
      <c r="A2203" t="s">
        <v>37</v>
      </c>
      <c r="B2203" t="s">
        <v>25</v>
      </c>
      <c r="C2203" t="s">
        <v>38</v>
      </c>
      <c r="D2203" t="s">
        <v>271</v>
      </c>
      <c r="E2203" s="2">
        <v>181.84</v>
      </c>
      <c r="F2203">
        <v>167</v>
      </c>
    </row>
    <row r="2204" spans="1:6">
      <c r="A2204" t="s">
        <v>40</v>
      </c>
      <c r="B2204" t="s">
        <v>25</v>
      </c>
      <c r="C2204" t="s">
        <v>13</v>
      </c>
      <c r="D2204" s="1">
        <v>45359</v>
      </c>
      <c r="E2204" s="2">
        <v>8950.59</v>
      </c>
      <c r="F2204">
        <v>189</v>
      </c>
    </row>
    <row r="2205" spans="1:6">
      <c r="A2205" t="s">
        <v>41</v>
      </c>
      <c r="B2205" t="s">
        <v>15</v>
      </c>
      <c r="C2205" t="s">
        <v>42</v>
      </c>
      <c r="D2205" t="s">
        <v>272</v>
      </c>
      <c r="E2205" s="2">
        <v>7271.76</v>
      </c>
      <c r="F2205">
        <v>385</v>
      </c>
    </row>
    <row r="2206" spans="1:6">
      <c r="A2206" t="s">
        <v>9</v>
      </c>
      <c r="B2206" t="s">
        <v>35</v>
      </c>
      <c r="C2206" t="s">
        <v>42</v>
      </c>
      <c r="D2206" t="s">
        <v>273</v>
      </c>
      <c r="E2206" s="2">
        <v>4864.83</v>
      </c>
      <c r="F2206">
        <v>42</v>
      </c>
    </row>
    <row r="2207" spans="1:6">
      <c r="A2207" t="s">
        <v>45</v>
      </c>
      <c r="B2207" t="s">
        <v>32</v>
      </c>
      <c r="C2207" t="s">
        <v>18</v>
      </c>
      <c r="D2207" s="1">
        <v>45416</v>
      </c>
      <c r="E2207" s="2">
        <v>3175.11</v>
      </c>
      <c r="F2207">
        <v>149</v>
      </c>
    </row>
    <row r="2208" spans="1:6">
      <c r="A2208" t="s">
        <v>41</v>
      </c>
      <c r="B2208" t="s">
        <v>35</v>
      </c>
      <c r="C2208" t="s">
        <v>46</v>
      </c>
      <c r="D2208" t="s">
        <v>274</v>
      </c>
      <c r="E2208" s="2">
        <v>10137.790000000001</v>
      </c>
      <c r="F2208">
        <v>250</v>
      </c>
    </row>
    <row r="2209" spans="1:6">
      <c r="A2209" t="s">
        <v>48</v>
      </c>
      <c r="B2209" t="s">
        <v>7</v>
      </c>
      <c r="C2209" t="s">
        <v>11</v>
      </c>
      <c r="D2209" s="1">
        <v>45510</v>
      </c>
      <c r="E2209" s="2">
        <v>1206.95</v>
      </c>
      <c r="F2209">
        <v>174</v>
      </c>
    </row>
    <row r="2210" spans="1:6">
      <c r="A2210" t="s">
        <v>28</v>
      </c>
      <c r="B2210" t="s">
        <v>15</v>
      </c>
      <c r="C2210" t="s">
        <v>36</v>
      </c>
      <c r="D2210" t="s">
        <v>275</v>
      </c>
      <c r="E2210" s="2">
        <v>8222.65</v>
      </c>
      <c r="F2210">
        <v>92</v>
      </c>
    </row>
    <row r="2211" spans="1:6">
      <c r="A2211" t="s">
        <v>22</v>
      </c>
      <c r="B2211" t="s">
        <v>32</v>
      </c>
      <c r="C2211" t="s">
        <v>50</v>
      </c>
      <c r="D2211" t="s">
        <v>276</v>
      </c>
      <c r="E2211" s="2">
        <v>1440.85</v>
      </c>
      <c r="F2211">
        <v>152</v>
      </c>
    </row>
    <row r="2212" spans="1:6">
      <c r="A2212" t="s">
        <v>40</v>
      </c>
      <c r="B2212" t="s">
        <v>32</v>
      </c>
      <c r="C2212" t="s">
        <v>23</v>
      </c>
      <c r="D2212" t="s">
        <v>277</v>
      </c>
      <c r="E2212" s="2">
        <v>5611.65</v>
      </c>
      <c r="F2212">
        <v>159</v>
      </c>
    </row>
    <row r="2213" spans="1:6">
      <c r="A2213" t="s">
        <v>53</v>
      </c>
      <c r="B2213" t="s">
        <v>7</v>
      </c>
      <c r="C2213" t="s">
        <v>38</v>
      </c>
      <c r="D2213" t="s">
        <v>278</v>
      </c>
      <c r="E2213" s="2">
        <v>3562.44</v>
      </c>
      <c r="F2213">
        <v>111</v>
      </c>
    </row>
    <row r="2214" spans="1:6">
      <c r="A2214" t="s">
        <v>55</v>
      </c>
      <c r="B2214" t="s">
        <v>15</v>
      </c>
      <c r="C2214" t="s">
        <v>36</v>
      </c>
      <c r="D2214" t="s">
        <v>279</v>
      </c>
      <c r="E2214" s="2">
        <v>8385.26</v>
      </c>
      <c r="F2214">
        <v>122</v>
      </c>
    </row>
    <row r="2215" spans="1:6">
      <c r="A2215" t="s">
        <v>37</v>
      </c>
      <c r="B2215" t="s">
        <v>10</v>
      </c>
      <c r="C2215" t="s">
        <v>57</v>
      </c>
      <c r="D2215" t="s">
        <v>272</v>
      </c>
      <c r="E2215" s="2">
        <v>181.31</v>
      </c>
      <c r="F2215">
        <v>330</v>
      </c>
    </row>
    <row r="2216" spans="1:6">
      <c r="A2216" t="s">
        <v>45</v>
      </c>
      <c r="B2216" t="s">
        <v>35</v>
      </c>
      <c r="C2216" t="s">
        <v>50</v>
      </c>
      <c r="D2216" s="1">
        <v>45537</v>
      </c>
      <c r="E2216" s="2">
        <v>1800.27</v>
      </c>
      <c r="F2216">
        <v>191</v>
      </c>
    </row>
    <row r="2217" spans="1:6">
      <c r="A2217" t="s">
        <v>53</v>
      </c>
      <c r="B2217" t="s">
        <v>32</v>
      </c>
      <c r="C2217" t="s">
        <v>36</v>
      </c>
      <c r="D2217" s="1">
        <v>45480</v>
      </c>
      <c r="E2217" s="2">
        <v>4449.37</v>
      </c>
      <c r="F2217">
        <v>113</v>
      </c>
    </row>
    <row r="2218" spans="1:6">
      <c r="A2218" t="s">
        <v>58</v>
      </c>
      <c r="B2218" t="s">
        <v>25</v>
      </c>
      <c r="C2218" t="s">
        <v>59</v>
      </c>
      <c r="D2218" s="1">
        <v>45419</v>
      </c>
      <c r="E2218" s="2">
        <v>10113.4</v>
      </c>
      <c r="F2218">
        <v>155</v>
      </c>
    </row>
    <row r="2219" spans="1:6">
      <c r="A2219" t="s">
        <v>58</v>
      </c>
      <c r="B2219" t="s">
        <v>25</v>
      </c>
      <c r="C2219" t="s">
        <v>60</v>
      </c>
      <c r="D2219" t="s">
        <v>280</v>
      </c>
      <c r="E2219" s="2">
        <v>5932.84</v>
      </c>
      <c r="F2219">
        <v>303</v>
      </c>
    </row>
    <row r="2220" spans="1:6">
      <c r="A2220" t="s">
        <v>9</v>
      </c>
      <c r="B2220" t="s">
        <v>25</v>
      </c>
      <c r="C2220" t="s">
        <v>11</v>
      </c>
      <c r="D2220" t="s">
        <v>281</v>
      </c>
      <c r="E2220" s="2">
        <v>2006.71</v>
      </c>
      <c r="F2220">
        <v>124</v>
      </c>
    </row>
    <row r="2221" spans="1:6">
      <c r="A2221" t="s">
        <v>29</v>
      </c>
      <c r="B2221" t="s">
        <v>7</v>
      </c>
      <c r="C2221" t="s">
        <v>20</v>
      </c>
      <c r="D2221" t="s">
        <v>282</v>
      </c>
      <c r="E2221" s="2">
        <v>14086.69</v>
      </c>
      <c r="F2221">
        <v>157</v>
      </c>
    </row>
    <row r="2222" spans="1:6">
      <c r="A2222" t="s">
        <v>64</v>
      </c>
      <c r="B2222" t="s">
        <v>15</v>
      </c>
      <c r="C2222" t="s">
        <v>60</v>
      </c>
      <c r="D2222" s="1">
        <v>45601</v>
      </c>
      <c r="E2222" s="2">
        <v>4799.54</v>
      </c>
      <c r="F2222">
        <v>90</v>
      </c>
    </row>
    <row r="2223" spans="1:6">
      <c r="A2223" t="s">
        <v>37</v>
      </c>
      <c r="B2223" t="s">
        <v>7</v>
      </c>
      <c r="C2223" t="s">
        <v>65</v>
      </c>
      <c r="D2223" t="s">
        <v>283</v>
      </c>
      <c r="E2223" s="2">
        <v>8101.98</v>
      </c>
      <c r="F2223">
        <v>138</v>
      </c>
    </row>
    <row r="2224" spans="1:6">
      <c r="A2224" t="s">
        <v>67</v>
      </c>
      <c r="B2224" t="s">
        <v>35</v>
      </c>
      <c r="C2224" t="s">
        <v>23</v>
      </c>
      <c r="D2224" s="1">
        <v>45601</v>
      </c>
      <c r="E2224" s="2">
        <v>2321.9699999999998</v>
      </c>
      <c r="F2224">
        <v>71</v>
      </c>
    </row>
    <row r="2225" spans="1:6">
      <c r="A2225" t="s">
        <v>45</v>
      </c>
      <c r="B2225" t="s">
        <v>32</v>
      </c>
      <c r="C2225" t="s">
        <v>60</v>
      </c>
      <c r="D2225" t="s">
        <v>284</v>
      </c>
      <c r="E2225" s="2">
        <v>10245</v>
      </c>
      <c r="F2225">
        <v>329</v>
      </c>
    </row>
    <row r="2226" spans="1:6">
      <c r="A2226" t="s">
        <v>67</v>
      </c>
      <c r="B2226" t="s">
        <v>7</v>
      </c>
      <c r="C2226" t="s">
        <v>26</v>
      </c>
      <c r="D2226" t="s">
        <v>285</v>
      </c>
      <c r="E2226" s="2">
        <v>2930.4</v>
      </c>
      <c r="F2226">
        <v>344</v>
      </c>
    </row>
    <row r="2227" spans="1:6">
      <c r="A2227" t="s">
        <v>70</v>
      </c>
      <c r="B2227" t="s">
        <v>25</v>
      </c>
      <c r="C2227" t="s">
        <v>23</v>
      </c>
      <c r="D2227" s="1">
        <v>45480</v>
      </c>
      <c r="E2227" s="2">
        <v>170.24</v>
      </c>
      <c r="F2227">
        <v>75</v>
      </c>
    </row>
    <row r="2228" spans="1:6">
      <c r="A2228" t="s">
        <v>71</v>
      </c>
      <c r="B2228" t="s">
        <v>15</v>
      </c>
      <c r="C2228" t="s">
        <v>11</v>
      </c>
      <c r="D2228" t="s">
        <v>286</v>
      </c>
      <c r="E2228" s="2">
        <v>4247.49</v>
      </c>
      <c r="F2228">
        <v>14</v>
      </c>
    </row>
    <row r="2229" spans="1:6">
      <c r="A2229" t="s">
        <v>37</v>
      </c>
      <c r="B2229" t="s">
        <v>10</v>
      </c>
      <c r="C2229" t="s">
        <v>60</v>
      </c>
      <c r="D2229" s="1">
        <v>45389</v>
      </c>
      <c r="E2229" s="2">
        <v>2696.1</v>
      </c>
      <c r="F2229">
        <v>605</v>
      </c>
    </row>
    <row r="2230" spans="1:6">
      <c r="A2230" t="s">
        <v>70</v>
      </c>
      <c r="B2230" t="s">
        <v>32</v>
      </c>
      <c r="C2230" t="s">
        <v>23</v>
      </c>
      <c r="D2230" s="1">
        <v>45328</v>
      </c>
      <c r="E2230" s="2">
        <v>1083.76</v>
      </c>
      <c r="F2230">
        <v>16</v>
      </c>
    </row>
    <row r="2231" spans="1:6">
      <c r="A2231" t="s">
        <v>37</v>
      </c>
      <c r="B2231" t="s">
        <v>32</v>
      </c>
      <c r="C2231" t="s">
        <v>73</v>
      </c>
      <c r="D2231" t="s">
        <v>287</v>
      </c>
      <c r="E2231" s="2">
        <v>17037.09</v>
      </c>
      <c r="F2231">
        <v>347</v>
      </c>
    </row>
    <row r="2232" spans="1:6">
      <c r="A2232" t="s">
        <v>34</v>
      </c>
      <c r="B2232" t="s">
        <v>35</v>
      </c>
      <c r="C2232" t="s">
        <v>75</v>
      </c>
      <c r="D2232" s="1">
        <v>45603</v>
      </c>
      <c r="E2232" s="2">
        <v>5706.43</v>
      </c>
      <c r="F2232">
        <v>247</v>
      </c>
    </row>
    <row r="2233" spans="1:6">
      <c r="A2233" t="s">
        <v>67</v>
      </c>
      <c r="B2233" t="s">
        <v>10</v>
      </c>
      <c r="C2233" t="s">
        <v>50</v>
      </c>
      <c r="D2233" t="s">
        <v>288</v>
      </c>
      <c r="E2233" s="2">
        <v>6682.34</v>
      </c>
      <c r="F2233">
        <v>139</v>
      </c>
    </row>
    <row r="2234" spans="1:6">
      <c r="A2234" t="s">
        <v>77</v>
      </c>
      <c r="B2234" t="s">
        <v>35</v>
      </c>
      <c r="C2234" t="s">
        <v>65</v>
      </c>
      <c r="D2234" t="s">
        <v>289</v>
      </c>
      <c r="E2234" s="2">
        <v>8192.6</v>
      </c>
      <c r="F2234">
        <v>100</v>
      </c>
    </row>
    <row r="2235" spans="1:6">
      <c r="A2235" t="s">
        <v>55</v>
      </c>
      <c r="B2235" t="s">
        <v>32</v>
      </c>
      <c r="C2235" t="s">
        <v>13</v>
      </c>
      <c r="D2235" t="s">
        <v>274</v>
      </c>
      <c r="E2235" s="2">
        <v>7568.16</v>
      </c>
      <c r="F2235">
        <v>206</v>
      </c>
    </row>
    <row r="2236" spans="1:6">
      <c r="A2236" t="s">
        <v>9</v>
      </c>
      <c r="B2236" t="s">
        <v>32</v>
      </c>
      <c r="C2236" t="s">
        <v>26</v>
      </c>
      <c r="D2236" t="s">
        <v>270</v>
      </c>
      <c r="E2236" s="2">
        <v>10772.33</v>
      </c>
      <c r="F2236">
        <v>156</v>
      </c>
    </row>
    <row r="2237" spans="1:6">
      <c r="A2237" t="s">
        <v>48</v>
      </c>
      <c r="B2237" t="s">
        <v>15</v>
      </c>
      <c r="C2237" t="s">
        <v>46</v>
      </c>
      <c r="D2237" t="s">
        <v>273</v>
      </c>
      <c r="E2237" s="2">
        <v>7467.12</v>
      </c>
      <c r="F2237">
        <v>18</v>
      </c>
    </row>
    <row r="2238" spans="1:6">
      <c r="A2238" t="s">
        <v>45</v>
      </c>
      <c r="B2238" t="s">
        <v>10</v>
      </c>
      <c r="C2238" t="s">
        <v>36</v>
      </c>
      <c r="D2238" s="1">
        <v>45571</v>
      </c>
      <c r="E2238" s="2">
        <v>4985.8999999999996</v>
      </c>
      <c r="F2238">
        <v>311</v>
      </c>
    </row>
    <row r="2239" spans="1:6">
      <c r="A2239" t="s">
        <v>48</v>
      </c>
      <c r="B2239" t="s">
        <v>10</v>
      </c>
      <c r="C2239" t="s">
        <v>57</v>
      </c>
      <c r="D2239" s="1">
        <v>45480</v>
      </c>
      <c r="E2239" s="2">
        <v>5693.6</v>
      </c>
      <c r="F2239">
        <v>177</v>
      </c>
    </row>
    <row r="2240" spans="1:6">
      <c r="A2240" t="s">
        <v>48</v>
      </c>
      <c r="B2240" t="s">
        <v>35</v>
      </c>
      <c r="C2240" t="s">
        <v>65</v>
      </c>
      <c r="D2240" t="s">
        <v>268</v>
      </c>
      <c r="E2240" s="2">
        <v>5879.1</v>
      </c>
      <c r="F2240">
        <v>75</v>
      </c>
    </row>
    <row r="2241" spans="1:6">
      <c r="A2241" t="s">
        <v>28</v>
      </c>
      <c r="B2241" t="s">
        <v>15</v>
      </c>
      <c r="C2241" t="s">
        <v>57</v>
      </c>
      <c r="D2241" s="1">
        <v>45449</v>
      </c>
      <c r="E2241" s="2">
        <v>9771.93</v>
      </c>
      <c r="F2241">
        <v>22</v>
      </c>
    </row>
    <row r="2242" spans="1:6">
      <c r="A2242" t="s">
        <v>79</v>
      </c>
      <c r="B2242" t="s">
        <v>15</v>
      </c>
      <c r="C2242" t="s">
        <v>38</v>
      </c>
      <c r="D2242" t="s">
        <v>290</v>
      </c>
      <c r="E2242" s="2">
        <v>105.06</v>
      </c>
      <c r="F2242">
        <v>140</v>
      </c>
    </row>
    <row r="2243" spans="1:6">
      <c r="A2243" t="s">
        <v>41</v>
      </c>
      <c r="B2243" t="s">
        <v>32</v>
      </c>
      <c r="C2243" t="s">
        <v>73</v>
      </c>
      <c r="D2243" t="s">
        <v>291</v>
      </c>
      <c r="E2243" s="2">
        <v>16414.689999999999</v>
      </c>
      <c r="F2243">
        <v>80</v>
      </c>
    </row>
    <row r="2244" spans="1:6">
      <c r="A2244" t="s">
        <v>40</v>
      </c>
      <c r="B2244" t="s">
        <v>10</v>
      </c>
      <c r="C2244" t="s">
        <v>11</v>
      </c>
      <c r="D2244" t="s">
        <v>290</v>
      </c>
      <c r="E2244" s="2">
        <v>2553.41</v>
      </c>
      <c r="F2244">
        <v>183</v>
      </c>
    </row>
    <row r="2245" spans="1:6">
      <c r="A2245" t="s">
        <v>6</v>
      </c>
      <c r="B2245" t="s">
        <v>35</v>
      </c>
      <c r="C2245" t="s">
        <v>38</v>
      </c>
      <c r="D2245" t="s">
        <v>292</v>
      </c>
      <c r="E2245" s="2">
        <v>473.99</v>
      </c>
      <c r="F2245">
        <v>25</v>
      </c>
    </row>
    <row r="2246" spans="1:6">
      <c r="A2246" t="s">
        <v>83</v>
      </c>
      <c r="B2246" t="s">
        <v>25</v>
      </c>
      <c r="C2246" t="s">
        <v>50</v>
      </c>
      <c r="D2246" t="s">
        <v>273</v>
      </c>
      <c r="E2246" s="2">
        <v>3873.98</v>
      </c>
      <c r="F2246">
        <v>19</v>
      </c>
    </row>
    <row r="2247" spans="1:6">
      <c r="A2247" t="s">
        <v>28</v>
      </c>
      <c r="B2247" t="s">
        <v>35</v>
      </c>
      <c r="C2247" t="s">
        <v>20</v>
      </c>
      <c r="D2247" t="s">
        <v>293</v>
      </c>
      <c r="E2247" s="2">
        <v>17718.25</v>
      </c>
      <c r="F2247">
        <v>430</v>
      </c>
    </row>
    <row r="2248" spans="1:6">
      <c r="A2248" t="s">
        <v>31</v>
      </c>
      <c r="B2248" t="s">
        <v>15</v>
      </c>
      <c r="C2248" t="s">
        <v>57</v>
      </c>
      <c r="D2248" t="s">
        <v>283</v>
      </c>
      <c r="E2248" s="2">
        <v>16572.07</v>
      </c>
      <c r="F2248">
        <v>57</v>
      </c>
    </row>
    <row r="2249" spans="1:6">
      <c r="A2249" t="s">
        <v>67</v>
      </c>
      <c r="B2249" t="s">
        <v>15</v>
      </c>
      <c r="C2249" t="s">
        <v>26</v>
      </c>
      <c r="D2249" s="1">
        <v>45328</v>
      </c>
      <c r="E2249" s="2">
        <v>5220.1899999999996</v>
      </c>
      <c r="F2249">
        <v>216</v>
      </c>
    </row>
    <row r="2250" spans="1:6">
      <c r="A2250" t="s">
        <v>67</v>
      </c>
      <c r="B2250" t="s">
        <v>15</v>
      </c>
      <c r="C2250" t="s">
        <v>38</v>
      </c>
      <c r="D2250" t="s">
        <v>294</v>
      </c>
      <c r="E2250" s="2">
        <v>1797.26</v>
      </c>
      <c r="F2250">
        <v>49</v>
      </c>
    </row>
    <row r="2251" spans="1:6">
      <c r="A2251" t="s">
        <v>40</v>
      </c>
      <c r="B2251" t="s">
        <v>15</v>
      </c>
      <c r="C2251" t="s">
        <v>42</v>
      </c>
      <c r="D2251" t="s">
        <v>295</v>
      </c>
      <c r="E2251" s="2">
        <v>295.62</v>
      </c>
      <c r="F2251">
        <v>182</v>
      </c>
    </row>
    <row r="2252" spans="1:6">
      <c r="A2252" t="s">
        <v>70</v>
      </c>
      <c r="B2252" t="s">
        <v>35</v>
      </c>
      <c r="C2252" t="s">
        <v>87</v>
      </c>
      <c r="D2252" t="s">
        <v>296</v>
      </c>
      <c r="E2252" s="2">
        <v>3597.37</v>
      </c>
      <c r="F2252">
        <v>288</v>
      </c>
    </row>
    <row r="2253" spans="1:6">
      <c r="A2253" t="s">
        <v>37</v>
      </c>
      <c r="B2253" t="s">
        <v>10</v>
      </c>
      <c r="C2253" t="s">
        <v>65</v>
      </c>
      <c r="D2253" s="1">
        <v>45450</v>
      </c>
      <c r="E2253" s="2">
        <v>6580.43</v>
      </c>
      <c r="F2253">
        <v>147</v>
      </c>
    </row>
    <row r="2254" spans="1:6">
      <c r="A2254" t="s">
        <v>19</v>
      </c>
      <c r="B2254" t="s">
        <v>10</v>
      </c>
      <c r="C2254" t="s">
        <v>20</v>
      </c>
      <c r="D2254" t="s">
        <v>297</v>
      </c>
      <c r="E2254" s="2">
        <v>12232.97</v>
      </c>
      <c r="F2254">
        <v>11</v>
      </c>
    </row>
    <row r="2255" spans="1:6">
      <c r="A2255" t="s">
        <v>64</v>
      </c>
      <c r="B2255" t="s">
        <v>15</v>
      </c>
      <c r="C2255" t="s">
        <v>90</v>
      </c>
      <c r="D2255" t="s">
        <v>298</v>
      </c>
      <c r="E2255" s="2">
        <v>2243.44</v>
      </c>
      <c r="F2255">
        <v>11</v>
      </c>
    </row>
    <row r="2256" spans="1:6">
      <c r="A2256" t="s">
        <v>9</v>
      </c>
      <c r="B2256" t="s">
        <v>15</v>
      </c>
      <c r="C2256" t="s">
        <v>42</v>
      </c>
      <c r="D2256" s="1">
        <v>45573</v>
      </c>
      <c r="E2256" s="2">
        <v>22943.37</v>
      </c>
      <c r="F2256">
        <v>14</v>
      </c>
    </row>
    <row r="2257" spans="1:6">
      <c r="A2257" t="s">
        <v>71</v>
      </c>
      <c r="B2257" t="s">
        <v>10</v>
      </c>
      <c r="C2257" t="s">
        <v>26</v>
      </c>
      <c r="D2257" s="1">
        <v>45389</v>
      </c>
      <c r="E2257" s="2">
        <v>10590.61</v>
      </c>
      <c r="F2257">
        <v>430</v>
      </c>
    </row>
    <row r="2258" spans="1:6">
      <c r="A2258" t="s">
        <v>19</v>
      </c>
      <c r="B2258" t="s">
        <v>10</v>
      </c>
      <c r="C2258" t="s">
        <v>42</v>
      </c>
      <c r="D2258" s="1">
        <v>45511</v>
      </c>
      <c r="E2258" s="2">
        <v>6468.82</v>
      </c>
      <c r="F2258">
        <v>59</v>
      </c>
    </row>
    <row r="2259" spans="1:6">
      <c r="A2259" t="s">
        <v>14</v>
      </c>
      <c r="B2259" t="s">
        <v>32</v>
      </c>
      <c r="C2259" t="s">
        <v>13</v>
      </c>
      <c r="D2259" t="s">
        <v>284</v>
      </c>
      <c r="E2259" s="2">
        <v>10463.57</v>
      </c>
      <c r="F2259">
        <v>109</v>
      </c>
    </row>
    <row r="2260" spans="1:6">
      <c r="A2260" t="s">
        <v>12</v>
      </c>
      <c r="B2260" t="s">
        <v>32</v>
      </c>
      <c r="C2260" t="s">
        <v>75</v>
      </c>
      <c r="D2260" s="1">
        <v>45325</v>
      </c>
      <c r="E2260" s="2">
        <v>14154.35</v>
      </c>
      <c r="F2260">
        <v>105</v>
      </c>
    </row>
    <row r="2261" spans="1:6">
      <c r="A2261" t="s">
        <v>12</v>
      </c>
      <c r="B2261" t="s">
        <v>7</v>
      </c>
      <c r="C2261" t="s">
        <v>65</v>
      </c>
      <c r="D2261" s="1">
        <v>45566</v>
      </c>
      <c r="E2261" s="2">
        <v>6031.14</v>
      </c>
      <c r="F2261">
        <v>9</v>
      </c>
    </row>
    <row r="2262" spans="1:6">
      <c r="A2262" t="s">
        <v>6</v>
      </c>
      <c r="B2262" t="s">
        <v>25</v>
      </c>
      <c r="C2262" t="s">
        <v>59</v>
      </c>
      <c r="D2262" s="1">
        <v>45599</v>
      </c>
      <c r="E2262" s="2">
        <v>3308.4</v>
      </c>
      <c r="F2262">
        <v>258</v>
      </c>
    </row>
    <row r="2263" spans="1:6">
      <c r="A2263" t="s">
        <v>67</v>
      </c>
      <c r="B2263" t="s">
        <v>25</v>
      </c>
      <c r="C2263" t="s">
        <v>13</v>
      </c>
      <c r="D2263" t="s">
        <v>299</v>
      </c>
      <c r="E2263" s="2">
        <v>1119.94</v>
      </c>
      <c r="F2263">
        <v>283</v>
      </c>
    </row>
    <row r="2264" spans="1:6">
      <c r="A2264" t="s">
        <v>9</v>
      </c>
      <c r="B2264" t="s">
        <v>7</v>
      </c>
      <c r="C2264" t="s">
        <v>42</v>
      </c>
      <c r="D2264" t="s">
        <v>300</v>
      </c>
      <c r="E2264" s="2">
        <v>2303.39</v>
      </c>
      <c r="F2264">
        <v>222</v>
      </c>
    </row>
    <row r="2265" spans="1:6">
      <c r="A2265" t="s">
        <v>45</v>
      </c>
      <c r="B2265" t="s">
        <v>35</v>
      </c>
      <c r="C2265" t="s">
        <v>46</v>
      </c>
      <c r="D2265" t="s">
        <v>301</v>
      </c>
      <c r="E2265" s="2">
        <v>723.37</v>
      </c>
      <c r="F2265">
        <v>33</v>
      </c>
    </row>
    <row r="2266" spans="1:6">
      <c r="A2266" t="s">
        <v>71</v>
      </c>
      <c r="B2266" t="s">
        <v>32</v>
      </c>
      <c r="C2266" t="s">
        <v>50</v>
      </c>
      <c r="D2266" s="1">
        <v>45598</v>
      </c>
      <c r="E2266" s="2">
        <v>1413.64</v>
      </c>
      <c r="F2266">
        <v>261</v>
      </c>
    </row>
    <row r="2267" spans="1:6">
      <c r="A2267" t="s">
        <v>40</v>
      </c>
      <c r="B2267" t="s">
        <v>32</v>
      </c>
      <c r="C2267" t="s">
        <v>33</v>
      </c>
      <c r="D2267" t="s">
        <v>302</v>
      </c>
      <c r="E2267" s="2">
        <v>9001.89</v>
      </c>
      <c r="F2267">
        <v>193</v>
      </c>
    </row>
    <row r="2268" spans="1:6">
      <c r="A2268" t="s">
        <v>9</v>
      </c>
      <c r="B2268" t="s">
        <v>7</v>
      </c>
      <c r="C2268" t="s">
        <v>20</v>
      </c>
      <c r="D2268" t="s">
        <v>303</v>
      </c>
      <c r="E2268" s="2">
        <v>5283.91</v>
      </c>
      <c r="F2268">
        <v>136</v>
      </c>
    </row>
    <row r="2269" spans="1:6">
      <c r="A2269" t="s">
        <v>71</v>
      </c>
      <c r="B2269" t="s">
        <v>32</v>
      </c>
      <c r="C2269" t="s">
        <v>59</v>
      </c>
      <c r="D2269" t="s">
        <v>304</v>
      </c>
      <c r="E2269" s="2">
        <v>10958.51</v>
      </c>
      <c r="F2269">
        <v>23</v>
      </c>
    </row>
    <row r="2270" spans="1:6">
      <c r="A2270" t="s">
        <v>67</v>
      </c>
      <c r="B2270" t="s">
        <v>32</v>
      </c>
      <c r="C2270" t="s">
        <v>73</v>
      </c>
      <c r="D2270" t="s">
        <v>283</v>
      </c>
      <c r="E2270" s="2">
        <v>15531.78</v>
      </c>
      <c r="F2270">
        <v>22</v>
      </c>
    </row>
    <row r="2271" spans="1:6">
      <c r="A2271" t="s">
        <v>79</v>
      </c>
      <c r="B2271" t="s">
        <v>15</v>
      </c>
      <c r="C2271" t="s">
        <v>57</v>
      </c>
      <c r="D2271" t="s">
        <v>305</v>
      </c>
      <c r="E2271" s="2">
        <v>317.36</v>
      </c>
      <c r="F2271">
        <v>337</v>
      </c>
    </row>
    <row r="2272" spans="1:6">
      <c r="A2272" t="s">
        <v>28</v>
      </c>
      <c r="B2272" t="s">
        <v>25</v>
      </c>
      <c r="C2272" t="s">
        <v>8</v>
      </c>
      <c r="D2272" s="1">
        <v>45299</v>
      </c>
      <c r="E2272" s="2">
        <v>71.41</v>
      </c>
      <c r="F2272">
        <v>188</v>
      </c>
    </row>
    <row r="2273" spans="1:6">
      <c r="A2273" t="s">
        <v>45</v>
      </c>
      <c r="B2273" t="s">
        <v>25</v>
      </c>
      <c r="C2273" t="s">
        <v>23</v>
      </c>
      <c r="D2273" t="s">
        <v>306</v>
      </c>
      <c r="E2273" s="2">
        <v>9317.33</v>
      </c>
      <c r="F2273">
        <v>11</v>
      </c>
    </row>
    <row r="2274" spans="1:6">
      <c r="A2274" t="s">
        <v>45</v>
      </c>
      <c r="B2274" t="s">
        <v>35</v>
      </c>
      <c r="C2274" t="s">
        <v>42</v>
      </c>
      <c r="D2274" s="1">
        <v>45566</v>
      </c>
      <c r="E2274" s="2">
        <v>4790.71</v>
      </c>
      <c r="F2274">
        <v>86</v>
      </c>
    </row>
    <row r="2275" spans="1:6">
      <c r="A2275" t="s">
        <v>58</v>
      </c>
      <c r="B2275" t="s">
        <v>15</v>
      </c>
      <c r="C2275" t="s">
        <v>100</v>
      </c>
      <c r="D2275" s="1">
        <v>45475</v>
      </c>
      <c r="E2275" s="2">
        <v>6166.8</v>
      </c>
      <c r="F2275">
        <v>114</v>
      </c>
    </row>
    <row r="2276" spans="1:6">
      <c r="A2276" t="s">
        <v>37</v>
      </c>
      <c r="B2276" t="s">
        <v>32</v>
      </c>
      <c r="C2276" t="s">
        <v>33</v>
      </c>
      <c r="D2276" s="1">
        <v>45631</v>
      </c>
      <c r="E2276" s="2">
        <v>11741.46</v>
      </c>
      <c r="F2276">
        <v>433</v>
      </c>
    </row>
    <row r="2277" spans="1:6">
      <c r="A2277" t="s">
        <v>77</v>
      </c>
      <c r="B2277" t="s">
        <v>15</v>
      </c>
      <c r="C2277" t="s">
        <v>50</v>
      </c>
      <c r="D2277" s="1">
        <v>45476</v>
      </c>
      <c r="E2277" s="2">
        <v>8519.77</v>
      </c>
      <c r="F2277">
        <v>443</v>
      </c>
    </row>
    <row r="2278" spans="1:6">
      <c r="A2278" t="s">
        <v>58</v>
      </c>
      <c r="B2278" t="s">
        <v>15</v>
      </c>
      <c r="C2278" t="s">
        <v>11</v>
      </c>
      <c r="D2278" s="1">
        <v>45416</v>
      </c>
      <c r="E2278" s="2">
        <v>8278.86</v>
      </c>
      <c r="F2278">
        <v>453</v>
      </c>
    </row>
    <row r="2279" spans="1:6">
      <c r="A2279" t="s">
        <v>67</v>
      </c>
      <c r="B2279" t="s">
        <v>35</v>
      </c>
      <c r="C2279" t="s">
        <v>90</v>
      </c>
      <c r="D2279" s="1">
        <v>45352</v>
      </c>
      <c r="E2279" s="2">
        <v>7560.62</v>
      </c>
      <c r="F2279">
        <v>336</v>
      </c>
    </row>
    <row r="2280" spans="1:6">
      <c r="A2280" t="s">
        <v>58</v>
      </c>
      <c r="B2280" t="s">
        <v>7</v>
      </c>
      <c r="C2280" t="s">
        <v>36</v>
      </c>
      <c r="D2280" t="s">
        <v>268</v>
      </c>
      <c r="E2280" s="2">
        <v>6702.11</v>
      </c>
      <c r="F2280">
        <v>285</v>
      </c>
    </row>
    <row r="2281" spans="1:6">
      <c r="A2281" t="s">
        <v>77</v>
      </c>
      <c r="B2281" t="s">
        <v>10</v>
      </c>
      <c r="C2281" t="s">
        <v>73</v>
      </c>
      <c r="D2281" s="1">
        <v>45480</v>
      </c>
      <c r="E2281" s="2">
        <v>4758.6899999999996</v>
      </c>
      <c r="F2281">
        <v>10</v>
      </c>
    </row>
    <row r="2282" spans="1:6">
      <c r="A2282" t="s">
        <v>9</v>
      </c>
      <c r="B2282" t="s">
        <v>32</v>
      </c>
      <c r="C2282" t="s">
        <v>23</v>
      </c>
      <c r="D2282" t="s">
        <v>307</v>
      </c>
      <c r="E2282" s="2">
        <v>709.25</v>
      </c>
      <c r="F2282">
        <v>263</v>
      </c>
    </row>
    <row r="2283" spans="1:6">
      <c r="A2283" t="s">
        <v>64</v>
      </c>
      <c r="B2283" t="s">
        <v>15</v>
      </c>
      <c r="C2283" t="s">
        <v>42</v>
      </c>
      <c r="D2283" s="1">
        <v>45480</v>
      </c>
      <c r="E2283" s="2">
        <v>2003.05</v>
      </c>
      <c r="F2283">
        <v>110</v>
      </c>
    </row>
    <row r="2284" spans="1:6">
      <c r="A2284" t="s">
        <v>37</v>
      </c>
      <c r="B2284" t="s">
        <v>35</v>
      </c>
      <c r="C2284" t="s">
        <v>26</v>
      </c>
      <c r="D2284" t="s">
        <v>292</v>
      </c>
      <c r="E2284" s="2">
        <v>3248</v>
      </c>
      <c r="F2284">
        <v>64</v>
      </c>
    </row>
    <row r="2285" spans="1:6">
      <c r="A2285" t="s">
        <v>45</v>
      </c>
      <c r="B2285" t="s">
        <v>25</v>
      </c>
      <c r="C2285" t="s">
        <v>33</v>
      </c>
      <c r="D2285" s="1">
        <v>45295</v>
      </c>
      <c r="E2285" s="2">
        <v>51.98</v>
      </c>
      <c r="F2285">
        <v>95</v>
      </c>
    </row>
    <row r="2286" spans="1:6">
      <c r="A2286" t="s">
        <v>41</v>
      </c>
      <c r="B2286" t="s">
        <v>15</v>
      </c>
      <c r="C2286" t="s">
        <v>36</v>
      </c>
      <c r="D2286" t="s">
        <v>299</v>
      </c>
      <c r="E2286" s="2">
        <v>2134.65</v>
      </c>
      <c r="F2286">
        <v>6</v>
      </c>
    </row>
    <row r="2287" spans="1:6">
      <c r="A2287" t="s">
        <v>70</v>
      </c>
      <c r="B2287" t="s">
        <v>7</v>
      </c>
      <c r="C2287" t="s">
        <v>57</v>
      </c>
      <c r="D2287" t="s">
        <v>282</v>
      </c>
      <c r="E2287" s="2">
        <v>15540.41</v>
      </c>
      <c r="F2287">
        <v>520</v>
      </c>
    </row>
    <row r="2288" spans="1:6">
      <c r="A2288" t="s">
        <v>40</v>
      </c>
      <c r="B2288" t="s">
        <v>32</v>
      </c>
      <c r="C2288" t="s">
        <v>26</v>
      </c>
      <c r="D2288" t="s">
        <v>280</v>
      </c>
      <c r="E2288" s="2">
        <v>1117.77</v>
      </c>
      <c r="F2288">
        <v>114</v>
      </c>
    </row>
    <row r="2289" spans="1:6">
      <c r="A2289" t="s">
        <v>53</v>
      </c>
      <c r="B2289" t="s">
        <v>32</v>
      </c>
      <c r="C2289" t="s">
        <v>23</v>
      </c>
      <c r="D2289" s="1">
        <v>45508</v>
      </c>
      <c r="E2289" s="2">
        <v>13999.05</v>
      </c>
      <c r="F2289">
        <v>179</v>
      </c>
    </row>
    <row r="2290" spans="1:6">
      <c r="A2290" t="s">
        <v>58</v>
      </c>
      <c r="B2290" t="s">
        <v>15</v>
      </c>
      <c r="C2290" t="s">
        <v>73</v>
      </c>
      <c r="D2290" t="s">
        <v>278</v>
      </c>
      <c r="E2290" s="2">
        <v>6265.59</v>
      </c>
      <c r="F2290">
        <v>31</v>
      </c>
    </row>
    <row r="2291" spans="1:6">
      <c r="A2291" t="s">
        <v>67</v>
      </c>
      <c r="B2291" t="s">
        <v>32</v>
      </c>
      <c r="C2291" t="s">
        <v>57</v>
      </c>
      <c r="D2291" t="s">
        <v>292</v>
      </c>
      <c r="E2291" s="2">
        <v>1536.82</v>
      </c>
      <c r="F2291">
        <v>386</v>
      </c>
    </row>
    <row r="2292" spans="1:6">
      <c r="A2292" t="s">
        <v>70</v>
      </c>
      <c r="B2292" t="s">
        <v>10</v>
      </c>
      <c r="C2292" t="s">
        <v>36</v>
      </c>
      <c r="D2292" t="s">
        <v>291</v>
      </c>
      <c r="E2292" s="2">
        <v>6069.93</v>
      </c>
      <c r="F2292">
        <v>80</v>
      </c>
    </row>
    <row r="2293" spans="1:6">
      <c r="A2293" t="s">
        <v>40</v>
      </c>
      <c r="B2293" t="s">
        <v>32</v>
      </c>
      <c r="C2293" t="s">
        <v>20</v>
      </c>
      <c r="D2293" t="s">
        <v>308</v>
      </c>
      <c r="E2293" s="2">
        <v>4861.33</v>
      </c>
      <c r="F2293">
        <v>286</v>
      </c>
    </row>
    <row r="2294" spans="1:6">
      <c r="A2294" t="s">
        <v>28</v>
      </c>
      <c r="B2294" t="s">
        <v>35</v>
      </c>
      <c r="C2294" t="s">
        <v>50</v>
      </c>
      <c r="D2294" s="1">
        <v>45385</v>
      </c>
      <c r="E2294" s="2">
        <v>8993.24</v>
      </c>
      <c r="F2294">
        <v>97</v>
      </c>
    </row>
    <row r="2295" spans="1:6">
      <c r="A2295" t="s">
        <v>37</v>
      </c>
      <c r="B2295" t="s">
        <v>25</v>
      </c>
      <c r="C2295" t="s">
        <v>100</v>
      </c>
      <c r="D2295" s="1">
        <v>45330</v>
      </c>
      <c r="E2295" s="2">
        <v>150.41999999999999</v>
      </c>
      <c r="F2295">
        <v>40</v>
      </c>
    </row>
    <row r="2296" spans="1:6">
      <c r="A2296" t="s">
        <v>53</v>
      </c>
      <c r="B2296" t="s">
        <v>7</v>
      </c>
      <c r="C2296" t="s">
        <v>50</v>
      </c>
      <c r="D2296" t="s">
        <v>309</v>
      </c>
      <c r="E2296" s="2">
        <v>5593.68</v>
      </c>
      <c r="F2296">
        <v>41</v>
      </c>
    </row>
    <row r="2297" spans="1:6">
      <c r="A2297" t="s">
        <v>40</v>
      </c>
      <c r="B2297" t="s">
        <v>32</v>
      </c>
      <c r="C2297" t="s">
        <v>65</v>
      </c>
      <c r="D2297" t="s">
        <v>310</v>
      </c>
      <c r="E2297" s="2">
        <v>9376.61</v>
      </c>
      <c r="F2297">
        <v>167</v>
      </c>
    </row>
    <row r="2298" spans="1:6">
      <c r="A2298" t="s">
        <v>70</v>
      </c>
      <c r="B2298" t="s">
        <v>10</v>
      </c>
      <c r="C2298" t="s">
        <v>33</v>
      </c>
      <c r="D2298" s="1">
        <v>45479</v>
      </c>
      <c r="E2298" s="2">
        <v>11315.16</v>
      </c>
      <c r="F2298">
        <v>134</v>
      </c>
    </row>
    <row r="2299" spans="1:6">
      <c r="A2299" t="s">
        <v>14</v>
      </c>
      <c r="B2299" t="s">
        <v>10</v>
      </c>
      <c r="C2299" t="s">
        <v>50</v>
      </c>
      <c r="D2299" s="1">
        <v>45630</v>
      </c>
      <c r="E2299" s="2">
        <v>2048.34</v>
      </c>
      <c r="F2299">
        <v>506</v>
      </c>
    </row>
    <row r="2300" spans="1:6">
      <c r="A2300" t="s">
        <v>83</v>
      </c>
      <c r="B2300" t="s">
        <v>10</v>
      </c>
      <c r="C2300" t="s">
        <v>50</v>
      </c>
      <c r="D2300" s="1">
        <v>45450</v>
      </c>
      <c r="E2300" s="2">
        <v>12562.81</v>
      </c>
      <c r="F2300">
        <v>101</v>
      </c>
    </row>
    <row r="2301" spans="1:6">
      <c r="A2301" t="s">
        <v>70</v>
      </c>
      <c r="B2301" t="s">
        <v>7</v>
      </c>
      <c r="C2301" t="s">
        <v>18</v>
      </c>
      <c r="D2301" t="s">
        <v>311</v>
      </c>
      <c r="E2301" s="2">
        <v>6883.75</v>
      </c>
      <c r="F2301">
        <v>182</v>
      </c>
    </row>
    <row r="2302" spans="1:6">
      <c r="A2302" t="s">
        <v>77</v>
      </c>
      <c r="B2302" t="s">
        <v>15</v>
      </c>
      <c r="C2302" t="s">
        <v>57</v>
      </c>
      <c r="D2302" s="1">
        <v>45413</v>
      </c>
      <c r="E2302" s="2">
        <v>6105.6</v>
      </c>
      <c r="F2302">
        <v>90</v>
      </c>
    </row>
    <row r="2303" spans="1:6">
      <c r="A2303" t="s">
        <v>77</v>
      </c>
      <c r="B2303" t="s">
        <v>35</v>
      </c>
      <c r="C2303" t="s">
        <v>100</v>
      </c>
      <c r="D2303" t="s">
        <v>312</v>
      </c>
      <c r="E2303" s="2">
        <v>12634.72</v>
      </c>
      <c r="F2303">
        <v>145</v>
      </c>
    </row>
    <row r="2304" spans="1:6">
      <c r="A2304" t="s">
        <v>64</v>
      </c>
      <c r="B2304" t="s">
        <v>15</v>
      </c>
      <c r="C2304" t="s">
        <v>38</v>
      </c>
      <c r="D2304" s="1">
        <v>45447</v>
      </c>
      <c r="E2304" s="2">
        <v>663.74</v>
      </c>
      <c r="F2304">
        <v>285</v>
      </c>
    </row>
    <row r="2305" spans="1:6">
      <c r="A2305" t="s">
        <v>22</v>
      </c>
      <c r="B2305" t="s">
        <v>15</v>
      </c>
      <c r="C2305" t="s">
        <v>57</v>
      </c>
      <c r="D2305" t="s">
        <v>280</v>
      </c>
      <c r="E2305" s="2">
        <v>7044.68</v>
      </c>
      <c r="F2305">
        <v>21</v>
      </c>
    </row>
    <row r="2306" spans="1:6">
      <c r="A2306" t="s">
        <v>12</v>
      </c>
      <c r="B2306" t="s">
        <v>35</v>
      </c>
      <c r="C2306" t="s">
        <v>87</v>
      </c>
      <c r="D2306" t="s">
        <v>313</v>
      </c>
      <c r="E2306" s="2">
        <v>1804.9</v>
      </c>
      <c r="F2306">
        <v>47</v>
      </c>
    </row>
    <row r="2307" spans="1:6">
      <c r="A2307" t="s">
        <v>70</v>
      </c>
      <c r="B2307" t="s">
        <v>10</v>
      </c>
      <c r="C2307" t="s">
        <v>90</v>
      </c>
      <c r="D2307" t="s">
        <v>314</v>
      </c>
      <c r="E2307" s="2">
        <v>513.42999999999995</v>
      </c>
      <c r="F2307">
        <v>131</v>
      </c>
    </row>
    <row r="2308" spans="1:6">
      <c r="A2308" t="s">
        <v>29</v>
      </c>
      <c r="B2308" t="s">
        <v>15</v>
      </c>
      <c r="C2308" t="s">
        <v>38</v>
      </c>
      <c r="D2308" t="s">
        <v>315</v>
      </c>
      <c r="E2308" s="2">
        <v>13699.76</v>
      </c>
      <c r="F2308">
        <v>389</v>
      </c>
    </row>
    <row r="2309" spans="1:6">
      <c r="A2309" t="s">
        <v>70</v>
      </c>
      <c r="B2309" t="s">
        <v>32</v>
      </c>
      <c r="C2309" t="s">
        <v>60</v>
      </c>
      <c r="D2309" t="s">
        <v>274</v>
      </c>
      <c r="E2309" s="2">
        <v>19995.68</v>
      </c>
      <c r="F2309">
        <v>94</v>
      </c>
    </row>
    <row r="2310" spans="1:6">
      <c r="A2310" t="s">
        <v>6</v>
      </c>
      <c r="B2310" t="s">
        <v>35</v>
      </c>
      <c r="C2310" t="s">
        <v>50</v>
      </c>
      <c r="D2310" t="s">
        <v>270</v>
      </c>
      <c r="E2310" s="2">
        <v>2189.6999999999998</v>
      </c>
      <c r="F2310">
        <v>29</v>
      </c>
    </row>
    <row r="2311" spans="1:6">
      <c r="A2311" t="s">
        <v>70</v>
      </c>
      <c r="B2311" t="s">
        <v>15</v>
      </c>
      <c r="C2311" t="s">
        <v>36</v>
      </c>
      <c r="D2311" t="s">
        <v>316</v>
      </c>
      <c r="E2311" s="2">
        <v>8727.09</v>
      </c>
      <c r="F2311">
        <v>523</v>
      </c>
    </row>
    <row r="2312" spans="1:6">
      <c r="A2312" t="s">
        <v>48</v>
      </c>
      <c r="B2312" t="s">
        <v>35</v>
      </c>
      <c r="C2312" t="s">
        <v>50</v>
      </c>
      <c r="D2312" t="s">
        <v>317</v>
      </c>
      <c r="E2312" s="2">
        <v>911.46</v>
      </c>
      <c r="F2312">
        <v>126</v>
      </c>
    </row>
    <row r="2313" spans="1:6">
      <c r="A2313" t="s">
        <v>19</v>
      </c>
      <c r="B2313" t="s">
        <v>10</v>
      </c>
      <c r="C2313" t="s">
        <v>73</v>
      </c>
      <c r="D2313" t="s">
        <v>298</v>
      </c>
      <c r="E2313" s="2">
        <v>7620.86</v>
      </c>
      <c r="F2313">
        <v>46</v>
      </c>
    </row>
    <row r="2314" spans="1:6">
      <c r="A2314" t="s">
        <v>70</v>
      </c>
      <c r="B2314" t="s">
        <v>7</v>
      </c>
      <c r="C2314" t="s">
        <v>36</v>
      </c>
      <c r="D2314" t="s">
        <v>267</v>
      </c>
      <c r="E2314" s="2">
        <v>5054.5600000000004</v>
      </c>
      <c r="F2314">
        <v>60</v>
      </c>
    </row>
    <row r="2315" spans="1:6">
      <c r="A2315" t="s">
        <v>14</v>
      </c>
      <c r="B2315" t="s">
        <v>10</v>
      </c>
      <c r="C2315" t="s">
        <v>65</v>
      </c>
      <c r="D2315" s="1">
        <v>45599</v>
      </c>
      <c r="E2315" s="2">
        <v>5230.5</v>
      </c>
      <c r="F2315">
        <v>23</v>
      </c>
    </row>
    <row r="2316" spans="1:6">
      <c r="A2316" t="s">
        <v>79</v>
      </c>
      <c r="B2316" t="s">
        <v>7</v>
      </c>
      <c r="C2316" t="s">
        <v>65</v>
      </c>
      <c r="D2316" t="s">
        <v>271</v>
      </c>
      <c r="E2316" s="2">
        <v>17104.04</v>
      </c>
      <c r="F2316">
        <v>103</v>
      </c>
    </row>
    <row r="2317" spans="1:6">
      <c r="A2317" t="s">
        <v>40</v>
      </c>
      <c r="B2317" t="s">
        <v>25</v>
      </c>
      <c r="C2317" t="s">
        <v>23</v>
      </c>
      <c r="D2317" s="1">
        <v>45538</v>
      </c>
      <c r="E2317" s="2">
        <v>1642.32</v>
      </c>
      <c r="F2317">
        <v>43</v>
      </c>
    </row>
    <row r="2318" spans="1:6">
      <c r="A2318" t="s">
        <v>53</v>
      </c>
      <c r="B2318" t="s">
        <v>15</v>
      </c>
      <c r="C2318" t="s">
        <v>33</v>
      </c>
      <c r="D2318" t="s">
        <v>294</v>
      </c>
      <c r="E2318" s="2">
        <v>10322.19</v>
      </c>
      <c r="F2318">
        <v>182</v>
      </c>
    </row>
    <row r="2319" spans="1:6">
      <c r="A2319" t="s">
        <v>40</v>
      </c>
      <c r="B2319" t="s">
        <v>15</v>
      </c>
      <c r="C2319" t="s">
        <v>46</v>
      </c>
      <c r="D2319" t="s">
        <v>271</v>
      </c>
      <c r="E2319" s="2">
        <v>2715.92</v>
      </c>
      <c r="F2319">
        <v>423</v>
      </c>
    </row>
    <row r="2320" spans="1:6">
      <c r="A2320" t="s">
        <v>70</v>
      </c>
      <c r="B2320" t="s">
        <v>35</v>
      </c>
      <c r="C2320" t="s">
        <v>20</v>
      </c>
      <c r="D2320" t="s">
        <v>318</v>
      </c>
      <c r="E2320" s="2">
        <v>5598.05</v>
      </c>
      <c r="F2320">
        <v>51</v>
      </c>
    </row>
    <row r="2321" spans="1:6">
      <c r="A2321" t="s">
        <v>55</v>
      </c>
      <c r="B2321" t="s">
        <v>15</v>
      </c>
      <c r="C2321" t="s">
        <v>60</v>
      </c>
      <c r="D2321" s="1">
        <v>45627</v>
      </c>
      <c r="E2321" s="2">
        <v>2996.99</v>
      </c>
      <c r="F2321">
        <v>280</v>
      </c>
    </row>
    <row r="2322" spans="1:6">
      <c r="A2322" t="s">
        <v>41</v>
      </c>
      <c r="B2322" t="s">
        <v>25</v>
      </c>
      <c r="C2322" t="s">
        <v>59</v>
      </c>
      <c r="D2322" t="s">
        <v>268</v>
      </c>
      <c r="E2322" s="2">
        <v>7946.49</v>
      </c>
      <c r="F2322">
        <v>7</v>
      </c>
    </row>
    <row r="2323" spans="1:6">
      <c r="A2323" t="s">
        <v>9</v>
      </c>
      <c r="B2323" t="s">
        <v>7</v>
      </c>
      <c r="C2323" t="s">
        <v>46</v>
      </c>
      <c r="D2323" t="s">
        <v>319</v>
      </c>
      <c r="E2323" s="2">
        <v>4991.22</v>
      </c>
      <c r="F2323">
        <v>92</v>
      </c>
    </row>
    <row r="2324" spans="1:6">
      <c r="A2324" t="s">
        <v>19</v>
      </c>
      <c r="B2324" t="s">
        <v>35</v>
      </c>
      <c r="C2324" t="s">
        <v>20</v>
      </c>
      <c r="D2324" s="1">
        <v>45299</v>
      </c>
      <c r="E2324" s="2">
        <v>4151.7</v>
      </c>
      <c r="F2324">
        <v>424</v>
      </c>
    </row>
    <row r="2325" spans="1:6">
      <c r="A2325" t="s">
        <v>9</v>
      </c>
      <c r="B2325" t="s">
        <v>10</v>
      </c>
      <c r="C2325" t="s">
        <v>42</v>
      </c>
      <c r="D2325" t="s">
        <v>295</v>
      </c>
      <c r="E2325" s="2">
        <v>22701.85</v>
      </c>
      <c r="F2325">
        <v>168</v>
      </c>
    </row>
    <row r="2326" spans="1:6">
      <c r="A2326" t="s">
        <v>45</v>
      </c>
      <c r="B2326" t="s">
        <v>10</v>
      </c>
      <c r="C2326" t="s">
        <v>18</v>
      </c>
      <c r="D2326" s="1">
        <v>45573</v>
      </c>
      <c r="E2326" s="2">
        <v>6014.3</v>
      </c>
      <c r="F2326">
        <v>141</v>
      </c>
    </row>
    <row r="2327" spans="1:6">
      <c r="A2327" t="s">
        <v>14</v>
      </c>
      <c r="B2327" t="s">
        <v>10</v>
      </c>
      <c r="C2327" t="s">
        <v>36</v>
      </c>
      <c r="D2327" s="1">
        <v>45413</v>
      </c>
      <c r="E2327" s="2">
        <v>2788.6</v>
      </c>
      <c r="F2327">
        <v>27</v>
      </c>
    </row>
    <row r="2328" spans="1:6">
      <c r="A2328" t="s">
        <v>83</v>
      </c>
      <c r="B2328" t="s">
        <v>7</v>
      </c>
      <c r="C2328" t="s">
        <v>18</v>
      </c>
      <c r="D2328" s="1">
        <v>45603</v>
      </c>
      <c r="E2328" s="2">
        <v>6503.75</v>
      </c>
      <c r="F2328">
        <v>116</v>
      </c>
    </row>
    <row r="2329" spans="1:6">
      <c r="A2329" t="s">
        <v>64</v>
      </c>
      <c r="B2329" t="s">
        <v>32</v>
      </c>
      <c r="C2329" t="s">
        <v>23</v>
      </c>
      <c r="D2329" t="s">
        <v>320</v>
      </c>
      <c r="E2329" s="2">
        <v>433.92</v>
      </c>
      <c r="F2329">
        <v>31</v>
      </c>
    </row>
    <row r="2330" spans="1:6">
      <c r="A2330" t="s">
        <v>12</v>
      </c>
      <c r="B2330" t="s">
        <v>25</v>
      </c>
      <c r="C2330" t="s">
        <v>57</v>
      </c>
      <c r="D2330" s="1">
        <v>45386</v>
      </c>
      <c r="E2330" s="2">
        <v>12314.13</v>
      </c>
      <c r="F2330">
        <v>129</v>
      </c>
    </row>
    <row r="2331" spans="1:6">
      <c r="A2331" t="s">
        <v>31</v>
      </c>
      <c r="B2331" t="s">
        <v>32</v>
      </c>
      <c r="C2331" t="s">
        <v>73</v>
      </c>
      <c r="D2331" s="1">
        <v>45630</v>
      </c>
      <c r="E2331" s="2">
        <v>9876.86</v>
      </c>
      <c r="F2331">
        <v>106</v>
      </c>
    </row>
    <row r="2332" spans="1:6">
      <c r="A2332" t="s">
        <v>64</v>
      </c>
      <c r="B2332" t="s">
        <v>25</v>
      </c>
      <c r="C2332" t="s">
        <v>11</v>
      </c>
      <c r="D2332" s="1">
        <v>45330</v>
      </c>
      <c r="E2332" s="2">
        <v>2043.06</v>
      </c>
      <c r="F2332">
        <v>121</v>
      </c>
    </row>
    <row r="2333" spans="1:6">
      <c r="A2333" t="s">
        <v>12</v>
      </c>
      <c r="B2333" t="s">
        <v>25</v>
      </c>
      <c r="C2333" t="s">
        <v>60</v>
      </c>
      <c r="D2333" t="s">
        <v>294</v>
      </c>
      <c r="E2333" s="2">
        <v>8728.7999999999993</v>
      </c>
      <c r="F2333">
        <v>272</v>
      </c>
    </row>
    <row r="2334" spans="1:6">
      <c r="A2334" t="s">
        <v>83</v>
      </c>
      <c r="B2334" t="s">
        <v>15</v>
      </c>
      <c r="C2334" t="s">
        <v>36</v>
      </c>
      <c r="D2334" s="1">
        <v>45419</v>
      </c>
      <c r="E2334" s="2">
        <v>4906.57</v>
      </c>
      <c r="F2334">
        <v>128</v>
      </c>
    </row>
    <row r="2335" spans="1:6">
      <c r="A2335" t="s">
        <v>29</v>
      </c>
      <c r="B2335" t="s">
        <v>25</v>
      </c>
      <c r="C2335" t="s">
        <v>75</v>
      </c>
      <c r="D2335" s="1">
        <v>45479</v>
      </c>
      <c r="E2335" s="2">
        <v>2278.06</v>
      </c>
      <c r="F2335">
        <v>49</v>
      </c>
    </row>
    <row r="2336" spans="1:6">
      <c r="A2336" t="s">
        <v>28</v>
      </c>
      <c r="B2336" t="s">
        <v>25</v>
      </c>
      <c r="C2336" t="s">
        <v>18</v>
      </c>
      <c r="D2336" t="s">
        <v>321</v>
      </c>
      <c r="E2336" s="2">
        <v>1108.18</v>
      </c>
      <c r="F2336">
        <v>27</v>
      </c>
    </row>
    <row r="2337" spans="1:6">
      <c r="A2337" t="s">
        <v>28</v>
      </c>
      <c r="B2337" t="s">
        <v>15</v>
      </c>
      <c r="C2337" t="s">
        <v>87</v>
      </c>
      <c r="D2337" s="1">
        <v>45383</v>
      </c>
      <c r="E2337" s="2">
        <v>14957.65</v>
      </c>
      <c r="F2337">
        <v>206</v>
      </c>
    </row>
    <row r="2338" spans="1:6">
      <c r="A2338" t="s">
        <v>58</v>
      </c>
      <c r="B2338" t="s">
        <v>15</v>
      </c>
      <c r="C2338" t="s">
        <v>20</v>
      </c>
      <c r="D2338" t="s">
        <v>303</v>
      </c>
      <c r="E2338" s="2">
        <v>3020.67</v>
      </c>
      <c r="F2338">
        <v>19</v>
      </c>
    </row>
    <row r="2339" spans="1:6">
      <c r="A2339" t="s">
        <v>70</v>
      </c>
      <c r="B2339" t="s">
        <v>10</v>
      </c>
      <c r="C2339" t="s">
        <v>65</v>
      </c>
      <c r="D2339" t="s">
        <v>278</v>
      </c>
      <c r="E2339" s="2">
        <v>3677.47</v>
      </c>
      <c r="F2339">
        <v>152</v>
      </c>
    </row>
    <row r="2340" spans="1:6">
      <c r="A2340" t="s">
        <v>71</v>
      </c>
      <c r="B2340" t="s">
        <v>15</v>
      </c>
      <c r="C2340" t="s">
        <v>100</v>
      </c>
      <c r="D2340" t="s">
        <v>322</v>
      </c>
      <c r="E2340" s="2">
        <v>6999.62</v>
      </c>
      <c r="F2340">
        <v>500</v>
      </c>
    </row>
    <row r="2341" spans="1:6">
      <c r="A2341" t="s">
        <v>19</v>
      </c>
      <c r="B2341" t="s">
        <v>10</v>
      </c>
      <c r="C2341" t="s">
        <v>18</v>
      </c>
      <c r="D2341" s="1">
        <v>45475</v>
      </c>
      <c r="E2341" s="2">
        <v>10901.65</v>
      </c>
      <c r="F2341">
        <v>116</v>
      </c>
    </row>
    <row r="2342" spans="1:6">
      <c r="A2342" t="s">
        <v>55</v>
      </c>
      <c r="B2342" t="s">
        <v>7</v>
      </c>
      <c r="C2342" t="s">
        <v>42</v>
      </c>
      <c r="D2342" t="s">
        <v>323</v>
      </c>
      <c r="E2342" s="2">
        <v>2586.62</v>
      </c>
      <c r="F2342">
        <v>172</v>
      </c>
    </row>
    <row r="2343" spans="1:6">
      <c r="A2343" t="s">
        <v>40</v>
      </c>
      <c r="B2343" t="s">
        <v>10</v>
      </c>
      <c r="C2343" t="s">
        <v>90</v>
      </c>
      <c r="D2343" t="s">
        <v>314</v>
      </c>
      <c r="E2343" s="2">
        <v>5077.5</v>
      </c>
      <c r="F2343">
        <v>81</v>
      </c>
    </row>
    <row r="2344" spans="1:6">
      <c r="A2344" t="s">
        <v>37</v>
      </c>
      <c r="B2344" t="s">
        <v>7</v>
      </c>
      <c r="C2344" t="s">
        <v>36</v>
      </c>
      <c r="D2344" t="s">
        <v>267</v>
      </c>
      <c r="E2344" s="2">
        <v>8360.11</v>
      </c>
      <c r="F2344">
        <v>203</v>
      </c>
    </row>
    <row r="2345" spans="1:6">
      <c r="A2345" t="s">
        <v>9</v>
      </c>
      <c r="B2345" t="s">
        <v>10</v>
      </c>
      <c r="C2345" t="s">
        <v>87</v>
      </c>
      <c r="D2345" t="s">
        <v>299</v>
      </c>
      <c r="E2345" s="2">
        <v>3566.77</v>
      </c>
      <c r="F2345">
        <v>426</v>
      </c>
    </row>
    <row r="2346" spans="1:6">
      <c r="A2346" t="s">
        <v>12</v>
      </c>
      <c r="B2346" t="s">
        <v>7</v>
      </c>
      <c r="C2346" t="s">
        <v>23</v>
      </c>
      <c r="D2346" t="s">
        <v>324</v>
      </c>
      <c r="E2346" s="2">
        <v>9186.69</v>
      </c>
      <c r="F2346">
        <v>173</v>
      </c>
    </row>
    <row r="2347" spans="1:6">
      <c r="A2347" t="s">
        <v>48</v>
      </c>
      <c r="B2347" t="s">
        <v>15</v>
      </c>
      <c r="C2347" t="s">
        <v>33</v>
      </c>
      <c r="D2347" s="1">
        <v>45633</v>
      </c>
      <c r="E2347" s="2">
        <v>917.35</v>
      </c>
      <c r="F2347">
        <v>140</v>
      </c>
    </row>
    <row r="2348" spans="1:6">
      <c r="A2348" t="s">
        <v>6</v>
      </c>
      <c r="B2348" t="s">
        <v>35</v>
      </c>
      <c r="C2348" t="s">
        <v>18</v>
      </c>
      <c r="D2348" s="1">
        <v>45603</v>
      </c>
      <c r="E2348" s="2">
        <v>6199.12</v>
      </c>
      <c r="F2348">
        <v>132</v>
      </c>
    </row>
    <row r="2349" spans="1:6">
      <c r="A2349" t="s">
        <v>37</v>
      </c>
      <c r="B2349" t="s">
        <v>35</v>
      </c>
      <c r="C2349" t="s">
        <v>18</v>
      </c>
      <c r="D2349" t="s">
        <v>311</v>
      </c>
      <c r="E2349" s="2">
        <v>3368.63</v>
      </c>
      <c r="F2349">
        <v>180</v>
      </c>
    </row>
    <row r="2350" spans="1:6">
      <c r="A2350" t="s">
        <v>67</v>
      </c>
      <c r="B2350" t="s">
        <v>32</v>
      </c>
      <c r="C2350" t="s">
        <v>11</v>
      </c>
      <c r="D2350" s="1">
        <v>45416</v>
      </c>
      <c r="E2350" s="2">
        <v>10527.23</v>
      </c>
      <c r="F2350">
        <v>82</v>
      </c>
    </row>
    <row r="2351" spans="1:6">
      <c r="A2351" t="s">
        <v>6</v>
      </c>
      <c r="B2351" t="s">
        <v>35</v>
      </c>
      <c r="C2351" t="s">
        <v>46</v>
      </c>
      <c r="D2351" t="s">
        <v>315</v>
      </c>
      <c r="E2351" s="2">
        <v>7927.57</v>
      </c>
      <c r="F2351">
        <v>12</v>
      </c>
    </row>
    <row r="2352" spans="1:6">
      <c r="A2352" t="s">
        <v>29</v>
      </c>
      <c r="B2352" t="s">
        <v>25</v>
      </c>
      <c r="C2352" t="s">
        <v>90</v>
      </c>
      <c r="D2352" t="s">
        <v>325</v>
      </c>
      <c r="E2352" s="2">
        <v>14493.5</v>
      </c>
      <c r="F2352">
        <v>15</v>
      </c>
    </row>
    <row r="2353" spans="1:6">
      <c r="A2353" t="s">
        <v>34</v>
      </c>
      <c r="B2353" t="s">
        <v>15</v>
      </c>
      <c r="C2353" t="s">
        <v>46</v>
      </c>
      <c r="D2353" t="s">
        <v>326</v>
      </c>
      <c r="E2353" s="2">
        <v>3112.2</v>
      </c>
      <c r="F2353">
        <v>107</v>
      </c>
    </row>
    <row r="2354" spans="1:6">
      <c r="A2354" t="s">
        <v>31</v>
      </c>
      <c r="B2354" t="s">
        <v>32</v>
      </c>
      <c r="C2354" t="s">
        <v>57</v>
      </c>
      <c r="D2354" t="s">
        <v>313</v>
      </c>
      <c r="E2354" s="2">
        <v>9617.64</v>
      </c>
      <c r="F2354">
        <v>44</v>
      </c>
    </row>
    <row r="2355" spans="1:6">
      <c r="A2355" t="s">
        <v>40</v>
      </c>
      <c r="B2355" t="s">
        <v>7</v>
      </c>
      <c r="C2355" t="s">
        <v>90</v>
      </c>
      <c r="D2355" t="s">
        <v>290</v>
      </c>
      <c r="E2355" s="2">
        <v>4198.08</v>
      </c>
      <c r="F2355">
        <v>107</v>
      </c>
    </row>
    <row r="2356" spans="1:6">
      <c r="A2356" t="s">
        <v>34</v>
      </c>
      <c r="B2356" t="s">
        <v>25</v>
      </c>
      <c r="C2356" t="s">
        <v>60</v>
      </c>
      <c r="D2356" t="s">
        <v>327</v>
      </c>
      <c r="E2356" s="2">
        <v>10927.22</v>
      </c>
      <c r="F2356">
        <v>11</v>
      </c>
    </row>
    <row r="2357" spans="1:6">
      <c r="A2357" t="s">
        <v>45</v>
      </c>
      <c r="B2357" t="s">
        <v>10</v>
      </c>
      <c r="C2357" t="s">
        <v>13</v>
      </c>
      <c r="D2357" s="1">
        <v>45598</v>
      </c>
      <c r="E2357" s="2">
        <v>10759.18</v>
      </c>
      <c r="F2357">
        <v>20</v>
      </c>
    </row>
    <row r="2358" spans="1:6">
      <c r="A2358" t="s">
        <v>45</v>
      </c>
      <c r="B2358" t="s">
        <v>25</v>
      </c>
      <c r="C2358" t="s">
        <v>46</v>
      </c>
      <c r="D2358" s="1">
        <v>45325</v>
      </c>
      <c r="E2358" s="2">
        <v>6250.42</v>
      </c>
      <c r="F2358">
        <v>111</v>
      </c>
    </row>
    <row r="2359" spans="1:6">
      <c r="A2359" t="s">
        <v>83</v>
      </c>
      <c r="B2359" t="s">
        <v>15</v>
      </c>
      <c r="C2359" t="s">
        <v>59</v>
      </c>
      <c r="D2359" s="1">
        <v>45325</v>
      </c>
      <c r="E2359" s="2">
        <v>1103.54</v>
      </c>
      <c r="F2359">
        <v>195</v>
      </c>
    </row>
    <row r="2360" spans="1:6">
      <c r="A2360" t="s">
        <v>9</v>
      </c>
      <c r="B2360" t="s">
        <v>32</v>
      </c>
      <c r="C2360" t="s">
        <v>20</v>
      </c>
      <c r="D2360" t="s">
        <v>271</v>
      </c>
      <c r="E2360" s="2">
        <v>13435.98</v>
      </c>
      <c r="F2360">
        <v>6</v>
      </c>
    </row>
    <row r="2361" spans="1:6">
      <c r="A2361" t="s">
        <v>70</v>
      </c>
      <c r="B2361" t="s">
        <v>10</v>
      </c>
      <c r="C2361" t="s">
        <v>23</v>
      </c>
      <c r="D2361" s="1">
        <v>45474</v>
      </c>
      <c r="E2361" s="2">
        <v>1855.03</v>
      </c>
      <c r="F2361">
        <v>563</v>
      </c>
    </row>
    <row r="2362" spans="1:6">
      <c r="A2362" t="s">
        <v>28</v>
      </c>
      <c r="B2362" t="s">
        <v>7</v>
      </c>
      <c r="C2362" t="s">
        <v>59</v>
      </c>
      <c r="D2362" s="1">
        <v>45630</v>
      </c>
      <c r="E2362" s="2">
        <v>5799.09</v>
      </c>
      <c r="F2362">
        <v>169</v>
      </c>
    </row>
    <row r="2363" spans="1:6">
      <c r="A2363" t="s">
        <v>9</v>
      </c>
      <c r="B2363" t="s">
        <v>35</v>
      </c>
      <c r="C2363" t="s">
        <v>65</v>
      </c>
      <c r="D2363" t="s">
        <v>275</v>
      </c>
      <c r="E2363" s="2">
        <v>3631.78</v>
      </c>
      <c r="F2363">
        <v>71</v>
      </c>
    </row>
    <row r="2364" spans="1:6">
      <c r="A2364" t="s">
        <v>6</v>
      </c>
      <c r="B2364" t="s">
        <v>15</v>
      </c>
      <c r="C2364" t="s">
        <v>26</v>
      </c>
      <c r="D2364" t="s">
        <v>328</v>
      </c>
      <c r="E2364" s="2">
        <v>5461.43</v>
      </c>
      <c r="F2364">
        <v>456</v>
      </c>
    </row>
    <row r="2365" spans="1:6">
      <c r="A2365" t="s">
        <v>37</v>
      </c>
      <c r="B2365" t="s">
        <v>7</v>
      </c>
      <c r="C2365" t="s">
        <v>87</v>
      </c>
      <c r="D2365" s="1">
        <v>45475</v>
      </c>
      <c r="E2365" s="2">
        <v>5315.95</v>
      </c>
      <c r="F2365">
        <v>389</v>
      </c>
    </row>
    <row r="2366" spans="1:6">
      <c r="A2366" t="s">
        <v>6</v>
      </c>
      <c r="B2366" t="s">
        <v>15</v>
      </c>
      <c r="C2366" t="s">
        <v>33</v>
      </c>
      <c r="D2366" t="s">
        <v>316</v>
      </c>
      <c r="E2366" s="2">
        <v>16059.94</v>
      </c>
      <c r="F2366">
        <v>28</v>
      </c>
    </row>
    <row r="2367" spans="1:6">
      <c r="A2367" t="s">
        <v>40</v>
      </c>
      <c r="B2367" t="s">
        <v>10</v>
      </c>
      <c r="C2367" t="s">
        <v>13</v>
      </c>
      <c r="D2367" s="1">
        <v>45566</v>
      </c>
      <c r="E2367" s="2">
        <v>7803.84</v>
      </c>
      <c r="F2367">
        <v>157</v>
      </c>
    </row>
    <row r="2368" spans="1:6">
      <c r="A2368" t="s">
        <v>19</v>
      </c>
      <c r="B2368" t="s">
        <v>7</v>
      </c>
      <c r="C2368" t="s">
        <v>75</v>
      </c>
      <c r="D2368" t="s">
        <v>329</v>
      </c>
      <c r="E2368" s="2">
        <v>10751.19</v>
      </c>
      <c r="F2368">
        <v>44</v>
      </c>
    </row>
    <row r="2369" spans="1:6">
      <c r="A2369" t="s">
        <v>12</v>
      </c>
      <c r="B2369" t="s">
        <v>32</v>
      </c>
      <c r="C2369" t="s">
        <v>50</v>
      </c>
      <c r="D2369" t="s">
        <v>330</v>
      </c>
      <c r="E2369" s="2">
        <v>12156.54</v>
      </c>
      <c r="F2369">
        <v>54</v>
      </c>
    </row>
    <row r="2370" spans="1:6">
      <c r="A2370" t="s">
        <v>31</v>
      </c>
      <c r="B2370" t="s">
        <v>15</v>
      </c>
      <c r="C2370" t="s">
        <v>59</v>
      </c>
      <c r="D2370" s="1">
        <v>45389</v>
      </c>
      <c r="E2370" s="2">
        <v>9402.26</v>
      </c>
      <c r="F2370">
        <v>401</v>
      </c>
    </row>
    <row r="2371" spans="1:6">
      <c r="A2371" t="s">
        <v>55</v>
      </c>
      <c r="B2371" t="s">
        <v>35</v>
      </c>
      <c r="C2371" t="s">
        <v>13</v>
      </c>
      <c r="D2371" s="1">
        <v>45389</v>
      </c>
      <c r="E2371" s="2">
        <v>3653.39</v>
      </c>
      <c r="F2371">
        <v>185</v>
      </c>
    </row>
    <row r="2372" spans="1:6">
      <c r="A2372" t="s">
        <v>79</v>
      </c>
      <c r="B2372" t="s">
        <v>32</v>
      </c>
      <c r="C2372" t="s">
        <v>60</v>
      </c>
      <c r="D2372" s="1">
        <v>45573</v>
      </c>
      <c r="E2372" s="2">
        <v>320.11</v>
      </c>
      <c r="F2372">
        <v>201</v>
      </c>
    </row>
    <row r="2373" spans="1:6">
      <c r="A2373" t="s">
        <v>58</v>
      </c>
      <c r="B2373" t="s">
        <v>15</v>
      </c>
      <c r="C2373" t="s">
        <v>26</v>
      </c>
      <c r="D2373" s="1">
        <v>45295</v>
      </c>
      <c r="E2373" s="2">
        <v>7618.91</v>
      </c>
      <c r="F2373">
        <v>12</v>
      </c>
    </row>
    <row r="2374" spans="1:6">
      <c r="A2374" t="s">
        <v>12</v>
      </c>
      <c r="B2374" t="s">
        <v>10</v>
      </c>
      <c r="C2374" t="s">
        <v>73</v>
      </c>
      <c r="D2374" t="s">
        <v>331</v>
      </c>
      <c r="E2374" s="2">
        <v>2843.9</v>
      </c>
      <c r="F2374">
        <v>158</v>
      </c>
    </row>
    <row r="2375" spans="1:6">
      <c r="A2375" t="s">
        <v>71</v>
      </c>
      <c r="B2375" t="s">
        <v>7</v>
      </c>
      <c r="C2375" t="s">
        <v>59</v>
      </c>
      <c r="D2375" s="1">
        <v>45352</v>
      </c>
      <c r="E2375" s="2">
        <v>11946.4</v>
      </c>
      <c r="F2375">
        <v>192</v>
      </c>
    </row>
    <row r="2376" spans="1:6">
      <c r="A2376" t="s">
        <v>37</v>
      </c>
      <c r="B2376" t="s">
        <v>10</v>
      </c>
      <c r="C2376" t="s">
        <v>38</v>
      </c>
      <c r="D2376" t="s">
        <v>332</v>
      </c>
      <c r="E2376" s="2">
        <v>5055.05</v>
      </c>
      <c r="F2376">
        <v>241</v>
      </c>
    </row>
    <row r="2377" spans="1:6">
      <c r="A2377" t="s">
        <v>79</v>
      </c>
      <c r="B2377" t="s">
        <v>7</v>
      </c>
      <c r="C2377" t="s">
        <v>20</v>
      </c>
      <c r="D2377" s="1">
        <v>45352</v>
      </c>
      <c r="E2377" s="2">
        <v>10378.36</v>
      </c>
      <c r="F2377">
        <v>301</v>
      </c>
    </row>
    <row r="2378" spans="1:6">
      <c r="A2378" t="s">
        <v>53</v>
      </c>
      <c r="B2378" t="s">
        <v>25</v>
      </c>
      <c r="C2378" t="s">
        <v>90</v>
      </c>
      <c r="D2378" t="s">
        <v>302</v>
      </c>
      <c r="E2378" s="2">
        <v>595.16</v>
      </c>
      <c r="F2378">
        <v>461</v>
      </c>
    </row>
    <row r="2379" spans="1:6">
      <c r="A2379" t="s">
        <v>31</v>
      </c>
      <c r="B2379" t="s">
        <v>7</v>
      </c>
      <c r="C2379" t="s">
        <v>26</v>
      </c>
      <c r="D2379" t="s">
        <v>313</v>
      </c>
      <c r="E2379" s="2">
        <v>639.95000000000005</v>
      </c>
      <c r="F2379">
        <v>71</v>
      </c>
    </row>
    <row r="2380" spans="1:6">
      <c r="A2380" t="s">
        <v>48</v>
      </c>
      <c r="B2380" t="s">
        <v>15</v>
      </c>
      <c r="C2380" t="s">
        <v>42</v>
      </c>
      <c r="D2380" t="s">
        <v>294</v>
      </c>
      <c r="E2380" s="2">
        <v>3717.35</v>
      </c>
      <c r="F2380">
        <v>322</v>
      </c>
    </row>
    <row r="2381" spans="1:6">
      <c r="A2381" t="s">
        <v>53</v>
      </c>
      <c r="B2381" t="s">
        <v>7</v>
      </c>
      <c r="C2381" t="s">
        <v>75</v>
      </c>
      <c r="D2381" s="1">
        <v>45325</v>
      </c>
      <c r="E2381" s="2">
        <v>5057.1000000000004</v>
      </c>
      <c r="F2381">
        <v>41</v>
      </c>
    </row>
    <row r="2382" spans="1:6">
      <c r="A2382" t="s">
        <v>64</v>
      </c>
      <c r="B2382" t="s">
        <v>15</v>
      </c>
      <c r="C2382" t="s">
        <v>23</v>
      </c>
      <c r="D2382" t="s">
        <v>297</v>
      </c>
      <c r="E2382" s="2">
        <v>3729.83</v>
      </c>
      <c r="F2382">
        <v>27</v>
      </c>
    </row>
    <row r="2383" spans="1:6">
      <c r="A2383" t="s">
        <v>58</v>
      </c>
      <c r="B2383" t="s">
        <v>32</v>
      </c>
      <c r="C2383" t="s">
        <v>65</v>
      </c>
      <c r="D2383" t="s">
        <v>283</v>
      </c>
      <c r="E2383" s="2">
        <v>13786.87</v>
      </c>
      <c r="F2383">
        <v>85</v>
      </c>
    </row>
    <row r="2384" spans="1:6">
      <c r="A2384" t="s">
        <v>31</v>
      </c>
      <c r="B2384" t="s">
        <v>35</v>
      </c>
      <c r="C2384" t="s">
        <v>13</v>
      </c>
      <c r="D2384" s="1">
        <v>45479</v>
      </c>
      <c r="E2384" s="2">
        <v>2206.2800000000002</v>
      </c>
      <c r="F2384">
        <v>79</v>
      </c>
    </row>
    <row r="2385" spans="1:6">
      <c r="A2385" t="s">
        <v>55</v>
      </c>
      <c r="B2385" t="s">
        <v>32</v>
      </c>
      <c r="C2385" t="s">
        <v>100</v>
      </c>
      <c r="D2385" s="1">
        <v>45631</v>
      </c>
      <c r="E2385" s="2">
        <v>4672.25</v>
      </c>
      <c r="F2385">
        <v>103</v>
      </c>
    </row>
    <row r="2386" spans="1:6">
      <c r="A2386" t="s">
        <v>31</v>
      </c>
      <c r="B2386" t="s">
        <v>25</v>
      </c>
      <c r="C2386" t="s">
        <v>73</v>
      </c>
      <c r="D2386" t="s">
        <v>326</v>
      </c>
      <c r="E2386" s="2">
        <v>7667.99</v>
      </c>
      <c r="F2386">
        <v>69</v>
      </c>
    </row>
    <row r="2387" spans="1:6">
      <c r="A2387" t="s">
        <v>58</v>
      </c>
      <c r="B2387" t="s">
        <v>7</v>
      </c>
      <c r="C2387" t="s">
        <v>59</v>
      </c>
      <c r="D2387" s="1">
        <v>45359</v>
      </c>
      <c r="E2387" s="2">
        <v>8338.51</v>
      </c>
      <c r="F2387">
        <v>270</v>
      </c>
    </row>
    <row r="2388" spans="1:6">
      <c r="A2388" t="s">
        <v>31</v>
      </c>
      <c r="B2388" t="s">
        <v>10</v>
      </c>
      <c r="C2388" t="s">
        <v>87</v>
      </c>
      <c r="D2388" t="s">
        <v>304</v>
      </c>
      <c r="E2388" s="2">
        <v>7548.62</v>
      </c>
      <c r="F2388">
        <v>153</v>
      </c>
    </row>
    <row r="2389" spans="1:6">
      <c r="A2389" t="s">
        <v>9</v>
      </c>
      <c r="B2389" t="s">
        <v>25</v>
      </c>
      <c r="C2389" t="s">
        <v>18</v>
      </c>
      <c r="D2389" t="s">
        <v>333</v>
      </c>
      <c r="E2389" s="2">
        <v>3608.83</v>
      </c>
      <c r="F2389">
        <v>46</v>
      </c>
    </row>
    <row r="2390" spans="1:6">
      <c r="A2390" t="s">
        <v>41</v>
      </c>
      <c r="B2390" t="s">
        <v>7</v>
      </c>
      <c r="C2390" t="s">
        <v>59</v>
      </c>
      <c r="D2390" t="s">
        <v>283</v>
      </c>
      <c r="E2390" s="2">
        <v>7108.96</v>
      </c>
      <c r="F2390">
        <v>80</v>
      </c>
    </row>
    <row r="2391" spans="1:6">
      <c r="A2391" t="s">
        <v>71</v>
      </c>
      <c r="B2391" t="s">
        <v>25</v>
      </c>
      <c r="C2391" t="s">
        <v>8</v>
      </c>
      <c r="D2391" t="s">
        <v>334</v>
      </c>
      <c r="E2391" s="2">
        <v>1293.02</v>
      </c>
      <c r="F2391">
        <v>201</v>
      </c>
    </row>
    <row r="2392" spans="1:6">
      <c r="A2392" t="s">
        <v>83</v>
      </c>
      <c r="B2392" t="s">
        <v>7</v>
      </c>
      <c r="C2392" t="s">
        <v>33</v>
      </c>
      <c r="D2392" t="s">
        <v>265</v>
      </c>
      <c r="E2392" s="2">
        <v>15365.78</v>
      </c>
      <c r="F2392">
        <v>57</v>
      </c>
    </row>
    <row r="2393" spans="1:6">
      <c r="A2393" t="s">
        <v>14</v>
      </c>
      <c r="B2393" t="s">
        <v>15</v>
      </c>
      <c r="C2393" t="s">
        <v>59</v>
      </c>
      <c r="D2393" t="s">
        <v>335</v>
      </c>
      <c r="E2393" s="2">
        <v>3766.49</v>
      </c>
      <c r="F2393">
        <v>33</v>
      </c>
    </row>
    <row r="2394" spans="1:6">
      <c r="A2394" t="s">
        <v>34</v>
      </c>
      <c r="B2394" t="s">
        <v>35</v>
      </c>
      <c r="C2394" t="s">
        <v>11</v>
      </c>
      <c r="D2394" t="s">
        <v>269</v>
      </c>
      <c r="E2394" s="2">
        <v>1664.68</v>
      </c>
      <c r="F2394">
        <v>465</v>
      </c>
    </row>
    <row r="2395" spans="1:6">
      <c r="A2395" t="s">
        <v>29</v>
      </c>
      <c r="B2395" t="s">
        <v>10</v>
      </c>
      <c r="C2395" t="s">
        <v>50</v>
      </c>
      <c r="D2395" s="1">
        <v>45383</v>
      </c>
      <c r="E2395" s="2">
        <v>8972.7900000000009</v>
      </c>
      <c r="F2395">
        <v>134</v>
      </c>
    </row>
    <row r="2396" spans="1:6">
      <c r="A2396" t="s">
        <v>83</v>
      </c>
      <c r="B2396" t="s">
        <v>15</v>
      </c>
      <c r="C2396" t="s">
        <v>8</v>
      </c>
      <c r="D2396" t="s">
        <v>315</v>
      </c>
      <c r="E2396" s="2">
        <v>10576.55</v>
      </c>
      <c r="F2396">
        <v>96</v>
      </c>
    </row>
    <row r="2397" spans="1:6">
      <c r="A2397" t="s">
        <v>37</v>
      </c>
      <c r="B2397" t="s">
        <v>15</v>
      </c>
      <c r="C2397" t="s">
        <v>59</v>
      </c>
      <c r="D2397" s="1">
        <v>45413</v>
      </c>
      <c r="E2397" s="2">
        <v>8857.15</v>
      </c>
      <c r="F2397">
        <v>50</v>
      </c>
    </row>
    <row r="2398" spans="1:6">
      <c r="A2398" t="s">
        <v>41</v>
      </c>
      <c r="B2398" t="s">
        <v>10</v>
      </c>
      <c r="C2398" t="s">
        <v>38</v>
      </c>
      <c r="D2398" t="s">
        <v>292</v>
      </c>
      <c r="E2398" s="2">
        <v>6756.17</v>
      </c>
      <c r="F2398">
        <v>45</v>
      </c>
    </row>
    <row r="2399" spans="1:6">
      <c r="A2399" t="s">
        <v>28</v>
      </c>
      <c r="B2399" t="s">
        <v>15</v>
      </c>
      <c r="C2399" t="s">
        <v>75</v>
      </c>
      <c r="D2399" t="s">
        <v>306</v>
      </c>
      <c r="E2399" s="2">
        <v>5532.85</v>
      </c>
      <c r="F2399">
        <v>63</v>
      </c>
    </row>
    <row r="2400" spans="1:6">
      <c r="A2400" t="s">
        <v>37</v>
      </c>
      <c r="B2400" t="s">
        <v>35</v>
      </c>
      <c r="C2400" t="s">
        <v>36</v>
      </c>
      <c r="D2400" t="s">
        <v>269</v>
      </c>
      <c r="E2400" s="2">
        <v>3713.66</v>
      </c>
      <c r="F2400">
        <v>352</v>
      </c>
    </row>
    <row r="2401" spans="1:6">
      <c r="A2401" t="s">
        <v>12</v>
      </c>
      <c r="B2401" t="s">
        <v>32</v>
      </c>
      <c r="C2401" t="s">
        <v>20</v>
      </c>
      <c r="D2401" s="1">
        <v>45328</v>
      </c>
      <c r="E2401" s="2">
        <v>906.85</v>
      </c>
      <c r="F2401">
        <v>246</v>
      </c>
    </row>
    <row r="2402" spans="1:6">
      <c r="A2402" t="s">
        <v>40</v>
      </c>
      <c r="B2402" t="s">
        <v>7</v>
      </c>
      <c r="C2402" t="s">
        <v>18</v>
      </c>
      <c r="D2402" t="s">
        <v>336</v>
      </c>
      <c r="E2402" s="2">
        <v>22558.880000000001</v>
      </c>
      <c r="F2402">
        <v>84</v>
      </c>
    </row>
    <row r="2403" spans="1:6">
      <c r="A2403" t="s">
        <v>41</v>
      </c>
      <c r="B2403" t="s">
        <v>25</v>
      </c>
      <c r="C2403" t="s">
        <v>87</v>
      </c>
      <c r="D2403" s="1">
        <v>45359</v>
      </c>
      <c r="E2403" s="2">
        <v>1517.05</v>
      </c>
      <c r="F2403">
        <v>147</v>
      </c>
    </row>
    <row r="2404" spans="1:6">
      <c r="A2404" t="s">
        <v>41</v>
      </c>
      <c r="B2404" t="s">
        <v>15</v>
      </c>
      <c r="C2404" t="s">
        <v>46</v>
      </c>
      <c r="D2404" t="s">
        <v>306</v>
      </c>
      <c r="E2404" s="2">
        <v>770.45</v>
      </c>
      <c r="F2404">
        <v>389</v>
      </c>
    </row>
    <row r="2405" spans="1:6">
      <c r="A2405" t="s">
        <v>9</v>
      </c>
      <c r="B2405" t="s">
        <v>7</v>
      </c>
      <c r="C2405" t="s">
        <v>73</v>
      </c>
      <c r="D2405" t="s">
        <v>314</v>
      </c>
      <c r="E2405" s="2">
        <v>7623.35</v>
      </c>
      <c r="F2405">
        <v>80</v>
      </c>
    </row>
    <row r="2406" spans="1:6">
      <c r="A2406" t="s">
        <v>14</v>
      </c>
      <c r="B2406" t="s">
        <v>15</v>
      </c>
      <c r="C2406" t="s">
        <v>33</v>
      </c>
      <c r="D2406" s="1">
        <v>45389</v>
      </c>
      <c r="E2406" s="2">
        <v>3418.05</v>
      </c>
      <c r="F2406">
        <v>117</v>
      </c>
    </row>
    <row r="2407" spans="1:6">
      <c r="A2407" t="s">
        <v>6</v>
      </c>
      <c r="B2407" t="s">
        <v>10</v>
      </c>
      <c r="C2407" t="s">
        <v>26</v>
      </c>
      <c r="D2407" s="1">
        <v>45419</v>
      </c>
      <c r="E2407" s="2">
        <v>4055.71</v>
      </c>
      <c r="F2407">
        <v>137</v>
      </c>
    </row>
    <row r="2408" spans="1:6">
      <c r="A2408" t="s">
        <v>77</v>
      </c>
      <c r="B2408" t="s">
        <v>32</v>
      </c>
      <c r="C2408" t="s">
        <v>23</v>
      </c>
      <c r="D2408" t="s">
        <v>337</v>
      </c>
      <c r="E2408" s="2">
        <v>5432.84</v>
      </c>
      <c r="F2408">
        <v>450</v>
      </c>
    </row>
    <row r="2409" spans="1:6">
      <c r="A2409" t="s">
        <v>31</v>
      </c>
      <c r="B2409" t="s">
        <v>7</v>
      </c>
      <c r="C2409" t="s">
        <v>73</v>
      </c>
      <c r="D2409" t="s">
        <v>289</v>
      </c>
      <c r="E2409" s="2">
        <v>6016.8</v>
      </c>
      <c r="F2409">
        <v>71</v>
      </c>
    </row>
    <row r="2410" spans="1:6">
      <c r="A2410" t="s">
        <v>83</v>
      </c>
      <c r="B2410" t="s">
        <v>15</v>
      </c>
      <c r="C2410" t="s">
        <v>100</v>
      </c>
      <c r="D2410" s="1">
        <v>45627</v>
      </c>
      <c r="E2410" s="2">
        <v>3609.76</v>
      </c>
      <c r="F2410">
        <v>122</v>
      </c>
    </row>
    <row r="2411" spans="1:6">
      <c r="A2411" t="s">
        <v>40</v>
      </c>
      <c r="B2411" t="s">
        <v>7</v>
      </c>
      <c r="C2411" t="s">
        <v>87</v>
      </c>
      <c r="D2411" s="1">
        <v>45571</v>
      </c>
      <c r="E2411" s="2">
        <v>302.25</v>
      </c>
      <c r="F2411">
        <v>154</v>
      </c>
    </row>
    <row r="2412" spans="1:6">
      <c r="A2412" t="s">
        <v>55</v>
      </c>
      <c r="B2412" t="s">
        <v>15</v>
      </c>
      <c r="C2412" t="s">
        <v>13</v>
      </c>
      <c r="D2412" t="s">
        <v>338</v>
      </c>
      <c r="E2412" s="2">
        <v>6062.87</v>
      </c>
      <c r="F2412">
        <v>290</v>
      </c>
    </row>
    <row r="2413" spans="1:6">
      <c r="A2413" t="s">
        <v>29</v>
      </c>
      <c r="B2413" t="s">
        <v>10</v>
      </c>
      <c r="C2413" t="s">
        <v>65</v>
      </c>
      <c r="D2413" t="s">
        <v>335</v>
      </c>
      <c r="E2413" s="2">
        <v>3589.91</v>
      </c>
      <c r="F2413">
        <v>106</v>
      </c>
    </row>
    <row r="2414" spans="1:6">
      <c r="A2414" t="s">
        <v>53</v>
      </c>
      <c r="B2414" t="s">
        <v>7</v>
      </c>
      <c r="C2414" t="s">
        <v>90</v>
      </c>
      <c r="D2414" t="s">
        <v>287</v>
      </c>
      <c r="E2414" s="2">
        <v>16457.28</v>
      </c>
      <c r="F2414">
        <v>442</v>
      </c>
    </row>
    <row r="2415" spans="1:6">
      <c r="A2415" t="s">
        <v>45</v>
      </c>
      <c r="B2415" t="s">
        <v>10</v>
      </c>
      <c r="C2415" t="s">
        <v>33</v>
      </c>
      <c r="D2415" t="s">
        <v>275</v>
      </c>
      <c r="E2415" s="2">
        <v>4813.53</v>
      </c>
      <c r="F2415">
        <v>19</v>
      </c>
    </row>
    <row r="2416" spans="1:6">
      <c r="A2416" t="s">
        <v>6</v>
      </c>
      <c r="B2416" t="s">
        <v>7</v>
      </c>
      <c r="C2416" t="s">
        <v>100</v>
      </c>
      <c r="D2416" t="s">
        <v>298</v>
      </c>
      <c r="E2416" s="2">
        <v>5819.17</v>
      </c>
      <c r="F2416">
        <v>270</v>
      </c>
    </row>
    <row r="2417" spans="1:6">
      <c r="A2417" t="s">
        <v>53</v>
      </c>
      <c r="B2417" t="s">
        <v>15</v>
      </c>
      <c r="C2417" t="s">
        <v>60</v>
      </c>
      <c r="D2417" t="s">
        <v>337</v>
      </c>
      <c r="E2417" s="2">
        <v>7824.91</v>
      </c>
      <c r="F2417">
        <v>100</v>
      </c>
    </row>
    <row r="2418" spans="1:6">
      <c r="A2418" t="s">
        <v>77</v>
      </c>
      <c r="B2418" t="s">
        <v>32</v>
      </c>
      <c r="C2418" t="s">
        <v>36</v>
      </c>
      <c r="D2418" t="s">
        <v>339</v>
      </c>
      <c r="E2418" s="2">
        <v>9446.67</v>
      </c>
      <c r="F2418">
        <v>193</v>
      </c>
    </row>
    <row r="2419" spans="1:6">
      <c r="A2419" t="s">
        <v>28</v>
      </c>
      <c r="B2419" t="s">
        <v>10</v>
      </c>
      <c r="C2419" t="s">
        <v>36</v>
      </c>
      <c r="D2419" t="s">
        <v>322</v>
      </c>
      <c r="E2419" s="2">
        <v>1447.58</v>
      </c>
      <c r="F2419">
        <v>67</v>
      </c>
    </row>
    <row r="2420" spans="1:6">
      <c r="A2420" t="s">
        <v>34</v>
      </c>
      <c r="B2420" t="s">
        <v>25</v>
      </c>
      <c r="C2420" t="s">
        <v>59</v>
      </c>
      <c r="D2420" t="s">
        <v>310</v>
      </c>
      <c r="E2420" s="2">
        <v>3356.27</v>
      </c>
      <c r="F2420">
        <v>238</v>
      </c>
    </row>
    <row r="2421" spans="1:6">
      <c r="A2421" t="s">
        <v>53</v>
      </c>
      <c r="B2421" t="s">
        <v>32</v>
      </c>
      <c r="C2421" t="s">
        <v>46</v>
      </c>
      <c r="D2421" s="1">
        <v>45325</v>
      </c>
      <c r="E2421" s="2">
        <v>1031.25</v>
      </c>
      <c r="F2421">
        <v>55</v>
      </c>
    </row>
    <row r="2422" spans="1:6">
      <c r="A2422" t="s">
        <v>9</v>
      </c>
      <c r="B2422" t="s">
        <v>15</v>
      </c>
      <c r="C2422" t="s">
        <v>46</v>
      </c>
      <c r="D2422" t="s">
        <v>299</v>
      </c>
      <c r="E2422" s="2">
        <v>9471.51</v>
      </c>
      <c r="F2422">
        <v>95</v>
      </c>
    </row>
    <row r="2423" spans="1:6">
      <c r="A2423" t="s">
        <v>41</v>
      </c>
      <c r="B2423" t="s">
        <v>35</v>
      </c>
      <c r="C2423" t="s">
        <v>59</v>
      </c>
      <c r="D2423" t="s">
        <v>292</v>
      </c>
      <c r="E2423" s="2">
        <v>10573.29</v>
      </c>
      <c r="F2423">
        <v>179</v>
      </c>
    </row>
    <row r="2424" spans="1:6">
      <c r="A2424" t="s">
        <v>79</v>
      </c>
      <c r="B2424" t="s">
        <v>15</v>
      </c>
      <c r="C2424" t="s">
        <v>26</v>
      </c>
      <c r="D2424" s="1">
        <v>45631</v>
      </c>
      <c r="E2424" s="2">
        <v>3321.9</v>
      </c>
      <c r="F2424">
        <v>247</v>
      </c>
    </row>
    <row r="2425" spans="1:6">
      <c r="A2425" t="s">
        <v>34</v>
      </c>
      <c r="B2425" t="s">
        <v>25</v>
      </c>
      <c r="C2425" t="s">
        <v>42</v>
      </c>
      <c r="D2425" s="1">
        <v>45298</v>
      </c>
      <c r="E2425" s="2">
        <v>5318</v>
      </c>
      <c r="F2425">
        <v>281</v>
      </c>
    </row>
    <row r="2426" spans="1:6">
      <c r="A2426" t="s">
        <v>53</v>
      </c>
      <c r="B2426" t="s">
        <v>32</v>
      </c>
      <c r="C2426" t="s">
        <v>11</v>
      </c>
      <c r="D2426" s="1">
        <v>45512</v>
      </c>
      <c r="E2426" s="2">
        <v>415.67</v>
      </c>
      <c r="F2426">
        <v>59</v>
      </c>
    </row>
    <row r="2427" spans="1:6">
      <c r="A2427" t="s">
        <v>77</v>
      </c>
      <c r="B2427" t="s">
        <v>15</v>
      </c>
      <c r="C2427" t="s">
        <v>26</v>
      </c>
      <c r="D2427" t="s">
        <v>319</v>
      </c>
      <c r="E2427" s="2">
        <v>8295.8799999999992</v>
      </c>
      <c r="F2427">
        <v>6</v>
      </c>
    </row>
    <row r="2428" spans="1:6">
      <c r="A2428" t="s">
        <v>64</v>
      </c>
      <c r="B2428" t="s">
        <v>7</v>
      </c>
      <c r="C2428" t="s">
        <v>38</v>
      </c>
      <c r="D2428" t="s">
        <v>293</v>
      </c>
      <c r="E2428" s="2">
        <v>3857.25</v>
      </c>
      <c r="F2428">
        <v>54</v>
      </c>
    </row>
    <row r="2429" spans="1:6">
      <c r="A2429" t="s">
        <v>71</v>
      </c>
      <c r="B2429" t="s">
        <v>10</v>
      </c>
      <c r="C2429" t="s">
        <v>13</v>
      </c>
      <c r="D2429" t="s">
        <v>292</v>
      </c>
      <c r="E2429" s="2">
        <v>14102.83</v>
      </c>
      <c r="F2429">
        <v>291</v>
      </c>
    </row>
    <row r="2430" spans="1:6">
      <c r="A2430" t="s">
        <v>48</v>
      </c>
      <c r="B2430" t="s">
        <v>10</v>
      </c>
      <c r="C2430" t="s">
        <v>100</v>
      </c>
      <c r="D2430" s="1">
        <v>45419</v>
      </c>
      <c r="E2430" s="2">
        <v>2453.44</v>
      </c>
      <c r="F2430">
        <v>43</v>
      </c>
    </row>
    <row r="2431" spans="1:6">
      <c r="A2431" t="s">
        <v>34</v>
      </c>
      <c r="B2431" t="s">
        <v>32</v>
      </c>
      <c r="C2431" t="s">
        <v>60</v>
      </c>
      <c r="D2431" s="1">
        <v>45389</v>
      </c>
      <c r="E2431" s="2">
        <v>5910.67</v>
      </c>
      <c r="F2431">
        <v>100</v>
      </c>
    </row>
    <row r="2432" spans="1:6">
      <c r="A2432" t="s">
        <v>79</v>
      </c>
      <c r="B2432" t="s">
        <v>7</v>
      </c>
      <c r="C2432" t="s">
        <v>100</v>
      </c>
      <c r="D2432" t="s">
        <v>299</v>
      </c>
      <c r="E2432" s="2">
        <v>1515.42</v>
      </c>
      <c r="F2432">
        <v>230</v>
      </c>
    </row>
    <row r="2433" spans="1:6">
      <c r="A2433" t="s">
        <v>22</v>
      </c>
      <c r="B2433" t="s">
        <v>15</v>
      </c>
      <c r="C2433" t="s">
        <v>65</v>
      </c>
      <c r="D2433" t="s">
        <v>267</v>
      </c>
      <c r="E2433" s="2">
        <v>4498.05</v>
      </c>
      <c r="F2433">
        <v>464</v>
      </c>
    </row>
    <row r="2434" spans="1:6">
      <c r="A2434" t="s">
        <v>55</v>
      </c>
      <c r="B2434" t="s">
        <v>25</v>
      </c>
      <c r="C2434" t="s">
        <v>50</v>
      </c>
      <c r="D2434" s="1">
        <v>45298</v>
      </c>
      <c r="E2434" s="2">
        <v>8755.31</v>
      </c>
      <c r="F2434">
        <v>38</v>
      </c>
    </row>
    <row r="2435" spans="1:6">
      <c r="A2435" t="s">
        <v>12</v>
      </c>
      <c r="B2435" t="s">
        <v>32</v>
      </c>
      <c r="C2435" t="s">
        <v>26</v>
      </c>
      <c r="D2435" t="s">
        <v>327</v>
      </c>
      <c r="E2435" s="2">
        <v>2651.48</v>
      </c>
      <c r="F2435">
        <v>60</v>
      </c>
    </row>
    <row r="2436" spans="1:6">
      <c r="A2436" t="s">
        <v>41</v>
      </c>
      <c r="B2436" t="s">
        <v>7</v>
      </c>
      <c r="C2436" t="s">
        <v>18</v>
      </c>
      <c r="D2436" s="1">
        <v>45387</v>
      </c>
      <c r="E2436" s="2">
        <v>5119.3500000000004</v>
      </c>
      <c r="F2436">
        <v>77</v>
      </c>
    </row>
    <row r="2437" spans="1:6">
      <c r="A2437" t="s">
        <v>41</v>
      </c>
      <c r="B2437" t="s">
        <v>15</v>
      </c>
      <c r="C2437" t="s">
        <v>87</v>
      </c>
      <c r="D2437" s="1">
        <v>45390</v>
      </c>
      <c r="E2437" s="2">
        <v>3360.74</v>
      </c>
      <c r="F2437">
        <v>119</v>
      </c>
    </row>
    <row r="2438" spans="1:6">
      <c r="A2438" t="s">
        <v>41</v>
      </c>
      <c r="B2438" t="s">
        <v>10</v>
      </c>
      <c r="C2438" t="s">
        <v>100</v>
      </c>
      <c r="D2438" s="1">
        <v>45297</v>
      </c>
      <c r="E2438" s="2">
        <v>495.65</v>
      </c>
      <c r="F2438">
        <v>146</v>
      </c>
    </row>
    <row r="2439" spans="1:6">
      <c r="A2439" t="s">
        <v>6</v>
      </c>
      <c r="B2439" t="s">
        <v>7</v>
      </c>
      <c r="C2439" t="s">
        <v>75</v>
      </c>
      <c r="D2439" t="s">
        <v>340</v>
      </c>
      <c r="E2439" s="2">
        <v>5108.8500000000004</v>
      </c>
      <c r="F2439">
        <v>187</v>
      </c>
    </row>
    <row r="2440" spans="1:6">
      <c r="A2440" t="s">
        <v>55</v>
      </c>
      <c r="B2440" t="s">
        <v>32</v>
      </c>
      <c r="C2440" t="s">
        <v>26</v>
      </c>
      <c r="D2440" s="1">
        <v>45359</v>
      </c>
      <c r="E2440" s="2">
        <v>77.099999999999994</v>
      </c>
      <c r="F2440">
        <v>26</v>
      </c>
    </row>
    <row r="2441" spans="1:6">
      <c r="A2441" t="s">
        <v>83</v>
      </c>
      <c r="B2441" t="s">
        <v>32</v>
      </c>
      <c r="C2441" t="s">
        <v>33</v>
      </c>
      <c r="D2441" s="1">
        <v>45571</v>
      </c>
      <c r="E2441" s="2">
        <v>1860.29</v>
      </c>
      <c r="F2441">
        <v>71</v>
      </c>
    </row>
    <row r="2442" spans="1:6">
      <c r="A2442" t="s">
        <v>22</v>
      </c>
      <c r="B2442" t="s">
        <v>7</v>
      </c>
      <c r="C2442" t="s">
        <v>60</v>
      </c>
      <c r="D2442" t="s">
        <v>275</v>
      </c>
      <c r="E2442" s="2">
        <v>7917.76</v>
      </c>
      <c r="F2442">
        <v>50</v>
      </c>
    </row>
    <row r="2443" spans="1:6">
      <c r="A2443" t="s">
        <v>40</v>
      </c>
      <c r="B2443" t="s">
        <v>15</v>
      </c>
      <c r="C2443" t="s">
        <v>18</v>
      </c>
      <c r="D2443" s="1">
        <v>45352</v>
      </c>
      <c r="E2443" s="2">
        <v>4059.92</v>
      </c>
      <c r="F2443">
        <v>179</v>
      </c>
    </row>
    <row r="2444" spans="1:6">
      <c r="A2444" t="s">
        <v>40</v>
      </c>
      <c r="B2444" t="s">
        <v>10</v>
      </c>
      <c r="C2444" t="s">
        <v>23</v>
      </c>
      <c r="D2444" s="1">
        <v>45603</v>
      </c>
      <c r="E2444" s="2">
        <v>2816.85</v>
      </c>
      <c r="F2444">
        <v>188</v>
      </c>
    </row>
    <row r="2445" spans="1:6">
      <c r="A2445" t="s">
        <v>83</v>
      </c>
      <c r="B2445" t="s">
        <v>25</v>
      </c>
      <c r="C2445" t="s">
        <v>46</v>
      </c>
      <c r="D2445" t="s">
        <v>341</v>
      </c>
      <c r="E2445" s="2">
        <v>5306.48</v>
      </c>
      <c r="F2445">
        <v>128</v>
      </c>
    </row>
    <row r="2446" spans="1:6">
      <c r="A2446" t="s">
        <v>29</v>
      </c>
      <c r="B2446" t="s">
        <v>32</v>
      </c>
      <c r="C2446" t="s">
        <v>57</v>
      </c>
      <c r="D2446" t="s">
        <v>321</v>
      </c>
      <c r="E2446" s="2">
        <v>2756.63</v>
      </c>
      <c r="F2446">
        <v>66</v>
      </c>
    </row>
    <row r="2447" spans="1:6">
      <c r="A2447" t="s">
        <v>83</v>
      </c>
      <c r="B2447" t="s">
        <v>10</v>
      </c>
      <c r="C2447" t="s">
        <v>42</v>
      </c>
      <c r="D2447" s="1">
        <v>45507</v>
      </c>
      <c r="E2447" s="2">
        <v>17903.7</v>
      </c>
      <c r="F2447">
        <v>107</v>
      </c>
    </row>
    <row r="2448" spans="1:6">
      <c r="A2448" t="s">
        <v>34</v>
      </c>
      <c r="B2448" t="s">
        <v>15</v>
      </c>
      <c r="C2448" t="s">
        <v>33</v>
      </c>
      <c r="D2448" s="1">
        <v>45476</v>
      </c>
      <c r="E2448" s="2">
        <v>15825.08</v>
      </c>
      <c r="F2448">
        <v>284</v>
      </c>
    </row>
    <row r="2449" spans="1:6">
      <c r="A2449" t="s">
        <v>53</v>
      </c>
      <c r="B2449" t="s">
        <v>10</v>
      </c>
      <c r="C2449" t="s">
        <v>100</v>
      </c>
      <c r="D2449" s="1">
        <v>45540</v>
      </c>
      <c r="E2449" s="2">
        <v>7745.33</v>
      </c>
      <c r="F2449">
        <v>164</v>
      </c>
    </row>
    <row r="2450" spans="1:6">
      <c r="A2450" t="s">
        <v>31</v>
      </c>
      <c r="B2450" t="s">
        <v>25</v>
      </c>
      <c r="C2450" t="s">
        <v>11</v>
      </c>
      <c r="D2450" t="s">
        <v>342</v>
      </c>
      <c r="E2450" s="2">
        <v>2214.91</v>
      </c>
      <c r="F2450">
        <v>161</v>
      </c>
    </row>
    <row r="2451" spans="1:6">
      <c r="A2451" t="s">
        <v>77</v>
      </c>
      <c r="B2451" t="s">
        <v>7</v>
      </c>
      <c r="C2451" t="s">
        <v>90</v>
      </c>
      <c r="D2451" t="s">
        <v>287</v>
      </c>
      <c r="E2451" s="2">
        <v>190.24</v>
      </c>
      <c r="F2451">
        <v>156</v>
      </c>
    </row>
    <row r="2452" spans="1:6">
      <c r="A2452" t="s">
        <v>12</v>
      </c>
      <c r="B2452" t="s">
        <v>15</v>
      </c>
      <c r="C2452" t="s">
        <v>38</v>
      </c>
      <c r="D2452" t="s">
        <v>335</v>
      </c>
      <c r="E2452" s="2">
        <v>2960</v>
      </c>
      <c r="F2452">
        <v>141</v>
      </c>
    </row>
    <row r="2453" spans="1:6">
      <c r="A2453" t="s">
        <v>40</v>
      </c>
      <c r="B2453" t="s">
        <v>35</v>
      </c>
      <c r="C2453" t="s">
        <v>75</v>
      </c>
      <c r="D2453" t="s">
        <v>289</v>
      </c>
      <c r="E2453" s="2">
        <v>2937.62</v>
      </c>
      <c r="F2453">
        <v>389</v>
      </c>
    </row>
    <row r="2454" spans="1:6">
      <c r="A2454" t="s">
        <v>83</v>
      </c>
      <c r="B2454" t="s">
        <v>32</v>
      </c>
      <c r="C2454" t="s">
        <v>100</v>
      </c>
      <c r="D2454" s="1">
        <v>45601</v>
      </c>
      <c r="E2454" s="2">
        <v>4778.3599999999997</v>
      </c>
      <c r="F2454">
        <v>124</v>
      </c>
    </row>
    <row r="2455" spans="1:6">
      <c r="A2455" t="s">
        <v>77</v>
      </c>
      <c r="B2455" t="s">
        <v>10</v>
      </c>
      <c r="C2455" t="s">
        <v>42</v>
      </c>
      <c r="D2455" t="s">
        <v>272</v>
      </c>
      <c r="E2455" s="2">
        <v>5401.01</v>
      </c>
      <c r="F2455">
        <v>41</v>
      </c>
    </row>
    <row r="2456" spans="1:6">
      <c r="A2456" t="s">
        <v>31</v>
      </c>
      <c r="B2456" t="s">
        <v>32</v>
      </c>
      <c r="C2456" t="s">
        <v>26</v>
      </c>
      <c r="D2456" t="s">
        <v>298</v>
      </c>
      <c r="E2456" s="2">
        <v>15372.94</v>
      </c>
      <c r="F2456">
        <v>124</v>
      </c>
    </row>
    <row r="2457" spans="1:6">
      <c r="A2457" t="s">
        <v>58</v>
      </c>
      <c r="B2457" t="s">
        <v>25</v>
      </c>
      <c r="C2457" t="s">
        <v>8</v>
      </c>
      <c r="D2457" s="1">
        <v>45416</v>
      </c>
      <c r="E2457" s="2">
        <v>7121.02</v>
      </c>
      <c r="F2457">
        <v>433</v>
      </c>
    </row>
    <row r="2458" spans="1:6">
      <c r="A2458" t="s">
        <v>40</v>
      </c>
      <c r="B2458" t="s">
        <v>25</v>
      </c>
      <c r="C2458" t="s">
        <v>18</v>
      </c>
      <c r="D2458" t="s">
        <v>333</v>
      </c>
      <c r="E2458" s="2">
        <v>9057.64</v>
      </c>
      <c r="F2458">
        <v>56</v>
      </c>
    </row>
    <row r="2459" spans="1:6">
      <c r="A2459" t="s">
        <v>28</v>
      </c>
      <c r="B2459" t="s">
        <v>35</v>
      </c>
      <c r="C2459" t="s">
        <v>65</v>
      </c>
      <c r="D2459" t="s">
        <v>327</v>
      </c>
      <c r="E2459" s="2">
        <v>5439.43</v>
      </c>
      <c r="F2459">
        <v>125</v>
      </c>
    </row>
    <row r="2460" spans="1:6">
      <c r="A2460" t="s">
        <v>41</v>
      </c>
      <c r="B2460" t="s">
        <v>15</v>
      </c>
      <c r="C2460" t="s">
        <v>59</v>
      </c>
      <c r="D2460" t="s">
        <v>275</v>
      </c>
      <c r="E2460" s="2">
        <v>2659.78</v>
      </c>
      <c r="F2460">
        <v>178</v>
      </c>
    </row>
    <row r="2461" spans="1:6">
      <c r="A2461" t="s">
        <v>79</v>
      </c>
      <c r="B2461" t="s">
        <v>15</v>
      </c>
      <c r="C2461" t="s">
        <v>36</v>
      </c>
      <c r="D2461" t="s">
        <v>272</v>
      </c>
      <c r="E2461" s="2">
        <v>7897.59</v>
      </c>
      <c r="F2461">
        <v>3</v>
      </c>
    </row>
    <row r="2462" spans="1:6">
      <c r="A2462" t="s">
        <v>31</v>
      </c>
      <c r="B2462" t="s">
        <v>7</v>
      </c>
      <c r="C2462" t="s">
        <v>59</v>
      </c>
      <c r="D2462" s="1">
        <v>45419</v>
      </c>
      <c r="E2462" s="2">
        <v>1959.22</v>
      </c>
      <c r="F2462">
        <v>70</v>
      </c>
    </row>
    <row r="2463" spans="1:6">
      <c r="A2463" t="s">
        <v>41</v>
      </c>
      <c r="B2463" t="s">
        <v>35</v>
      </c>
      <c r="C2463" t="s">
        <v>87</v>
      </c>
      <c r="D2463" s="1">
        <v>45597</v>
      </c>
      <c r="E2463" s="2">
        <v>15305.32</v>
      </c>
      <c r="F2463">
        <v>91</v>
      </c>
    </row>
    <row r="2464" spans="1:6">
      <c r="A2464" t="s">
        <v>70</v>
      </c>
      <c r="B2464" t="s">
        <v>32</v>
      </c>
      <c r="C2464" t="s">
        <v>59</v>
      </c>
      <c r="D2464" s="1">
        <v>45476</v>
      </c>
      <c r="E2464" s="2">
        <v>11257.11</v>
      </c>
      <c r="F2464">
        <v>21</v>
      </c>
    </row>
    <row r="2465" spans="1:6">
      <c r="A2465" t="s">
        <v>55</v>
      </c>
      <c r="B2465" t="s">
        <v>35</v>
      </c>
      <c r="C2465" t="s">
        <v>26</v>
      </c>
      <c r="D2465" s="1">
        <v>45385</v>
      </c>
      <c r="E2465" s="2">
        <v>9207.09</v>
      </c>
      <c r="F2465">
        <v>109</v>
      </c>
    </row>
    <row r="2466" spans="1:6">
      <c r="A2466" t="s">
        <v>37</v>
      </c>
      <c r="B2466" t="s">
        <v>35</v>
      </c>
      <c r="C2466" t="s">
        <v>42</v>
      </c>
      <c r="D2466" t="s">
        <v>292</v>
      </c>
      <c r="E2466" s="2">
        <v>2769.94</v>
      </c>
      <c r="F2466">
        <v>302</v>
      </c>
    </row>
    <row r="2467" spans="1:6">
      <c r="A2467" t="s">
        <v>55</v>
      </c>
      <c r="B2467" t="s">
        <v>7</v>
      </c>
      <c r="C2467" t="s">
        <v>13</v>
      </c>
      <c r="D2467" s="1">
        <v>45601</v>
      </c>
      <c r="E2467" s="2">
        <v>7477.56</v>
      </c>
      <c r="F2467">
        <v>85</v>
      </c>
    </row>
    <row r="2468" spans="1:6">
      <c r="A2468" t="s">
        <v>37</v>
      </c>
      <c r="B2468" t="s">
        <v>32</v>
      </c>
      <c r="C2468" t="s">
        <v>46</v>
      </c>
      <c r="D2468" t="s">
        <v>302</v>
      </c>
      <c r="E2468" s="2">
        <v>5231.54</v>
      </c>
      <c r="F2468">
        <v>8</v>
      </c>
    </row>
    <row r="2469" spans="1:6">
      <c r="A2469" t="s">
        <v>37</v>
      </c>
      <c r="B2469" t="s">
        <v>10</v>
      </c>
      <c r="C2469" t="s">
        <v>33</v>
      </c>
      <c r="D2469" t="s">
        <v>275</v>
      </c>
      <c r="E2469" s="2">
        <v>3745.21</v>
      </c>
      <c r="F2469">
        <v>161</v>
      </c>
    </row>
    <row r="2470" spans="1:6">
      <c r="A2470" t="s">
        <v>83</v>
      </c>
      <c r="B2470" t="s">
        <v>10</v>
      </c>
      <c r="C2470" t="s">
        <v>18</v>
      </c>
      <c r="D2470" s="1">
        <v>45359</v>
      </c>
      <c r="E2470" s="2">
        <v>8503.93</v>
      </c>
      <c r="F2470">
        <v>19</v>
      </c>
    </row>
    <row r="2471" spans="1:6">
      <c r="A2471" t="s">
        <v>64</v>
      </c>
      <c r="B2471" t="s">
        <v>25</v>
      </c>
      <c r="C2471" t="s">
        <v>8</v>
      </c>
      <c r="D2471" t="s">
        <v>343</v>
      </c>
      <c r="E2471" s="2">
        <v>12524.3</v>
      </c>
      <c r="F2471">
        <v>251</v>
      </c>
    </row>
    <row r="2472" spans="1:6">
      <c r="A2472" t="s">
        <v>64</v>
      </c>
      <c r="B2472" t="s">
        <v>15</v>
      </c>
      <c r="C2472" t="s">
        <v>57</v>
      </c>
      <c r="D2472" t="s">
        <v>280</v>
      </c>
      <c r="E2472" s="2">
        <v>472.27</v>
      </c>
      <c r="F2472">
        <v>101</v>
      </c>
    </row>
    <row r="2473" spans="1:6">
      <c r="A2473" t="s">
        <v>58</v>
      </c>
      <c r="B2473" t="s">
        <v>7</v>
      </c>
      <c r="C2473" t="s">
        <v>13</v>
      </c>
      <c r="D2473" s="1">
        <v>45475</v>
      </c>
      <c r="E2473" s="2">
        <v>9771.8700000000008</v>
      </c>
      <c r="F2473">
        <v>158</v>
      </c>
    </row>
    <row r="2474" spans="1:6">
      <c r="A2474" t="s">
        <v>37</v>
      </c>
      <c r="B2474" t="s">
        <v>15</v>
      </c>
      <c r="C2474" t="s">
        <v>65</v>
      </c>
      <c r="D2474" s="1">
        <v>45511</v>
      </c>
      <c r="E2474" s="2">
        <v>8130.06</v>
      </c>
      <c r="F2474">
        <v>140</v>
      </c>
    </row>
    <row r="2475" spans="1:6">
      <c r="A2475" t="s">
        <v>58</v>
      </c>
      <c r="B2475" t="s">
        <v>10</v>
      </c>
      <c r="C2475" t="s">
        <v>46</v>
      </c>
      <c r="D2475" t="s">
        <v>344</v>
      </c>
      <c r="E2475" s="2">
        <v>1624.06</v>
      </c>
      <c r="F2475">
        <v>96</v>
      </c>
    </row>
    <row r="2476" spans="1:6">
      <c r="A2476" t="s">
        <v>83</v>
      </c>
      <c r="B2476" t="s">
        <v>7</v>
      </c>
      <c r="C2476" t="s">
        <v>8</v>
      </c>
      <c r="D2476" s="1">
        <v>45508</v>
      </c>
      <c r="E2476" s="2">
        <v>2984.4</v>
      </c>
      <c r="F2476">
        <v>214</v>
      </c>
    </row>
    <row r="2477" spans="1:6">
      <c r="A2477" t="s">
        <v>53</v>
      </c>
      <c r="B2477" t="s">
        <v>15</v>
      </c>
      <c r="C2477" t="s">
        <v>26</v>
      </c>
      <c r="D2477" t="s">
        <v>343</v>
      </c>
      <c r="E2477" s="2">
        <v>15593.5</v>
      </c>
      <c r="F2477">
        <v>56</v>
      </c>
    </row>
    <row r="2478" spans="1:6">
      <c r="A2478" t="s">
        <v>14</v>
      </c>
      <c r="B2478" t="s">
        <v>10</v>
      </c>
      <c r="C2478" t="s">
        <v>57</v>
      </c>
      <c r="D2478" s="1">
        <v>45387</v>
      </c>
      <c r="E2478" s="2">
        <v>3387.76</v>
      </c>
      <c r="F2478">
        <v>60</v>
      </c>
    </row>
    <row r="2479" spans="1:6">
      <c r="A2479" t="s">
        <v>34</v>
      </c>
      <c r="B2479" t="s">
        <v>32</v>
      </c>
      <c r="C2479" t="s">
        <v>11</v>
      </c>
      <c r="D2479" s="1">
        <v>45601</v>
      </c>
      <c r="E2479" s="2">
        <v>2847.18</v>
      </c>
      <c r="F2479">
        <v>115</v>
      </c>
    </row>
    <row r="2480" spans="1:6">
      <c r="A2480" t="s">
        <v>34</v>
      </c>
      <c r="B2480" t="s">
        <v>32</v>
      </c>
      <c r="C2480" t="s">
        <v>36</v>
      </c>
      <c r="D2480" t="s">
        <v>345</v>
      </c>
      <c r="E2480" s="2">
        <v>7511.77</v>
      </c>
      <c r="F2480">
        <v>49</v>
      </c>
    </row>
    <row r="2481" spans="1:6">
      <c r="A2481" t="s">
        <v>58</v>
      </c>
      <c r="B2481" t="s">
        <v>35</v>
      </c>
      <c r="C2481" t="s">
        <v>50</v>
      </c>
      <c r="D2481" s="1">
        <v>45573</v>
      </c>
      <c r="E2481" s="2">
        <v>2711.58</v>
      </c>
      <c r="F2481">
        <v>216</v>
      </c>
    </row>
    <row r="2482" spans="1:6">
      <c r="A2482" t="s">
        <v>58</v>
      </c>
      <c r="B2482" t="s">
        <v>32</v>
      </c>
      <c r="C2482" t="s">
        <v>57</v>
      </c>
      <c r="D2482" s="1">
        <v>45387</v>
      </c>
      <c r="E2482" s="2">
        <v>1673.44</v>
      </c>
      <c r="F2482">
        <v>314</v>
      </c>
    </row>
    <row r="2483" spans="1:6">
      <c r="A2483" t="s">
        <v>70</v>
      </c>
      <c r="B2483" t="s">
        <v>32</v>
      </c>
      <c r="C2483" t="s">
        <v>20</v>
      </c>
      <c r="D2483" t="s">
        <v>304</v>
      </c>
      <c r="E2483" s="2">
        <v>8853.16</v>
      </c>
      <c r="F2483">
        <v>261</v>
      </c>
    </row>
    <row r="2484" spans="1:6">
      <c r="A2484" t="s">
        <v>79</v>
      </c>
      <c r="B2484" t="s">
        <v>35</v>
      </c>
      <c r="C2484" t="s">
        <v>73</v>
      </c>
      <c r="D2484" s="1">
        <v>45359</v>
      </c>
      <c r="E2484" s="2">
        <v>4722.3900000000003</v>
      </c>
      <c r="F2484">
        <v>258</v>
      </c>
    </row>
    <row r="2485" spans="1:6">
      <c r="A2485" t="s">
        <v>40</v>
      </c>
      <c r="B2485" t="s">
        <v>25</v>
      </c>
      <c r="C2485" t="s">
        <v>46</v>
      </c>
      <c r="D2485" t="s">
        <v>328</v>
      </c>
      <c r="E2485" s="2">
        <v>8408.1200000000008</v>
      </c>
      <c r="F2485">
        <v>318</v>
      </c>
    </row>
    <row r="2486" spans="1:6">
      <c r="A2486" t="s">
        <v>77</v>
      </c>
      <c r="B2486" t="s">
        <v>15</v>
      </c>
      <c r="C2486" t="s">
        <v>75</v>
      </c>
      <c r="D2486" s="1">
        <v>45508</v>
      </c>
      <c r="E2486" s="2">
        <v>2442.36</v>
      </c>
      <c r="F2486">
        <v>78</v>
      </c>
    </row>
    <row r="2487" spans="1:6">
      <c r="A2487" t="s">
        <v>70</v>
      </c>
      <c r="B2487" t="s">
        <v>7</v>
      </c>
      <c r="C2487" t="s">
        <v>33</v>
      </c>
      <c r="D2487" s="1">
        <v>45299</v>
      </c>
      <c r="E2487" s="2">
        <v>4010.08</v>
      </c>
      <c r="F2487">
        <v>3</v>
      </c>
    </row>
    <row r="2488" spans="1:6">
      <c r="A2488" t="s">
        <v>58</v>
      </c>
      <c r="B2488" t="s">
        <v>35</v>
      </c>
      <c r="C2488" t="s">
        <v>36</v>
      </c>
      <c r="D2488" t="s">
        <v>337</v>
      </c>
      <c r="E2488" s="2">
        <v>492.21</v>
      </c>
      <c r="F2488">
        <v>45</v>
      </c>
    </row>
    <row r="2489" spans="1:6">
      <c r="A2489" t="s">
        <v>37</v>
      </c>
      <c r="B2489" t="s">
        <v>10</v>
      </c>
      <c r="C2489" t="s">
        <v>8</v>
      </c>
      <c r="D2489" t="s">
        <v>292</v>
      </c>
      <c r="E2489" s="2">
        <v>11650.88</v>
      </c>
      <c r="F2489">
        <v>192</v>
      </c>
    </row>
    <row r="2490" spans="1:6">
      <c r="A2490" t="s">
        <v>31</v>
      </c>
      <c r="B2490" t="s">
        <v>25</v>
      </c>
      <c r="C2490" t="s">
        <v>65</v>
      </c>
      <c r="D2490" t="s">
        <v>270</v>
      </c>
      <c r="E2490" s="2">
        <v>6426.04</v>
      </c>
      <c r="F2490">
        <v>132</v>
      </c>
    </row>
    <row r="2491" spans="1:6">
      <c r="A2491" t="s">
        <v>34</v>
      </c>
      <c r="B2491" t="s">
        <v>15</v>
      </c>
      <c r="C2491" t="s">
        <v>11</v>
      </c>
      <c r="D2491" t="s">
        <v>300</v>
      </c>
      <c r="E2491" s="2">
        <v>2665.28</v>
      </c>
      <c r="F2491">
        <v>54</v>
      </c>
    </row>
    <row r="2492" spans="1:6">
      <c r="A2492" t="s">
        <v>83</v>
      </c>
      <c r="B2492" t="s">
        <v>35</v>
      </c>
      <c r="C2492" t="s">
        <v>36</v>
      </c>
      <c r="D2492" s="1">
        <v>45566</v>
      </c>
      <c r="E2492" s="2">
        <v>2048.58</v>
      </c>
      <c r="F2492">
        <v>170</v>
      </c>
    </row>
    <row r="2493" spans="1:6">
      <c r="A2493" t="s">
        <v>12</v>
      </c>
      <c r="B2493" t="s">
        <v>15</v>
      </c>
      <c r="C2493" t="s">
        <v>59</v>
      </c>
      <c r="D2493" s="1">
        <v>45601</v>
      </c>
      <c r="E2493" s="2">
        <v>6267.19</v>
      </c>
      <c r="F2493">
        <v>83</v>
      </c>
    </row>
    <row r="2494" spans="1:6">
      <c r="A2494" t="s">
        <v>41</v>
      </c>
      <c r="B2494" t="s">
        <v>25</v>
      </c>
      <c r="C2494" t="s">
        <v>11</v>
      </c>
      <c r="D2494" t="s">
        <v>346</v>
      </c>
      <c r="E2494" s="2">
        <v>12886.26</v>
      </c>
      <c r="F2494">
        <v>21</v>
      </c>
    </row>
    <row r="2495" spans="1:6">
      <c r="A2495" t="s">
        <v>55</v>
      </c>
      <c r="B2495" t="s">
        <v>32</v>
      </c>
      <c r="C2495" t="s">
        <v>90</v>
      </c>
      <c r="D2495" t="s">
        <v>347</v>
      </c>
      <c r="E2495" s="2">
        <v>6143.64</v>
      </c>
      <c r="F2495">
        <v>117</v>
      </c>
    </row>
    <row r="2496" spans="1:6">
      <c r="A2496" t="s">
        <v>34</v>
      </c>
      <c r="B2496" t="s">
        <v>15</v>
      </c>
      <c r="C2496" t="s">
        <v>65</v>
      </c>
      <c r="D2496" s="1">
        <v>45299</v>
      </c>
      <c r="E2496" s="2">
        <v>8273.83</v>
      </c>
      <c r="F2496">
        <v>130</v>
      </c>
    </row>
    <row r="2497" spans="1:6">
      <c r="A2497" t="s">
        <v>28</v>
      </c>
      <c r="B2497" t="s">
        <v>35</v>
      </c>
      <c r="C2497" t="s">
        <v>11</v>
      </c>
      <c r="D2497" t="s">
        <v>276</v>
      </c>
      <c r="E2497" s="2">
        <v>12163.59</v>
      </c>
      <c r="F2497">
        <v>264</v>
      </c>
    </row>
    <row r="2498" spans="1:6">
      <c r="A2498" t="s">
        <v>28</v>
      </c>
      <c r="B2498" t="s">
        <v>15</v>
      </c>
      <c r="C2498" t="s">
        <v>38</v>
      </c>
      <c r="D2498" t="s">
        <v>335</v>
      </c>
      <c r="E2498" s="2">
        <v>7192.41</v>
      </c>
      <c r="F2498">
        <v>159</v>
      </c>
    </row>
    <row r="2499" spans="1:6">
      <c r="A2499" t="s">
        <v>79</v>
      </c>
      <c r="B2499" t="s">
        <v>32</v>
      </c>
      <c r="C2499" t="s">
        <v>33</v>
      </c>
      <c r="D2499" t="s">
        <v>288</v>
      </c>
      <c r="E2499" s="2">
        <v>1452.94</v>
      </c>
      <c r="F2499">
        <v>112</v>
      </c>
    </row>
    <row r="2500" spans="1:6">
      <c r="A2500" t="s">
        <v>29</v>
      </c>
      <c r="B2500" t="s">
        <v>15</v>
      </c>
      <c r="C2500" t="s">
        <v>26</v>
      </c>
      <c r="D2500" t="s">
        <v>345</v>
      </c>
      <c r="E2500" s="2">
        <v>3375.83</v>
      </c>
      <c r="F2500">
        <v>41</v>
      </c>
    </row>
    <row r="2501" spans="1:6">
      <c r="A2501" t="s">
        <v>58</v>
      </c>
      <c r="B2501" t="s">
        <v>10</v>
      </c>
      <c r="C2501" t="s">
        <v>20</v>
      </c>
      <c r="D2501" t="s">
        <v>348</v>
      </c>
      <c r="E2501" s="2">
        <v>8328.7999999999993</v>
      </c>
      <c r="F2501">
        <v>327</v>
      </c>
    </row>
    <row r="2502" spans="1:6">
      <c r="A2502" t="s">
        <v>48</v>
      </c>
      <c r="B2502" t="s">
        <v>7</v>
      </c>
      <c r="C2502" t="s">
        <v>59</v>
      </c>
      <c r="D2502" s="1">
        <v>45293</v>
      </c>
      <c r="E2502" s="2">
        <v>1634.54</v>
      </c>
      <c r="F2502">
        <v>70</v>
      </c>
    </row>
    <row r="2503" spans="1:6">
      <c r="A2503" t="s">
        <v>70</v>
      </c>
      <c r="B2503" t="s">
        <v>15</v>
      </c>
      <c r="C2503" t="s">
        <v>23</v>
      </c>
      <c r="D2503" s="1">
        <v>45325</v>
      </c>
      <c r="E2503" s="2">
        <v>8265.41</v>
      </c>
      <c r="F2503">
        <v>298</v>
      </c>
    </row>
    <row r="2504" spans="1:6">
      <c r="A2504" t="s">
        <v>12</v>
      </c>
      <c r="B2504" t="s">
        <v>7</v>
      </c>
      <c r="C2504" t="s">
        <v>57</v>
      </c>
      <c r="D2504" s="1">
        <v>45447</v>
      </c>
      <c r="E2504" s="2">
        <v>1448.1</v>
      </c>
      <c r="F2504">
        <v>92</v>
      </c>
    </row>
    <row r="2505" spans="1:6">
      <c r="A2505" t="s">
        <v>22</v>
      </c>
      <c r="B2505" t="s">
        <v>15</v>
      </c>
      <c r="C2505" t="s">
        <v>73</v>
      </c>
      <c r="D2505" t="s">
        <v>329</v>
      </c>
      <c r="E2505" s="2">
        <v>709.53</v>
      </c>
      <c r="F2505">
        <v>77</v>
      </c>
    </row>
    <row r="2506" spans="1:6">
      <c r="A2506" t="s">
        <v>48</v>
      </c>
      <c r="B2506" t="s">
        <v>7</v>
      </c>
      <c r="C2506" t="s">
        <v>57</v>
      </c>
      <c r="D2506" t="s">
        <v>349</v>
      </c>
      <c r="E2506" s="2">
        <v>12197.19</v>
      </c>
      <c r="F2506">
        <v>135</v>
      </c>
    </row>
    <row r="2507" spans="1:6">
      <c r="A2507" t="s">
        <v>31</v>
      </c>
      <c r="B2507" t="s">
        <v>35</v>
      </c>
      <c r="C2507" t="s">
        <v>26</v>
      </c>
      <c r="D2507" t="s">
        <v>290</v>
      </c>
      <c r="E2507" s="2">
        <v>10917.59</v>
      </c>
      <c r="F2507">
        <v>302</v>
      </c>
    </row>
    <row r="2508" spans="1:6">
      <c r="A2508" t="s">
        <v>48</v>
      </c>
      <c r="B2508" t="s">
        <v>32</v>
      </c>
      <c r="C2508" t="s">
        <v>50</v>
      </c>
      <c r="D2508" s="1">
        <v>45603</v>
      </c>
      <c r="E2508" s="2">
        <v>1679.89</v>
      </c>
      <c r="F2508">
        <v>287</v>
      </c>
    </row>
    <row r="2509" spans="1:6">
      <c r="A2509" t="s">
        <v>28</v>
      </c>
      <c r="B2509" t="s">
        <v>10</v>
      </c>
      <c r="C2509" t="s">
        <v>65</v>
      </c>
      <c r="D2509" t="s">
        <v>270</v>
      </c>
      <c r="E2509" s="2">
        <v>2303.17</v>
      </c>
      <c r="F2509">
        <v>225</v>
      </c>
    </row>
    <row r="2510" spans="1:6">
      <c r="A2510" t="s">
        <v>19</v>
      </c>
      <c r="B2510" t="s">
        <v>25</v>
      </c>
      <c r="C2510" t="s">
        <v>18</v>
      </c>
      <c r="D2510" s="1">
        <v>45480</v>
      </c>
      <c r="E2510" s="2">
        <v>9261.26</v>
      </c>
      <c r="F2510">
        <v>65</v>
      </c>
    </row>
    <row r="2511" spans="1:6">
      <c r="A2511" t="s">
        <v>14</v>
      </c>
      <c r="B2511" t="s">
        <v>10</v>
      </c>
      <c r="C2511" t="s">
        <v>11</v>
      </c>
      <c r="D2511" t="s">
        <v>306</v>
      </c>
      <c r="E2511" s="2">
        <v>5252.8</v>
      </c>
      <c r="F2511">
        <v>415</v>
      </c>
    </row>
    <row r="2512" spans="1:6">
      <c r="A2512" t="s">
        <v>40</v>
      </c>
      <c r="B2512" t="s">
        <v>10</v>
      </c>
      <c r="C2512" t="s">
        <v>57</v>
      </c>
      <c r="D2512" t="s">
        <v>327</v>
      </c>
      <c r="E2512" s="2">
        <v>5385.55</v>
      </c>
      <c r="F2512">
        <v>161</v>
      </c>
    </row>
    <row r="2513" spans="1:6">
      <c r="A2513" t="s">
        <v>67</v>
      </c>
      <c r="B2513" t="s">
        <v>25</v>
      </c>
      <c r="C2513" t="s">
        <v>26</v>
      </c>
      <c r="D2513" s="1">
        <v>45325</v>
      </c>
      <c r="E2513" s="2">
        <v>3741.19</v>
      </c>
      <c r="F2513">
        <v>222</v>
      </c>
    </row>
    <row r="2514" spans="1:6">
      <c r="A2514" t="s">
        <v>22</v>
      </c>
      <c r="B2514" t="s">
        <v>35</v>
      </c>
      <c r="C2514" t="s">
        <v>73</v>
      </c>
      <c r="D2514" t="s">
        <v>348</v>
      </c>
      <c r="E2514" s="2">
        <v>2223.4899999999998</v>
      </c>
      <c r="F2514">
        <v>127</v>
      </c>
    </row>
    <row r="2515" spans="1:6">
      <c r="A2515" t="s">
        <v>70</v>
      </c>
      <c r="B2515" t="s">
        <v>32</v>
      </c>
      <c r="C2515" t="s">
        <v>38</v>
      </c>
      <c r="D2515" t="s">
        <v>307</v>
      </c>
      <c r="E2515" s="2">
        <v>7720.37</v>
      </c>
      <c r="F2515">
        <v>156</v>
      </c>
    </row>
    <row r="2516" spans="1:6">
      <c r="A2516" t="s">
        <v>9</v>
      </c>
      <c r="B2516" t="s">
        <v>35</v>
      </c>
      <c r="C2516" t="s">
        <v>59</v>
      </c>
      <c r="D2516" t="s">
        <v>345</v>
      </c>
      <c r="E2516" s="2">
        <v>468.09</v>
      </c>
      <c r="F2516">
        <v>3</v>
      </c>
    </row>
    <row r="2517" spans="1:6">
      <c r="A2517" t="s">
        <v>29</v>
      </c>
      <c r="B2517" t="s">
        <v>32</v>
      </c>
      <c r="C2517" t="s">
        <v>87</v>
      </c>
      <c r="D2517" s="1">
        <v>45541</v>
      </c>
      <c r="E2517" s="2">
        <v>3083.39</v>
      </c>
      <c r="F2517">
        <v>55</v>
      </c>
    </row>
    <row r="2518" spans="1:6">
      <c r="A2518" t="s">
        <v>9</v>
      </c>
      <c r="B2518" t="s">
        <v>15</v>
      </c>
      <c r="C2518" t="s">
        <v>90</v>
      </c>
      <c r="D2518" t="s">
        <v>350</v>
      </c>
      <c r="E2518" s="2">
        <v>6898.94</v>
      </c>
      <c r="F2518">
        <v>58</v>
      </c>
    </row>
    <row r="2519" spans="1:6">
      <c r="A2519" t="s">
        <v>83</v>
      </c>
      <c r="B2519" t="s">
        <v>25</v>
      </c>
      <c r="C2519" t="s">
        <v>13</v>
      </c>
      <c r="D2519" s="1">
        <v>45385</v>
      </c>
      <c r="E2519" s="2">
        <v>1036.05</v>
      </c>
      <c r="F2519">
        <v>291</v>
      </c>
    </row>
    <row r="2520" spans="1:6">
      <c r="A2520" t="s">
        <v>70</v>
      </c>
      <c r="B2520" t="s">
        <v>35</v>
      </c>
      <c r="C2520" t="s">
        <v>46</v>
      </c>
      <c r="D2520" s="1">
        <v>45480</v>
      </c>
      <c r="E2520" s="2">
        <v>17518.04</v>
      </c>
      <c r="F2520">
        <v>28</v>
      </c>
    </row>
    <row r="2521" spans="1:6">
      <c r="A2521" t="s">
        <v>58</v>
      </c>
      <c r="B2521" t="s">
        <v>35</v>
      </c>
      <c r="C2521" t="s">
        <v>75</v>
      </c>
      <c r="D2521" t="s">
        <v>270</v>
      </c>
      <c r="E2521" s="2">
        <v>11691.86</v>
      </c>
      <c r="F2521">
        <v>128</v>
      </c>
    </row>
    <row r="2522" spans="1:6">
      <c r="A2522" t="s">
        <v>48</v>
      </c>
      <c r="B2522" t="s">
        <v>15</v>
      </c>
      <c r="C2522" t="s">
        <v>65</v>
      </c>
      <c r="D2522" t="s">
        <v>301</v>
      </c>
      <c r="E2522" s="2">
        <v>3136.53</v>
      </c>
      <c r="F2522">
        <v>74</v>
      </c>
    </row>
    <row r="2523" spans="1:6">
      <c r="A2523" t="s">
        <v>77</v>
      </c>
      <c r="B2523" t="s">
        <v>15</v>
      </c>
      <c r="C2523" t="s">
        <v>11</v>
      </c>
      <c r="D2523" t="s">
        <v>317</v>
      </c>
      <c r="E2523" s="2">
        <v>1677.71</v>
      </c>
      <c r="F2523">
        <v>325</v>
      </c>
    </row>
    <row r="2524" spans="1:6">
      <c r="A2524" t="s">
        <v>12</v>
      </c>
      <c r="B2524" t="s">
        <v>7</v>
      </c>
      <c r="C2524" t="s">
        <v>26</v>
      </c>
      <c r="D2524" t="s">
        <v>351</v>
      </c>
      <c r="E2524" s="2">
        <v>8937.3700000000008</v>
      </c>
      <c r="F2524">
        <v>66</v>
      </c>
    </row>
    <row r="2525" spans="1:6">
      <c r="A2525" t="s">
        <v>83</v>
      </c>
      <c r="B2525" t="s">
        <v>7</v>
      </c>
      <c r="C2525" t="s">
        <v>60</v>
      </c>
      <c r="D2525" t="s">
        <v>277</v>
      </c>
      <c r="E2525" s="2">
        <v>4761.38</v>
      </c>
      <c r="F2525">
        <v>406</v>
      </c>
    </row>
    <row r="2526" spans="1:6">
      <c r="A2526" t="s">
        <v>12</v>
      </c>
      <c r="B2526" t="s">
        <v>7</v>
      </c>
      <c r="C2526" t="s">
        <v>100</v>
      </c>
      <c r="D2526" t="s">
        <v>352</v>
      </c>
      <c r="E2526" s="2">
        <v>942.02</v>
      </c>
      <c r="F2526">
        <v>84</v>
      </c>
    </row>
    <row r="2527" spans="1:6">
      <c r="A2527" t="s">
        <v>6</v>
      </c>
      <c r="B2527" t="s">
        <v>15</v>
      </c>
      <c r="C2527" t="s">
        <v>13</v>
      </c>
      <c r="D2527" t="s">
        <v>349</v>
      </c>
      <c r="E2527" s="2">
        <v>6623.03</v>
      </c>
      <c r="F2527">
        <v>39</v>
      </c>
    </row>
    <row r="2528" spans="1:6">
      <c r="A2528" t="s">
        <v>40</v>
      </c>
      <c r="B2528" t="s">
        <v>10</v>
      </c>
      <c r="C2528" t="s">
        <v>36</v>
      </c>
      <c r="D2528" t="s">
        <v>270</v>
      </c>
      <c r="E2528" s="2">
        <v>4067.36</v>
      </c>
      <c r="F2528">
        <v>94</v>
      </c>
    </row>
    <row r="2529" spans="1:6">
      <c r="A2529" t="s">
        <v>48</v>
      </c>
      <c r="B2529" t="s">
        <v>35</v>
      </c>
      <c r="C2529" t="s">
        <v>57</v>
      </c>
      <c r="D2529" s="1">
        <v>45386</v>
      </c>
      <c r="E2529" s="2">
        <v>4712.55</v>
      </c>
      <c r="F2529">
        <v>211</v>
      </c>
    </row>
    <row r="2530" spans="1:6">
      <c r="A2530" t="s">
        <v>55</v>
      </c>
      <c r="B2530" t="s">
        <v>7</v>
      </c>
      <c r="C2530" t="s">
        <v>18</v>
      </c>
      <c r="D2530" s="1">
        <v>45510</v>
      </c>
      <c r="E2530" s="2">
        <v>9571.2999999999993</v>
      </c>
      <c r="F2530">
        <v>594</v>
      </c>
    </row>
    <row r="2531" spans="1:6">
      <c r="A2531" t="s">
        <v>37</v>
      </c>
      <c r="B2531" t="s">
        <v>35</v>
      </c>
      <c r="C2531" t="s">
        <v>50</v>
      </c>
      <c r="D2531" s="1">
        <v>45330</v>
      </c>
      <c r="E2531" s="2">
        <v>6779.99</v>
      </c>
      <c r="F2531">
        <v>46</v>
      </c>
    </row>
    <row r="2532" spans="1:6">
      <c r="A2532" t="s">
        <v>70</v>
      </c>
      <c r="B2532" t="s">
        <v>32</v>
      </c>
      <c r="C2532" t="s">
        <v>42</v>
      </c>
      <c r="D2532" t="s">
        <v>347</v>
      </c>
      <c r="E2532" s="2">
        <v>10772.46</v>
      </c>
      <c r="F2532">
        <v>150</v>
      </c>
    </row>
    <row r="2533" spans="1:6">
      <c r="A2533" t="s">
        <v>48</v>
      </c>
      <c r="B2533" t="s">
        <v>10</v>
      </c>
      <c r="C2533" t="s">
        <v>50</v>
      </c>
      <c r="D2533" t="s">
        <v>299</v>
      </c>
      <c r="E2533" s="2">
        <v>189.34</v>
      </c>
      <c r="F2533">
        <v>140</v>
      </c>
    </row>
    <row r="2534" spans="1:6">
      <c r="A2534" t="s">
        <v>45</v>
      </c>
      <c r="B2534" t="s">
        <v>10</v>
      </c>
      <c r="C2534" t="s">
        <v>23</v>
      </c>
      <c r="D2534" t="s">
        <v>353</v>
      </c>
      <c r="E2534" s="2">
        <v>3015.47</v>
      </c>
      <c r="F2534">
        <v>115</v>
      </c>
    </row>
    <row r="2535" spans="1:6">
      <c r="A2535" t="s">
        <v>71</v>
      </c>
      <c r="B2535" t="s">
        <v>15</v>
      </c>
      <c r="C2535" t="s">
        <v>90</v>
      </c>
      <c r="D2535" s="1">
        <v>45327</v>
      </c>
      <c r="E2535" s="2">
        <v>3538.27</v>
      </c>
      <c r="F2535">
        <v>16</v>
      </c>
    </row>
    <row r="2536" spans="1:6">
      <c r="A2536" t="s">
        <v>48</v>
      </c>
      <c r="B2536" t="s">
        <v>15</v>
      </c>
      <c r="C2536" t="s">
        <v>20</v>
      </c>
      <c r="D2536" s="1">
        <v>45474</v>
      </c>
      <c r="E2536" s="2">
        <v>5196.97</v>
      </c>
      <c r="F2536">
        <v>87</v>
      </c>
    </row>
    <row r="2537" spans="1:6">
      <c r="A2537" t="s">
        <v>34</v>
      </c>
      <c r="B2537" t="s">
        <v>7</v>
      </c>
      <c r="C2537" t="s">
        <v>26</v>
      </c>
      <c r="D2537" t="s">
        <v>315</v>
      </c>
      <c r="E2537" s="2">
        <v>6654.14</v>
      </c>
      <c r="F2537">
        <v>102</v>
      </c>
    </row>
    <row r="2538" spans="1:6">
      <c r="A2538" t="s">
        <v>83</v>
      </c>
      <c r="B2538" t="s">
        <v>35</v>
      </c>
      <c r="C2538" t="s">
        <v>87</v>
      </c>
      <c r="D2538" t="s">
        <v>354</v>
      </c>
      <c r="E2538" s="2">
        <v>8639.19</v>
      </c>
      <c r="F2538">
        <v>402</v>
      </c>
    </row>
    <row r="2539" spans="1:6">
      <c r="A2539" t="s">
        <v>9</v>
      </c>
      <c r="B2539" t="s">
        <v>7</v>
      </c>
      <c r="C2539" t="s">
        <v>38</v>
      </c>
      <c r="D2539" s="1">
        <v>45386</v>
      </c>
      <c r="E2539" s="2">
        <v>6397.05</v>
      </c>
      <c r="F2539">
        <v>136</v>
      </c>
    </row>
    <row r="2540" spans="1:6">
      <c r="A2540" t="s">
        <v>22</v>
      </c>
      <c r="B2540" t="s">
        <v>35</v>
      </c>
      <c r="C2540" t="s">
        <v>57</v>
      </c>
      <c r="D2540" t="s">
        <v>268</v>
      </c>
      <c r="E2540" s="2">
        <v>14596.37</v>
      </c>
      <c r="F2540">
        <v>196</v>
      </c>
    </row>
    <row r="2541" spans="1:6">
      <c r="A2541" t="s">
        <v>22</v>
      </c>
      <c r="B2541" t="s">
        <v>25</v>
      </c>
      <c r="C2541" t="s">
        <v>50</v>
      </c>
      <c r="D2541" t="s">
        <v>294</v>
      </c>
      <c r="E2541" s="2">
        <v>7712.91</v>
      </c>
      <c r="F2541">
        <v>192</v>
      </c>
    </row>
    <row r="2542" spans="1:6">
      <c r="A2542" t="s">
        <v>22</v>
      </c>
      <c r="B2542" t="s">
        <v>15</v>
      </c>
      <c r="C2542" t="s">
        <v>38</v>
      </c>
      <c r="D2542" t="s">
        <v>328</v>
      </c>
      <c r="E2542" s="2">
        <v>2456.77</v>
      </c>
      <c r="F2542">
        <v>188</v>
      </c>
    </row>
    <row r="2543" spans="1:6">
      <c r="A2543" t="s">
        <v>37</v>
      </c>
      <c r="B2543" t="s">
        <v>25</v>
      </c>
      <c r="C2543" t="s">
        <v>57</v>
      </c>
      <c r="D2543" s="1">
        <v>45475</v>
      </c>
      <c r="E2543" s="2">
        <v>1435.27</v>
      </c>
      <c r="F2543">
        <v>138</v>
      </c>
    </row>
    <row r="2544" spans="1:6">
      <c r="A2544" t="s">
        <v>58</v>
      </c>
      <c r="B2544" t="s">
        <v>25</v>
      </c>
      <c r="C2544" t="s">
        <v>38</v>
      </c>
      <c r="D2544" s="1">
        <v>45597</v>
      </c>
      <c r="E2544" s="2">
        <v>4324.4799999999996</v>
      </c>
      <c r="F2544">
        <v>202</v>
      </c>
    </row>
    <row r="2545" spans="1:6">
      <c r="A2545" t="s">
        <v>6</v>
      </c>
      <c r="B2545" t="s">
        <v>10</v>
      </c>
      <c r="C2545" t="s">
        <v>20</v>
      </c>
      <c r="D2545" t="s">
        <v>310</v>
      </c>
      <c r="E2545" s="2">
        <v>2207.7600000000002</v>
      </c>
      <c r="F2545">
        <v>247</v>
      </c>
    </row>
    <row r="2546" spans="1:6">
      <c r="A2546" t="s">
        <v>79</v>
      </c>
      <c r="B2546" t="s">
        <v>15</v>
      </c>
      <c r="C2546" t="s">
        <v>8</v>
      </c>
      <c r="D2546" s="1">
        <v>45299</v>
      </c>
      <c r="E2546" s="2">
        <v>7571.51</v>
      </c>
      <c r="F2546">
        <v>26</v>
      </c>
    </row>
    <row r="2547" spans="1:6">
      <c r="A2547" t="s">
        <v>45</v>
      </c>
      <c r="B2547" t="s">
        <v>15</v>
      </c>
      <c r="C2547" t="s">
        <v>8</v>
      </c>
      <c r="D2547" s="1">
        <v>45417</v>
      </c>
      <c r="E2547" s="2">
        <v>7189.76</v>
      </c>
      <c r="F2547">
        <v>262</v>
      </c>
    </row>
    <row r="2548" spans="1:6">
      <c r="A2548" t="s">
        <v>77</v>
      </c>
      <c r="B2548" t="s">
        <v>25</v>
      </c>
      <c r="C2548" t="s">
        <v>73</v>
      </c>
      <c r="D2548" t="s">
        <v>293</v>
      </c>
      <c r="E2548" s="2">
        <v>10858.21</v>
      </c>
      <c r="F2548">
        <v>451</v>
      </c>
    </row>
    <row r="2549" spans="1:6">
      <c r="A2549" t="s">
        <v>79</v>
      </c>
      <c r="B2549" t="s">
        <v>25</v>
      </c>
      <c r="C2549" t="s">
        <v>75</v>
      </c>
      <c r="D2549" s="1">
        <v>45383</v>
      </c>
      <c r="E2549" s="2">
        <v>6524.65</v>
      </c>
      <c r="F2549">
        <v>369</v>
      </c>
    </row>
    <row r="2550" spans="1:6">
      <c r="A2550" t="s">
        <v>45</v>
      </c>
      <c r="B2550" t="s">
        <v>25</v>
      </c>
      <c r="C2550" t="s">
        <v>26</v>
      </c>
      <c r="D2550" s="1">
        <v>45540</v>
      </c>
      <c r="E2550" s="2">
        <v>4624.45</v>
      </c>
      <c r="F2550">
        <v>212</v>
      </c>
    </row>
    <row r="2551" spans="1:6">
      <c r="A2551" t="s">
        <v>29</v>
      </c>
      <c r="B2551" t="s">
        <v>10</v>
      </c>
      <c r="C2551" t="s">
        <v>18</v>
      </c>
      <c r="D2551" s="1">
        <v>45448</v>
      </c>
      <c r="E2551" s="2">
        <v>1961.82</v>
      </c>
      <c r="F2551">
        <v>80</v>
      </c>
    </row>
    <row r="2552" spans="1:6">
      <c r="A2552" t="s">
        <v>53</v>
      </c>
      <c r="B2552" t="s">
        <v>7</v>
      </c>
      <c r="C2552" t="s">
        <v>59</v>
      </c>
      <c r="D2552" t="s">
        <v>270</v>
      </c>
      <c r="E2552" s="2">
        <v>12782.63</v>
      </c>
      <c r="F2552">
        <v>158</v>
      </c>
    </row>
    <row r="2553" spans="1:6">
      <c r="A2553" t="s">
        <v>45</v>
      </c>
      <c r="B2553" t="s">
        <v>15</v>
      </c>
      <c r="C2553" t="s">
        <v>65</v>
      </c>
      <c r="D2553" t="s">
        <v>349</v>
      </c>
      <c r="E2553" s="2">
        <v>4928.3</v>
      </c>
      <c r="F2553">
        <v>71</v>
      </c>
    </row>
    <row r="2554" spans="1:6">
      <c r="A2554" t="s">
        <v>9</v>
      </c>
      <c r="B2554" t="s">
        <v>32</v>
      </c>
      <c r="C2554" t="s">
        <v>90</v>
      </c>
      <c r="D2554" t="s">
        <v>273</v>
      </c>
      <c r="E2554" s="2">
        <v>1115.8399999999999</v>
      </c>
      <c r="F2554">
        <v>22</v>
      </c>
    </row>
    <row r="2555" spans="1:6">
      <c r="A2555" t="s">
        <v>71</v>
      </c>
      <c r="B2555" t="s">
        <v>15</v>
      </c>
      <c r="C2555" t="s">
        <v>20</v>
      </c>
      <c r="D2555" t="s">
        <v>321</v>
      </c>
      <c r="E2555" s="2">
        <v>5346.62</v>
      </c>
      <c r="F2555">
        <v>109</v>
      </c>
    </row>
    <row r="2556" spans="1:6">
      <c r="A2556" t="s">
        <v>55</v>
      </c>
      <c r="B2556" t="s">
        <v>10</v>
      </c>
      <c r="C2556" t="s">
        <v>46</v>
      </c>
      <c r="D2556" s="1">
        <v>45327</v>
      </c>
      <c r="E2556" s="2">
        <v>3168.11</v>
      </c>
      <c r="F2556">
        <v>93</v>
      </c>
    </row>
    <row r="2557" spans="1:6">
      <c r="A2557" t="s">
        <v>83</v>
      </c>
      <c r="B2557" t="s">
        <v>15</v>
      </c>
      <c r="C2557" t="s">
        <v>18</v>
      </c>
      <c r="D2557" t="s">
        <v>295</v>
      </c>
      <c r="E2557" s="2">
        <v>9007.92</v>
      </c>
      <c r="F2557">
        <v>52</v>
      </c>
    </row>
    <row r="2558" spans="1:6">
      <c r="A2558" t="s">
        <v>34</v>
      </c>
      <c r="B2558" t="s">
        <v>32</v>
      </c>
      <c r="C2558" t="s">
        <v>65</v>
      </c>
      <c r="D2558" t="s">
        <v>313</v>
      </c>
      <c r="E2558" s="2">
        <v>7400.07</v>
      </c>
      <c r="F2558">
        <v>383</v>
      </c>
    </row>
    <row r="2559" spans="1:6">
      <c r="A2559" t="s">
        <v>55</v>
      </c>
      <c r="B2559" t="s">
        <v>35</v>
      </c>
      <c r="C2559" t="s">
        <v>20</v>
      </c>
      <c r="D2559" t="s">
        <v>349</v>
      </c>
      <c r="E2559" s="2">
        <v>1420.22</v>
      </c>
      <c r="F2559">
        <v>422</v>
      </c>
    </row>
    <row r="2560" spans="1:6">
      <c r="A2560" t="s">
        <v>19</v>
      </c>
      <c r="B2560" t="s">
        <v>7</v>
      </c>
      <c r="C2560" t="s">
        <v>23</v>
      </c>
      <c r="D2560" t="s">
        <v>351</v>
      </c>
      <c r="E2560" s="2">
        <v>2555.9499999999998</v>
      </c>
      <c r="F2560">
        <v>109</v>
      </c>
    </row>
    <row r="2561" spans="1:6">
      <c r="A2561" t="s">
        <v>22</v>
      </c>
      <c r="B2561" t="s">
        <v>7</v>
      </c>
      <c r="C2561" t="s">
        <v>36</v>
      </c>
      <c r="D2561" t="s">
        <v>327</v>
      </c>
      <c r="E2561" s="2">
        <v>4059.65</v>
      </c>
      <c r="F2561">
        <v>175</v>
      </c>
    </row>
    <row r="2562" spans="1:6">
      <c r="A2562" t="s">
        <v>79</v>
      </c>
      <c r="B2562" t="s">
        <v>32</v>
      </c>
      <c r="C2562" t="s">
        <v>90</v>
      </c>
      <c r="D2562" t="s">
        <v>287</v>
      </c>
      <c r="E2562" s="2">
        <v>18581.37</v>
      </c>
      <c r="F2562">
        <v>83</v>
      </c>
    </row>
    <row r="2563" spans="1:6">
      <c r="A2563" t="s">
        <v>14</v>
      </c>
      <c r="B2563" t="s">
        <v>10</v>
      </c>
      <c r="C2563" t="s">
        <v>13</v>
      </c>
      <c r="D2563" s="1">
        <v>45383</v>
      </c>
      <c r="E2563" s="2">
        <v>8813.58</v>
      </c>
      <c r="F2563">
        <v>182</v>
      </c>
    </row>
    <row r="2564" spans="1:6">
      <c r="A2564" t="s">
        <v>53</v>
      </c>
      <c r="B2564" t="s">
        <v>15</v>
      </c>
      <c r="C2564" t="s">
        <v>36</v>
      </c>
      <c r="D2564" s="1">
        <v>45389</v>
      </c>
      <c r="E2564" s="2">
        <v>7914.74</v>
      </c>
      <c r="F2564">
        <v>31</v>
      </c>
    </row>
    <row r="2565" spans="1:6">
      <c r="A2565" t="s">
        <v>41</v>
      </c>
      <c r="B2565" t="s">
        <v>32</v>
      </c>
      <c r="C2565" t="s">
        <v>18</v>
      </c>
      <c r="D2565" t="s">
        <v>268</v>
      </c>
      <c r="E2565" s="2">
        <v>2787.72</v>
      </c>
      <c r="F2565">
        <v>342</v>
      </c>
    </row>
    <row r="2566" spans="1:6">
      <c r="A2566" t="s">
        <v>71</v>
      </c>
      <c r="B2566" t="s">
        <v>15</v>
      </c>
      <c r="C2566" t="s">
        <v>60</v>
      </c>
      <c r="D2566" t="s">
        <v>329</v>
      </c>
      <c r="E2566" s="2">
        <v>681.71</v>
      </c>
      <c r="F2566">
        <v>170</v>
      </c>
    </row>
    <row r="2567" spans="1:6">
      <c r="A2567" t="s">
        <v>19</v>
      </c>
      <c r="B2567" t="s">
        <v>15</v>
      </c>
      <c r="C2567" t="s">
        <v>65</v>
      </c>
      <c r="D2567" t="s">
        <v>355</v>
      </c>
      <c r="E2567" s="2">
        <v>6827.53</v>
      </c>
      <c r="F2567">
        <v>241</v>
      </c>
    </row>
    <row r="2568" spans="1:6">
      <c r="A2568" t="s">
        <v>14</v>
      </c>
      <c r="B2568" t="s">
        <v>32</v>
      </c>
      <c r="C2568" t="s">
        <v>33</v>
      </c>
      <c r="D2568" t="s">
        <v>282</v>
      </c>
      <c r="E2568" s="2">
        <v>1082</v>
      </c>
      <c r="F2568">
        <v>158</v>
      </c>
    </row>
    <row r="2569" spans="1:6">
      <c r="A2569" t="s">
        <v>12</v>
      </c>
      <c r="B2569" t="s">
        <v>32</v>
      </c>
      <c r="C2569" t="s">
        <v>57</v>
      </c>
      <c r="D2569" t="s">
        <v>281</v>
      </c>
      <c r="E2569" s="2">
        <v>2966.98</v>
      </c>
      <c r="F2569">
        <v>121</v>
      </c>
    </row>
    <row r="2570" spans="1:6">
      <c r="A2570" t="s">
        <v>34</v>
      </c>
      <c r="B2570" t="s">
        <v>7</v>
      </c>
      <c r="C2570" t="s">
        <v>46</v>
      </c>
      <c r="D2570" s="1">
        <v>45566</v>
      </c>
      <c r="E2570" s="2">
        <v>3951.74</v>
      </c>
      <c r="F2570">
        <v>287</v>
      </c>
    </row>
    <row r="2571" spans="1:6">
      <c r="A2571" t="s">
        <v>48</v>
      </c>
      <c r="B2571" t="s">
        <v>32</v>
      </c>
      <c r="C2571" t="s">
        <v>73</v>
      </c>
      <c r="D2571" t="s">
        <v>337</v>
      </c>
      <c r="E2571" s="2">
        <v>3151.23</v>
      </c>
      <c r="F2571">
        <v>144</v>
      </c>
    </row>
    <row r="2572" spans="1:6">
      <c r="A2572" t="s">
        <v>40</v>
      </c>
      <c r="B2572" t="s">
        <v>35</v>
      </c>
      <c r="C2572" t="s">
        <v>46</v>
      </c>
      <c r="D2572" s="1">
        <v>45506</v>
      </c>
      <c r="E2572" s="2">
        <v>2672.67</v>
      </c>
      <c r="F2572">
        <v>317</v>
      </c>
    </row>
    <row r="2573" spans="1:6">
      <c r="A2573" t="s">
        <v>28</v>
      </c>
      <c r="B2573" t="s">
        <v>10</v>
      </c>
      <c r="C2573" t="s">
        <v>90</v>
      </c>
      <c r="D2573" t="s">
        <v>310</v>
      </c>
      <c r="E2573" s="2">
        <v>1742.37</v>
      </c>
      <c r="F2573">
        <v>106</v>
      </c>
    </row>
    <row r="2574" spans="1:6">
      <c r="A2574" t="s">
        <v>22</v>
      </c>
      <c r="B2574" t="s">
        <v>32</v>
      </c>
      <c r="C2574" t="s">
        <v>36</v>
      </c>
      <c r="D2574" s="1">
        <v>45356</v>
      </c>
      <c r="E2574" s="2">
        <v>7301.31</v>
      </c>
      <c r="F2574">
        <v>42</v>
      </c>
    </row>
    <row r="2575" spans="1:6">
      <c r="A2575" t="s">
        <v>45</v>
      </c>
      <c r="B2575" t="s">
        <v>32</v>
      </c>
      <c r="C2575" t="s">
        <v>57</v>
      </c>
      <c r="D2575" t="s">
        <v>333</v>
      </c>
      <c r="E2575" s="2">
        <v>6322.14</v>
      </c>
      <c r="F2575">
        <v>26</v>
      </c>
    </row>
    <row r="2576" spans="1:6">
      <c r="A2576" t="s">
        <v>22</v>
      </c>
      <c r="B2576" t="s">
        <v>10</v>
      </c>
      <c r="C2576" t="s">
        <v>26</v>
      </c>
      <c r="D2576" s="1">
        <v>45543</v>
      </c>
      <c r="E2576" s="2">
        <v>13731.44</v>
      </c>
      <c r="F2576">
        <v>82</v>
      </c>
    </row>
    <row r="2577" spans="1:6">
      <c r="A2577" t="s">
        <v>64</v>
      </c>
      <c r="B2577" t="s">
        <v>25</v>
      </c>
      <c r="C2577" t="s">
        <v>60</v>
      </c>
      <c r="D2577" s="1">
        <v>45603</v>
      </c>
      <c r="E2577" s="2">
        <v>4051.88</v>
      </c>
      <c r="F2577">
        <v>253</v>
      </c>
    </row>
    <row r="2578" spans="1:6">
      <c r="A2578" t="s">
        <v>55</v>
      </c>
      <c r="B2578" t="s">
        <v>7</v>
      </c>
      <c r="C2578" t="s">
        <v>60</v>
      </c>
      <c r="D2578" t="s">
        <v>328</v>
      </c>
      <c r="E2578" s="2">
        <v>8474.69</v>
      </c>
      <c r="F2578">
        <v>115</v>
      </c>
    </row>
    <row r="2579" spans="1:6">
      <c r="A2579" t="s">
        <v>9</v>
      </c>
      <c r="B2579" t="s">
        <v>35</v>
      </c>
      <c r="C2579" t="s">
        <v>60</v>
      </c>
      <c r="D2579" t="s">
        <v>266</v>
      </c>
      <c r="E2579" s="2">
        <v>9426.56</v>
      </c>
      <c r="F2579">
        <v>49</v>
      </c>
    </row>
    <row r="2580" spans="1:6">
      <c r="A2580" t="s">
        <v>64</v>
      </c>
      <c r="B2580" t="s">
        <v>25</v>
      </c>
      <c r="C2580" t="s">
        <v>65</v>
      </c>
      <c r="D2580" t="s">
        <v>337</v>
      </c>
      <c r="E2580" s="2">
        <v>9770.2800000000007</v>
      </c>
      <c r="F2580">
        <v>154</v>
      </c>
    </row>
    <row r="2581" spans="1:6">
      <c r="A2581" t="s">
        <v>19</v>
      </c>
      <c r="B2581" t="s">
        <v>25</v>
      </c>
      <c r="C2581" t="s">
        <v>87</v>
      </c>
      <c r="D2581" t="s">
        <v>320</v>
      </c>
      <c r="E2581" s="2">
        <v>14234.61</v>
      </c>
      <c r="F2581">
        <v>45</v>
      </c>
    </row>
    <row r="2582" spans="1:6">
      <c r="A2582" t="s">
        <v>58</v>
      </c>
      <c r="B2582" t="s">
        <v>15</v>
      </c>
      <c r="C2582" t="s">
        <v>42</v>
      </c>
      <c r="D2582" s="1">
        <v>45570</v>
      </c>
      <c r="E2582" s="2">
        <v>6885.01</v>
      </c>
      <c r="F2582">
        <v>40</v>
      </c>
    </row>
    <row r="2583" spans="1:6">
      <c r="A2583" t="s">
        <v>40</v>
      </c>
      <c r="B2583" t="s">
        <v>15</v>
      </c>
      <c r="C2583" t="s">
        <v>50</v>
      </c>
      <c r="D2583" t="s">
        <v>348</v>
      </c>
      <c r="E2583" s="2">
        <v>14687.62</v>
      </c>
      <c r="F2583">
        <v>293</v>
      </c>
    </row>
    <row r="2584" spans="1:6">
      <c r="A2584" t="s">
        <v>41</v>
      </c>
      <c r="B2584" t="s">
        <v>35</v>
      </c>
      <c r="C2584" t="s">
        <v>18</v>
      </c>
      <c r="D2584" t="s">
        <v>279</v>
      </c>
      <c r="E2584" s="2">
        <v>16585.43</v>
      </c>
      <c r="F2584">
        <v>388</v>
      </c>
    </row>
    <row r="2585" spans="1:6">
      <c r="A2585" t="s">
        <v>28</v>
      </c>
      <c r="B2585" t="s">
        <v>32</v>
      </c>
      <c r="C2585" t="s">
        <v>42</v>
      </c>
      <c r="D2585" t="s">
        <v>306</v>
      </c>
      <c r="E2585" s="2">
        <v>17415.669999999998</v>
      </c>
      <c r="F2585">
        <v>148</v>
      </c>
    </row>
    <row r="2586" spans="1:6">
      <c r="A2586" t="s">
        <v>45</v>
      </c>
      <c r="B2586" t="s">
        <v>25</v>
      </c>
      <c r="C2586" t="s">
        <v>87</v>
      </c>
      <c r="D2586" t="s">
        <v>331</v>
      </c>
      <c r="E2586" s="2">
        <v>5954.47</v>
      </c>
      <c r="F2586">
        <v>236</v>
      </c>
    </row>
    <row r="2587" spans="1:6">
      <c r="A2587" t="s">
        <v>9</v>
      </c>
      <c r="B2587" t="s">
        <v>7</v>
      </c>
      <c r="C2587" t="s">
        <v>11</v>
      </c>
      <c r="D2587" s="1">
        <v>45603</v>
      </c>
      <c r="E2587" s="2">
        <v>4179.91</v>
      </c>
      <c r="F2587">
        <v>140</v>
      </c>
    </row>
    <row r="2588" spans="1:6">
      <c r="A2588" t="s">
        <v>40</v>
      </c>
      <c r="B2588" t="s">
        <v>35</v>
      </c>
      <c r="C2588" t="s">
        <v>50</v>
      </c>
      <c r="D2588" s="1">
        <v>45352</v>
      </c>
      <c r="E2588" s="2">
        <v>3939.95</v>
      </c>
      <c r="F2588">
        <v>365</v>
      </c>
    </row>
    <row r="2589" spans="1:6">
      <c r="A2589" t="s">
        <v>29</v>
      </c>
      <c r="B2589" t="s">
        <v>25</v>
      </c>
      <c r="C2589" t="s">
        <v>100</v>
      </c>
      <c r="D2589" t="s">
        <v>285</v>
      </c>
      <c r="E2589" s="2">
        <v>791.19</v>
      </c>
      <c r="F2589">
        <v>280</v>
      </c>
    </row>
    <row r="2590" spans="1:6">
      <c r="A2590" t="s">
        <v>41</v>
      </c>
      <c r="B2590" t="s">
        <v>32</v>
      </c>
      <c r="C2590" t="s">
        <v>26</v>
      </c>
      <c r="D2590" t="s">
        <v>271</v>
      </c>
      <c r="E2590" s="2">
        <v>2941.65</v>
      </c>
      <c r="F2590">
        <v>360</v>
      </c>
    </row>
    <row r="2591" spans="1:6">
      <c r="A2591" t="s">
        <v>28</v>
      </c>
      <c r="B2591" t="s">
        <v>32</v>
      </c>
      <c r="C2591" t="s">
        <v>8</v>
      </c>
      <c r="D2591" t="s">
        <v>306</v>
      </c>
      <c r="E2591" s="2">
        <v>12476.68</v>
      </c>
      <c r="F2591">
        <v>162</v>
      </c>
    </row>
    <row r="2592" spans="1:6">
      <c r="A2592" t="s">
        <v>37</v>
      </c>
      <c r="B2592" t="s">
        <v>25</v>
      </c>
      <c r="C2592" t="s">
        <v>36</v>
      </c>
      <c r="D2592" s="1">
        <v>45448</v>
      </c>
      <c r="E2592" s="2">
        <v>2817.14</v>
      </c>
      <c r="F2592">
        <v>191</v>
      </c>
    </row>
    <row r="2593" spans="1:6">
      <c r="A2593" t="s">
        <v>31</v>
      </c>
      <c r="B2593" t="s">
        <v>10</v>
      </c>
      <c r="C2593" t="s">
        <v>38</v>
      </c>
      <c r="D2593" t="s">
        <v>313</v>
      </c>
      <c r="E2593" s="2">
        <v>2411.52</v>
      </c>
      <c r="F2593">
        <v>144</v>
      </c>
    </row>
    <row r="2594" spans="1:6">
      <c r="A2594" t="s">
        <v>40</v>
      </c>
      <c r="B2594" t="s">
        <v>7</v>
      </c>
      <c r="C2594" t="s">
        <v>33</v>
      </c>
      <c r="D2594" s="1">
        <v>45449</v>
      </c>
      <c r="E2594" s="2">
        <v>13072.74</v>
      </c>
      <c r="F2594">
        <v>11</v>
      </c>
    </row>
    <row r="2595" spans="1:6">
      <c r="A2595" t="s">
        <v>28</v>
      </c>
      <c r="B2595" t="s">
        <v>25</v>
      </c>
      <c r="C2595" t="s">
        <v>87</v>
      </c>
      <c r="D2595" s="1">
        <v>45633</v>
      </c>
      <c r="E2595" s="2">
        <v>6790.41</v>
      </c>
      <c r="F2595">
        <v>26</v>
      </c>
    </row>
    <row r="2596" spans="1:6">
      <c r="A2596" t="s">
        <v>83</v>
      </c>
      <c r="B2596" t="s">
        <v>35</v>
      </c>
      <c r="C2596" t="s">
        <v>50</v>
      </c>
      <c r="D2596" s="1">
        <v>45420</v>
      </c>
      <c r="E2596" s="2">
        <v>6092.47</v>
      </c>
      <c r="F2596">
        <v>201</v>
      </c>
    </row>
    <row r="2597" spans="1:6">
      <c r="A2597" t="s">
        <v>28</v>
      </c>
      <c r="B2597" t="s">
        <v>32</v>
      </c>
      <c r="C2597" t="s">
        <v>33</v>
      </c>
      <c r="D2597" t="s">
        <v>313</v>
      </c>
      <c r="E2597" s="2">
        <v>7185.5</v>
      </c>
      <c r="F2597">
        <v>152</v>
      </c>
    </row>
    <row r="2598" spans="1:6">
      <c r="A2598" t="s">
        <v>55</v>
      </c>
      <c r="B2598" t="s">
        <v>10</v>
      </c>
      <c r="C2598" t="s">
        <v>50</v>
      </c>
      <c r="D2598" t="s">
        <v>356</v>
      </c>
      <c r="E2598" s="2">
        <v>6170.8</v>
      </c>
      <c r="F2598">
        <v>138</v>
      </c>
    </row>
    <row r="2599" spans="1:6">
      <c r="A2599" t="s">
        <v>34</v>
      </c>
      <c r="B2599" t="s">
        <v>32</v>
      </c>
      <c r="C2599" t="s">
        <v>26</v>
      </c>
      <c r="D2599" t="s">
        <v>291</v>
      </c>
      <c r="E2599" s="2">
        <v>1945.05</v>
      </c>
      <c r="F2599">
        <v>14</v>
      </c>
    </row>
    <row r="2600" spans="1:6">
      <c r="A2600" t="s">
        <v>34</v>
      </c>
      <c r="B2600" t="s">
        <v>7</v>
      </c>
      <c r="C2600" t="s">
        <v>8</v>
      </c>
      <c r="D2600" t="s">
        <v>282</v>
      </c>
      <c r="E2600" s="2">
        <v>6767.42</v>
      </c>
      <c r="F2600">
        <v>2</v>
      </c>
    </row>
    <row r="2601" spans="1:6">
      <c r="A2601" t="s">
        <v>41</v>
      </c>
      <c r="B2601" t="s">
        <v>10</v>
      </c>
      <c r="C2601" t="s">
        <v>75</v>
      </c>
      <c r="D2601" t="s">
        <v>266</v>
      </c>
      <c r="E2601" s="2">
        <v>3911.69</v>
      </c>
      <c r="F2601">
        <v>254</v>
      </c>
    </row>
    <row r="2602" spans="1:6">
      <c r="A2602" t="s">
        <v>77</v>
      </c>
      <c r="B2602" t="s">
        <v>7</v>
      </c>
      <c r="C2602" t="s">
        <v>18</v>
      </c>
      <c r="D2602" s="1">
        <v>45385</v>
      </c>
      <c r="E2602" s="2">
        <v>16733.759999999998</v>
      </c>
      <c r="F2602">
        <v>88</v>
      </c>
    </row>
    <row r="2603" spans="1:6">
      <c r="A2603" t="s">
        <v>12</v>
      </c>
      <c r="B2603" t="s">
        <v>10</v>
      </c>
      <c r="C2603" t="s">
        <v>36</v>
      </c>
      <c r="D2603" t="s">
        <v>352</v>
      </c>
      <c r="E2603" s="2">
        <v>3916.92</v>
      </c>
      <c r="F2603">
        <v>74</v>
      </c>
    </row>
    <row r="2604" spans="1:6">
      <c r="A2604" t="s">
        <v>29</v>
      </c>
      <c r="B2604" t="s">
        <v>15</v>
      </c>
      <c r="C2604" t="s">
        <v>42</v>
      </c>
      <c r="D2604" t="s">
        <v>272</v>
      </c>
      <c r="E2604" s="2">
        <v>1082.69</v>
      </c>
      <c r="F2604">
        <v>106</v>
      </c>
    </row>
    <row r="2605" spans="1:6">
      <c r="A2605" t="s">
        <v>19</v>
      </c>
      <c r="B2605" t="s">
        <v>25</v>
      </c>
      <c r="C2605" t="s">
        <v>59</v>
      </c>
      <c r="D2605" s="1">
        <v>45571</v>
      </c>
      <c r="E2605" s="2">
        <v>4822.33</v>
      </c>
      <c r="F2605">
        <v>42</v>
      </c>
    </row>
    <row r="2606" spans="1:6">
      <c r="A2606" t="s">
        <v>67</v>
      </c>
      <c r="B2606" t="s">
        <v>7</v>
      </c>
      <c r="C2606" t="s">
        <v>38</v>
      </c>
      <c r="D2606" t="s">
        <v>342</v>
      </c>
      <c r="E2606" s="2">
        <v>1827.45</v>
      </c>
      <c r="F2606">
        <v>66</v>
      </c>
    </row>
    <row r="2607" spans="1:6">
      <c r="A2607" t="s">
        <v>70</v>
      </c>
      <c r="B2607" t="s">
        <v>10</v>
      </c>
      <c r="C2607" t="s">
        <v>46</v>
      </c>
      <c r="D2607" t="s">
        <v>287</v>
      </c>
      <c r="E2607" s="2">
        <v>1142.4100000000001</v>
      </c>
      <c r="F2607">
        <v>111</v>
      </c>
    </row>
    <row r="2608" spans="1:6">
      <c r="A2608" t="s">
        <v>37</v>
      </c>
      <c r="B2608" t="s">
        <v>25</v>
      </c>
      <c r="C2608" t="s">
        <v>90</v>
      </c>
      <c r="D2608" t="s">
        <v>303</v>
      </c>
      <c r="E2608" s="2">
        <v>6290.89</v>
      </c>
      <c r="F2608">
        <v>232</v>
      </c>
    </row>
    <row r="2609" spans="1:6">
      <c r="A2609" t="s">
        <v>67</v>
      </c>
      <c r="B2609" t="s">
        <v>25</v>
      </c>
      <c r="C2609" t="s">
        <v>42</v>
      </c>
      <c r="D2609" s="1">
        <v>45385</v>
      </c>
      <c r="E2609" s="2">
        <v>5616.01</v>
      </c>
      <c r="F2609">
        <v>43</v>
      </c>
    </row>
    <row r="2610" spans="1:6">
      <c r="A2610" t="s">
        <v>31</v>
      </c>
      <c r="B2610" t="s">
        <v>25</v>
      </c>
      <c r="C2610" t="s">
        <v>23</v>
      </c>
      <c r="D2610" t="s">
        <v>291</v>
      </c>
      <c r="E2610" s="2">
        <v>11250.69</v>
      </c>
      <c r="F2610">
        <v>91</v>
      </c>
    </row>
    <row r="2611" spans="1:6">
      <c r="A2611" t="s">
        <v>41</v>
      </c>
      <c r="B2611" t="s">
        <v>7</v>
      </c>
      <c r="C2611" t="s">
        <v>65</v>
      </c>
      <c r="D2611" t="s">
        <v>295</v>
      </c>
      <c r="E2611" s="2">
        <v>2799.42</v>
      </c>
      <c r="F2611">
        <v>104</v>
      </c>
    </row>
    <row r="2612" spans="1:6">
      <c r="A2612" t="s">
        <v>19</v>
      </c>
      <c r="B2612" t="s">
        <v>15</v>
      </c>
      <c r="C2612" t="s">
        <v>73</v>
      </c>
      <c r="D2612" t="s">
        <v>276</v>
      </c>
      <c r="E2612" s="2">
        <v>1157.8800000000001</v>
      </c>
      <c r="F2612">
        <v>114</v>
      </c>
    </row>
    <row r="2613" spans="1:6">
      <c r="A2613" t="s">
        <v>58</v>
      </c>
      <c r="B2613" t="s">
        <v>32</v>
      </c>
      <c r="C2613" t="s">
        <v>73</v>
      </c>
      <c r="D2613" t="s">
        <v>321</v>
      </c>
      <c r="E2613" s="2">
        <v>7049.32</v>
      </c>
      <c r="F2613">
        <v>273</v>
      </c>
    </row>
    <row r="2614" spans="1:6">
      <c r="A2614" t="s">
        <v>45</v>
      </c>
      <c r="B2614" t="s">
        <v>35</v>
      </c>
      <c r="C2614" t="s">
        <v>33</v>
      </c>
      <c r="D2614" s="1">
        <v>45537</v>
      </c>
      <c r="E2614" s="2">
        <v>9460.5</v>
      </c>
      <c r="F2614">
        <v>84</v>
      </c>
    </row>
    <row r="2615" spans="1:6">
      <c r="A2615" t="s">
        <v>34</v>
      </c>
      <c r="B2615" t="s">
        <v>35</v>
      </c>
      <c r="C2615" t="s">
        <v>33</v>
      </c>
      <c r="D2615" t="s">
        <v>316</v>
      </c>
      <c r="E2615" s="2">
        <v>4173.7299999999996</v>
      </c>
      <c r="F2615">
        <v>175</v>
      </c>
    </row>
    <row r="2616" spans="1:6">
      <c r="A2616" t="s">
        <v>77</v>
      </c>
      <c r="B2616" t="s">
        <v>25</v>
      </c>
      <c r="C2616" t="s">
        <v>90</v>
      </c>
      <c r="D2616" s="1">
        <v>45293</v>
      </c>
      <c r="E2616" s="2">
        <v>4005.08</v>
      </c>
      <c r="F2616">
        <v>150</v>
      </c>
    </row>
    <row r="2617" spans="1:6">
      <c r="A2617" t="s">
        <v>34</v>
      </c>
      <c r="B2617" t="s">
        <v>10</v>
      </c>
      <c r="C2617" t="s">
        <v>38</v>
      </c>
      <c r="D2617" s="1">
        <v>45476</v>
      </c>
      <c r="E2617" s="2">
        <v>4650.58</v>
      </c>
      <c r="F2617">
        <v>143</v>
      </c>
    </row>
    <row r="2618" spans="1:6">
      <c r="A2618" t="s">
        <v>83</v>
      </c>
      <c r="B2618" t="s">
        <v>7</v>
      </c>
      <c r="C2618" t="s">
        <v>59</v>
      </c>
      <c r="D2618" s="1">
        <v>45352</v>
      </c>
      <c r="E2618" s="2">
        <v>3814.56</v>
      </c>
      <c r="F2618">
        <v>220</v>
      </c>
    </row>
    <row r="2619" spans="1:6">
      <c r="A2619" t="s">
        <v>83</v>
      </c>
      <c r="B2619" t="s">
        <v>32</v>
      </c>
      <c r="C2619" t="s">
        <v>59</v>
      </c>
      <c r="D2619" s="1">
        <v>45598</v>
      </c>
      <c r="E2619" s="2">
        <v>6321.35</v>
      </c>
      <c r="F2619">
        <v>325</v>
      </c>
    </row>
    <row r="2620" spans="1:6">
      <c r="A2620" t="s">
        <v>58</v>
      </c>
      <c r="B2620" t="s">
        <v>25</v>
      </c>
      <c r="C2620" t="s">
        <v>33</v>
      </c>
      <c r="D2620" t="s">
        <v>314</v>
      </c>
      <c r="E2620" s="2">
        <v>5245.53</v>
      </c>
      <c r="F2620">
        <v>144</v>
      </c>
    </row>
    <row r="2621" spans="1:6">
      <c r="A2621" t="s">
        <v>79</v>
      </c>
      <c r="B2621" t="s">
        <v>10</v>
      </c>
      <c r="C2621" t="s">
        <v>59</v>
      </c>
      <c r="D2621" t="s">
        <v>318</v>
      </c>
      <c r="E2621" s="2">
        <v>12998.67</v>
      </c>
      <c r="F2621">
        <v>317</v>
      </c>
    </row>
    <row r="2622" spans="1:6">
      <c r="A2622" t="s">
        <v>12</v>
      </c>
      <c r="B2622" t="s">
        <v>10</v>
      </c>
      <c r="C2622" t="s">
        <v>60</v>
      </c>
      <c r="D2622" s="1">
        <v>45631</v>
      </c>
      <c r="E2622" s="2">
        <v>5932.12</v>
      </c>
      <c r="F2622">
        <v>79</v>
      </c>
    </row>
    <row r="2623" spans="1:6">
      <c r="A2623" t="s">
        <v>9</v>
      </c>
      <c r="B2623" t="s">
        <v>10</v>
      </c>
      <c r="C2623" t="s">
        <v>50</v>
      </c>
      <c r="D2623" s="1">
        <v>45600</v>
      </c>
      <c r="E2623" s="2">
        <v>6811.55</v>
      </c>
      <c r="F2623">
        <v>4</v>
      </c>
    </row>
    <row r="2624" spans="1:6">
      <c r="A2624" t="s">
        <v>14</v>
      </c>
      <c r="B2624" t="s">
        <v>25</v>
      </c>
      <c r="C2624" t="s">
        <v>8</v>
      </c>
      <c r="D2624" t="s">
        <v>283</v>
      </c>
      <c r="E2624" s="2">
        <v>21381.14</v>
      </c>
      <c r="F2624">
        <v>311</v>
      </c>
    </row>
    <row r="2625" spans="1:6">
      <c r="A2625" t="s">
        <v>79</v>
      </c>
      <c r="B2625" t="s">
        <v>25</v>
      </c>
      <c r="C2625" t="s">
        <v>59</v>
      </c>
      <c r="D2625" t="s">
        <v>280</v>
      </c>
      <c r="E2625" s="2">
        <v>8423.36</v>
      </c>
      <c r="F2625">
        <v>63</v>
      </c>
    </row>
    <row r="2626" spans="1:6">
      <c r="A2626" t="s">
        <v>29</v>
      </c>
      <c r="B2626" t="s">
        <v>35</v>
      </c>
      <c r="C2626" t="s">
        <v>90</v>
      </c>
      <c r="D2626" s="1">
        <v>45299</v>
      </c>
      <c r="E2626" s="2">
        <v>7951.43</v>
      </c>
      <c r="F2626">
        <v>109</v>
      </c>
    </row>
    <row r="2627" spans="1:6">
      <c r="A2627" t="s">
        <v>55</v>
      </c>
      <c r="B2627" t="s">
        <v>32</v>
      </c>
      <c r="C2627" t="s">
        <v>46</v>
      </c>
      <c r="D2627" t="s">
        <v>280</v>
      </c>
      <c r="E2627" s="2">
        <v>18389.099999999999</v>
      </c>
      <c r="F2627">
        <v>62</v>
      </c>
    </row>
    <row r="2628" spans="1:6">
      <c r="A2628" t="s">
        <v>28</v>
      </c>
      <c r="B2628" t="s">
        <v>10</v>
      </c>
      <c r="C2628" t="s">
        <v>23</v>
      </c>
      <c r="D2628" t="s">
        <v>317</v>
      </c>
      <c r="E2628" s="2">
        <v>6555.46</v>
      </c>
      <c r="F2628">
        <v>45</v>
      </c>
    </row>
    <row r="2629" spans="1:6">
      <c r="A2629" t="s">
        <v>19</v>
      </c>
      <c r="B2629" t="s">
        <v>25</v>
      </c>
      <c r="C2629" t="s">
        <v>73</v>
      </c>
      <c r="D2629" t="s">
        <v>336</v>
      </c>
      <c r="E2629" s="2">
        <v>5129.71</v>
      </c>
      <c r="F2629">
        <v>270</v>
      </c>
    </row>
    <row r="2630" spans="1:6">
      <c r="A2630" t="s">
        <v>58</v>
      </c>
      <c r="B2630" t="s">
        <v>32</v>
      </c>
      <c r="C2630" t="s">
        <v>38</v>
      </c>
      <c r="D2630" s="1">
        <v>45570</v>
      </c>
      <c r="E2630" s="2">
        <v>2399.02</v>
      </c>
      <c r="F2630">
        <v>149</v>
      </c>
    </row>
    <row r="2631" spans="1:6">
      <c r="A2631" t="s">
        <v>19</v>
      </c>
      <c r="B2631" t="s">
        <v>10</v>
      </c>
      <c r="C2631" t="s">
        <v>36</v>
      </c>
      <c r="D2631" t="s">
        <v>309</v>
      </c>
      <c r="E2631" s="2">
        <v>6096.53</v>
      </c>
      <c r="F2631">
        <v>344</v>
      </c>
    </row>
    <row r="2632" spans="1:6">
      <c r="A2632" t="s">
        <v>83</v>
      </c>
      <c r="B2632" t="s">
        <v>25</v>
      </c>
      <c r="C2632" t="s">
        <v>42</v>
      </c>
      <c r="D2632" t="s">
        <v>292</v>
      </c>
      <c r="E2632" s="2">
        <v>8134.67</v>
      </c>
      <c r="F2632">
        <v>83</v>
      </c>
    </row>
    <row r="2633" spans="1:6">
      <c r="A2633" t="s">
        <v>12</v>
      </c>
      <c r="B2633" t="s">
        <v>7</v>
      </c>
      <c r="C2633" t="s">
        <v>87</v>
      </c>
      <c r="D2633" t="s">
        <v>295</v>
      </c>
      <c r="E2633" s="2">
        <v>9969.65</v>
      </c>
      <c r="F2633">
        <v>449</v>
      </c>
    </row>
    <row r="2634" spans="1:6">
      <c r="A2634" t="s">
        <v>14</v>
      </c>
      <c r="B2634" t="s">
        <v>15</v>
      </c>
      <c r="C2634" t="s">
        <v>26</v>
      </c>
      <c r="D2634" t="s">
        <v>333</v>
      </c>
      <c r="E2634" s="2">
        <v>3894.16</v>
      </c>
      <c r="F2634">
        <v>173</v>
      </c>
    </row>
    <row r="2635" spans="1:6">
      <c r="A2635" t="s">
        <v>41</v>
      </c>
      <c r="B2635" t="s">
        <v>15</v>
      </c>
      <c r="C2635" t="s">
        <v>18</v>
      </c>
      <c r="D2635" t="s">
        <v>267</v>
      </c>
      <c r="E2635" s="2">
        <v>11533.35</v>
      </c>
      <c r="F2635">
        <v>491</v>
      </c>
    </row>
    <row r="2636" spans="1:6">
      <c r="A2636" t="s">
        <v>83</v>
      </c>
      <c r="B2636" t="s">
        <v>32</v>
      </c>
      <c r="C2636" t="s">
        <v>42</v>
      </c>
      <c r="D2636" t="s">
        <v>271</v>
      </c>
      <c r="E2636" s="2">
        <v>8754.31</v>
      </c>
      <c r="F2636">
        <v>14</v>
      </c>
    </row>
    <row r="2637" spans="1:6">
      <c r="A2637" t="s">
        <v>28</v>
      </c>
      <c r="B2637" t="s">
        <v>35</v>
      </c>
      <c r="C2637" t="s">
        <v>8</v>
      </c>
      <c r="D2637" t="s">
        <v>313</v>
      </c>
      <c r="E2637" s="2">
        <v>5475.65</v>
      </c>
      <c r="F2637">
        <v>194</v>
      </c>
    </row>
    <row r="2638" spans="1:6">
      <c r="A2638" t="s">
        <v>55</v>
      </c>
      <c r="B2638" t="s">
        <v>7</v>
      </c>
      <c r="C2638" t="s">
        <v>33</v>
      </c>
      <c r="D2638" t="s">
        <v>282</v>
      </c>
      <c r="E2638" s="2">
        <v>2252.94</v>
      </c>
      <c r="F2638">
        <v>196</v>
      </c>
    </row>
    <row r="2639" spans="1:6">
      <c r="A2639" t="s">
        <v>37</v>
      </c>
      <c r="B2639" t="s">
        <v>15</v>
      </c>
      <c r="C2639" t="s">
        <v>100</v>
      </c>
      <c r="D2639" t="s">
        <v>349</v>
      </c>
      <c r="E2639" s="2">
        <v>278.77999999999997</v>
      </c>
      <c r="F2639">
        <v>332</v>
      </c>
    </row>
    <row r="2640" spans="1:6">
      <c r="A2640" t="s">
        <v>22</v>
      </c>
      <c r="B2640" t="s">
        <v>35</v>
      </c>
      <c r="C2640" t="s">
        <v>8</v>
      </c>
      <c r="D2640" s="1">
        <v>45298</v>
      </c>
      <c r="E2640" s="2">
        <v>8936.91</v>
      </c>
      <c r="F2640">
        <v>442</v>
      </c>
    </row>
    <row r="2641" spans="1:6">
      <c r="A2641" t="s">
        <v>45</v>
      </c>
      <c r="B2641" t="s">
        <v>32</v>
      </c>
      <c r="C2641" t="s">
        <v>13</v>
      </c>
      <c r="D2641" t="s">
        <v>310</v>
      </c>
      <c r="E2641" s="2">
        <v>2010.22</v>
      </c>
      <c r="F2641">
        <v>144</v>
      </c>
    </row>
    <row r="2642" spans="1:6">
      <c r="A2642" t="s">
        <v>48</v>
      </c>
      <c r="B2642" t="s">
        <v>35</v>
      </c>
      <c r="C2642" t="s">
        <v>18</v>
      </c>
      <c r="D2642" s="1">
        <v>45299</v>
      </c>
      <c r="E2642" s="2">
        <v>2901.91</v>
      </c>
      <c r="F2642">
        <v>12</v>
      </c>
    </row>
    <row r="2643" spans="1:6">
      <c r="A2643" t="s">
        <v>19</v>
      </c>
      <c r="B2643" t="s">
        <v>15</v>
      </c>
      <c r="C2643" t="s">
        <v>46</v>
      </c>
      <c r="D2643" t="s">
        <v>352</v>
      </c>
      <c r="E2643" s="2">
        <v>9231.31</v>
      </c>
      <c r="F2643">
        <v>278</v>
      </c>
    </row>
    <row r="2644" spans="1:6">
      <c r="A2644" t="s">
        <v>71</v>
      </c>
      <c r="B2644" t="s">
        <v>25</v>
      </c>
      <c r="C2644" t="s">
        <v>50</v>
      </c>
      <c r="D2644" t="s">
        <v>267</v>
      </c>
      <c r="E2644" s="2">
        <v>12744.67</v>
      </c>
      <c r="F2644">
        <v>26</v>
      </c>
    </row>
    <row r="2645" spans="1:6">
      <c r="A2645" t="s">
        <v>12</v>
      </c>
      <c r="B2645" t="s">
        <v>7</v>
      </c>
      <c r="C2645" t="s">
        <v>46</v>
      </c>
      <c r="D2645" t="s">
        <v>350</v>
      </c>
      <c r="E2645" s="2">
        <v>1436.97</v>
      </c>
      <c r="F2645">
        <v>248</v>
      </c>
    </row>
    <row r="2646" spans="1:6">
      <c r="A2646" t="s">
        <v>67</v>
      </c>
      <c r="B2646" t="s">
        <v>15</v>
      </c>
      <c r="C2646" t="s">
        <v>11</v>
      </c>
      <c r="D2646" t="s">
        <v>305</v>
      </c>
      <c r="E2646" s="2">
        <v>4900.32</v>
      </c>
      <c r="F2646">
        <v>254</v>
      </c>
    </row>
    <row r="2647" spans="1:6">
      <c r="A2647" t="s">
        <v>71</v>
      </c>
      <c r="B2647" t="s">
        <v>15</v>
      </c>
      <c r="C2647" t="s">
        <v>18</v>
      </c>
      <c r="D2647" s="1">
        <v>45354</v>
      </c>
      <c r="E2647" s="2">
        <v>8263.11</v>
      </c>
      <c r="F2647">
        <v>129</v>
      </c>
    </row>
    <row r="2648" spans="1:6">
      <c r="A2648" t="s">
        <v>45</v>
      </c>
      <c r="B2648" t="s">
        <v>10</v>
      </c>
      <c r="C2648" t="s">
        <v>90</v>
      </c>
      <c r="D2648" t="s">
        <v>277</v>
      </c>
      <c r="E2648" s="2">
        <v>10139.68</v>
      </c>
      <c r="F2648">
        <v>552</v>
      </c>
    </row>
    <row r="2649" spans="1:6">
      <c r="A2649" t="s">
        <v>37</v>
      </c>
      <c r="B2649" t="s">
        <v>32</v>
      </c>
      <c r="C2649" t="s">
        <v>38</v>
      </c>
      <c r="D2649" t="s">
        <v>282</v>
      </c>
      <c r="E2649" s="2">
        <v>132.68</v>
      </c>
      <c r="F2649">
        <v>243</v>
      </c>
    </row>
    <row r="2650" spans="1:6">
      <c r="A2650" t="s">
        <v>67</v>
      </c>
      <c r="B2650" t="s">
        <v>35</v>
      </c>
      <c r="C2650" t="s">
        <v>42</v>
      </c>
      <c r="D2650" s="1">
        <v>45383</v>
      </c>
      <c r="E2650" s="2">
        <v>9479.6299999999992</v>
      </c>
      <c r="F2650">
        <v>217</v>
      </c>
    </row>
    <row r="2651" spans="1:6">
      <c r="A2651" t="s">
        <v>6</v>
      </c>
      <c r="B2651" t="s">
        <v>15</v>
      </c>
      <c r="C2651" t="s">
        <v>38</v>
      </c>
      <c r="D2651" t="s">
        <v>328</v>
      </c>
      <c r="E2651" s="2">
        <v>3114.84</v>
      </c>
      <c r="F2651">
        <v>65</v>
      </c>
    </row>
    <row r="2652" spans="1:6">
      <c r="A2652" t="s">
        <v>37</v>
      </c>
      <c r="B2652" t="s">
        <v>32</v>
      </c>
      <c r="C2652" t="s">
        <v>8</v>
      </c>
      <c r="D2652" t="s">
        <v>355</v>
      </c>
      <c r="E2652" s="2">
        <v>17866.48</v>
      </c>
      <c r="F2652">
        <v>58</v>
      </c>
    </row>
    <row r="2653" spans="1:6">
      <c r="A2653" t="s">
        <v>48</v>
      </c>
      <c r="B2653" t="s">
        <v>25</v>
      </c>
      <c r="C2653" t="s">
        <v>50</v>
      </c>
      <c r="D2653" s="1">
        <v>45566</v>
      </c>
      <c r="E2653" s="2">
        <v>4651.03</v>
      </c>
      <c r="F2653">
        <v>494</v>
      </c>
    </row>
    <row r="2654" spans="1:6">
      <c r="A2654" t="s">
        <v>77</v>
      </c>
      <c r="B2654" t="s">
        <v>32</v>
      </c>
      <c r="C2654" t="s">
        <v>59</v>
      </c>
      <c r="D2654" s="1">
        <v>45387</v>
      </c>
      <c r="E2654" s="2">
        <v>14360.42</v>
      </c>
      <c r="F2654">
        <v>218</v>
      </c>
    </row>
    <row r="2655" spans="1:6">
      <c r="A2655" t="s">
        <v>67</v>
      </c>
      <c r="B2655" t="s">
        <v>32</v>
      </c>
      <c r="C2655" t="s">
        <v>50</v>
      </c>
      <c r="D2655" t="s">
        <v>342</v>
      </c>
      <c r="E2655" s="2">
        <v>2595.52</v>
      </c>
      <c r="F2655">
        <v>5</v>
      </c>
    </row>
    <row r="2656" spans="1:6">
      <c r="A2656" t="s">
        <v>31</v>
      </c>
      <c r="B2656" t="s">
        <v>25</v>
      </c>
      <c r="C2656" t="s">
        <v>57</v>
      </c>
      <c r="D2656" t="s">
        <v>357</v>
      </c>
      <c r="E2656" s="2">
        <v>1853.03</v>
      </c>
      <c r="F2656">
        <v>153</v>
      </c>
    </row>
    <row r="2657" spans="1:6">
      <c r="A2657" t="s">
        <v>19</v>
      </c>
      <c r="B2657" t="s">
        <v>35</v>
      </c>
      <c r="C2657" t="s">
        <v>42</v>
      </c>
      <c r="D2657" s="1">
        <v>45419</v>
      </c>
      <c r="E2657" s="2">
        <v>1392.99</v>
      </c>
      <c r="F2657">
        <v>70</v>
      </c>
    </row>
    <row r="2658" spans="1:6">
      <c r="A2658" t="s">
        <v>77</v>
      </c>
      <c r="B2658" t="s">
        <v>7</v>
      </c>
      <c r="C2658" t="s">
        <v>42</v>
      </c>
      <c r="D2658" t="s">
        <v>347</v>
      </c>
      <c r="E2658" s="2">
        <v>7943.17</v>
      </c>
      <c r="F2658">
        <v>174</v>
      </c>
    </row>
    <row r="2659" spans="1:6">
      <c r="A2659" t="s">
        <v>79</v>
      </c>
      <c r="B2659" t="s">
        <v>32</v>
      </c>
      <c r="C2659" t="s">
        <v>8</v>
      </c>
      <c r="D2659" t="s">
        <v>315</v>
      </c>
      <c r="E2659" s="2">
        <v>5552.79</v>
      </c>
      <c r="F2659">
        <v>272</v>
      </c>
    </row>
    <row r="2660" spans="1:6">
      <c r="A2660" t="s">
        <v>70</v>
      </c>
      <c r="B2660" t="s">
        <v>32</v>
      </c>
      <c r="C2660" t="s">
        <v>33</v>
      </c>
      <c r="D2660" s="1">
        <v>45353</v>
      </c>
      <c r="E2660" s="2">
        <v>1539.14</v>
      </c>
      <c r="F2660">
        <v>143</v>
      </c>
    </row>
    <row r="2661" spans="1:6">
      <c r="A2661" t="s">
        <v>12</v>
      </c>
      <c r="B2661" t="s">
        <v>15</v>
      </c>
      <c r="C2661" t="s">
        <v>90</v>
      </c>
      <c r="D2661" s="1">
        <v>45511</v>
      </c>
      <c r="E2661" s="2">
        <v>9117.77</v>
      </c>
      <c r="F2661">
        <v>154</v>
      </c>
    </row>
    <row r="2662" spans="1:6">
      <c r="A2662" t="s">
        <v>34</v>
      </c>
      <c r="B2662" t="s">
        <v>10</v>
      </c>
      <c r="C2662" t="s">
        <v>26</v>
      </c>
      <c r="D2662" t="s">
        <v>332</v>
      </c>
      <c r="E2662" s="2">
        <v>631.02</v>
      </c>
      <c r="F2662">
        <v>140</v>
      </c>
    </row>
    <row r="2663" spans="1:6">
      <c r="A2663" t="s">
        <v>9</v>
      </c>
      <c r="B2663" t="s">
        <v>25</v>
      </c>
      <c r="C2663" t="s">
        <v>8</v>
      </c>
      <c r="D2663" t="s">
        <v>275</v>
      </c>
      <c r="E2663" s="2">
        <v>4486.37</v>
      </c>
      <c r="F2663">
        <v>104</v>
      </c>
    </row>
    <row r="2664" spans="1:6">
      <c r="A2664" t="s">
        <v>9</v>
      </c>
      <c r="B2664" t="s">
        <v>10</v>
      </c>
      <c r="C2664" t="s">
        <v>26</v>
      </c>
      <c r="D2664" t="s">
        <v>336</v>
      </c>
      <c r="E2664" s="2">
        <v>5591.29</v>
      </c>
      <c r="F2664">
        <v>132</v>
      </c>
    </row>
    <row r="2665" spans="1:6">
      <c r="A2665" t="s">
        <v>9</v>
      </c>
      <c r="B2665" t="s">
        <v>32</v>
      </c>
      <c r="C2665" t="s">
        <v>60</v>
      </c>
      <c r="D2665" t="s">
        <v>332</v>
      </c>
      <c r="E2665" s="2">
        <v>2662.54</v>
      </c>
      <c r="F2665">
        <v>102</v>
      </c>
    </row>
    <row r="2666" spans="1:6">
      <c r="A2666" t="s">
        <v>64</v>
      </c>
      <c r="B2666" t="s">
        <v>32</v>
      </c>
      <c r="C2666" t="s">
        <v>33</v>
      </c>
      <c r="D2666" t="s">
        <v>279</v>
      </c>
      <c r="E2666" s="2">
        <v>7481.93</v>
      </c>
      <c r="F2666">
        <v>38</v>
      </c>
    </row>
    <row r="2667" spans="1:6">
      <c r="A2667" t="s">
        <v>31</v>
      </c>
      <c r="B2667" t="s">
        <v>25</v>
      </c>
      <c r="C2667" t="s">
        <v>36</v>
      </c>
      <c r="D2667" t="s">
        <v>308</v>
      </c>
      <c r="E2667" s="2">
        <v>7418.41</v>
      </c>
      <c r="F2667">
        <v>31</v>
      </c>
    </row>
    <row r="2668" spans="1:6">
      <c r="A2668" t="s">
        <v>12</v>
      </c>
      <c r="B2668" t="s">
        <v>32</v>
      </c>
      <c r="C2668" t="s">
        <v>23</v>
      </c>
      <c r="D2668" t="s">
        <v>328</v>
      </c>
      <c r="E2668" s="2">
        <v>1969.06</v>
      </c>
      <c r="F2668">
        <v>235</v>
      </c>
    </row>
    <row r="2669" spans="1:6">
      <c r="A2669" t="s">
        <v>31</v>
      </c>
      <c r="B2669" t="s">
        <v>25</v>
      </c>
      <c r="C2669" t="s">
        <v>8</v>
      </c>
      <c r="D2669" t="s">
        <v>315</v>
      </c>
      <c r="E2669" s="2">
        <v>7197.75</v>
      </c>
      <c r="F2669">
        <v>159</v>
      </c>
    </row>
    <row r="2670" spans="1:6">
      <c r="A2670" t="s">
        <v>58</v>
      </c>
      <c r="B2670" t="s">
        <v>35</v>
      </c>
      <c r="C2670" t="s">
        <v>11</v>
      </c>
      <c r="D2670" s="1">
        <v>45299</v>
      </c>
      <c r="E2670" s="2">
        <v>11719.06</v>
      </c>
      <c r="F2670">
        <v>87</v>
      </c>
    </row>
    <row r="2671" spans="1:6">
      <c r="A2671" t="s">
        <v>41</v>
      </c>
      <c r="B2671" t="s">
        <v>25</v>
      </c>
      <c r="C2671" t="s">
        <v>18</v>
      </c>
      <c r="D2671" t="s">
        <v>286</v>
      </c>
      <c r="E2671" s="2">
        <v>2755.14</v>
      </c>
      <c r="F2671">
        <v>63</v>
      </c>
    </row>
    <row r="2672" spans="1:6">
      <c r="A2672" t="s">
        <v>53</v>
      </c>
      <c r="B2672" t="s">
        <v>32</v>
      </c>
      <c r="C2672" t="s">
        <v>59</v>
      </c>
      <c r="D2672" t="s">
        <v>301</v>
      </c>
      <c r="E2672" s="2">
        <v>2438.56</v>
      </c>
      <c r="F2672">
        <v>61</v>
      </c>
    </row>
    <row r="2673" spans="1:6">
      <c r="A2673" t="s">
        <v>67</v>
      </c>
      <c r="B2673" t="s">
        <v>15</v>
      </c>
      <c r="C2673" t="s">
        <v>13</v>
      </c>
      <c r="D2673" t="s">
        <v>269</v>
      </c>
      <c r="E2673" s="2">
        <v>7661.86</v>
      </c>
      <c r="F2673">
        <v>144</v>
      </c>
    </row>
    <row r="2674" spans="1:6">
      <c r="A2674" t="s">
        <v>58</v>
      </c>
      <c r="B2674" t="s">
        <v>10</v>
      </c>
      <c r="C2674" t="s">
        <v>11</v>
      </c>
      <c r="D2674" t="s">
        <v>283</v>
      </c>
      <c r="E2674" s="2">
        <v>4886.1499999999996</v>
      </c>
      <c r="F2674">
        <v>23</v>
      </c>
    </row>
    <row r="2675" spans="1:6">
      <c r="A2675" t="s">
        <v>48</v>
      </c>
      <c r="B2675" t="s">
        <v>7</v>
      </c>
      <c r="C2675" t="s">
        <v>26</v>
      </c>
      <c r="D2675" s="1">
        <v>45507</v>
      </c>
      <c r="E2675" s="2">
        <v>3572.26</v>
      </c>
      <c r="F2675">
        <v>156</v>
      </c>
    </row>
    <row r="2676" spans="1:6">
      <c r="A2676" t="s">
        <v>22</v>
      </c>
      <c r="B2676" t="s">
        <v>32</v>
      </c>
      <c r="C2676" t="s">
        <v>57</v>
      </c>
      <c r="D2676" s="1">
        <v>45538</v>
      </c>
      <c r="E2676" s="2">
        <v>6937.75</v>
      </c>
      <c r="F2676">
        <v>94</v>
      </c>
    </row>
    <row r="2677" spans="1:6">
      <c r="A2677" t="s">
        <v>19</v>
      </c>
      <c r="B2677" t="s">
        <v>35</v>
      </c>
      <c r="C2677" t="s">
        <v>73</v>
      </c>
      <c r="D2677" t="s">
        <v>317</v>
      </c>
      <c r="E2677" s="2">
        <v>1941.25</v>
      </c>
      <c r="F2677">
        <v>221</v>
      </c>
    </row>
    <row r="2678" spans="1:6">
      <c r="A2678" t="s">
        <v>12</v>
      </c>
      <c r="B2678" t="s">
        <v>7</v>
      </c>
      <c r="C2678" t="s">
        <v>38</v>
      </c>
      <c r="D2678" t="s">
        <v>283</v>
      </c>
      <c r="E2678" s="2">
        <v>6173.15</v>
      </c>
      <c r="F2678">
        <v>46</v>
      </c>
    </row>
    <row r="2679" spans="1:6">
      <c r="A2679" t="s">
        <v>70</v>
      </c>
      <c r="B2679" t="s">
        <v>10</v>
      </c>
      <c r="C2679" t="s">
        <v>8</v>
      </c>
      <c r="D2679" t="s">
        <v>271</v>
      </c>
      <c r="E2679" s="2">
        <v>3105.45</v>
      </c>
      <c r="F2679">
        <v>116</v>
      </c>
    </row>
    <row r="2680" spans="1:6">
      <c r="A2680" t="s">
        <v>37</v>
      </c>
      <c r="B2680" t="s">
        <v>35</v>
      </c>
      <c r="C2680" t="s">
        <v>13</v>
      </c>
      <c r="D2680" s="1">
        <v>45634</v>
      </c>
      <c r="E2680" s="2">
        <v>3691.6</v>
      </c>
      <c r="F2680">
        <v>154</v>
      </c>
    </row>
    <row r="2681" spans="1:6">
      <c r="A2681" t="s">
        <v>31</v>
      </c>
      <c r="B2681" t="s">
        <v>7</v>
      </c>
      <c r="C2681" t="s">
        <v>8</v>
      </c>
      <c r="D2681" s="1">
        <v>45480</v>
      </c>
      <c r="E2681" s="2">
        <v>3950.65</v>
      </c>
      <c r="F2681">
        <v>324</v>
      </c>
    </row>
    <row r="2682" spans="1:6">
      <c r="A2682" t="s">
        <v>31</v>
      </c>
      <c r="B2682" t="s">
        <v>32</v>
      </c>
      <c r="C2682" t="s">
        <v>11</v>
      </c>
      <c r="D2682" t="s">
        <v>309</v>
      </c>
      <c r="E2682" s="2">
        <v>13497.17</v>
      </c>
      <c r="F2682">
        <v>49</v>
      </c>
    </row>
    <row r="2683" spans="1:6">
      <c r="A2683" t="s">
        <v>53</v>
      </c>
      <c r="B2683" t="s">
        <v>35</v>
      </c>
      <c r="C2683" t="s">
        <v>36</v>
      </c>
      <c r="D2683" t="s">
        <v>358</v>
      </c>
      <c r="E2683" s="2">
        <v>4389.2299999999996</v>
      </c>
      <c r="F2683">
        <v>241</v>
      </c>
    </row>
    <row r="2684" spans="1:6">
      <c r="A2684" t="s">
        <v>14</v>
      </c>
      <c r="B2684" t="s">
        <v>15</v>
      </c>
      <c r="C2684" t="s">
        <v>100</v>
      </c>
      <c r="D2684" s="1">
        <v>45385</v>
      </c>
      <c r="E2684" s="2">
        <v>6310.98</v>
      </c>
      <c r="F2684">
        <v>366</v>
      </c>
    </row>
    <row r="2685" spans="1:6">
      <c r="A2685" t="s">
        <v>40</v>
      </c>
      <c r="B2685" t="s">
        <v>25</v>
      </c>
      <c r="C2685" t="s">
        <v>57</v>
      </c>
      <c r="D2685" t="s">
        <v>309</v>
      </c>
      <c r="E2685" s="2">
        <v>9693.3700000000008</v>
      </c>
      <c r="F2685">
        <v>4</v>
      </c>
    </row>
    <row r="2686" spans="1:6">
      <c r="A2686" t="s">
        <v>83</v>
      </c>
      <c r="B2686" t="s">
        <v>7</v>
      </c>
      <c r="C2686" t="s">
        <v>13</v>
      </c>
      <c r="D2686" t="s">
        <v>287</v>
      </c>
      <c r="E2686" s="2">
        <v>2348.1999999999998</v>
      </c>
      <c r="F2686">
        <v>266</v>
      </c>
    </row>
    <row r="2687" spans="1:6">
      <c r="A2687" t="s">
        <v>55</v>
      </c>
      <c r="B2687" t="s">
        <v>32</v>
      </c>
      <c r="C2687" t="s">
        <v>42</v>
      </c>
      <c r="D2687" s="1">
        <v>45599</v>
      </c>
      <c r="E2687" s="2">
        <v>2518.5</v>
      </c>
      <c r="F2687">
        <v>24</v>
      </c>
    </row>
    <row r="2688" spans="1:6">
      <c r="A2688" t="s">
        <v>71</v>
      </c>
      <c r="B2688" t="s">
        <v>32</v>
      </c>
      <c r="C2688" t="s">
        <v>73</v>
      </c>
      <c r="D2688" t="s">
        <v>325</v>
      </c>
      <c r="E2688" s="2">
        <v>3516.72</v>
      </c>
      <c r="F2688">
        <v>17</v>
      </c>
    </row>
    <row r="2689" spans="1:6">
      <c r="A2689" t="s">
        <v>28</v>
      </c>
      <c r="B2689" t="s">
        <v>25</v>
      </c>
      <c r="C2689" t="s">
        <v>60</v>
      </c>
      <c r="D2689" t="s">
        <v>333</v>
      </c>
      <c r="E2689" s="2">
        <v>16807.37</v>
      </c>
      <c r="F2689">
        <v>44</v>
      </c>
    </row>
    <row r="2690" spans="1:6">
      <c r="A2690" t="s">
        <v>6</v>
      </c>
      <c r="B2690" t="s">
        <v>25</v>
      </c>
      <c r="C2690" t="s">
        <v>23</v>
      </c>
      <c r="D2690" t="s">
        <v>298</v>
      </c>
      <c r="E2690" s="2">
        <v>1736.59</v>
      </c>
      <c r="F2690">
        <v>70</v>
      </c>
    </row>
    <row r="2691" spans="1:6">
      <c r="A2691" t="s">
        <v>6</v>
      </c>
      <c r="B2691" t="s">
        <v>32</v>
      </c>
      <c r="C2691" t="s">
        <v>18</v>
      </c>
      <c r="D2691" s="1">
        <v>45480</v>
      </c>
      <c r="E2691" s="2">
        <v>7900.11</v>
      </c>
      <c r="F2691">
        <v>168</v>
      </c>
    </row>
    <row r="2692" spans="1:6">
      <c r="A2692" t="s">
        <v>77</v>
      </c>
      <c r="B2692" t="s">
        <v>10</v>
      </c>
      <c r="C2692" t="s">
        <v>8</v>
      </c>
      <c r="D2692" t="s">
        <v>285</v>
      </c>
      <c r="E2692" s="2">
        <v>4016.89</v>
      </c>
      <c r="F2692">
        <v>71</v>
      </c>
    </row>
    <row r="2693" spans="1:6">
      <c r="A2693" t="s">
        <v>6</v>
      </c>
      <c r="B2693" t="s">
        <v>10</v>
      </c>
      <c r="C2693" t="s">
        <v>36</v>
      </c>
      <c r="D2693" t="s">
        <v>266</v>
      </c>
      <c r="E2693" s="2">
        <v>9642.6200000000008</v>
      </c>
      <c r="F2693">
        <v>140</v>
      </c>
    </row>
    <row r="2694" spans="1:6">
      <c r="A2694" t="s">
        <v>37</v>
      </c>
      <c r="B2694" t="s">
        <v>35</v>
      </c>
      <c r="C2694" t="s">
        <v>73</v>
      </c>
      <c r="D2694" s="1">
        <v>45540</v>
      </c>
      <c r="E2694" s="2">
        <v>773.7</v>
      </c>
      <c r="F2694">
        <v>217</v>
      </c>
    </row>
    <row r="2695" spans="1:6">
      <c r="A2695" t="s">
        <v>55</v>
      </c>
      <c r="B2695" t="s">
        <v>15</v>
      </c>
      <c r="C2695" t="s">
        <v>100</v>
      </c>
      <c r="D2695" s="1">
        <v>45506</v>
      </c>
      <c r="E2695" s="2">
        <v>7852.03</v>
      </c>
      <c r="F2695">
        <v>240</v>
      </c>
    </row>
    <row r="2696" spans="1:6">
      <c r="A2696" t="s">
        <v>45</v>
      </c>
      <c r="B2696" t="s">
        <v>7</v>
      </c>
      <c r="C2696" t="s">
        <v>100</v>
      </c>
      <c r="D2696" t="s">
        <v>268</v>
      </c>
      <c r="E2696" s="2">
        <v>1649.57</v>
      </c>
      <c r="F2696">
        <v>293</v>
      </c>
    </row>
    <row r="2697" spans="1:6">
      <c r="A2697" t="s">
        <v>29</v>
      </c>
      <c r="B2697" t="s">
        <v>32</v>
      </c>
      <c r="C2697" t="s">
        <v>38</v>
      </c>
      <c r="D2697" t="s">
        <v>299</v>
      </c>
      <c r="E2697" s="2">
        <v>9333.4500000000007</v>
      </c>
      <c r="F2697">
        <v>78</v>
      </c>
    </row>
    <row r="2698" spans="1:6">
      <c r="A2698" t="s">
        <v>34</v>
      </c>
      <c r="B2698" t="s">
        <v>35</v>
      </c>
      <c r="C2698" t="s">
        <v>60</v>
      </c>
      <c r="D2698" s="1">
        <v>45476</v>
      </c>
      <c r="E2698" s="2">
        <v>1540.11</v>
      </c>
      <c r="F2698">
        <v>117</v>
      </c>
    </row>
    <row r="2699" spans="1:6">
      <c r="A2699" t="s">
        <v>55</v>
      </c>
      <c r="B2699" t="s">
        <v>15</v>
      </c>
      <c r="C2699" t="s">
        <v>57</v>
      </c>
      <c r="D2699" t="s">
        <v>299</v>
      </c>
      <c r="E2699" s="2">
        <v>7840.94</v>
      </c>
      <c r="F2699">
        <v>82</v>
      </c>
    </row>
    <row r="2700" spans="1:6">
      <c r="A2700" t="s">
        <v>19</v>
      </c>
      <c r="B2700" t="s">
        <v>25</v>
      </c>
      <c r="C2700" t="s">
        <v>42</v>
      </c>
      <c r="D2700" t="s">
        <v>276</v>
      </c>
      <c r="E2700" s="2">
        <v>17102.97</v>
      </c>
      <c r="F2700">
        <v>267</v>
      </c>
    </row>
    <row r="2701" spans="1:6">
      <c r="A2701" t="s">
        <v>77</v>
      </c>
      <c r="B2701" t="s">
        <v>7</v>
      </c>
      <c r="C2701" t="s">
        <v>20</v>
      </c>
      <c r="D2701" t="s">
        <v>272</v>
      </c>
      <c r="E2701" s="2">
        <v>11496.42</v>
      </c>
      <c r="F2701">
        <v>49</v>
      </c>
    </row>
    <row r="2702" spans="1:6">
      <c r="A2702" t="s">
        <v>77</v>
      </c>
      <c r="B2702" t="s">
        <v>15</v>
      </c>
      <c r="C2702" t="s">
        <v>8</v>
      </c>
      <c r="D2702" s="1">
        <v>45327</v>
      </c>
      <c r="E2702" s="2">
        <v>3072.89</v>
      </c>
      <c r="F2702">
        <v>166</v>
      </c>
    </row>
    <row r="2703" spans="1:6">
      <c r="A2703" t="s">
        <v>48</v>
      </c>
      <c r="B2703" t="s">
        <v>35</v>
      </c>
      <c r="C2703" t="s">
        <v>20</v>
      </c>
      <c r="D2703" s="1">
        <v>45480</v>
      </c>
      <c r="E2703" s="2">
        <v>14990.79</v>
      </c>
      <c r="F2703">
        <v>7</v>
      </c>
    </row>
    <row r="2704" spans="1:6">
      <c r="A2704" t="s">
        <v>29</v>
      </c>
      <c r="B2704" t="s">
        <v>15</v>
      </c>
      <c r="C2704" t="s">
        <v>87</v>
      </c>
      <c r="D2704" t="s">
        <v>289</v>
      </c>
      <c r="E2704" s="2">
        <v>3170.18</v>
      </c>
      <c r="F2704">
        <v>49</v>
      </c>
    </row>
    <row r="2705" spans="1:6">
      <c r="A2705" t="s">
        <v>37</v>
      </c>
      <c r="B2705" t="s">
        <v>15</v>
      </c>
      <c r="C2705" t="s">
        <v>23</v>
      </c>
      <c r="D2705" s="1">
        <v>45604</v>
      </c>
      <c r="E2705" s="2">
        <v>2528.14</v>
      </c>
      <c r="F2705">
        <v>67</v>
      </c>
    </row>
    <row r="2706" spans="1:6">
      <c r="A2706" t="s">
        <v>40</v>
      </c>
      <c r="B2706" t="s">
        <v>7</v>
      </c>
      <c r="C2706" t="s">
        <v>20</v>
      </c>
      <c r="D2706" t="s">
        <v>270</v>
      </c>
      <c r="E2706" s="2">
        <v>8551.6</v>
      </c>
      <c r="F2706">
        <v>208</v>
      </c>
    </row>
    <row r="2707" spans="1:6">
      <c r="A2707" t="s">
        <v>22</v>
      </c>
      <c r="B2707" t="s">
        <v>15</v>
      </c>
      <c r="C2707" t="s">
        <v>26</v>
      </c>
      <c r="D2707" s="1">
        <v>45325</v>
      </c>
      <c r="E2707" s="2">
        <v>13072.95</v>
      </c>
      <c r="F2707">
        <v>119</v>
      </c>
    </row>
    <row r="2708" spans="1:6">
      <c r="A2708" t="s">
        <v>40</v>
      </c>
      <c r="B2708" t="s">
        <v>15</v>
      </c>
      <c r="C2708" t="s">
        <v>75</v>
      </c>
      <c r="D2708" t="s">
        <v>335</v>
      </c>
      <c r="E2708" s="2">
        <v>11987.26</v>
      </c>
      <c r="F2708">
        <v>41</v>
      </c>
    </row>
    <row r="2709" spans="1:6">
      <c r="A2709" t="s">
        <v>70</v>
      </c>
      <c r="B2709" t="s">
        <v>25</v>
      </c>
      <c r="C2709" t="s">
        <v>38</v>
      </c>
      <c r="D2709" s="1">
        <v>45568</v>
      </c>
      <c r="E2709" s="2">
        <v>18385.439999999999</v>
      </c>
      <c r="F2709">
        <v>116</v>
      </c>
    </row>
    <row r="2710" spans="1:6">
      <c r="A2710" t="s">
        <v>41</v>
      </c>
      <c r="B2710" t="s">
        <v>32</v>
      </c>
      <c r="C2710" t="s">
        <v>11</v>
      </c>
      <c r="D2710" t="s">
        <v>305</v>
      </c>
      <c r="E2710" s="2">
        <v>14028.4</v>
      </c>
      <c r="F2710">
        <v>344</v>
      </c>
    </row>
    <row r="2711" spans="1:6">
      <c r="A2711" t="s">
        <v>45</v>
      </c>
      <c r="B2711" t="s">
        <v>32</v>
      </c>
      <c r="C2711" t="s">
        <v>36</v>
      </c>
      <c r="D2711" t="s">
        <v>320</v>
      </c>
      <c r="E2711" s="2">
        <v>4812.71</v>
      </c>
      <c r="F2711">
        <v>169</v>
      </c>
    </row>
    <row r="2712" spans="1:6">
      <c r="A2712" t="s">
        <v>58</v>
      </c>
      <c r="B2712" t="s">
        <v>7</v>
      </c>
      <c r="C2712" t="s">
        <v>46</v>
      </c>
      <c r="D2712" s="1">
        <v>45476</v>
      </c>
      <c r="E2712" s="2">
        <v>11963.91</v>
      </c>
      <c r="F2712">
        <v>446</v>
      </c>
    </row>
    <row r="2713" spans="1:6">
      <c r="A2713" t="s">
        <v>64</v>
      </c>
      <c r="B2713" t="s">
        <v>7</v>
      </c>
      <c r="C2713" t="s">
        <v>42</v>
      </c>
      <c r="D2713" s="1">
        <v>45633</v>
      </c>
      <c r="E2713" s="2">
        <v>5574.83</v>
      </c>
      <c r="F2713">
        <v>52</v>
      </c>
    </row>
    <row r="2714" spans="1:6">
      <c r="A2714" t="s">
        <v>77</v>
      </c>
      <c r="B2714" t="s">
        <v>32</v>
      </c>
      <c r="C2714" t="s">
        <v>33</v>
      </c>
      <c r="D2714" t="s">
        <v>295</v>
      </c>
      <c r="E2714" s="2">
        <v>9205.15</v>
      </c>
      <c r="F2714">
        <v>144</v>
      </c>
    </row>
    <row r="2715" spans="1:6">
      <c r="A2715" t="s">
        <v>22</v>
      </c>
      <c r="B2715" t="s">
        <v>10</v>
      </c>
      <c r="C2715" t="s">
        <v>18</v>
      </c>
      <c r="D2715" s="1">
        <v>45325</v>
      </c>
      <c r="E2715" s="2">
        <v>4133.74</v>
      </c>
      <c r="F2715">
        <v>69</v>
      </c>
    </row>
    <row r="2716" spans="1:6">
      <c r="A2716" t="s">
        <v>40</v>
      </c>
      <c r="B2716" t="s">
        <v>25</v>
      </c>
      <c r="C2716" t="s">
        <v>11</v>
      </c>
      <c r="D2716" t="s">
        <v>277</v>
      </c>
      <c r="E2716" s="2">
        <v>1312.23</v>
      </c>
      <c r="F2716">
        <v>164</v>
      </c>
    </row>
    <row r="2717" spans="1:6">
      <c r="A2717" t="s">
        <v>40</v>
      </c>
      <c r="B2717" t="s">
        <v>7</v>
      </c>
      <c r="C2717" t="s">
        <v>60</v>
      </c>
      <c r="D2717" s="1">
        <v>45571</v>
      </c>
      <c r="E2717" s="2">
        <v>11735.75</v>
      </c>
      <c r="F2717">
        <v>185</v>
      </c>
    </row>
    <row r="2718" spans="1:6">
      <c r="A2718" t="s">
        <v>28</v>
      </c>
      <c r="B2718" t="s">
        <v>32</v>
      </c>
      <c r="C2718" t="s">
        <v>20</v>
      </c>
      <c r="D2718" t="s">
        <v>319</v>
      </c>
      <c r="E2718" s="2">
        <v>7650.76</v>
      </c>
      <c r="F2718">
        <v>358</v>
      </c>
    </row>
    <row r="2719" spans="1:6">
      <c r="A2719" t="s">
        <v>41</v>
      </c>
      <c r="B2719" t="s">
        <v>25</v>
      </c>
      <c r="C2719" t="s">
        <v>8</v>
      </c>
      <c r="D2719" s="1">
        <v>45541</v>
      </c>
      <c r="E2719" s="2">
        <v>4994.93</v>
      </c>
      <c r="F2719">
        <v>98</v>
      </c>
    </row>
    <row r="2720" spans="1:6">
      <c r="A2720" t="s">
        <v>58</v>
      </c>
      <c r="B2720" t="s">
        <v>32</v>
      </c>
      <c r="C2720" t="s">
        <v>46</v>
      </c>
      <c r="D2720" s="1">
        <v>45631</v>
      </c>
      <c r="E2720" s="2">
        <v>890.78</v>
      </c>
      <c r="F2720">
        <v>62</v>
      </c>
    </row>
    <row r="2721" spans="1:6">
      <c r="A2721" t="s">
        <v>22</v>
      </c>
      <c r="B2721" t="s">
        <v>32</v>
      </c>
      <c r="C2721" t="s">
        <v>38</v>
      </c>
      <c r="D2721" s="1">
        <v>45540</v>
      </c>
      <c r="E2721" s="2">
        <v>4142.16</v>
      </c>
      <c r="F2721">
        <v>5</v>
      </c>
    </row>
    <row r="2722" spans="1:6">
      <c r="A2722" t="s">
        <v>28</v>
      </c>
      <c r="B2722" t="s">
        <v>35</v>
      </c>
      <c r="C2722" t="s">
        <v>60</v>
      </c>
      <c r="D2722" s="1">
        <v>45543</v>
      </c>
      <c r="E2722" s="2">
        <v>7308.24</v>
      </c>
      <c r="F2722">
        <v>178</v>
      </c>
    </row>
    <row r="2723" spans="1:6">
      <c r="A2723" t="s">
        <v>9</v>
      </c>
      <c r="B2723" t="s">
        <v>10</v>
      </c>
      <c r="C2723" t="s">
        <v>75</v>
      </c>
      <c r="D2723" t="s">
        <v>327</v>
      </c>
      <c r="E2723" s="2">
        <v>6833.86</v>
      </c>
      <c r="F2723">
        <v>115</v>
      </c>
    </row>
    <row r="2724" spans="1:6">
      <c r="A2724" t="s">
        <v>67</v>
      </c>
      <c r="B2724" t="s">
        <v>32</v>
      </c>
      <c r="C2724" t="s">
        <v>90</v>
      </c>
      <c r="D2724" s="1">
        <v>45327</v>
      </c>
      <c r="E2724" s="2">
        <v>8878.27</v>
      </c>
      <c r="F2724">
        <v>47</v>
      </c>
    </row>
    <row r="2725" spans="1:6">
      <c r="A2725" t="s">
        <v>79</v>
      </c>
      <c r="B2725" t="s">
        <v>32</v>
      </c>
      <c r="C2725" t="s">
        <v>20</v>
      </c>
      <c r="D2725" s="1">
        <v>45543</v>
      </c>
      <c r="E2725" s="2">
        <v>4134.93</v>
      </c>
      <c r="F2725">
        <v>307</v>
      </c>
    </row>
    <row r="2726" spans="1:6">
      <c r="A2726" t="s">
        <v>71</v>
      </c>
      <c r="B2726" t="s">
        <v>15</v>
      </c>
      <c r="C2726" t="s">
        <v>73</v>
      </c>
      <c r="D2726" t="s">
        <v>305</v>
      </c>
      <c r="E2726" s="2">
        <v>6641.89</v>
      </c>
      <c r="F2726">
        <v>188</v>
      </c>
    </row>
    <row r="2727" spans="1:6">
      <c r="A2727" t="s">
        <v>22</v>
      </c>
      <c r="B2727" t="s">
        <v>10</v>
      </c>
      <c r="C2727" t="s">
        <v>50</v>
      </c>
      <c r="D2727" t="s">
        <v>336</v>
      </c>
      <c r="E2727" s="2">
        <v>7117.3</v>
      </c>
      <c r="F2727">
        <v>174</v>
      </c>
    </row>
    <row r="2728" spans="1:6">
      <c r="A2728" t="s">
        <v>37</v>
      </c>
      <c r="B2728" t="s">
        <v>32</v>
      </c>
      <c r="C2728" t="s">
        <v>60</v>
      </c>
      <c r="D2728" s="1">
        <v>45293</v>
      </c>
      <c r="E2728" s="2">
        <v>11815.59</v>
      </c>
      <c r="F2728">
        <v>68</v>
      </c>
    </row>
    <row r="2729" spans="1:6">
      <c r="A2729" t="s">
        <v>71</v>
      </c>
      <c r="B2729" t="s">
        <v>32</v>
      </c>
      <c r="C2729" t="s">
        <v>26</v>
      </c>
      <c r="D2729" t="s">
        <v>348</v>
      </c>
      <c r="E2729" s="2">
        <v>6962.79</v>
      </c>
      <c r="F2729">
        <v>303</v>
      </c>
    </row>
    <row r="2730" spans="1:6">
      <c r="A2730" t="s">
        <v>77</v>
      </c>
      <c r="B2730" t="s">
        <v>7</v>
      </c>
      <c r="C2730" t="s">
        <v>75</v>
      </c>
      <c r="D2730" t="s">
        <v>281</v>
      </c>
      <c r="E2730" s="2">
        <v>11786.42</v>
      </c>
      <c r="F2730">
        <v>147</v>
      </c>
    </row>
    <row r="2731" spans="1:6">
      <c r="A2731" t="s">
        <v>14</v>
      </c>
      <c r="B2731" t="s">
        <v>35</v>
      </c>
      <c r="C2731" t="s">
        <v>8</v>
      </c>
      <c r="D2731" s="1">
        <v>45295</v>
      </c>
      <c r="E2731" s="2">
        <v>1200.19</v>
      </c>
      <c r="F2731">
        <v>224</v>
      </c>
    </row>
    <row r="2732" spans="1:6">
      <c r="A2732" t="s">
        <v>71</v>
      </c>
      <c r="B2732" t="s">
        <v>35</v>
      </c>
      <c r="C2732" t="s">
        <v>100</v>
      </c>
      <c r="D2732" t="s">
        <v>335</v>
      </c>
      <c r="E2732" s="2">
        <v>10791.08</v>
      </c>
      <c r="F2732">
        <v>166</v>
      </c>
    </row>
    <row r="2733" spans="1:6">
      <c r="A2733" t="s">
        <v>83</v>
      </c>
      <c r="B2733" t="s">
        <v>10</v>
      </c>
      <c r="C2733" t="s">
        <v>13</v>
      </c>
      <c r="D2733" t="s">
        <v>302</v>
      </c>
      <c r="E2733" s="2">
        <v>26170.95</v>
      </c>
      <c r="F2733">
        <v>224</v>
      </c>
    </row>
    <row r="2734" spans="1:6">
      <c r="A2734" t="s">
        <v>14</v>
      </c>
      <c r="B2734" t="s">
        <v>10</v>
      </c>
      <c r="C2734" t="s">
        <v>75</v>
      </c>
      <c r="D2734" s="1">
        <v>45634</v>
      </c>
      <c r="E2734" s="2">
        <v>2987.81</v>
      </c>
      <c r="F2734">
        <v>136</v>
      </c>
    </row>
    <row r="2735" spans="1:6">
      <c r="A2735" t="s">
        <v>12</v>
      </c>
      <c r="B2735" t="s">
        <v>35</v>
      </c>
      <c r="C2735" t="s">
        <v>65</v>
      </c>
      <c r="D2735" s="1">
        <v>45293</v>
      </c>
      <c r="E2735" s="2">
        <v>11705.99</v>
      </c>
      <c r="F2735">
        <v>47</v>
      </c>
    </row>
    <row r="2736" spans="1:6">
      <c r="A2736" t="s">
        <v>29</v>
      </c>
      <c r="B2736" t="s">
        <v>10</v>
      </c>
      <c r="C2736" t="s">
        <v>23</v>
      </c>
      <c r="D2736" s="1">
        <v>45325</v>
      </c>
      <c r="E2736" s="2">
        <v>5256.03</v>
      </c>
      <c r="F2736">
        <v>201</v>
      </c>
    </row>
    <row r="2737" spans="1:6">
      <c r="A2737" t="s">
        <v>70</v>
      </c>
      <c r="B2737" t="s">
        <v>15</v>
      </c>
      <c r="C2737" t="s">
        <v>20</v>
      </c>
      <c r="D2737" t="s">
        <v>283</v>
      </c>
      <c r="E2737" s="2">
        <v>3794.1</v>
      </c>
      <c r="F2737">
        <v>36</v>
      </c>
    </row>
    <row r="2738" spans="1:6">
      <c r="A2738" t="s">
        <v>79</v>
      </c>
      <c r="B2738" t="s">
        <v>15</v>
      </c>
      <c r="C2738" t="s">
        <v>50</v>
      </c>
      <c r="D2738" t="s">
        <v>358</v>
      </c>
      <c r="E2738" s="2">
        <v>9655.2999999999993</v>
      </c>
      <c r="F2738">
        <v>97</v>
      </c>
    </row>
    <row r="2739" spans="1:6">
      <c r="A2739" t="s">
        <v>28</v>
      </c>
      <c r="B2739" t="s">
        <v>32</v>
      </c>
      <c r="C2739" t="s">
        <v>46</v>
      </c>
      <c r="D2739" s="1">
        <v>45480</v>
      </c>
      <c r="E2739" s="2">
        <v>16001.54</v>
      </c>
      <c r="F2739">
        <v>133</v>
      </c>
    </row>
    <row r="2740" spans="1:6">
      <c r="A2740" t="s">
        <v>34</v>
      </c>
      <c r="B2740" t="s">
        <v>25</v>
      </c>
      <c r="C2740" t="s">
        <v>8</v>
      </c>
      <c r="D2740" t="s">
        <v>303</v>
      </c>
      <c r="E2740" s="2">
        <v>1386.1</v>
      </c>
      <c r="F2740">
        <v>104</v>
      </c>
    </row>
    <row r="2741" spans="1:6">
      <c r="A2741" t="s">
        <v>41</v>
      </c>
      <c r="B2741" t="s">
        <v>7</v>
      </c>
      <c r="C2741" t="s">
        <v>20</v>
      </c>
      <c r="D2741" s="1">
        <v>45573</v>
      </c>
      <c r="E2741" s="2">
        <v>3821.76</v>
      </c>
      <c r="F2741">
        <v>122</v>
      </c>
    </row>
    <row r="2742" spans="1:6">
      <c r="A2742" t="s">
        <v>41</v>
      </c>
      <c r="B2742" t="s">
        <v>32</v>
      </c>
      <c r="C2742" t="s">
        <v>13</v>
      </c>
      <c r="D2742" t="s">
        <v>304</v>
      </c>
      <c r="E2742" s="2">
        <v>15722.43</v>
      </c>
      <c r="F2742">
        <v>351</v>
      </c>
    </row>
    <row r="2743" spans="1:6">
      <c r="A2743" t="s">
        <v>28</v>
      </c>
      <c r="B2743" t="s">
        <v>25</v>
      </c>
      <c r="C2743" t="s">
        <v>59</v>
      </c>
      <c r="D2743" t="s">
        <v>280</v>
      </c>
      <c r="E2743" s="2">
        <v>6287.25</v>
      </c>
      <c r="F2743">
        <v>340</v>
      </c>
    </row>
    <row r="2744" spans="1:6">
      <c r="A2744" t="s">
        <v>40</v>
      </c>
      <c r="B2744" t="s">
        <v>32</v>
      </c>
      <c r="C2744" t="s">
        <v>87</v>
      </c>
      <c r="D2744" t="s">
        <v>272</v>
      </c>
      <c r="E2744" s="2">
        <v>9831.9699999999993</v>
      </c>
      <c r="F2744">
        <v>9</v>
      </c>
    </row>
    <row r="2745" spans="1:6">
      <c r="A2745" t="s">
        <v>70</v>
      </c>
      <c r="B2745" t="s">
        <v>32</v>
      </c>
      <c r="C2745" t="s">
        <v>50</v>
      </c>
      <c r="D2745" t="s">
        <v>322</v>
      </c>
      <c r="E2745" s="2">
        <v>90.36</v>
      </c>
      <c r="F2745">
        <v>73</v>
      </c>
    </row>
    <row r="2746" spans="1:6">
      <c r="A2746" t="s">
        <v>34</v>
      </c>
      <c r="B2746" t="s">
        <v>35</v>
      </c>
      <c r="C2746" t="s">
        <v>59</v>
      </c>
      <c r="D2746" s="1">
        <v>45354</v>
      </c>
      <c r="E2746" s="2">
        <v>3799.5</v>
      </c>
      <c r="F2746">
        <v>71</v>
      </c>
    </row>
    <row r="2747" spans="1:6">
      <c r="A2747" t="s">
        <v>55</v>
      </c>
      <c r="B2747" t="s">
        <v>15</v>
      </c>
      <c r="C2747" t="s">
        <v>65</v>
      </c>
      <c r="D2747" t="s">
        <v>331</v>
      </c>
      <c r="E2747" s="2">
        <v>4674.2</v>
      </c>
      <c r="F2747">
        <v>422</v>
      </c>
    </row>
    <row r="2748" spans="1:6">
      <c r="A2748" t="s">
        <v>19</v>
      </c>
      <c r="B2748" t="s">
        <v>32</v>
      </c>
      <c r="C2748" t="s">
        <v>18</v>
      </c>
      <c r="D2748" s="1">
        <v>45385</v>
      </c>
      <c r="E2748" s="2">
        <v>4011.83</v>
      </c>
      <c r="F2748">
        <v>169</v>
      </c>
    </row>
    <row r="2749" spans="1:6">
      <c r="A2749" t="s">
        <v>58</v>
      </c>
      <c r="B2749" t="s">
        <v>10</v>
      </c>
      <c r="C2749" t="s">
        <v>18</v>
      </c>
      <c r="D2749" s="1">
        <v>45480</v>
      </c>
      <c r="E2749" s="2">
        <v>3429.85</v>
      </c>
      <c r="F2749">
        <v>9</v>
      </c>
    </row>
    <row r="2750" spans="1:6">
      <c r="A2750" t="s">
        <v>71</v>
      </c>
      <c r="B2750" t="s">
        <v>25</v>
      </c>
      <c r="C2750" t="s">
        <v>90</v>
      </c>
      <c r="D2750" t="s">
        <v>359</v>
      </c>
      <c r="E2750" s="2">
        <v>4920.68</v>
      </c>
      <c r="F2750">
        <v>380</v>
      </c>
    </row>
    <row r="2751" spans="1:6">
      <c r="A2751" t="s">
        <v>14</v>
      </c>
      <c r="B2751" t="s">
        <v>35</v>
      </c>
      <c r="C2751" t="s">
        <v>90</v>
      </c>
      <c r="D2751" s="1">
        <v>45330</v>
      </c>
      <c r="E2751" s="2">
        <v>10049.719999999999</v>
      </c>
      <c r="F2751">
        <v>118</v>
      </c>
    </row>
    <row r="2752" spans="1:6">
      <c r="A2752" t="s">
        <v>19</v>
      </c>
      <c r="B2752" t="s">
        <v>32</v>
      </c>
      <c r="C2752" t="s">
        <v>87</v>
      </c>
      <c r="D2752" s="1">
        <v>45634</v>
      </c>
      <c r="E2752" s="2">
        <v>8485.1</v>
      </c>
      <c r="F2752">
        <v>120</v>
      </c>
    </row>
    <row r="2753" spans="1:6">
      <c r="A2753" t="s">
        <v>77</v>
      </c>
      <c r="B2753" t="s">
        <v>25</v>
      </c>
      <c r="C2753" t="s">
        <v>13</v>
      </c>
      <c r="D2753" t="s">
        <v>313</v>
      </c>
      <c r="E2753" s="2">
        <v>6030.31</v>
      </c>
      <c r="F2753">
        <v>351</v>
      </c>
    </row>
    <row r="2754" spans="1:6">
      <c r="A2754" t="s">
        <v>70</v>
      </c>
      <c r="B2754" t="s">
        <v>15</v>
      </c>
      <c r="C2754" t="s">
        <v>33</v>
      </c>
      <c r="D2754" t="s">
        <v>322</v>
      </c>
      <c r="E2754" s="2">
        <v>13331.77</v>
      </c>
      <c r="F2754">
        <v>443</v>
      </c>
    </row>
    <row r="2755" spans="1:6">
      <c r="A2755" t="s">
        <v>40</v>
      </c>
      <c r="B2755" t="s">
        <v>15</v>
      </c>
      <c r="C2755" t="s">
        <v>60</v>
      </c>
      <c r="D2755" s="1">
        <v>45416</v>
      </c>
      <c r="E2755" s="2">
        <v>15245.95</v>
      </c>
      <c r="F2755">
        <v>233</v>
      </c>
    </row>
    <row r="2756" spans="1:6">
      <c r="A2756" t="s">
        <v>55</v>
      </c>
      <c r="B2756" t="s">
        <v>35</v>
      </c>
      <c r="C2756" t="s">
        <v>60</v>
      </c>
      <c r="D2756" t="s">
        <v>321</v>
      </c>
      <c r="E2756" s="2">
        <v>11618.55</v>
      </c>
      <c r="F2756">
        <v>133</v>
      </c>
    </row>
    <row r="2757" spans="1:6">
      <c r="A2757" t="s">
        <v>6</v>
      </c>
      <c r="B2757" t="s">
        <v>7</v>
      </c>
      <c r="C2757" t="s">
        <v>87</v>
      </c>
      <c r="D2757" t="s">
        <v>295</v>
      </c>
      <c r="E2757" s="2">
        <v>2629.59</v>
      </c>
      <c r="F2757">
        <v>98</v>
      </c>
    </row>
    <row r="2758" spans="1:6">
      <c r="A2758" t="s">
        <v>70</v>
      </c>
      <c r="B2758" t="s">
        <v>15</v>
      </c>
      <c r="C2758" t="s">
        <v>59</v>
      </c>
      <c r="D2758" t="s">
        <v>285</v>
      </c>
      <c r="E2758" s="2">
        <v>10089.49</v>
      </c>
      <c r="F2758">
        <v>168</v>
      </c>
    </row>
    <row r="2759" spans="1:6">
      <c r="A2759" t="s">
        <v>48</v>
      </c>
      <c r="B2759" t="s">
        <v>10</v>
      </c>
      <c r="C2759" t="s">
        <v>11</v>
      </c>
      <c r="D2759" t="s">
        <v>321</v>
      </c>
      <c r="E2759" s="2">
        <v>308.24</v>
      </c>
      <c r="F2759">
        <v>402</v>
      </c>
    </row>
    <row r="2760" spans="1:6">
      <c r="A2760" t="s">
        <v>55</v>
      </c>
      <c r="B2760" t="s">
        <v>32</v>
      </c>
      <c r="C2760" t="s">
        <v>36</v>
      </c>
      <c r="D2760" t="s">
        <v>289</v>
      </c>
      <c r="E2760" s="2">
        <v>7978.76</v>
      </c>
      <c r="F2760">
        <v>10</v>
      </c>
    </row>
    <row r="2761" spans="1:6">
      <c r="A2761" t="s">
        <v>22</v>
      </c>
      <c r="B2761" t="s">
        <v>7</v>
      </c>
      <c r="C2761" t="s">
        <v>20</v>
      </c>
      <c r="D2761" s="1">
        <v>45476</v>
      </c>
      <c r="E2761" s="2">
        <v>8.16</v>
      </c>
      <c r="F2761">
        <v>84</v>
      </c>
    </row>
    <row r="2762" spans="1:6">
      <c r="A2762" t="s">
        <v>41</v>
      </c>
      <c r="B2762" t="s">
        <v>7</v>
      </c>
      <c r="C2762" t="s">
        <v>75</v>
      </c>
      <c r="D2762" s="1">
        <v>45385</v>
      </c>
      <c r="E2762" s="2">
        <v>3303.13</v>
      </c>
      <c r="F2762">
        <v>73</v>
      </c>
    </row>
    <row r="2763" spans="1:6">
      <c r="A2763" t="s">
        <v>79</v>
      </c>
      <c r="B2763" t="s">
        <v>35</v>
      </c>
      <c r="C2763" t="s">
        <v>60</v>
      </c>
      <c r="D2763" t="s">
        <v>340</v>
      </c>
      <c r="E2763" s="2">
        <v>13959.74</v>
      </c>
      <c r="F2763">
        <v>113</v>
      </c>
    </row>
    <row r="2764" spans="1:6">
      <c r="A2764" t="s">
        <v>55</v>
      </c>
      <c r="B2764" t="s">
        <v>15</v>
      </c>
      <c r="C2764" t="s">
        <v>46</v>
      </c>
      <c r="D2764" s="1">
        <v>45541</v>
      </c>
      <c r="E2764" s="2">
        <v>4251.42</v>
      </c>
      <c r="F2764">
        <v>91</v>
      </c>
    </row>
    <row r="2765" spans="1:6">
      <c r="A2765" t="s">
        <v>14</v>
      </c>
      <c r="B2765" t="s">
        <v>35</v>
      </c>
      <c r="C2765" t="s">
        <v>57</v>
      </c>
      <c r="D2765" t="s">
        <v>319</v>
      </c>
      <c r="E2765" s="2">
        <v>9885.5300000000007</v>
      </c>
      <c r="F2765">
        <v>217</v>
      </c>
    </row>
    <row r="2766" spans="1:6">
      <c r="A2766" t="s">
        <v>14</v>
      </c>
      <c r="B2766" t="s">
        <v>10</v>
      </c>
      <c r="C2766" t="s">
        <v>18</v>
      </c>
      <c r="D2766" s="1">
        <v>45359</v>
      </c>
      <c r="E2766" s="2">
        <v>12864.47</v>
      </c>
      <c r="F2766">
        <v>93</v>
      </c>
    </row>
    <row r="2767" spans="1:6">
      <c r="A2767" t="s">
        <v>29</v>
      </c>
      <c r="B2767" t="s">
        <v>15</v>
      </c>
      <c r="C2767" t="s">
        <v>60</v>
      </c>
      <c r="D2767" s="1">
        <v>45359</v>
      </c>
      <c r="E2767" s="2">
        <v>5245.6</v>
      </c>
      <c r="F2767">
        <v>144</v>
      </c>
    </row>
    <row r="2768" spans="1:6">
      <c r="A2768" t="s">
        <v>6</v>
      </c>
      <c r="B2768" t="s">
        <v>7</v>
      </c>
      <c r="C2768" t="s">
        <v>46</v>
      </c>
      <c r="D2768" s="1">
        <v>45356</v>
      </c>
      <c r="E2768" s="2">
        <v>14345.5</v>
      </c>
      <c r="F2768">
        <v>219</v>
      </c>
    </row>
    <row r="2769" spans="1:6">
      <c r="A2769" t="s">
        <v>53</v>
      </c>
      <c r="B2769" t="s">
        <v>35</v>
      </c>
      <c r="C2769" t="s">
        <v>23</v>
      </c>
      <c r="D2769" t="s">
        <v>311</v>
      </c>
      <c r="E2769" s="2">
        <v>11462.19</v>
      </c>
      <c r="F2769">
        <v>288</v>
      </c>
    </row>
    <row r="2770" spans="1:6">
      <c r="A2770" t="s">
        <v>45</v>
      </c>
      <c r="B2770" t="s">
        <v>32</v>
      </c>
      <c r="C2770" t="s">
        <v>26</v>
      </c>
      <c r="D2770" s="1">
        <v>45598</v>
      </c>
      <c r="E2770" s="2">
        <v>11667.94</v>
      </c>
      <c r="F2770">
        <v>306</v>
      </c>
    </row>
    <row r="2771" spans="1:6">
      <c r="A2771" t="s">
        <v>9</v>
      </c>
      <c r="B2771" t="s">
        <v>10</v>
      </c>
      <c r="C2771" t="s">
        <v>65</v>
      </c>
      <c r="D2771" t="s">
        <v>333</v>
      </c>
      <c r="E2771" s="2">
        <v>7455.17</v>
      </c>
      <c r="F2771">
        <v>383</v>
      </c>
    </row>
    <row r="2772" spans="1:6">
      <c r="A2772" t="s">
        <v>70</v>
      </c>
      <c r="B2772" t="s">
        <v>32</v>
      </c>
      <c r="C2772" t="s">
        <v>26</v>
      </c>
      <c r="D2772" t="s">
        <v>316</v>
      </c>
      <c r="E2772" s="2">
        <v>7203.64</v>
      </c>
      <c r="F2772">
        <v>234</v>
      </c>
    </row>
    <row r="2773" spans="1:6">
      <c r="A2773" t="s">
        <v>77</v>
      </c>
      <c r="B2773" t="s">
        <v>35</v>
      </c>
      <c r="C2773" t="s">
        <v>11</v>
      </c>
      <c r="D2773" t="s">
        <v>276</v>
      </c>
      <c r="E2773" s="2">
        <v>8081.58</v>
      </c>
      <c r="F2773">
        <v>105</v>
      </c>
    </row>
    <row r="2774" spans="1:6">
      <c r="A2774" t="s">
        <v>58</v>
      </c>
      <c r="B2774" t="s">
        <v>35</v>
      </c>
      <c r="C2774" t="s">
        <v>18</v>
      </c>
      <c r="D2774" t="s">
        <v>329</v>
      </c>
      <c r="E2774" s="2">
        <v>2055.4</v>
      </c>
      <c r="F2774">
        <v>485</v>
      </c>
    </row>
    <row r="2775" spans="1:6">
      <c r="A2775" t="s">
        <v>34</v>
      </c>
      <c r="B2775" t="s">
        <v>15</v>
      </c>
      <c r="C2775" t="s">
        <v>50</v>
      </c>
      <c r="D2775" t="s">
        <v>282</v>
      </c>
      <c r="E2775" s="2">
        <v>6476.09</v>
      </c>
      <c r="F2775">
        <v>304</v>
      </c>
    </row>
    <row r="2776" spans="1:6">
      <c r="A2776" t="s">
        <v>83</v>
      </c>
      <c r="B2776" t="s">
        <v>35</v>
      </c>
      <c r="C2776" t="s">
        <v>75</v>
      </c>
      <c r="D2776" t="s">
        <v>285</v>
      </c>
      <c r="E2776" s="2">
        <v>17490.080000000002</v>
      </c>
      <c r="F2776">
        <v>289</v>
      </c>
    </row>
    <row r="2777" spans="1:6">
      <c r="A2777" t="s">
        <v>12</v>
      </c>
      <c r="B2777" t="s">
        <v>35</v>
      </c>
      <c r="C2777" t="s">
        <v>50</v>
      </c>
      <c r="D2777" s="1">
        <v>45389</v>
      </c>
      <c r="E2777" s="2">
        <v>13644</v>
      </c>
      <c r="F2777">
        <v>281</v>
      </c>
    </row>
    <row r="2778" spans="1:6">
      <c r="A2778" t="s">
        <v>45</v>
      </c>
      <c r="B2778" t="s">
        <v>25</v>
      </c>
      <c r="C2778" t="s">
        <v>65</v>
      </c>
      <c r="D2778" t="s">
        <v>308</v>
      </c>
      <c r="E2778" s="2">
        <v>2930.46</v>
      </c>
      <c r="F2778">
        <v>70</v>
      </c>
    </row>
    <row r="2779" spans="1:6">
      <c r="A2779" t="s">
        <v>48</v>
      </c>
      <c r="B2779" t="s">
        <v>10</v>
      </c>
      <c r="C2779" t="s">
        <v>18</v>
      </c>
      <c r="D2779" t="s">
        <v>291</v>
      </c>
      <c r="E2779" s="2">
        <v>22717.09</v>
      </c>
      <c r="F2779">
        <v>143</v>
      </c>
    </row>
    <row r="2780" spans="1:6">
      <c r="A2780" t="s">
        <v>83</v>
      </c>
      <c r="B2780" t="s">
        <v>25</v>
      </c>
      <c r="C2780" t="s">
        <v>8</v>
      </c>
      <c r="D2780" t="s">
        <v>321</v>
      </c>
      <c r="E2780" s="2">
        <v>9471.7199999999993</v>
      </c>
      <c r="F2780">
        <v>248</v>
      </c>
    </row>
    <row r="2781" spans="1:6">
      <c r="A2781" t="s">
        <v>9</v>
      </c>
      <c r="B2781" t="s">
        <v>25</v>
      </c>
      <c r="C2781" t="s">
        <v>57</v>
      </c>
      <c r="D2781" t="s">
        <v>358</v>
      </c>
      <c r="E2781" s="2">
        <v>3400.47</v>
      </c>
      <c r="F2781">
        <v>92</v>
      </c>
    </row>
    <row r="2782" spans="1:6">
      <c r="A2782" t="s">
        <v>67</v>
      </c>
      <c r="B2782" t="s">
        <v>25</v>
      </c>
      <c r="C2782" t="s">
        <v>8</v>
      </c>
      <c r="D2782" t="s">
        <v>355</v>
      </c>
      <c r="E2782" s="2">
        <v>10696.21</v>
      </c>
      <c r="F2782">
        <v>201</v>
      </c>
    </row>
    <row r="2783" spans="1:6">
      <c r="A2783" t="s">
        <v>67</v>
      </c>
      <c r="B2783" t="s">
        <v>7</v>
      </c>
      <c r="C2783" t="s">
        <v>46</v>
      </c>
      <c r="D2783" s="1">
        <v>45598</v>
      </c>
      <c r="E2783" s="2">
        <v>17101.669999999998</v>
      </c>
      <c r="F2783">
        <v>307</v>
      </c>
    </row>
    <row r="2784" spans="1:6">
      <c r="A2784" t="s">
        <v>71</v>
      </c>
      <c r="B2784" t="s">
        <v>32</v>
      </c>
      <c r="C2784" t="s">
        <v>60</v>
      </c>
      <c r="D2784" t="s">
        <v>354</v>
      </c>
      <c r="E2784" s="2">
        <v>18936.88</v>
      </c>
      <c r="F2784">
        <v>180</v>
      </c>
    </row>
    <row r="2785" spans="1:6">
      <c r="A2785" t="s">
        <v>22</v>
      </c>
      <c r="B2785" t="s">
        <v>25</v>
      </c>
      <c r="C2785" t="s">
        <v>65</v>
      </c>
      <c r="D2785" s="1">
        <v>45413</v>
      </c>
      <c r="E2785" s="2">
        <v>6015.37</v>
      </c>
      <c r="F2785">
        <v>136</v>
      </c>
    </row>
    <row r="2786" spans="1:6">
      <c r="A2786" t="s">
        <v>28</v>
      </c>
      <c r="B2786" t="s">
        <v>10</v>
      </c>
      <c r="C2786" t="s">
        <v>73</v>
      </c>
      <c r="D2786" t="s">
        <v>277</v>
      </c>
      <c r="E2786" s="2">
        <v>7623.58</v>
      </c>
      <c r="F2786">
        <v>162</v>
      </c>
    </row>
    <row r="2787" spans="1:6">
      <c r="A2787" t="s">
        <v>6</v>
      </c>
      <c r="B2787" t="s">
        <v>32</v>
      </c>
      <c r="C2787" t="s">
        <v>20</v>
      </c>
      <c r="D2787" s="1">
        <v>45383</v>
      </c>
      <c r="E2787" s="2">
        <v>2996.83</v>
      </c>
      <c r="F2787">
        <v>227</v>
      </c>
    </row>
    <row r="2788" spans="1:6">
      <c r="A2788" t="s">
        <v>41</v>
      </c>
      <c r="B2788" t="s">
        <v>15</v>
      </c>
      <c r="C2788" t="s">
        <v>57</v>
      </c>
      <c r="D2788" t="s">
        <v>340</v>
      </c>
      <c r="E2788" s="2">
        <v>1718.97</v>
      </c>
      <c r="F2788">
        <v>260</v>
      </c>
    </row>
    <row r="2789" spans="1:6">
      <c r="A2789" t="s">
        <v>12</v>
      </c>
      <c r="B2789" t="s">
        <v>35</v>
      </c>
      <c r="C2789" t="s">
        <v>46</v>
      </c>
      <c r="D2789" s="1">
        <v>45567</v>
      </c>
      <c r="E2789" s="2">
        <v>3523.33</v>
      </c>
      <c r="F2789">
        <v>114</v>
      </c>
    </row>
    <row r="2790" spans="1:6">
      <c r="A2790" t="s">
        <v>79</v>
      </c>
      <c r="B2790" t="s">
        <v>10</v>
      </c>
      <c r="C2790" t="s">
        <v>50</v>
      </c>
      <c r="D2790" s="1">
        <v>45634</v>
      </c>
      <c r="E2790" s="2">
        <v>1092.3599999999999</v>
      </c>
      <c r="F2790">
        <v>209</v>
      </c>
    </row>
    <row r="2791" spans="1:6">
      <c r="A2791" t="s">
        <v>22</v>
      </c>
      <c r="B2791" t="s">
        <v>32</v>
      </c>
      <c r="C2791" t="s">
        <v>42</v>
      </c>
      <c r="D2791" s="1">
        <v>45573</v>
      </c>
      <c r="E2791" s="2">
        <v>2495.71</v>
      </c>
      <c r="F2791">
        <v>310</v>
      </c>
    </row>
    <row r="2792" spans="1:6">
      <c r="A2792" t="s">
        <v>70</v>
      </c>
      <c r="B2792" t="s">
        <v>15</v>
      </c>
      <c r="C2792" t="s">
        <v>73</v>
      </c>
      <c r="D2792" s="1">
        <v>45479</v>
      </c>
      <c r="E2792" s="2">
        <v>813.41</v>
      </c>
      <c r="F2792">
        <v>58</v>
      </c>
    </row>
    <row r="2793" spans="1:6">
      <c r="A2793" t="s">
        <v>6</v>
      </c>
      <c r="B2793" t="s">
        <v>10</v>
      </c>
      <c r="C2793" t="s">
        <v>87</v>
      </c>
      <c r="D2793" s="1">
        <v>45449</v>
      </c>
      <c r="E2793" s="2">
        <v>2489.06</v>
      </c>
      <c r="F2793">
        <v>81</v>
      </c>
    </row>
    <row r="2794" spans="1:6">
      <c r="A2794" t="s">
        <v>37</v>
      </c>
      <c r="B2794" t="s">
        <v>25</v>
      </c>
      <c r="C2794" t="s">
        <v>87</v>
      </c>
      <c r="D2794" s="1">
        <v>45416</v>
      </c>
      <c r="E2794" s="2">
        <v>5701.35</v>
      </c>
      <c r="F2794">
        <v>201</v>
      </c>
    </row>
    <row r="2795" spans="1:6">
      <c r="A2795" t="s">
        <v>64</v>
      </c>
      <c r="B2795" t="s">
        <v>32</v>
      </c>
      <c r="C2795" t="s">
        <v>26</v>
      </c>
      <c r="D2795" t="s">
        <v>360</v>
      </c>
      <c r="E2795" s="2">
        <v>5084.32</v>
      </c>
      <c r="F2795">
        <v>126</v>
      </c>
    </row>
    <row r="2796" spans="1:6">
      <c r="A2796" t="s">
        <v>67</v>
      </c>
      <c r="B2796" t="s">
        <v>10</v>
      </c>
      <c r="C2796" t="s">
        <v>26</v>
      </c>
      <c r="D2796" t="s">
        <v>303</v>
      </c>
      <c r="E2796" s="2">
        <v>15789.48</v>
      </c>
      <c r="F2796">
        <v>16</v>
      </c>
    </row>
    <row r="2797" spans="1:6">
      <c r="A2797" t="s">
        <v>77</v>
      </c>
      <c r="B2797" t="s">
        <v>32</v>
      </c>
      <c r="C2797" t="s">
        <v>87</v>
      </c>
      <c r="D2797" t="s">
        <v>289</v>
      </c>
      <c r="E2797" s="2">
        <v>6541.75</v>
      </c>
      <c r="F2797">
        <v>141</v>
      </c>
    </row>
    <row r="2798" spans="1:6">
      <c r="A2798" t="s">
        <v>6</v>
      </c>
      <c r="B2798" t="s">
        <v>15</v>
      </c>
      <c r="C2798" t="s">
        <v>20</v>
      </c>
      <c r="D2798" t="s">
        <v>310</v>
      </c>
      <c r="E2798" s="2">
        <v>11409.11</v>
      </c>
      <c r="F2798">
        <v>217</v>
      </c>
    </row>
    <row r="2799" spans="1:6">
      <c r="A2799" t="s">
        <v>14</v>
      </c>
      <c r="B2799" t="s">
        <v>15</v>
      </c>
      <c r="C2799" t="s">
        <v>8</v>
      </c>
      <c r="D2799" t="s">
        <v>331</v>
      </c>
      <c r="E2799" s="2">
        <v>19258.41</v>
      </c>
      <c r="F2799">
        <v>99</v>
      </c>
    </row>
    <row r="2800" spans="1:6">
      <c r="A2800" t="s">
        <v>19</v>
      </c>
      <c r="B2800" t="s">
        <v>25</v>
      </c>
      <c r="C2800" t="s">
        <v>46</v>
      </c>
      <c r="D2800" s="1">
        <v>45627</v>
      </c>
      <c r="E2800" s="2">
        <v>5074.8599999999997</v>
      </c>
      <c r="F2800">
        <v>201</v>
      </c>
    </row>
    <row r="2801" spans="1:6">
      <c r="A2801" t="s">
        <v>28</v>
      </c>
      <c r="B2801" t="s">
        <v>7</v>
      </c>
      <c r="C2801" t="s">
        <v>65</v>
      </c>
      <c r="D2801" t="s">
        <v>306</v>
      </c>
      <c r="E2801" s="2">
        <v>115.9</v>
      </c>
      <c r="F2801">
        <v>120</v>
      </c>
    </row>
    <row r="2802" spans="1:6">
      <c r="A2802" t="s">
        <v>70</v>
      </c>
      <c r="B2802" t="s">
        <v>10</v>
      </c>
      <c r="C2802" t="s">
        <v>18</v>
      </c>
      <c r="D2802" s="1">
        <v>45293</v>
      </c>
      <c r="E2802" s="2">
        <v>2797.19</v>
      </c>
      <c r="F2802">
        <v>9</v>
      </c>
    </row>
    <row r="2803" spans="1:6">
      <c r="A2803" t="s">
        <v>29</v>
      </c>
      <c r="B2803" t="s">
        <v>7</v>
      </c>
      <c r="C2803" t="s">
        <v>36</v>
      </c>
      <c r="D2803" t="s">
        <v>265</v>
      </c>
      <c r="E2803" s="2">
        <v>1608.04</v>
      </c>
      <c r="F2803">
        <v>75</v>
      </c>
    </row>
    <row r="2804" spans="1:6">
      <c r="A2804" t="s">
        <v>12</v>
      </c>
      <c r="B2804" t="s">
        <v>32</v>
      </c>
      <c r="C2804" t="s">
        <v>18</v>
      </c>
      <c r="D2804" t="s">
        <v>284</v>
      </c>
      <c r="E2804" s="2">
        <v>2960.99</v>
      </c>
      <c r="F2804">
        <v>133</v>
      </c>
    </row>
    <row r="2805" spans="1:6">
      <c r="A2805" t="s">
        <v>48</v>
      </c>
      <c r="B2805" t="s">
        <v>25</v>
      </c>
      <c r="C2805" t="s">
        <v>8</v>
      </c>
      <c r="D2805" t="s">
        <v>272</v>
      </c>
      <c r="E2805" s="2">
        <v>3703.51</v>
      </c>
      <c r="F2805">
        <v>260</v>
      </c>
    </row>
    <row r="2806" spans="1:6">
      <c r="A2806" t="s">
        <v>48</v>
      </c>
      <c r="B2806" t="s">
        <v>32</v>
      </c>
      <c r="C2806" t="s">
        <v>8</v>
      </c>
      <c r="D2806" t="s">
        <v>285</v>
      </c>
      <c r="E2806" s="2">
        <v>5679.57</v>
      </c>
      <c r="F2806">
        <v>285</v>
      </c>
    </row>
    <row r="2807" spans="1:6">
      <c r="A2807" t="s">
        <v>77</v>
      </c>
      <c r="B2807" t="s">
        <v>25</v>
      </c>
      <c r="C2807" t="s">
        <v>57</v>
      </c>
      <c r="D2807" t="s">
        <v>321</v>
      </c>
      <c r="E2807" s="2">
        <v>6764.17</v>
      </c>
      <c r="F2807">
        <v>20</v>
      </c>
    </row>
    <row r="2808" spans="1:6">
      <c r="A2808" t="s">
        <v>37</v>
      </c>
      <c r="B2808" t="s">
        <v>10</v>
      </c>
      <c r="C2808" t="s">
        <v>11</v>
      </c>
      <c r="D2808" t="s">
        <v>361</v>
      </c>
      <c r="E2808" s="2">
        <v>1108.8499999999999</v>
      </c>
      <c r="F2808">
        <v>87</v>
      </c>
    </row>
    <row r="2809" spans="1:6">
      <c r="A2809" t="s">
        <v>83</v>
      </c>
      <c r="B2809" t="s">
        <v>15</v>
      </c>
      <c r="C2809" t="s">
        <v>90</v>
      </c>
      <c r="D2809" t="s">
        <v>358</v>
      </c>
      <c r="E2809" s="2">
        <v>9477.32</v>
      </c>
      <c r="F2809">
        <v>160</v>
      </c>
    </row>
    <row r="2810" spans="1:6">
      <c r="A2810" t="s">
        <v>70</v>
      </c>
      <c r="B2810" t="s">
        <v>32</v>
      </c>
      <c r="C2810" t="s">
        <v>57</v>
      </c>
      <c r="D2810" t="s">
        <v>276</v>
      </c>
      <c r="E2810" s="2">
        <v>5301.93</v>
      </c>
      <c r="F2810">
        <v>155</v>
      </c>
    </row>
    <row r="2811" spans="1:6">
      <c r="A2811" t="s">
        <v>70</v>
      </c>
      <c r="B2811" t="s">
        <v>35</v>
      </c>
      <c r="C2811" t="s">
        <v>13</v>
      </c>
      <c r="D2811" s="1">
        <v>45508</v>
      </c>
      <c r="E2811" s="2">
        <v>8041.25</v>
      </c>
      <c r="F2811">
        <v>43</v>
      </c>
    </row>
    <row r="2812" spans="1:6">
      <c r="A2812" t="s">
        <v>12</v>
      </c>
      <c r="B2812" t="s">
        <v>35</v>
      </c>
      <c r="C2812" t="s">
        <v>38</v>
      </c>
      <c r="D2812" s="1">
        <v>45450</v>
      </c>
      <c r="E2812" s="2">
        <v>3716.17</v>
      </c>
      <c r="F2812">
        <v>89</v>
      </c>
    </row>
    <row r="2813" spans="1:6">
      <c r="A2813" t="s">
        <v>53</v>
      </c>
      <c r="B2813" t="s">
        <v>10</v>
      </c>
      <c r="C2813" t="s">
        <v>57</v>
      </c>
      <c r="D2813" s="1">
        <v>45386</v>
      </c>
      <c r="E2813" s="2">
        <v>4591.7700000000004</v>
      </c>
      <c r="F2813">
        <v>222</v>
      </c>
    </row>
    <row r="2814" spans="1:6">
      <c r="A2814" t="s">
        <v>14</v>
      </c>
      <c r="B2814" t="s">
        <v>25</v>
      </c>
      <c r="C2814" t="s">
        <v>42</v>
      </c>
      <c r="D2814" s="1">
        <v>45325</v>
      </c>
      <c r="E2814" s="2">
        <v>1928.33</v>
      </c>
      <c r="F2814">
        <v>217</v>
      </c>
    </row>
    <row r="2815" spans="1:6">
      <c r="A2815" t="s">
        <v>12</v>
      </c>
      <c r="B2815" t="s">
        <v>25</v>
      </c>
      <c r="C2815" t="s">
        <v>73</v>
      </c>
      <c r="D2815" s="1">
        <v>45543</v>
      </c>
      <c r="E2815" s="2">
        <v>1225.1199999999999</v>
      </c>
      <c r="F2815">
        <v>186</v>
      </c>
    </row>
    <row r="2816" spans="1:6">
      <c r="A2816" t="s">
        <v>58</v>
      </c>
      <c r="B2816" t="s">
        <v>15</v>
      </c>
      <c r="C2816" t="s">
        <v>46</v>
      </c>
      <c r="D2816" s="1">
        <v>45541</v>
      </c>
      <c r="E2816" s="2">
        <v>11326.55</v>
      </c>
      <c r="F2816">
        <v>296</v>
      </c>
    </row>
    <row r="2817" spans="1:6">
      <c r="A2817" t="s">
        <v>83</v>
      </c>
      <c r="B2817" t="s">
        <v>7</v>
      </c>
      <c r="C2817" t="s">
        <v>90</v>
      </c>
      <c r="D2817" s="1">
        <v>45328</v>
      </c>
      <c r="E2817" s="2">
        <v>3063.08</v>
      </c>
      <c r="F2817">
        <v>301</v>
      </c>
    </row>
    <row r="2818" spans="1:6">
      <c r="A2818" t="s">
        <v>9</v>
      </c>
      <c r="B2818" t="s">
        <v>32</v>
      </c>
      <c r="C2818" t="s">
        <v>57</v>
      </c>
      <c r="D2818" s="1">
        <v>45419</v>
      </c>
      <c r="E2818" s="2">
        <v>7093.33</v>
      </c>
      <c r="F2818">
        <v>233</v>
      </c>
    </row>
    <row r="2819" spans="1:6">
      <c r="A2819" t="s">
        <v>67</v>
      </c>
      <c r="B2819" t="s">
        <v>35</v>
      </c>
      <c r="C2819" t="s">
        <v>36</v>
      </c>
      <c r="D2819" s="1">
        <v>45604</v>
      </c>
      <c r="E2819" s="2">
        <v>337.37</v>
      </c>
      <c r="F2819">
        <v>120</v>
      </c>
    </row>
    <row r="2820" spans="1:6">
      <c r="A2820" t="s">
        <v>77</v>
      </c>
      <c r="B2820" t="s">
        <v>10</v>
      </c>
      <c r="C2820" t="s">
        <v>75</v>
      </c>
      <c r="D2820" s="1">
        <v>45598</v>
      </c>
      <c r="E2820" s="2">
        <v>3764.59</v>
      </c>
      <c r="F2820">
        <v>158</v>
      </c>
    </row>
    <row r="2821" spans="1:6">
      <c r="A2821" t="s">
        <v>70</v>
      </c>
      <c r="B2821" t="s">
        <v>25</v>
      </c>
      <c r="C2821" t="s">
        <v>50</v>
      </c>
      <c r="D2821" s="1">
        <v>45604</v>
      </c>
      <c r="E2821" s="2">
        <v>695.32</v>
      </c>
      <c r="F2821">
        <v>68</v>
      </c>
    </row>
    <row r="2822" spans="1:6">
      <c r="A2822" t="s">
        <v>45</v>
      </c>
      <c r="B2822" t="s">
        <v>15</v>
      </c>
      <c r="C2822" t="s">
        <v>38</v>
      </c>
      <c r="D2822" s="1">
        <v>45631</v>
      </c>
      <c r="E2822" s="2">
        <v>14609.99</v>
      </c>
      <c r="F2822">
        <v>111</v>
      </c>
    </row>
    <row r="2823" spans="1:6">
      <c r="A2823" t="s">
        <v>64</v>
      </c>
      <c r="B2823" t="s">
        <v>32</v>
      </c>
      <c r="C2823" t="s">
        <v>46</v>
      </c>
      <c r="D2823" t="s">
        <v>292</v>
      </c>
      <c r="E2823" s="2">
        <v>5298.68</v>
      </c>
      <c r="F2823">
        <v>96</v>
      </c>
    </row>
    <row r="2824" spans="1:6">
      <c r="A2824" t="s">
        <v>67</v>
      </c>
      <c r="B2824" t="s">
        <v>10</v>
      </c>
      <c r="C2824" t="s">
        <v>42</v>
      </c>
      <c r="D2824" t="s">
        <v>321</v>
      </c>
      <c r="E2824" s="2">
        <v>4552.3</v>
      </c>
      <c r="F2824">
        <v>132</v>
      </c>
    </row>
    <row r="2825" spans="1:6">
      <c r="A2825" t="s">
        <v>77</v>
      </c>
      <c r="B2825" t="s">
        <v>7</v>
      </c>
      <c r="C2825" t="s">
        <v>57</v>
      </c>
      <c r="D2825" s="1">
        <v>45413</v>
      </c>
      <c r="E2825" s="2">
        <v>9099.26</v>
      </c>
      <c r="F2825">
        <v>199</v>
      </c>
    </row>
    <row r="2826" spans="1:6">
      <c r="A2826" t="s">
        <v>48</v>
      </c>
      <c r="B2826" t="s">
        <v>15</v>
      </c>
      <c r="C2826" t="s">
        <v>26</v>
      </c>
      <c r="D2826" t="s">
        <v>282</v>
      </c>
      <c r="E2826" s="2">
        <v>603.97</v>
      </c>
      <c r="F2826">
        <v>239</v>
      </c>
    </row>
    <row r="2827" spans="1:6">
      <c r="A2827" t="s">
        <v>28</v>
      </c>
      <c r="B2827" t="s">
        <v>35</v>
      </c>
      <c r="C2827" t="s">
        <v>73</v>
      </c>
      <c r="D2827" t="s">
        <v>333</v>
      </c>
      <c r="E2827" s="2">
        <v>3172.23</v>
      </c>
      <c r="F2827">
        <v>46</v>
      </c>
    </row>
    <row r="2828" spans="1:6">
      <c r="A2828" t="s">
        <v>22</v>
      </c>
      <c r="B2828" t="s">
        <v>10</v>
      </c>
      <c r="C2828" t="s">
        <v>8</v>
      </c>
      <c r="D2828" s="1">
        <v>45512</v>
      </c>
      <c r="E2828" s="2">
        <v>4737.32</v>
      </c>
      <c r="F2828">
        <v>74</v>
      </c>
    </row>
    <row r="2829" spans="1:6">
      <c r="A2829" t="s">
        <v>58</v>
      </c>
      <c r="B2829" t="s">
        <v>10</v>
      </c>
      <c r="C2829" t="s">
        <v>8</v>
      </c>
      <c r="D2829" t="s">
        <v>316</v>
      </c>
      <c r="E2829" s="2">
        <v>15201.56</v>
      </c>
      <c r="F2829">
        <v>142</v>
      </c>
    </row>
    <row r="2830" spans="1:6">
      <c r="A2830" t="s">
        <v>31</v>
      </c>
      <c r="B2830" t="s">
        <v>10</v>
      </c>
      <c r="C2830" t="s">
        <v>90</v>
      </c>
      <c r="D2830" s="1">
        <v>45383</v>
      </c>
      <c r="E2830" s="2">
        <v>7912.62</v>
      </c>
      <c r="F2830">
        <v>106</v>
      </c>
    </row>
    <row r="2831" spans="1:6">
      <c r="A2831" t="s">
        <v>28</v>
      </c>
      <c r="B2831" t="s">
        <v>10</v>
      </c>
      <c r="C2831" t="s">
        <v>46</v>
      </c>
      <c r="D2831" t="s">
        <v>331</v>
      </c>
      <c r="E2831" s="2">
        <v>14190.78</v>
      </c>
      <c r="F2831">
        <v>269</v>
      </c>
    </row>
    <row r="2832" spans="1:6">
      <c r="A2832" t="s">
        <v>41</v>
      </c>
      <c r="B2832" t="s">
        <v>7</v>
      </c>
      <c r="C2832" t="s">
        <v>50</v>
      </c>
      <c r="D2832" t="s">
        <v>276</v>
      </c>
      <c r="E2832" s="2">
        <v>9327.08</v>
      </c>
      <c r="F2832">
        <v>259</v>
      </c>
    </row>
    <row r="2833" spans="1:6">
      <c r="A2833" t="s">
        <v>31</v>
      </c>
      <c r="B2833" t="s">
        <v>32</v>
      </c>
      <c r="C2833" t="s">
        <v>65</v>
      </c>
      <c r="D2833" s="1">
        <v>45353</v>
      </c>
      <c r="E2833" s="2">
        <v>434.42</v>
      </c>
      <c r="F2833">
        <v>83</v>
      </c>
    </row>
    <row r="2834" spans="1:6">
      <c r="A2834" t="s">
        <v>9</v>
      </c>
      <c r="B2834" t="s">
        <v>35</v>
      </c>
      <c r="C2834" t="s">
        <v>73</v>
      </c>
      <c r="D2834" t="s">
        <v>329</v>
      </c>
      <c r="E2834" s="2">
        <v>1497.58</v>
      </c>
      <c r="F2834">
        <v>132</v>
      </c>
    </row>
    <row r="2835" spans="1:6">
      <c r="A2835" t="s">
        <v>64</v>
      </c>
      <c r="B2835" t="s">
        <v>15</v>
      </c>
      <c r="C2835" t="s">
        <v>87</v>
      </c>
      <c r="D2835" t="s">
        <v>267</v>
      </c>
      <c r="E2835" s="2">
        <v>3124.74</v>
      </c>
      <c r="F2835">
        <v>155</v>
      </c>
    </row>
    <row r="2836" spans="1:6">
      <c r="A2836" t="s">
        <v>28</v>
      </c>
      <c r="B2836" t="s">
        <v>15</v>
      </c>
      <c r="C2836" t="s">
        <v>46</v>
      </c>
      <c r="D2836" t="s">
        <v>335</v>
      </c>
      <c r="E2836" s="2">
        <v>2356.21</v>
      </c>
      <c r="F2836">
        <v>54</v>
      </c>
    </row>
    <row r="2837" spans="1:6">
      <c r="A2837" t="s">
        <v>53</v>
      </c>
      <c r="B2837" t="s">
        <v>15</v>
      </c>
      <c r="C2837" t="s">
        <v>57</v>
      </c>
      <c r="D2837" t="s">
        <v>313</v>
      </c>
      <c r="E2837" s="2">
        <v>8548</v>
      </c>
      <c r="F2837">
        <v>55</v>
      </c>
    </row>
    <row r="2838" spans="1:6">
      <c r="A2838" t="s">
        <v>77</v>
      </c>
      <c r="B2838" t="s">
        <v>15</v>
      </c>
      <c r="C2838" t="s">
        <v>42</v>
      </c>
      <c r="D2838" s="1">
        <v>45419</v>
      </c>
      <c r="E2838" s="2">
        <v>12094.34</v>
      </c>
      <c r="F2838">
        <v>52</v>
      </c>
    </row>
    <row r="2839" spans="1:6">
      <c r="A2839" t="s">
        <v>9</v>
      </c>
      <c r="B2839" t="s">
        <v>10</v>
      </c>
      <c r="C2839" t="s">
        <v>59</v>
      </c>
      <c r="D2839" t="s">
        <v>337</v>
      </c>
      <c r="E2839" s="2">
        <v>2119.42</v>
      </c>
      <c r="F2839">
        <v>46</v>
      </c>
    </row>
    <row r="2840" spans="1:6">
      <c r="A2840" t="s">
        <v>22</v>
      </c>
      <c r="B2840" t="s">
        <v>35</v>
      </c>
      <c r="C2840" t="s">
        <v>23</v>
      </c>
      <c r="D2840" s="1">
        <v>45390</v>
      </c>
      <c r="E2840" s="2">
        <v>3038.32</v>
      </c>
      <c r="F2840">
        <v>220</v>
      </c>
    </row>
    <row r="2841" spans="1:6">
      <c r="A2841" t="s">
        <v>14</v>
      </c>
      <c r="B2841" t="s">
        <v>32</v>
      </c>
      <c r="C2841" t="s">
        <v>57</v>
      </c>
      <c r="D2841" t="s">
        <v>275</v>
      </c>
      <c r="E2841" s="2">
        <v>5187.72</v>
      </c>
      <c r="F2841">
        <v>382</v>
      </c>
    </row>
    <row r="2842" spans="1:6">
      <c r="A2842" t="s">
        <v>14</v>
      </c>
      <c r="B2842" t="s">
        <v>35</v>
      </c>
      <c r="C2842" t="s">
        <v>23</v>
      </c>
      <c r="D2842" t="s">
        <v>301</v>
      </c>
      <c r="E2842" s="2">
        <v>5384.52</v>
      </c>
      <c r="F2842">
        <v>180</v>
      </c>
    </row>
    <row r="2843" spans="1:6">
      <c r="A2843" t="s">
        <v>31</v>
      </c>
      <c r="B2843" t="s">
        <v>25</v>
      </c>
      <c r="C2843" t="s">
        <v>60</v>
      </c>
      <c r="D2843" t="s">
        <v>266</v>
      </c>
      <c r="E2843" s="2">
        <v>6575.07</v>
      </c>
      <c r="F2843">
        <v>249</v>
      </c>
    </row>
    <row r="2844" spans="1:6">
      <c r="A2844" t="s">
        <v>37</v>
      </c>
      <c r="B2844" t="s">
        <v>25</v>
      </c>
      <c r="C2844" t="s">
        <v>11</v>
      </c>
      <c r="D2844" t="s">
        <v>294</v>
      </c>
      <c r="E2844" s="2">
        <v>6350.37</v>
      </c>
      <c r="F2844">
        <v>59</v>
      </c>
    </row>
    <row r="2845" spans="1:6">
      <c r="A2845" t="s">
        <v>19</v>
      </c>
      <c r="B2845" t="s">
        <v>15</v>
      </c>
      <c r="C2845" t="s">
        <v>11</v>
      </c>
      <c r="D2845" t="s">
        <v>283</v>
      </c>
      <c r="E2845" s="2">
        <v>7488.06</v>
      </c>
      <c r="F2845">
        <v>28</v>
      </c>
    </row>
    <row r="2846" spans="1:6">
      <c r="A2846" t="s">
        <v>48</v>
      </c>
      <c r="B2846" t="s">
        <v>35</v>
      </c>
      <c r="C2846" t="s">
        <v>75</v>
      </c>
      <c r="D2846" t="s">
        <v>304</v>
      </c>
      <c r="E2846" s="2">
        <v>6997.57</v>
      </c>
      <c r="F2846">
        <v>7</v>
      </c>
    </row>
    <row r="2847" spans="1:6">
      <c r="A2847" t="s">
        <v>55</v>
      </c>
      <c r="B2847" t="s">
        <v>10</v>
      </c>
      <c r="C2847" t="s">
        <v>100</v>
      </c>
      <c r="D2847" t="s">
        <v>312</v>
      </c>
      <c r="E2847" s="2">
        <v>13081.57</v>
      </c>
      <c r="F2847">
        <v>324</v>
      </c>
    </row>
    <row r="2848" spans="1:6">
      <c r="A2848" t="s">
        <v>41</v>
      </c>
      <c r="B2848" t="s">
        <v>32</v>
      </c>
      <c r="C2848" t="s">
        <v>59</v>
      </c>
      <c r="D2848" s="1">
        <v>45599</v>
      </c>
      <c r="E2848" s="2">
        <v>5964.72</v>
      </c>
      <c r="F2848">
        <v>136</v>
      </c>
    </row>
    <row r="2849" spans="1:6">
      <c r="A2849" t="s">
        <v>83</v>
      </c>
      <c r="B2849" t="s">
        <v>25</v>
      </c>
      <c r="C2849" t="s">
        <v>23</v>
      </c>
      <c r="D2849" t="s">
        <v>348</v>
      </c>
      <c r="E2849" s="2">
        <v>6651.11</v>
      </c>
      <c r="F2849">
        <v>377</v>
      </c>
    </row>
    <row r="2850" spans="1:6">
      <c r="A2850" t="s">
        <v>53</v>
      </c>
      <c r="B2850" t="s">
        <v>10</v>
      </c>
      <c r="C2850" t="s">
        <v>50</v>
      </c>
      <c r="D2850" t="s">
        <v>289</v>
      </c>
      <c r="E2850" s="2">
        <v>2606.11</v>
      </c>
      <c r="F2850">
        <v>31</v>
      </c>
    </row>
    <row r="2851" spans="1:6">
      <c r="A2851" t="s">
        <v>22</v>
      </c>
      <c r="B2851" t="s">
        <v>35</v>
      </c>
      <c r="C2851" t="s">
        <v>26</v>
      </c>
      <c r="D2851" s="1">
        <v>45383</v>
      </c>
      <c r="E2851" s="2">
        <v>3615.98</v>
      </c>
      <c r="F2851">
        <v>24</v>
      </c>
    </row>
    <row r="2852" spans="1:6">
      <c r="A2852" t="s">
        <v>48</v>
      </c>
      <c r="B2852" t="s">
        <v>10</v>
      </c>
      <c r="C2852" t="s">
        <v>46</v>
      </c>
      <c r="D2852" s="1">
        <v>45416</v>
      </c>
      <c r="E2852" s="2">
        <v>3658.27</v>
      </c>
      <c r="F2852">
        <v>210</v>
      </c>
    </row>
    <row r="2853" spans="1:6">
      <c r="A2853" t="s">
        <v>41</v>
      </c>
      <c r="B2853" t="s">
        <v>10</v>
      </c>
      <c r="C2853" t="s">
        <v>46</v>
      </c>
      <c r="D2853" t="s">
        <v>287</v>
      </c>
      <c r="E2853" s="2">
        <v>1997.46</v>
      </c>
      <c r="F2853">
        <v>314</v>
      </c>
    </row>
    <row r="2854" spans="1:6">
      <c r="A2854" t="s">
        <v>53</v>
      </c>
      <c r="B2854" t="s">
        <v>15</v>
      </c>
      <c r="C2854" t="s">
        <v>59</v>
      </c>
      <c r="D2854" s="1">
        <v>45601</v>
      </c>
      <c r="E2854" s="2">
        <v>3618.67</v>
      </c>
      <c r="F2854">
        <v>213</v>
      </c>
    </row>
    <row r="2855" spans="1:6">
      <c r="A2855" t="s">
        <v>67</v>
      </c>
      <c r="B2855" t="s">
        <v>35</v>
      </c>
      <c r="C2855" t="s">
        <v>60</v>
      </c>
      <c r="D2855" t="s">
        <v>347</v>
      </c>
      <c r="E2855" s="2">
        <v>5538.85</v>
      </c>
      <c r="F2855">
        <v>492</v>
      </c>
    </row>
    <row r="2856" spans="1:6">
      <c r="A2856" t="s">
        <v>14</v>
      </c>
      <c r="B2856" t="s">
        <v>25</v>
      </c>
      <c r="C2856" t="s">
        <v>33</v>
      </c>
      <c r="D2856" s="1">
        <v>45598</v>
      </c>
      <c r="E2856" s="2">
        <v>1382.49</v>
      </c>
      <c r="F2856">
        <v>86</v>
      </c>
    </row>
    <row r="2857" spans="1:6">
      <c r="A2857" t="s">
        <v>67</v>
      </c>
      <c r="B2857" t="s">
        <v>35</v>
      </c>
      <c r="C2857" t="s">
        <v>18</v>
      </c>
      <c r="D2857" s="1">
        <v>45511</v>
      </c>
      <c r="E2857" s="2">
        <v>1223.79</v>
      </c>
      <c r="F2857">
        <v>81</v>
      </c>
    </row>
    <row r="2858" spans="1:6">
      <c r="A2858" t="s">
        <v>22</v>
      </c>
      <c r="B2858" t="s">
        <v>7</v>
      </c>
      <c r="C2858" t="s">
        <v>73</v>
      </c>
      <c r="D2858" s="1">
        <v>45604</v>
      </c>
      <c r="E2858" s="2">
        <v>8043.29</v>
      </c>
      <c r="F2858">
        <v>344</v>
      </c>
    </row>
    <row r="2859" spans="1:6">
      <c r="A2859" t="s">
        <v>53</v>
      </c>
      <c r="B2859" t="s">
        <v>25</v>
      </c>
      <c r="C2859" t="s">
        <v>23</v>
      </c>
      <c r="D2859" s="1">
        <v>45390</v>
      </c>
      <c r="E2859" s="2">
        <v>6878.47</v>
      </c>
      <c r="F2859">
        <v>7</v>
      </c>
    </row>
    <row r="2860" spans="1:6">
      <c r="A2860" t="s">
        <v>67</v>
      </c>
      <c r="B2860" t="s">
        <v>25</v>
      </c>
      <c r="C2860" t="s">
        <v>33</v>
      </c>
      <c r="D2860" t="s">
        <v>333</v>
      </c>
      <c r="E2860" s="2">
        <v>9420.2199999999993</v>
      </c>
      <c r="F2860">
        <v>94</v>
      </c>
    </row>
    <row r="2861" spans="1:6">
      <c r="A2861" t="s">
        <v>58</v>
      </c>
      <c r="B2861" t="s">
        <v>7</v>
      </c>
      <c r="C2861" t="s">
        <v>87</v>
      </c>
      <c r="D2861" t="s">
        <v>358</v>
      </c>
      <c r="E2861" s="2">
        <v>2516.34</v>
      </c>
      <c r="F2861">
        <v>293</v>
      </c>
    </row>
    <row r="2862" spans="1:6">
      <c r="A2862" t="s">
        <v>6</v>
      </c>
      <c r="B2862" t="s">
        <v>35</v>
      </c>
      <c r="C2862" t="s">
        <v>33</v>
      </c>
      <c r="D2862" t="s">
        <v>348</v>
      </c>
      <c r="E2862" s="2">
        <v>4334.75</v>
      </c>
      <c r="F2862">
        <v>529</v>
      </c>
    </row>
    <row r="2863" spans="1:6">
      <c r="A2863" t="s">
        <v>6</v>
      </c>
      <c r="B2863" t="s">
        <v>7</v>
      </c>
      <c r="C2863" t="s">
        <v>18</v>
      </c>
      <c r="D2863" t="s">
        <v>285</v>
      </c>
      <c r="E2863" s="2">
        <v>1588.49</v>
      </c>
      <c r="F2863">
        <v>111</v>
      </c>
    </row>
    <row r="2864" spans="1:6">
      <c r="A2864" t="s">
        <v>67</v>
      </c>
      <c r="B2864" t="s">
        <v>7</v>
      </c>
      <c r="C2864" t="s">
        <v>90</v>
      </c>
      <c r="D2864" s="1">
        <v>45479</v>
      </c>
      <c r="E2864" s="2">
        <v>8959.3799999999992</v>
      </c>
      <c r="F2864">
        <v>271</v>
      </c>
    </row>
    <row r="2865" spans="1:6">
      <c r="A2865" t="s">
        <v>14</v>
      </c>
      <c r="B2865" t="s">
        <v>7</v>
      </c>
      <c r="C2865" t="s">
        <v>59</v>
      </c>
      <c r="D2865" t="s">
        <v>353</v>
      </c>
      <c r="E2865" s="2">
        <v>9409.06</v>
      </c>
      <c r="F2865">
        <v>46</v>
      </c>
    </row>
    <row r="2866" spans="1:6">
      <c r="A2866" t="s">
        <v>79</v>
      </c>
      <c r="B2866" t="s">
        <v>32</v>
      </c>
      <c r="C2866" t="s">
        <v>57</v>
      </c>
      <c r="D2866" t="s">
        <v>301</v>
      </c>
      <c r="E2866" s="2">
        <v>3315.64</v>
      </c>
      <c r="F2866">
        <v>268</v>
      </c>
    </row>
    <row r="2867" spans="1:6">
      <c r="A2867" t="s">
        <v>70</v>
      </c>
      <c r="B2867" t="s">
        <v>7</v>
      </c>
      <c r="C2867" t="s">
        <v>75</v>
      </c>
      <c r="D2867" t="s">
        <v>281</v>
      </c>
      <c r="E2867" s="2">
        <v>10920.7</v>
      </c>
      <c r="F2867">
        <v>210</v>
      </c>
    </row>
    <row r="2868" spans="1:6">
      <c r="A2868" t="s">
        <v>22</v>
      </c>
      <c r="B2868" t="s">
        <v>25</v>
      </c>
      <c r="C2868" t="s">
        <v>23</v>
      </c>
      <c r="D2868" s="1">
        <v>45543</v>
      </c>
      <c r="E2868" s="2">
        <v>7605.55</v>
      </c>
      <c r="F2868">
        <v>154</v>
      </c>
    </row>
    <row r="2869" spans="1:6">
      <c r="A2869" t="s">
        <v>55</v>
      </c>
      <c r="B2869" t="s">
        <v>35</v>
      </c>
      <c r="C2869" t="s">
        <v>11</v>
      </c>
      <c r="D2869" s="1">
        <v>45447</v>
      </c>
      <c r="E2869" s="2">
        <v>1859.96</v>
      </c>
      <c r="F2869">
        <v>33</v>
      </c>
    </row>
    <row r="2870" spans="1:6">
      <c r="A2870" t="s">
        <v>14</v>
      </c>
      <c r="B2870" t="s">
        <v>25</v>
      </c>
      <c r="C2870" t="s">
        <v>60</v>
      </c>
      <c r="D2870" t="s">
        <v>271</v>
      </c>
      <c r="E2870" s="2">
        <v>1743.87</v>
      </c>
      <c r="F2870">
        <v>259</v>
      </c>
    </row>
    <row r="2871" spans="1:6">
      <c r="A2871" t="s">
        <v>22</v>
      </c>
      <c r="B2871" t="s">
        <v>25</v>
      </c>
      <c r="C2871" t="s">
        <v>73</v>
      </c>
      <c r="D2871" t="s">
        <v>285</v>
      </c>
      <c r="E2871" s="2">
        <v>758.28</v>
      </c>
      <c r="F2871">
        <v>57</v>
      </c>
    </row>
    <row r="2872" spans="1:6">
      <c r="A2872" t="s">
        <v>9</v>
      </c>
      <c r="B2872" t="s">
        <v>15</v>
      </c>
      <c r="C2872" t="s">
        <v>20</v>
      </c>
      <c r="D2872" t="s">
        <v>358</v>
      </c>
      <c r="E2872" s="2">
        <v>125.37</v>
      </c>
      <c r="F2872">
        <v>138</v>
      </c>
    </row>
    <row r="2873" spans="1:6">
      <c r="A2873" t="s">
        <v>48</v>
      </c>
      <c r="B2873" t="s">
        <v>32</v>
      </c>
      <c r="C2873" t="s">
        <v>38</v>
      </c>
      <c r="D2873" s="1">
        <v>45475</v>
      </c>
      <c r="E2873" s="2">
        <v>6170.75</v>
      </c>
      <c r="F2873">
        <v>149</v>
      </c>
    </row>
    <row r="2874" spans="1:6">
      <c r="A2874" t="s">
        <v>28</v>
      </c>
      <c r="B2874" t="s">
        <v>15</v>
      </c>
      <c r="C2874" t="s">
        <v>50</v>
      </c>
      <c r="D2874" s="1">
        <v>45540</v>
      </c>
      <c r="E2874" s="2">
        <v>6867.13</v>
      </c>
      <c r="F2874">
        <v>273</v>
      </c>
    </row>
    <row r="2875" spans="1:6">
      <c r="A2875" t="s">
        <v>34</v>
      </c>
      <c r="B2875" t="s">
        <v>25</v>
      </c>
      <c r="C2875" t="s">
        <v>11</v>
      </c>
      <c r="D2875" s="1">
        <v>45449</v>
      </c>
      <c r="E2875" s="2">
        <v>8775.4500000000007</v>
      </c>
      <c r="F2875">
        <v>113</v>
      </c>
    </row>
    <row r="2876" spans="1:6">
      <c r="A2876" t="s">
        <v>64</v>
      </c>
      <c r="B2876" t="s">
        <v>32</v>
      </c>
      <c r="C2876" t="s">
        <v>75</v>
      </c>
      <c r="D2876" s="1">
        <v>45449</v>
      </c>
      <c r="E2876" s="2">
        <v>10422.84</v>
      </c>
      <c r="F2876">
        <v>6</v>
      </c>
    </row>
    <row r="2877" spans="1:6">
      <c r="A2877" t="s">
        <v>41</v>
      </c>
      <c r="B2877" t="s">
        <v>25</v>
      </c>
      <c r="C2877" t="s">
        <v>42</v>
      </c>
      <c r="D2877" t="s">
        <v>281</v>
      </c>
      <c r="E2877" s="2">
        <v>7402.04</v>
      </c>
      <c r="F2877">
        <v>231</v>
      </c>
    </row>
    <row r="2878" spans="1:6">
      <c r="A2878" t="s">
        <v>22</v>
      </c>
      <c r="B2878" t="s">
        <v>7</v>
      </c>
      <c r="C2878" t="s">
        <v>26</v>
      </c>
      <c r="D2878" t="s">
        <v>270</v>
      </c>
      <c r="E2878" s="2">
        <v>2498.04</v>
      </c>
      <c r="F2878">
        <v>129</v>
      </c>
    </row>
    <row r="2879" spans="1:6">
      <c r="A2879" t="s">
        <v>40</v>
      </c>
      <c r="B2879" t="s">
        <v>32</v>
      </c>
      <c r="C2879" t="s">
        <v>73</v>
      </c>
      <c r="D2879" t="s">
        <v>342</v>
      </c>
      <c r="E2879" s="2">
        <v>6873.56</v>
      </c>
      <c r="F2879">
        <v>152</v>
      </c>
    </row>
    <row r="2880" spans="1:6">
      <c r="A2880" t="s">
        <v>6</v>
      </c>
      <c r="B2880" t="s">
        <v>7</v>
      </c>
      <c r="C2880" t="s">
        <v>59</v>
      </c>
      <c r="D2880" t="s">
        <v>282</v>
      </c>
      <c r="E2880" s="2">
        <v>2015.93</v>
      </c>
      <c r="F2880">
        <v>304</v>
      </c>
    </row>
    <row r="2881" spans="1:6">
      <c r="A2881" t="s">
        <v>6</v>
      </c>
      <c r="B2881" t="s">
        <v>25</v>
      </c>
      <c r="C2881" t="s">
        <v>11</v>
      </c>
      <c r="D2881" s="1">
        <v>45599</v>
      </c>
      <c r="E2881" s="2">
        <v>8077.51</v>
      </c>
      <c r="F2881">
        <v>95</v>
      </c>
    </row>
    <row r="2882" spans="1:6">
      <c r="A2882" t="s">
        <v>79</v>
      </c>
      <c r="B2882" t="s">
        <v>32</v>
      </c>
      <c r="C2882" t="s">
        <v>11</v>
      </c>
      <c r="D2882" t="s">
        <v>320</v>
      </c>
      <c r="E2882" s="2">
        <v>11149.46</v>
      </c>
      <c r="F2882">
        <v>538</v>
      </c>
    </row>
    <row r="2883" spans="1:6">
      <c r="A2883" t="s">
        <v>29</v>
      </c>
      <c r="B2883" t="s">
        <v>15</v>
      </c>
      <c r="C2883" t="s">
        <v>18</v>
      </c>
      <c r="D2883" t="s">
        <v>277</v>
      </c>
      <c r="E2883" s="2">
        <v>4739.3900000000003</v>
      </c>
      <c r="F2883">
        <v>236</v>
      </c>
    </row>
    <row r="2884" spans="1:6">
      <c r="A2884" t="s">
        <v>48</v>
      </c>
      <c r="B2884" t="s">
        <v>10</v>
      </c>
      <c r="C2884" t="s">
        <v>60</v>
      </c>
      <c r="D2884" t="s">
        <v>342</v>
      </c>
      <c r="E2884" s="2">
        <v>1844.54</v>
      </c>
      <c r="F2884">
        <v>185</v>
      </c>
    </row>
    <row r="2885" spans="1:6">
      <c r="A2885" t="s">
        <v>34</v>
      </c>
      <c r="B2885" t="s">
        <v>32</v>
      </c>
      <c r="C2885" t="s">
        <v>13</v>
      </c>
      <c r="D2885" t="s">
        <v>342</v>
      </c>
      <c r="E2885" s="2">
        <v>1263.98</v>
      </c>
      <c r="F2885">
        <v>19</v>
      </c>
    </row>
    <row r="2886" spans="1:6">
      <c r="A2886" t="s">
        <v>9</v>
      </c>
      <c r="B2886" t="s">
        <v>35</v>
      </c>
      <c r="C2886" t="s">
        <v>13</v>
      </c>
      <c r="D2886" t="s">
        <v>349</v>
      </c>
      <c r="E2886" s="2">
        <v>7527.84</v>
      </c>
      <c r="F2886">
        <v>306</v>
      </c>
    </row>
    <row r="2887" spans="1:6">
      <c r="A2887" t="s">
        <v>70</v>
      </c>
      <c r="B2887" t="s">
        <v>25</v>
      </c>
      <c r="C2887" t="s">
        <v>18</v>
      </c>
      <c r="D2887" s="1">
        <v>45599</v>
      </c>
      <c r="E2887" s="2">
        <v>12265.45</v>
      </c>
      <c r="F2887">
        <v>268</v>
      </c>
    </row>
    <row r="2888" spans="1:6">
      <c r="A2888" t="s">
        <v>29</v>
      </c>
      <c r="B2888" t="s">
        <v>32</v>
      </c>
      <c r="C2888" t="s">
        <v>18</v>
      </c>
      <c r="D2888" t="s">
        <v>335</v>
      </c>
      <c r="E2888" s="2">
        <v>17662.05</v>
      </c>
      <c r="F2888">
        <v>230</v>
      </c>
    </row>
    <row r="2889" spans="1:6">
      <c r="A2889" t="s">
        <v>29</v>
      </c>
      <c r="B2889" t="s">
        <v>32</v>
      </c>
      <c r="C2889" t="s">
        <v>59</v>
      </c>
      <c r="D2889" t="s">
        <v>362</v>
      </c>
      <c r="E2889" s="2">
        <v>5520</v>
      </c>
      <c r="F2889">
        <v>120</v>
      </c>
    </row>
    <row r="2890" spans="1:6">
      <c r="A2890" t="s">
        <v>45</v>
      </c>
      <c r="B2890" t="s">
        <v>35</v>
      </c>
      <c r="C2890" t="s">
        <v>18</v>
      </c>
      <c r="D2890" s="1">
        <v>45476</v>
      </c>
      <c r="E2890" s="2">
        <v>10712.76</v>
      </c>
      <c r="F2890">
        <v>11</v>
      </c>
    </row>
    <row r="2891" spans="1:6">
      <c r="A2891" t="s">
        <v>48</v>
      </c>
      <c r="B2891" t="s">
        <v>25</v>
      </c>
      <c r="C2891" t="s">
        <v>23</v>
      </c>
      <c r="D2891" s="1">
        <v>45416</v>
      </c>
      <c r="E2891" s="2">
        <v>8416.7999999999993</v>
      </c>
      <c r="F2891">
        <v>29</v>
      </c>
    </row>
    <row r="2892" spans="1:6">
      <c r="A2892" t="s">
        <v>71</v>
      </c>
      <c r="B2892" t="s">
        <v>10</v>
      </c>
      <c r="C2892" t="s">
        <v>11</v>
      </c>
      <c r="D2892" s="1">
        <v>45387</v>
      </c>
      <c r="E2892" s="2">
        <v>9986.0499999999993</v>
      </c>
      <c r="F2892">
        <v>54</v>
      </c>
    </row>
    <row r="2893" spans="1:6">
      <c r="A2893" t="s">
        <v>83</v>
      </c>
      <c r="B2893" t="s">
        <v>32</v>
      </c>
      <c r="C2893" t="s">
        <v>75</v>
      </c>
      <c r="D2893" s="1">
        <v>45383</v>
      </c>
      <c r="E2893" s="2">
        <v>15629.82</v>
      </c>
      <c r="F2893">
        <v>89</v>
      </c>
    </row>
    <row r="2894" spans="1:6">
      <c r="A2894" t="s">
        <v>40</v>
      </c>
      <c r="B2894" t="s">
        <v>15</v>
      </c>
      <c r="C2894" t="s">
        <v>87</v>
      </c>
      <c r="D2894" t="s">
        <v>270</v>
      </c>
      <c r="E2894" s="2">
        <v>6224.33</v>
      </c>
      <c r="F2894">
        <v>100</v>
      </c>
    </row>
    <row r="2895" spans="1:6">
      <c r="A2895" t="s">
        <v>64</v>
      </c>
      <c r="B2895" t="s">
        <v>25</v>
      </c>
      <c r="C2895" t="s">
        <v>57</v>
      </c>
      <c r="D2895" s="1">
        <v>45603</v>
      </c>
      <c r="E2895" s="2">
        <v>7736.85</v>
      </c>
      <c r="F2895">
        <v>95</v>
      </c>
    </row>
    <row r="2896" spans="1:6">
      <c r="A2896" t="s">
        <v>55</v>
      </c>
      <c r="B2896" t="s">
        <v>15</v>
      </c>
      <c r="C2896" t="s">
        <v>8</v>
      </c>
      <c r="D2896" t="s">
        <v>350</v>
      </c>
      <c r="E2896" s="2">
        <v>4860.75</v>
      </c>
      <c r="F2896">
        <v>162</v>
      </c>
    </row>
    <row r="2897" spans="1:6">
      <c r="A2897" t="s">
        <v>71</v>
      </c>
      <c r="B2897" t="s">
        <v>25</v>
      </c>
      <c r="C2897" t="s">
        <v>13</v>
      </c>
      <c r="D2897" t="s">
        <v>347</v>
      </c>
      <c r="E2897" s="2">
        <v>1754.64</v>
      </c>
      <c r="F2897">
        <v>62</v>
      </c>
    </row>
    <row r="2898" spans="1:6">
      <c r="A2898" t="s">
        <v>48</v>
      </c>
      <c r="B2898" t="s">
        <v>35</v>
      </c>
      <c r="C2898" t="s">
        <v>42</v>
      </c>
      <c r="D2898" t="s">
        <v>331</v>
      </c>
      <c r="E2898" s="2">
        <v>897.13</v>
      </c>
      <c r="F2898">
        <v>24</v>
      </c>
    </row>
    <row r="2899" spans="1:6">
      <c r="A2899" t="s">
        <v>14</v>
      </c>
      <c r="B2899" t="s">
        <v>10</v>
      </c>
      <c r="C2899" t="s">
        <v>20</v>
      </c>
      <c r="D2899" t="s">
        <v>342</v>
      </c>
      <c r="E2899" s="2">
        <v>10607.29</v>
      </c>
      <c r="F2899">
        <v>182</v>
      </c>
    </row>
    <row r="2900" spans="1:6">
      <c r="A2900" t="s">
        <v>29</v>
      </c>
      <c r="B2900" t="s">
        <v>35</v>
      </c>
      <c r="C2900" t="s">
        <v>38</v>
      </c>
      <c r="D2900" s="1">
        <v>45633</v>
      </c>
      <c r="E2900" s="2">
        <v>10772</v>
      </c>
      <c r="F2900">
        <v>192</v>
      </c>
    </row>
    <row r="2901" spans="1:6">
      <c r="A2901" t="s">
        <v>14</v>
      </c>
      <c r="B2901" t="s">
        <v>7</v>
      </c>
      <c r="C2901" t="s">
        <v>33</v>
      </c>
      <c r="D2901" t="s">
        <v>280</v>
      </c>
      <c r="E2901" s="2">
        <v>4116.96</v>
      </c>
      <c r="F2901">
        <v>203</v>
      </c>
    </row>
    <row r="2902" spans="1:6">
      <c r="A2902" t="s">
        <v>31</v>
      </c>
      <c r="B2902" t="s">
        <v>25</v>
      </c>
      <c r="C2902" t="s">
        <v>26</v>
      </c>
      <c r="D2902" t="s">
        <v>348</v>
      </c>
      <c r="E2902" s="2">
        <v>5185.3599999999997</v>
      </c>
      <c r="F2902">
        <v>321</v>
      </c>
    </row>
    <row r="2903" spans="1:6">
      <c r="A2903" t="s">
        <v>48</v>
      </c>
      <c r="B2903" t="s">
        <v>15</v>
      </c>
      <c r="C2903" t="s">
        <v>36</v>
      </c>
      <c r="D2903" t="s">
        <v>338</v>
      </c>
      <c r="E2903" s="2">
        <v>6974.95</v>
      </c>
      <c r="F2903">
        <v>58</v>
      </c>
    </row>
    <row r="2904" spans="1:6">
      <c r="A2904" t="s">
        <v>14</v>
      </c>
      <c r="B2904" t="s">
        <v>10</v>
      </c>
      <c r="C2904" t="s">
        <v>90</v>
      </c>
      <c r="D2904" s="1">
        <v>45389</v>
      </c>
      <c r="E2904" s="2">
        <v>99.5</v>
      </c>
      <c r="F2904">
        <v>161</v>
      </c>
    </row>
    <row r="2905" spans="1:6">
      <c r="A2905" t="s">
        <v>67</v>
      </c>
      <c r="B2905" t="s">
        <v>7</v>
      </c>
      <c r="C2905" t="s">
        <v>59</v>
      </c>
      <c r="D2905" s="1">
        <v>45631</v>
      </c>
      <c r="E2905" s="2">
        <v>10203.469999999999</v>
      </c>
      <c r="F2905">
        <v>109</v>
      </c>
    </row>
    <row r="2906" spans="1:6">
      <c r="A2906" t="s">
        <v>71</v>
      </c>
      <c r="B2906" t="s">
        <v>25</v>
      </c>
      <c r="C2906" t="s">
        <v>73</v>
      </c>
      <c r="D2906" s="1">
        <v>45386</v>
      </c>
      <c r="E2906" s="2">
        <v>5081.5200000000004</v>
      </c>
      <c r="F2906">
        <v>148</v>
      </c>
    </row>
    <row r="2907" spans="1:6">
      <c r="A2907" t="s">
        <v>77</v>
      </c>
      <c r="B2907" t="s">
        <v>15</v>
      </c>
      <c r="C2907" t="s">
        <v>33</v>
      </c>
      <c r="D2907" t="s">
        <v>287</v>
      </c>
      <c r="E2907" s="2">
        <v>7166.62</v>
      </c>
      <c r="F2907">
        <v>381</v>
      </c>
    </row>
    <row r="2908" spans="1:6">
      <c r="A2908" t="s">
        <v>45</v>
      </c>
      <c r="B2908" t="s">
        <v>35</v>
      </c>
      <c r="C2908" t="s">
        <v>36</v>
      </c>
      <c r="D2908" s="1">
        <v>45507</v>
      </c>
      <c r="E2908" s="2">
        <v>7026.54</v>
      </c>
      <c r="F2908">
        <v>95</v>
      </c>
    </row>
    <row r="2909" spans="1:6">
      <c r="A2909" t="s">
        <v>37</v>
      </c>
      <c r="B2909" t="s">
        <v>10</v>
      </c>
      <c r="C2909" t="s">
        <v>59</v>
      </c>
      <c r="D2909" t="s">
        <v>358</v>
      </c>
      <c r="E2909" s="2">
        <v>8265.32</v>
      </c>
      <c r="F2909">
        <v>251</v>
      </c>
    </row>
    <row r="2910" spans="1:6">
      <c r="A2910" t="s">
        <v>64</v>
      </c>
      <c r="B2910" t="s">
        <v>10</v>
      </c>
      <c r="C2910" t="s">
        <v>8</v>
      </c>
      <c r="D2910" t="s">
        <v>289</v>
      </c>
      <c r="E2910" s="2">
        <v>1516.19</v>
      </c>
      <c r="F2910">
        <v>53</v>
      </c>
    </row>
    <row r="2911" spans="1:6">
      <c r="A2911" t="s">
        <v>67</v>
      </c>
      <c r="B2911" t="s">
        <v>7</v>
      </c>
      <c r="C2911" t="s">
        <v>20</v>
      </c>
      <c r="D2911" t="s">
        <v>319</v>
      </c>
      <c r="E2911" s="2">
        <v>1258.54</v>
      </c>
      <c r="F2911">
        <v>72</v>
      </c>
    </row>
    <row r="2912" spans="1:6">
      <c r="A2912" t="s">
        <v>40</v>
      </c>
      <c r="B2912" t="s">
        <v>7</v>
      </c>
      <c r="C2912" t="s">
        <v>26</v>
      </c>
      <c r="D2912" t="s">
        <v>333</v>
      </c>
      <c r="E2912" s="2">
        <v>3506.38</v>
      </c>
      <c r="F2912">
        <v>126</v>
      </c>
    </row>
    <row r="2913" spans="1:6">
      <c r="A2913" t="s">
        <v>83</v>
      </c>
      <c r="B2913" t="s">
        <v>10</v>
      </c>
      <c r="C2913" t="s">
        <v>75</v>
      </c>
      <c r="D2913" s="1">
        <v>45416</v>
      </c>
      <c r="E2913" s="2">
        <v>10969</v>
      </c>
      <c r="F2913">
        <v>83</v>
      </c>
    </row>
    <row r="2914" spans="1:6">
      <c r="A2914" t="s">
        <v>77</v>
      </c>
      <c r="B2914" t="s">
        <v>7</v>
      </c>
      <c r="C2914" t="s">
        <v>73</v>
      </c>
      <c r="D2914" t="s">
        <v>300</v>
      </c>
      <c r="E2914" s="2">
        <v>8442.19</v>
      </c>
      <c r="F2914">
        <v>347</v>
      </c>
    </row>
    <row r="2915" spans="1:6">
      <c r="A2915" t="s">
        <v>64</v>
      </c>
      <c r="B2915" t="s">
        <v>15</v>
      </c>
      <c r="C2915" t="s">
        <v>26</v>
      </c>
      <c r="D2915" s="1">
        <v>45359</v>
      </c>
      <c r="E2915" s="2">
        <v>11000.85</v>
      </c>
      <c r="F2915">
        <v>112</v>
      </c>
    </row>
    <row r="2916" spans="1:6">
      <c r="A2916" t="s">
        <v>12</v>
      </c>
      <c r="B2916" t="s">
        <v>35</v>
      </c>
      <c r="C2916" t="s">
        <v>59</v>
      </c>
      <c r="D2916" s="1">
        <v>45603</v>
      </c>
      <c r="E2916" s="2">
        <v>6987.59</v>
      </c>
      <c r="F2916">
        <v>4</v>
      </c>
    </row>
    <row r="2917" spans="1:6">
      <c r="A2917" t="s">
        <v>64</v>
      </c>
      <c r="B2917" t="s">
        <v>25</v>
      </c>
      <c r="C2917" t="s">
        <v>36</v>
      </c>
      <c r="D2917" s="1">
        <v>45599</v>
      </c>
      <c r="E2917" s="2">
        <v>3735</v>
      </c>
      <c r="F2917">
        <v>21</v>
      </c>
    </row>
    <row r="2918" spans="1:6">
      <c r="A2918" t="s">
        <v>28</v>
      </c>
      <c r="B2918" t="s">
        <v>7</v>
      </c>
      <c r="C2918" t="s">
        <v>13</v>
      </c>
      <c r="D2918" s="1">
        <v>45566</v>
      </c>
      <c r="E2918" s="2">
        <v>17346.79</v>
      </c>
      <c r="F2918">
        <v>32</v>
      </c>
    </row>
    <row r="2919" spans="1:6">
      <c r="A2919" t="s">
        <v>45</v>
      </c>
      <c r="B2919" t="s">
        <v>7</v>
      </c>
      <c r="C2919" t="s">
        <v>87</v>
      </c>
      <c r="D2919" s="1">
        <v>45386</v>
      </c>
      <c r="E2919" s="2">
        <v>16517.2</v>
      </c>
      <c r="F2919">
        <v>349</v>
      </c>
    </row>
    <row r="2920" spans="1:6">
      <c r="A2920" t="s">
        <v>37</v>
      </c>
      <c r="B2920" t="s">
        <v>15</v>
      </c>
      <c r="C2920" t="s">
        <v>26</v>
      </c>
      <c r="D2920" t="s">
        <v>358</v>
      </c>
      <c r="E2920" s="2">
        <v>7642.94</v>
      </c>
      <c r="F2920">
        <v>778</v>
      </c>
    </row>
    <row r="2921" spans="1:6">
      <c r="A2921" t="s">
        <v>40</v>
      </c>
      <c r="B2921" t="s">
        <v>25</v>
      </c>
      <c r="C2921" t="s">
        <v>42</v>
      </c>
      <c r="D2921" s="1">
        <v>45511</v>
      </c>
      <c r="E2921" s="2">
        <v>10337.23</v>
      </c>
      <c r="F2921">
        <v>49</v>
      </c>
    </row>
    <row r="2922" spans="1:6">
      <c r="A2922" t="s">
        <v>14</v>
      </c>
      <c r="B2922" t="s">
        <v>7</v>
      </c>
      <c r="C2922" t="s">
        <v>42</v>
      </c>
      <c r="D2922" s="1">
        <v>45630</v>
      </c>
      <c r="E2922" s="2">
        <v>1367.24</v>
      </c>
      <c r="F2922">
        <v>384</v>
      </c>
    </row>
    <row r="2923" spans="1:6">
      <c r="A2923" t="s">
        <v>29</v>
      </c>
      <c r="B2923" t="s">
        <v>35</v>
      </c>
      <c r="C2923" t="s">
        <v>57</v>
      </c>
      <c r="D2923" t="s">
        <v>285</v>
      </c>
      <c r="E2923" s="2">
        <v>570.58000000000004</v>
      </c>
      <c r="F2923">
        <v>191</v>
      </c>
    </row>
    <row r="2924" spans="1:6">
      <c r="A2924" t="s">
        <v>83</v>
      </c>
      <c r="B2924" t="s">
        <v>7</v>
      </c>
      <c r="C2924" t="s">
        <v>75</v>
      </c>
      <c r="D2924" s="1">
        <v>45479</v>
      </c>
      <c r="E2924" s="2">
        <v>2012.27</v>
      </c>
      <c r="F2924">
        <v>259</v>
      </c>
    </row>
    <row r="2925" spans="1:6">
      <c r="A2925" t="s">
        <v>22</v>
      </c>
      <c r="B2925" t="s">
        <v>35</v>
      </c>
      <c r="C2925" t="s">
        <v>65</v>
      </c>
      <c r="D2925" t="s">
        <v>271</v>
      </c>
      <c r="E2925" s="2">
        <v>1469.24</v>
      </c>
      <c r="F2925">
        <v>29</v>
      </c>
    </row>
    <row r="2926" spans="1:6">
      <c r="A2926" t="s">
        <v>53</v>
      </c>
      <c r="B2926" t="s">
        <v>32</v>
      </c>
      <c r="C2926" t="s">
        <v>20</v>
      </c>
      <c r="D2926" t="s">
        <v>315</v>
      </c>
      <c r="E2926" s="2">
        <v>10020.18</v>
      </c>
      <c r="F2926">
        <v>113</v>
      </c>
    </row>
    <row r="2927" spans="1:6">
      <c r="A2927" t="s">
        <v>58</v>
      </c>
      <c r="B2927" t="s">
        <v>35</v>
      </c>
      <c r="C2927" t="s">
        <v>8</v>
      </c>
      <c r="D2927" s="1">
        <v>45508</v>
      </c>
      <c r="E2927" s="2">
        <v>1914.65</v>
      </c>
      <c r="F2927">
        <v>304</v>
      </c>
    </row>
    <row r="2928" spans="1:6">
      <c r="A2928" t="s">
        <v>28</v>
      </c>
      <c r="B2928" t="s">
        <v>7</v>
      </c>
      <c r="C2928" t="s">
        <v>60</v>
      </c>
      <c r="D2928" t="s">
        <v>294</v>
      </c>
      <c r="E2928" s="2">
        <v>73.91</v>
      </c>
      <c r="F2928">
        <v>101</v>
      </c>
    </row>
    <row r="2929" spans="1:6">
      <c r="A2929" t="s">
        <v>9</v>
      </c>
      <c r="B2929" t="s">
        <v>7</v>
      </c>
      <c r="C2929" t="s">
        <v>87</v>
      </c>
      <c r="D2929" t="s">
        <v>268</v>
      </c>
      <c r="E2929" s="2">
        <v>2794.33</v>
      </c>
      <c r="F2929">
        <v>21</v>
      </c>
    </row>
    <row r="2930" spans="1:6">
      <c r="A2930" t="s">
        <v>31</v>
      </c>
      <c r="B2930" t="s">
        <v>15</v>
      </c>
      <c r="C2930" t="s">
        <v>90</v>
      </c>
      <c r="D2930" t="s">
        <v>326</v>
      </c>
      <c r="E2930" s="2">
        <v>3192.06</v>
      </c>
      <c r="F2930">
        <v>54</v>
      </c>
    </row>
    <row r="2931" spans="1:6">
      <c r="A2931" t="s">
        <v>58</v>
      </c>
      <c r="B2931" t="s">
        <v>32</v>
      </c>
      <c r="C2931" t="s">
        <v>36</v>
      </c>
      <c r="D2931" t="s">
        <v>306</v>
      </c>
      <c r="E2931" s="2">
        <v>2447.37</v>
      </c>
      <c r="F2931">
        <v>98</v>
      </c>
    </row>
    <row r="2932" spans="1:6">
      <c r="A2932" t="s">
        <v>12</v>
      </c>
      <c r="B2932" t="s">
        <v>15</v>
      </c>
      <c r="C2932" t="s">
        <v>73</v>
      </c>
      <c r="D2932" t="s">
        <v>361</v>
      </c>
      <c r="E2932" s="2">
        <v>7696.46</v>
      </c>
      <c r="F2932">
        <v>313</v>
      </c>
    </row>
    <row r="2933" spans="1:6">
      <c r="A2933" t="s">
        <v>58</v>
      </c>
      <c r="B2933" t="s">
        <v>32</v>
      </c>
      <c r="C2933" t="s">
        <v>42</v>
      </c>
      <c r="D2933" t="s">
        <v>351</v>
      </c>
      <c r="E2933" s="2">
        <v>14731.55</v>
      </c>
      <c r="F2933">
        <v>132</v>
      </c>
    </row>
    <row r="2934" spans="1:6">
      <c r="A2934" t="s">
        <v>41</v>
      </c>
      <c r="B2934" t="s">
        <v>35</v>
      </c>
      <c r="C2934" t="s">
        <v>33</v>
      </c>
      <c r="D2934" s="1">
        <v>45570</v>
      </c>
      <c r="E2934" s="2">
        <v>9321.64</v>
      </c>
      <c r="F2934">
        <v>111</v>
      </c>
    </row>
    <row r="2935" spans="1:6">
      <c r="A2935" t="s">
        <v>34</v>
      </c>
      <c r="B2935" t="s">
        <v>15</v>
      </c>
      <c r="C2935" t="s">
        <v>75</v>
      </c>
      <c r="D2935" t="s">
        <v>339</v>
      </c>
      <c r="E2935" s="2">
        <v>18473.63</v>
      </c>
      <c r="F2935">
        <v>88</v>
      </c>
    </row>
    <row r="2936" spans="1:6">
      <c r="A2936" t="s">
        <v>83</v>
      </c>
      <c r="B2936" t="s">
        <v>10</v>
      </c>
      <c r="C2936" t="s">
        <v>90</v>
      </c>
      <c r="D2936" t="s">
        <v>280</v>
      </c>
      <c r="E2936" s="2">
        <v>7437.55</v>
      </c>
      <c r="F2936">
        <v>54</v>
      </c>
    </row>
    <row r="2937" spans="1:6">
      <c r="A2937" t="s">
        <v>9</v>
      </c>
      <c r="B2937" t="s">
        <v>35</v>
      </c>
      <c r="C2937" t="s">
        <v>26</v>
      </c>
      <c r="D2937" s="1">
        <v>45631</v>
      </c>
      <c r="E2937" s="2">
        <v>14581.33</v>
      </c>
      <c r="F2937">
        <v>58</v>
      </c>
    </row>
    <row r="2938" spans="1:6">
      <c r="A2938" t="s">
        <v>70</v>
      </c>
      <c r="B2938" t="s">
        <v>25</v>
      </c>
      <c r="C2938" t="s">
        <v>87</v>
      </c>
      <c r="D2938" t="s">
        <v>348</v>
      </c>
      <c r="E2938" s="2">
        <v>3389.96</v>
      </c>
      <c r="F2938">
        <v>115</v>
      </c>
    </row>
    <row r="2939" spans="1:6">
      <c r="A2939" t="s">
        <v>41</v>
      </c>
      <c r="B2939" t="s">
        <v>10</v>
      </c>
      <c r="C2939" t="s">
        <v>50</v>
      </c>
      <c r="D2939" t="s">
        <v>344</v>
      </c>
      <c r="E2939" s="2">
        <v>3968.38</v>
      </c>
      <c r="F2939">
        <v>182</v>
      </c>
    </row>
    <row r="2940" spans="1:6">
      <c r="A2940" t="s">
        <v>12</v>
      </c>
      <c r="B2940" t="s">
        <v>15</v>
      </c>
      <c r="C2940" t="s">
        <v>65</v>
      </c>
      <c r="D2940" t="s">
        <v>341</v>
      </c>
      <c r="E2940" s="2">
        <v>1084.26</v>
      </c>
      <c r="F2940">
        <v>120</v>
      </c>
    </row>
    <row r="2941" spans="1:6">
      <c r="A2941" t="s">
        <v>29</v>
      </c>
      <c r="B2941" t="s">
        <v>25</v>
      </c>
      <c r="C2941" t="s">
        <v>36</v>
      </c>
      <c r="D2941" s="1">
        <v>45475</v>
      </c>
      <c r="E2941" s="2">
        <v>20690.2</v>
      </c>
      <c r="F2941">
        <v>51</v>
      </c>
    </row>
    <row r="2942" spans="1:6">
      <c r="A2942" t="s">
        <v>70</v>
      </c>
      <c r="B2942" t="s">
        <v>35</v>
      </c>
      <c r="C2942" t="s">
        <v>18</v>
      </c>
      <c r="D2942" t="s">
        <v>329</v>
      </c>
      <c r="E2942" s="2">
        <v>8929.57</v>
      </c>
      <c r="F2942">
        <v>121</v>
      </c>
    </row>
    <row r="2943" spans="1:6">
      <c r="A2943" t="s">
        <v>14</v>
      </c>
      <c r="B2943" t="s">
        <v>10</v>
      </c>
      <c r="C2943" t="s">
        <v>87</v>
      </c>
      <c r="D2943" s="1">
        <v>45299</v>
      </c>
      <c r="E2943" s="2">
        <v>15497.27</v>
      </c>
      <c r="F2943">
        <v>85</v>
      </c>
    </row>
    <row r="2944" spans="1:6">
      <c r="A2944" t="s">
        <v>6</v>
      </c>
      <c r="B2944" t="s">
        <v>15</v>
      </c>
      <c r="C2944" t="s">
        <v>46</v>
      </c>
      <c r="D2944" t="s">
        <v>339</v>
      </c>
      <c r="E2944" s="2">
        <v>9172.1299999999992</v>
      </c>
      <c r="F2944">
        <v>30</v>
      </c>
    </row>
    <row r="2945" spans="1:6">
      <c r="A2945" t="s">
        <v>12</v>
      </c>
      <c r="B2945" t="s">
        <v>35</v>
      </c>
      <c r="C2945" t="s">
        <v>57</v>
      </c>
      <c r="D2945" t="s">
        <v>333</v>
      </c>
      <c r="E2945" s="2">
        <v>6093.61</v>
      </c>
      <c r="F2945">
        <v>104</v>
      </c>
    </row>
    <row r="2946" spans="1:6">
      <c r="A2946" t="s">
        <v>41</v>
      </c>
      <c r="B2946" t="s">
        <v>7</v>
      </c>
      <c r="C2946" t="s">
        <v>36</v>
      </c>
      <c r="D2946" t="s">
        <v>340</v>
      </c>
      <c r="E2946" s="2">
        <v>9144.7900000000009</v>
      </c>
      <c r="F2946">
        <v>156</v>
      </c>
    </row>
    <row r="2947" spans="1:6">
      <c r="A2947" t="s">
        <v>40</v>
      </c>
      <c r="B2947" t="s">
        <v>25</v>
      </c>
      <c r="C2947" t="s">
        <v>36</v>
      </c>
      <c r="D2947" t="s">
        <v>321</v>
      </c>
      <c r="E2947" s="2">
        <v>5902.91</v>
      </c>
      <c r="F2947">
        <v>31</v>
      </c>
    </row>
    <row r="2948" spans="1:6">
      <c r="A2948" t="s">
        <v>53</v>
      </c>
      <c r="B2948" t="s">
        <v>15</v>
      </c>
      <c r="C2948" t="s">
        <v>20</v>
      </c>
      <c r="D2948" t="s">
        <v>300</v>
      </c>
      <c r="E2948" s="2">
        <v>3277.47</v>
      </c>
      <c r="F2948">
        <v>131</v>
      </c>
    </row>
    <row r="2949" spans="1:6">
      <c r="A2949" t="s">
        <v>22</v>
      </c>
      <c r="B2949" t="s">
        <v>25</v>
      </c>
      <c r="C2949" t="s">
        <v>57</v>
      </c>
      <c r="D2949" s="1">
        <v>45571</v>
      </c>
      <c r="E2949" s="2">
        <v>9759.5300000000007</v>
      </c>
      <c r="F2949">
        <v>424</v>
      </c>
    </row>
    <row r="2950" spans="1:6">
      <c r="A2950" t="s">
        <v>48</v>
      </c>
      <c r="B2950" t="s">
        <v>35</v>
      </c>
      <c r="C2950" t="s">
        <v>100</v>
      </c>
      <c r="D2950" t="s">
        <v>303</v>
      </c>
      <c r="E2950" s="2">
        <v>2504.9</v>
      </c>
      <c r="F2950">
        <v>7</v>
      </c>
    </row>
    <row r="2951" spans="1:6">
      <c r="A2951" t="s">
        <v>70</v>
      </c>
      <c r="B2951" t="s">
        <v>25</v>
      </c>
      <c r="C2951" t="s">
        <v>60</v>
      </c>
      <c r="D2951" s="1">
        <v>45508</v>
      </c>
      <c r="E2951" s="2">
        <v>1527.99</v>
      </c>
      <c r="F2951">
        <v>107</v>
      </c>
    </row>
    <row r="2952" spans="1:6">
      <c r="A2952" t="s">
        <v>79</v>
      </c>
      <c r="B2952" t="s">
        <v>15</v>
      </c>
      <c r="C2952" t="s">
        <v>87</v>
      </c>
      <c r="D2952" s="1">
        <v>45479</v>
      </c>
      <c r="E2952" s="2">
        <v>3767.49</v>
      </c>
      <c r="F2952">
        <v>65</v>
      </c>
    </row>
    <row r="2953" spans="1:6">
      <c r="A2953" t="s">
        <v>31</v>
      </c>
      <c r="B2953" t="s">
        <v>15</v>
      </c>
      <c r="C2953" t="s">
        <v>11</v>
      </c>
      <c r="D2953" s="1">
        <v>45567</v>
      </c>
      <c r="E2953" s="2">
        <v>9452.18</v>
      </c>
      <c r="F2953">
        <v>42</v>
      </c>
    </row>
    <row r="2954" spans="1:6">
      <c r="A2954" t="s">
        <v>41</v>
      </c>
      <c r="B2954" t="s">
        <v>15</v>
      </c>
      <c r="C2954" t="s">
        <v>26</v>
      </c>
      <c r="D2954" t="s">
        <v>295</v>
      </c>
      <c r="E2954" s="2">
        <v>764.63</v>
      </c>
      <c r="F2954">
        <v>441</v>
      </c>
    </row>
    <row r="2955" spans="1:6">
      <c r="A2955" t="s">
        <v>22</v>
      </c>
      <c r="B2955" t="s">
        <v>10</v>
      </c>
      <c r="C2955" t="s">
        <v>87</v>
      </c>
      <c r="D2955" t="s">
        <v>339</v>
      </c>
      <c r="E2955" s="2">
        <v>2432.75</v>
      </c>
      <c r="F2955">
        <v>535</v>
      </c>
    </row>
    <row r="2956" spans="1:6">
      <c r="A2956" t="s">
        <v>9</v>
      </c>
      <c r="B2956" t="s">
        <v>15</v>
      </c>
      <c r="C2956" t="s">
        <v>26</v>
      </c>
      <c r="D2956" t="s">
        <v>301</v>
      </c>
      <c r="E2956" s="2">
        <v>779.04</v>
      </c>
      <c r="F2956">
        <v>134</v>
      </c>
    </row>
    <row r="2957" spans="1:6">
      <c r="A2957" t="s">
        <v>19</v>
      </c>
      <c r="B2957" t="s">
        <v>32</v>
      </c>
      <c r="C2957" t="s">
        <v>60</v>
      </c>
      <c r="D2957" t="s">
        <v>319</v>
      </c>
      <c r="E2957" s="2">
        <v>5050.53</v>
      </c>
      <c r="F2957">
        <v>85</v>
      </c>
    </row>
    <row r="2958" spans="1:6">
      <c r="A2958" t="s">
        <v>9</v>
      </c>
      <c r="B2958" t="s">
        <v>35</v>
      </c>
      <c r="C2958" t="s">
        <v>75</v>
      </c>
      <c r="D2958" t="s">
        <v>343</v>
      </c>
      <c r="E2958" s="2">
        <v>2727.35</v>
      </c>
      <c r="F2958">
        <v>293</v>
      </c>
    </row>
    <row r="2959" spans="1:6">
      <c r="A2959" t="s">
        <v>37</v>
      </c>
      <c r="B2959" t="s">
        <v>35</v>
      </c>
      <c r="C2959" t="s">
        <v>100</v>
      </c>
      <c r="D2959" t="s">
        <v>349</v>
      </c>
      <c r="E2959" s="2">
        <v>9089.2099999999991</v>
      </c>
      <c r="F2959">
        <v>602</v>
      </c>
    </row>
    <row r="2960" spans="1:6">
      <c r="A2960" t="s">
        <v>70</v>
      </c>
      <c r="B2960" t="s">
        <v>35</v>
      </c>
      <c r="C2960" t="s">
        <v>57</v>
      </c>
      <c r="D2960" t="s">
        <v>299</v>
      </c>
      <c r="E2960" s="2">
        <v>881.49</v>
      </c>
      <c r="F2960">
        <v>152</v>
      </c>
    </row>
    <row r="2961" spans="1:6">
      <c r="A2961" t="s">
        <v>71</v>
      </c>
      <c r="B2961" t="s">
        <v>10</v>
      </c>
      <c r="C2961" t="s">
        <v>20</v>
      </c>
      <c r="D2961" s="1">
        <v>45330</v>
      </c>
      <c r="E2961" s="2">
        <v>227.55</v>
      </c>
      <c r="F2961">
        <v>225</v>
      </c>
    </row>
    <row r="2962" spans="1:6">
      <c r="A2962" t="s">
        <v>77</v>
      </c>
      <c r="B2962" t="s">
        <v>25</v>
      </c>
      <c r="C2962" t="s">
        <v>100</v>
      </c>
      <c r="D2962" t="s">
        <v>331</v>
      </c>
      <c r="E2962" s="2">
        <v>14193.58</v>
      </c>
      <c r="F2962">
        <v>102</v>
      </c>
    </row>
    <row r="2963" spans="1:6">
      <c r="A2963" t="s">
        <v>34</v>
      </c>
      <c r="B2963" t="s">
        <v>25</v>
      </c>
      <c r="C2963" t="s">
        <v>33</v>
      </c>
      <c r="D2963" s="1">
        <v>45293</v>
      </c>
      <c r="E2963" s="2">
        <v>7459.88</v>
      </c>
      <c r="F2963">
        <v>23</v>
      </c>
    </row>
    <row r="2964" spans="1:6">
      <c r="A2964" t="s">
        <v>14</v>
      </c>
      <c r="B2964" t="s">
        <v>35</v>
      </c>
      <c r="C2964" t="s">
        <v>100</v>
      </c>
      <c r="D2964" t="s">
        <v>273</v>
      </c>
      <c r="E2964" s="2">
        <v>6578.55</v>
      </c>
      <c r="F2964">
        <v>312</v>
      </c>
    </row>
    <row r="2965" spans="1:6">
      <c r="A2965" t="s">
        <v>70</v>
      </c>
      <c r="B2965" t="s">
        <v>15</v>
      </c>
      <c r="C2965" t="s">
        <v>46</v>
      </c>
      <c r="D2965" t="s">
        <v>266</v>
      </c>
      <c r="E2965" s="2">
        <v>8975.44</v>
      </c>
      <c r="F2965">
        <v>137</v>
      </c>
    </row>
    <row r="2966" spans="1:6">
      <c r="A2966" t="s">
        <v>58</v>
      </c>
      <c r="B2966" t="s">
        <v>10</v>
      </c>
      <c r="C2966" t="s">
        <v>33</v>
      </c>
      <c r="D2966" t="s">
        <v>339</v>
      </c>
      <c r="E2966" s="2">
        <v>852.29</v>
      </c>
      <c r="F2966">
        <v>123</v>
      </c>
    </row>
    <row r="2967" spans="1:6">
      <c r="A2967" t="s">
        <v>53</v>
      </c>
      <c r="B2967" t="s">
        <v>7</v>
      </c>
      <c r="C2967" t="s">
        <v>36</v>
      </c>
      <c r="D2967" t="s">
        <v>346</v>
      </c>
      <c r="E2967" s="2">
        <v>1955.2</v>
      </c>
      <c r="F2967">
        <v>250</v>
      </c>
    </row>
    <row r="2968" spans="1:6">
      <c r="A2968" t="s">
        <v>12</v>
      </c>
      <c r="B2968" t="s">
        <v>32</v>
      </c>
      <c r="C2968" t="s">
        <v>13</v>
      </c>
      <c r="D2968" s="1">
        <v>45540</v>
      </c>
      <c r="E2968" s="2">
        <v>323.29000000000002</v>
      </c>
      <c r="F2968">
        <v>72</v>
      </c>
    </row>
    <row r="2969" spans="1:6">
      <c r="A2969" t="s">
        <v>64</v>
      </c>
      <c r="B2969" t="s">
        <v>32</v>
      </c>
      <c r="C2969" t="s">
        <v>18</v>
      </c>
      <c r="D2969" t="s">
        <v>321</v>
      </c>
      <c r="E2969" s="2">
        <v>542.39</v>
      </c>
      <c r="F2969">
        <v>86</v>
      </c>
    </row>
    <row r="2970" spans="1:6">
      <c r="A2970" t="s">
        <v>48</v>
      </c>
      <c r="B2970" t="s">
        <v>10</v>
      </c>
      <c r="C2970" t="s">
        <v>59</v>
      </c>
      <c r="D2970" s="1">
        <v>45389</v>
      </c>
      <c r="E2970" s="2">
        <v>7666.62</v>
      </c>
      <c r="F2970">
        <v>347</v>
      </c>
    </row>
    <row r="2971" spans="1:6">
      <c r="A2971" t="s">
        <v>19</v>
      </c>
      <c r="B2971" t="s">
        <v>25</v>
      </c>
      <c r="C2971" t="s">
        <v>50</v>
      </c>
      <c r="D2971" s="1">
        <v>45357</v>
      </c>
      <c r="E2971" s="2">
        <v>1826.32</v>
      </c>
      <c r="F2971">
        <v>13</v>
      </c>
    </row>
    <row r="2972" spans="1:6">
      <c r="A2972" t="s">
        <v>41</v>
      </c>
      <c r="B2972" t="s">
        <v>25</v>
      </c>
      <c r="C2972" t="s">
        <v>13</v>
      </c>
      <c r="D2972" t="s">
        <v>288</v>
      </c>
      <c r="E2972" s="2">
        <v>11510.68</v>
      </c>
      <c r="F2972">
        <v>30</v>
      </c>
    </row>
    <row r="2973" spans="1:6">
      <c r="A2973" t="s">
        <v>79</v>
      </c>
      <c r="B2973" t="s">
        <v>25</v>
      </c>
      <c r="C2973" t="s">
        <v>20</v>
      </c>
      <c r="D2973" s="1">
        <v>45540</v>
      </c>
      <c r="E2973" s="2">
        <v>12263.85</v>
      </c>
      <c r="F2973">
        <v>223</v>
      </c>
    </row>
    <row r="2974" spans="1:6">
      <c r="A2974" t="s">
        <v>70</v>
      </c>
      <c r="B2974" t="s">
        <v>10</v>
      </c>
      <c r="C2974" t="s">
        <v>100</v>
      </c>
      <c r="D2974" s="1">
        <v>45449</v>
      </c>
      <c r="E2974" s="2">
        <v>3878.6</v>
      </c>
      <c r="F2974">
        <v>108</v>
      </c>
    </row>
    <row r="2975" spans="1:6">
      <c r="A2975" t="s">
        <v>70</v>
      </c>
      <c r="B2975" t="s">
        <v>10</v>
      </c>
      <c r="C2975" t="s">
        <v>38</v>
      </c>
      <c r="D2975" s="1">
        <v>45389</v>
      </c>
      <c r="E2975" s="2">
        <v>8328.52</v>
      </c>
      <c r="F2975">
        <v>238</v>
      </c>
    </row>
    <row r="2976" spans="1:6">
      <c r="A2976" t="s">
        <v>28</v>
      </c>
      <c r="B2976" t="s">
        <v>25</v>
      </c>
      <c r="C2976" t="s">
        <v>38</v>
      </c>
      <c r="D2976" s="1">
        <v>45449</v>
      </c>
      <c r="E2976" s="2">
        <v>1666.46</v>
      </c>
      <c r="F2976">
        <v>98</v>
      </c>
    </row>
    <row r="2977" spans="1:6">
      <c r="A2977" t="s">
        <v>79</v>
      </c>
      <c r="B2977" t="s">
        <v>15</v>
      </c>
      <c r="C2977" t="s">
        <v>65</v>
      </c>
      <c r="D2977" t="s">
        <v>336</v>
      </c>
      <c r="E2977" s="2">
        <v>1754.11</v>
      </c>
      <c r="F2977">
        <v>95</v>
      </c>
    </row>
    <row r="2978" spans="1:6">
      <c r="A2978" t="s">
        <v>64</v>
      </c>
      <c r="B2978" t="s">
        <v>25</v>
      </c>
      <c r="C2978" t="s">
        <v>42</v>
      </c>
      <c r="D2978" t="s">
        <v>303</v>
      </c>
      <c r="E2978" s="2">
        <v>2390.6999999999998</v>
      </c>
      <c r="F2978">
        <v>274</v>
      </c>
    </row>
    <row r="2979" spans="1:6">
      <c r="A2979" t="s">
        <v>83</v>
      </c>
      <c r="B2979" t="s">
        <v>25</v>
      </c>
      <c r="C2979" t="s">
        <v>90</v>
      </c>
      <c r="D2979" t="s">
        <v>283</v>
      </c>
      <c r="E2979" s="2">
        <v>8546.7199999999993</v>
      </c>
      <c r="F2979">
        <v>41</v>
      </c>
    </row>
    <row r="2980" spans="1:6">
      <c r="A2980" t="s">
        <v>31</v>
      </c>
      <c r="B2980" t="s">
        <v>35</v>
      </c>
      <c r="C2980" t="s">
        <v>60</v>
      </c>
      <c r="D2980" t="s">
        <v>309</v>
      </c>
      <c r="E2980" s="2">
        <v>4115.57</v>
      </c>
      <c r="F2980">
        <v>274</v>
      </c>
    </row>
    <row r="2981" spans="1:6">
      <c r="A2981" t="s">
        <v>12</v>
      </c>
      <c r="B2981" t="s">
        <v>25</v>
      </c>
      <c r="C2981" t="s">
        <v>18</v>
      </c>
      <c r="D2981" s="1">
        <v>45566</v>
      </c>
      <c r="E2981" s="2">
        <v>787.38</v>
      </c>
      <c r="F2981">
        <v>95</v>
      </c>
    </row>
    <row r="2982" spans="1:6">
      <c r="A2982" t="s">
        <v>28</v>
      </c>
      <c r="B2982" t="s">
        <v>32</v>
      </c>
      <c r="C2982" t="s">
        <v>60</v>
      </c>
      <c r="D2982" t="s">
        <v>289</v>
      </c>
      <c r="E2982" s="2">
        <v>2095.7800000000002</v>
      </c>
      <c r="F2982">
        <v>8</v>
      </c>
    </row>
    <row r="2983" spans="1:6">
      <c r="A2983" t="s">
        <v>45</v>
      </c>
      <c r="B2983" t="s">
        <v>25</v>
      </c>
      <c r="C2983" t="s">
        <v>11</v>
      </c>
      <c r="D2983" t="s">
        <v>298</v>
      </c>
      <c r="E2983" s="2">
        <v>5220.8</v>
      </c>
      <c r="F2983">
        <v>267</v>
      </c>
    </row>
    <row r="2984" spans="1:6">
      <c r="A2984" t="s">
        <v>19</v>
      </c>
      <c r="B2984" t="s">
        <v>7</v>
      </c>
      <c r="C2984" t="s">
        <v>18</v>
      </c>
      <c r="D2984" t="s">
        <v>332</v>
      </c>
      <c r="E2984" s="2">
        <v>11264.45</v>
      </c>
      <c r="F2984">
        <v>340</v>
      </c>
    </row>
    <row r="2985" spans="1:6">
      <c r="A2985" t="s">
        <v>19</v>
      </c>
      <c r="B2985" t="s">
        <v>7</v>
      </c>
      <c r="C2985" t="s">
        <v>73</v>
      </c>
      <c r="D2985" s="1">
        <v>45508</v>
      </c>
      <c r="E2985" s="2">
        <v>5477.33</v>
      </c>
      <c r="F2985">
        <v>341</v>
      </c>
    </row>
    <row r="2986" spans="1:6">
      <c r="A2986" t="s">
        <v>45</v>
      </c>
      <c r="B2986" t="s">
        <v>32</v>
      </c>
      <c r="C2986" t="s">
        <v>38</v>
      </c>
      <c r="D2986" t="s">
        <v>315</v>
      </c>
      <c r="E2986" s="2">
        <v>3389</v>
      </c>
      <c r="F2986">
        <v>160</v>
      </c>
    </row>
    <row r="2987" spans="1:6">
      <c r="A2987" t="s">
        <v>67</v>
      </c>
      <c r="B2987" t="s">
        <v>15</v>
      </c>
      <c r="C2987" t="s">
        <v>60</v>
      </c>
      <c r="D2987" t="s">
        <v>361</v>
      </c>
      <c r="E2987" s="2">
        <v>11559.52</v>
      </c>
      <c r="F2987">
        <v>413</v>
      </c>
    </row>
    <row r="2988" spans="1:6">
      <c r="A2988" t="s">
        <v>34</v>
      </c>
      <c r="B2988" t="s">
        <v>10</v>
      </c>
      <c r="C2988" t="s">
        <v>73</v>
      </c>
      <c r="D2988" s="1">
        <v>45325</v>
      </c>
      <c r="E2988" s="2">
        <v>1676.82</v>
      </c>
      <c r="F2988">
        <v>2</v>
      </c>
    </row>
    <row r="2989" spans="1:6">
      <c r="A2989" t="s">
        <v>6</v>
      </c>
      <c r="B2989" t="s">
        <v>32</v>
      </c>
      <c r="C2989" t="s">
        <v>33</v>
      </c>
      <c r="D2989" t="s">
        <v>271</v>
      </c>
      <c r="E2989" s="2">
        <v>437.48</v>
      </c>
      <c r="F2989">
        <v>174</v>
      </c>
    </row>
    <row r="2990" spans="1:6">
      <c r="A2990" t="s">
        <v>55</v>
      </c>
      <c r="B2990" t="s">
        <v>25</v>
      </c>
      <c r="C2990" t="s">
        <v>100</v>
      </c>
      <c r="D2990" t="s">
        <v>268</v>
      </c>
      <c r="E2990" s="2">
        <v>8487.6299999999992</v>
      </c>
      <c r="F2990">
        <v>40</v>
      </c>
    </row>
    <row r="2991" spans="1:6">
      <c r="A2991" t="s">
        <v>48</v>
      </c>
      <c r="B2991" t="s">
        <v>15</v>
      </c>
      <c r="C2991" t="s">
        <v>23</v>
      </c>
      <c r="D2991" s="1">
        <v>45604</v>
      </c>
      <c r="E2991" s="2">
        <v>71.989999999999995</v>
      </c>
      <c r="F2991">
        <v>101</v>
      </c>
    </row>
    <row r="2992" spans="1:6">
      <c r="A2992" t="s">
        <v>53</v>
      </c>
      <c r="B2992" t="s">
        <v>7</v>
      </c>
      <c r="C2992" t="s">
        <v>65</v>
      </c>
      <c r="D2992" t="s">
        <v>350</v>
      </c>
      <c r="E2992" s="2">
        <v>9863.6200000000008</v>
      </c>
      <c r="F2992">
        <v>167</v>
      </c>
    </row>
    <row r="2993" spans="1:6">
      <c r="A2993" t="s">
        <v>55</v>
      </c>
      <c r="B2993" t="s">
        <v>35</v>
      </c>
      <c r="C2993" t="s">
        <v>75</v>
      </c>
      <c r="D2993" t="s">
        <v>293</v>
      </c>
      <c r="E2993" s="2">
        <v>3468.53</v>
      </c>
      <c r="F2993">
        <v>166</v>
      </c>
    </row>
    <row r="2994" spans="1:6">
      <c r="A2994" t="s">
        <v>45</v>
      </c>
      <c r="B2994" t="s">
        <v>7</v>
      </c>
      <c r="C2994" t="s">
        <v>13</v>
      </c>
      <c r="D2994" t="s">
        <v>341</v>
      </c>
      <c r="E2994" s="2">
        <v>6770.35</v>
      </c>
      <c r="F2994">
        <v>173</v>
      </c>
    </row>
    <row r="2995" spans="1:6">
      <c r="A2995" t="s">
        <v>83</v>
      </c>
      <c r="B2995" t="s">
        <v>25</v>
      </c>
      <c r="C2995" t="s">
        <v>36</v>
      </c>
      <c r="D2995" s="1">
        <v>45386</v>
      </c>
      <c r="E2995" s="2">
        <v>564.14</v>
      </c>
      <c r="F2995">
        <v>50</v>
      </c>
    </row>
    <row r="2996" spans="1:6">
      <c r="A2996" t="s">
        <v>28</v>
      </c>
      <c r="B2996" t="s">
        <v>10</v>
      </c>
      <c r="C2996" t="s">
        <v>11</v>
      </c>
      <c r="D2996" s="1">
        <v>45543</v>
      </c>
      <c r="E2996" s="2">
        <v>21044.07</v>
      </c>
      <c r="F2996">
        <v>210</v>
      </c>
    </row>
    <row r="2997" spans="1:6">
      <c r="A2997" t="s">
        <v>28</v>
      </c>
      <c r="B2997" t="s">
        <v>25</v>
      </c>
      <c r="C2997" t="s">
        <v>42</v>
      </c>
      <c r="D2997" t="s">
        <v>358</v>
      </c>
      <c r="E2997" s="2">
        <v>677.38</v>
      </c>
      <c r="F2997">
        <v>327</v>
      </c>
    </row>
    <row r="2998" spans="1:6">
      <c r="A2998" t="s">
        <v>67</v>
      </c>
      <c r="B2998" t="s">
        <v>35</v>
      </c>
      <c r="C2998" t="s">
        <v>59</v>
      </c>
      <c r="D2998" t="s">
        <v>273</v>
      </c>
      <c r="E2998" s="2">
        <v>4368.01</v>
      </c>
      <c r="F2998">
        <v>29</v>
      </c>
    </row>
    <row r="2999" spans="1:6">
      <c r="A2999" t="s">
        <v>12</v>
      </c>
      <c r="B2999" t="s">
        <v>25</v>
      </c>
      <c r="C2999" t="s">
        <v>33</v>
      </c>
      <c r="D2999" t="s">
        <v>295</v>
      </c>
      <c r="E2999" s="2">
        <v>9866.2000000000007</v>
      </c>
      <c r="F2999">
        <v>306</v>
      </c>
    </row>
    <row r="3000" spans="1:6">
      <c r="A3000" t="s">
        <v>83</v>
      </c>
      <c r="B3000" t="s">
        <v>35</v>
      </c>
      <c r="C3000" t="s">
        <v>18</v>
      </c>
      <c r="D3000" t="s">
        <v>314</v>
      </c>
      <c r="E3000" s="2">
        <v>10723.86</v>
      </c>
      <c r="F3000">
        <v>125</v>
      </c>
    </row>
    <row r="3001" spans="1:6">
      <c r="A3001" t="s">
        <v>53</v>
      </c>
      <c r="B3001" t="s">
        <v>35</v>
      </c>
      <c r="C3001" t="s">
        <v>100</v>
      </c>
      <c r="D3001" t="s">
        <v>303</v>
      </c>
      <c r="E3001" s="2">
        <v>5443.42</v>
      </c>
      <c r="F3001">
        <v>284</v>
      </c>
    </row>
    <row r="3002" spans="1:6">
      <c r="A3002" t="s">
        <v>31</v>
      </c>
      <c r="B3002" t="s">
        <v>35</v>
      </c>
      <c r="C3002" t="s">
        <v>42</v>
      </c>
      <c r="D3002" s="1">
        <v>45568</v>
      </c>
      <c r="E3002" s="2">
        <v>1312.35</v>
      </c>
      <c r="F3002">
        <v>200</v>
      </c>
    </row>
    <row r="3003" spans="1:6">
      <c r="A3003" t="s">
        <v>19</v>
      </c>
      <c r="B3003" t="s">
        <v>7</v>
      </c>
      <c r="C3003" t="s">
        <v>42</v>
      </c>
      <c r="D3003" t="s">
        <v>283</v>
      </c>
      <c r="E3003" s="2">
        <v>8471.68</v>
      </c>
      <c r="F3003">
        <v>162</v>
      </c>
    </row>
    <row r="3004" spans="1:6">
      <c r="A3004" t="s">
        <v>9</v>
      </c>
      <c r="B3004" t="s">
        <v>25</v>
      </c>
      <c r="C3004" t="s">
        <v>36</v>
      </c>
      <c r="D3004" s="1">
        <v>45294</v>
      </c>
      <c r="E3004" s="2">
        <v>5774.6</v>
      </c>
      <c r="F3004">
        <v>178</v>
      </c>
    </row>
    <row r="3005" spans="1:6">
      <c r="A3005" t="s">
        <v>34</v>
      </c>
      <c r="B3005" t="s">
        <v>7</v>
      </c>
      <c r="C3005" t="s">
        <v>38</v>
      </c>
      <c r="D3005" t="s">
        <v>297</v>
      </c>
      <c r="E3005" s="2">
        <v>3780.02</v>
      </c>
      <c r="F3005">
        <v>97</v>
      </c>
    </row>
    <row r="3006" spans="1:6">
      <c r="A3006" t="s">
        <v>19</v>
      </c>
      <c r="B3006" t="s">
        <v>7</v>
      </c>
      <c r="C3006" t="s">
        <v>46</v>
      </c>
      <c r="D3006" s="1">
        <v>45603</v>
      </c>
      <c r="E3006" s="2">
        <v>6831.03</v>
      </c>
      <c r="F3006">
        <v>243</v>
      </c>
    </row>
    <row r="3007" spans="1:6">
      <c r="A3007" t="s">
        <v>37</v>
      </c>
      <c r="B3007" t="s">
        <v>25</v>
      </c>
      <c r="C3007" t="s">
        <v>8</v>
      </c>
      <c r="D3007" s="1">
        <v>45325</v>
      </c>
      <c r="E3007" s="2">
        <v>4834.51</v>
      </c>
      <c r="F3007">
        <v>63</v>
      </c>
    </row>
    <row r="3008" spans="1:6">
      <c r="A3008" t="s">
        <v>6</v>
      </c>
      <c r="B3008" t="s">
        <v>32</v>
      </c>
      <c r="C3008" t="s">
        <v>73</v>
      </c>
      <c r="D3008" s="1">
        <v>45385</v>
      </c>
      <c r="E3008" s="2">
        <v>8119.65</v>
      </c>
      <c r="F3008">
        <v>143</v>
      </c>
    </row>
    <row r="3009" spans="1:6">
      <c r="A3009" t="s">
        <v>70</v>
      </c>
      <c r="B3009" t="s">
        <v>7</v>
      </c>
      <c r="C3009" t="s">
        <v>11</v>
      </c>
      <c r="D3009" t="s">
        <v>348</v>
      </c>
      <c r="E3009" s="2">
        <v>4811.88</v>
      </c>
      <c r="F3009">
        <v>242</v>
      </c>
    </row>
    <row r="3010" spans="1:6">
      <c r="A3010" t="s">
        <v>70</v>
      </c>
      <c r="B3010" t="s">
        <v>32</v>
      </c>
      <c r="C3010" t="s">
        <v>65</v>
      </c>
      <c r="D3010" t="s">
        <v>302</v>
      </c>
      <c r="E3010" s="2">
        <v>5930.01</v>
      </c>
      <c r="F3010">
        <v>252</v>
      </c>
    </row>
    <row r="3011" spans="1:6">
      <c r="A3011" t="s">
        <v>40</v>
      </c>
      <c r="B3011" t="s">
        <v>35</v>
      </c>
      <c r="C3011" t="s">
        <v>33</v>
      </c>
      <c r="D3011" t="s">
        <v>328</v>
      </c>
      <c r="E3011" s="2">
        <v>3040.05</v>
      </c>
      <c r="F3011">
        <v>426</v>
      </c>
    </row>
    <row r="3012" spans="1:6">
      <c r="A3012" t="s">
        <v>58</v>
      </c>
      <c r="B3012" t="s">
        <v>10</v>
      </c>
      <c r="C3012" t="s">
        <v>57</v>
      </c>
      <c r="D3012" t="s">
        <v>326</v>
      </c>
      <c r="E3012" s="2">
        <v>1126.8699999999999</v>
      </c>
      <c r="F3012">
        <v>23</v>
      </c>
    </row>
    <row r="3013" spans="1:6">
      <c r="A3013" t="s">
        <v>28</v>
      </c>
      <c r="B3013" t="s">
        <v>35</v>
      </c>
      <c r="C3013" t="s">
        <v>18</v>
      </c>
      <c r="D3013" t="s">
        <v>336</v>
      </c>
      <c r="E3013" s="2">
        <v>6051.65</v>
      </c>
      <c r="F3013">
        <v>490</v>
      </c>
    </row>
    <row r="3014" spans="1:6">
      <c r="A3014" t="s">
        <v>31</v>
      </c>
      <c r="B3014" t="s">
        <v>35</v>
      </c>
      <c r="C3014" t="s">
        <v>87</v>
      </c>
      <c r="D3014" s="1">
        <v>45353</v>
      </c>
      <c r="E3014" s="2">
        <v>12279.35</v>
      </c>
      <c r="F3014">
        <v>162</v>
      </c>
    </row>
    <row r="3015" spans="1:6">
      <c r="A3015" t="s">
        <v>28</v>
      </c>
      <c r="B3015" t="s">
        <v>10</v>
      </c>
      <c r="C3015" t="s">
        <v>18</v>
      </c>
      <c r="D3015" t="s">
        <v>297</v>
      </c>
      <c r="E3015" s="2">
        <v>7091.66</v>
      </c>
      <c r="F3015">
        <v>28</v>
      </c>
    </row>
    <row r="3016" spans="1:6">
      <c r="A3016" t="s">
        <v>14</v>
      </c>
      <c r="B3016" t="s">
        <v>15</v>
      </c>
      <c r="C3016" t="s">
        <v>38</v>
      </c>
      <c r="D3016" t="s">
        <v>363</v>
      </c>
      <c r="E3016" s="2">
        <v>3160.97</v>
      </c>
      <c r="F3016">
        <v>25</v>
      </c>
    </row>
    <row r="3017" spans="1:6">
      <c r="A3017" t="s">
        <v>28</v>
      </c>
      <c r="B3017" t="s">
        <v>10</v>
      </c>
      <c r="C3017" t="s">
        <v>50</v>
      </c>
      <c r="D3017" t="s">
        <v>313</v>
      </c>
      <c r="E3017" s="2">
        <v>1408.28</v>
      </c>
      <c r="F3017">
        <v>35</v>
      </c>
    </row>
    <row r="3018" spans="1:6">
      <c r="A3018" t="s">
        <v>9</v>
      </c>
      <c r="B3018" t="s">
        <v>7</v>
      </c>
      <c r="C3018" t="s">
        <v>36</v>
      </c>
      <c r="D3018" t="s">
        <v>282</v>
      </c>
      <c r="E3018" s="2">
        <v>5776.61</v>
      </c>
      <c r="F3018">
        <v>114</v>
      </c>
    </row>
    <row r="3019" spans="1:6">
      <c r="A3019" t="s">
        <v>64</v>
      </c>
      <c r="B3019" t="s">
        <v>10</v>
      </c>
      <c r="C3019" t="s">
        <v>90</v>
      </c>
      <c r="D3019" t="s">
        <v>270</v>
      </c>
      <c r="E3019" s="2">
        <v>4890.59</v>
      </c>
      <c r="F3019">
        <v>274</v>
      </c>
    </row>
    <row r="3020" spans="1:6">
      <c r="A3020" t="s">
        <v>6</v>
      </c>
      <c r="B3020" t="s">
        <v>7</v>
      </c>
      <c r="C3020" t="s">
        <v>23</v>
      </c>
      <c r="D3020" t="s">
        <v>275</v>
      </c>
      <c r="E3020" s="2">
        <v>2048.13</v>
      </c>
      <c r="F3020">
        <v>172</v>
      </c>
    </row>
    <row r="3021" spans="1:6">
      <c r="A3021" t="s">
        <v>31</v>
      </c>
      <c r="B3021" t="s">
        <v>35</v>
      </c>
      <c r="C3021" t="s">
        <v>59</v>
      </c>
      <c r="D3021" t="s">
        <v>324</v>
      </c>
      <c r="E3021" s="2">
        <v>4590.46</v>
      </c>
      <c r="F3021">
        <v>1</v>
      </c>
    </row>
    <row r="3022" spans="1:6">
      <c r="A3022" t="s">
        <v>22</v>
      </c>
      <c r="B3022" t="s">
        <v>10</v>
      </c>
      <c r="C3022" t="s">
        <v>42</v>
      </c>
      <c r="D3022" s="1">
        <v>45357</v>
      </c>
      <c r="E3022" s="2">
        <v>8665.99</v>
      </c>
      <c r="F3022">
        <v>162</v>
      </c>
    </row>
    <row r="3023" spans="1:6">
      <c r="A3023" t="s">
        <v>34</v>
      </c>
      <c r="B3023" t="s">
        <v>35</v>
      </c>
      <c r="C3023" t="s">
        <v>18</v>
      </c>
      <c r="D3023" t="s">
        <v>354</v>
      </c>
      <c r="E3023" s="2">
        <v>2202.46</v>
      </c>
      <c r="F3023">
        <v>97</v>
      </c>
    </row>
    <row r="3024" spans="1:6">
      <c r="A3024" t="s">
        <v>34</v>
      </c>
      <c r="B3024" t="s">
        <v>10</v>
      </c>
      <c r="C3024" t="s">
        <v>36</v>
      </c>
      <c r="D3024" s="1">
        <v>45630</v>
      </c>
      <c r="E3024" s="2">
        <v>11720.11</v>
      </c>
      <c r="F3024">
        <v>48</v>
      </c>
    </row>
    <row r="3025" spans="1:6">
      <c r="A3025" t="s">
        <v>29</v>
      </c>
      <c r="B3025" t="s">
        <v>15</v>
      </c>
      <c r="C3025" t="s">
        <v>73</v>
      </c>
      <c r="D3025" t="s">
        <v>311</v>
      </c>
      <c r="E3025" s="2">
        <v>7884.86</v>
      </c>
      <c r="F3025">
        <v>266</v>
      </c>
    </row>
    <row r="3026" spans="1:6">
      <c r="A3026" t="s">
        <v>37</v>
      </c>
      <c r="B3026" t="s">
        <v>7</v>
      </c>
      <c r="C3026" t="s">
        <v>26</v>
      </c>
      <c r="D3026" s="1">
        <v>45447</v>
      </c>
      <c r="E3026" s="2">
        <v>3857.88</v>
      </c>
      <c r="F3026">
        <v>303</v>
      </c>
    </row>
    <row r="3027" spans="1:6">
      <c r="A3027" t="s">
        <v>55</v>
      </c>
      <c r="B3027" t="s">
        <v>15</v>
      </c>
      <c r="C3027" t="s">
        <v>26</v>
      </c>
      <c r="D3027" s="1">
        <v>45330</v>
      </c>
      <c r="E3027" s="2">
        <v>10123.959999999999</v>
      </c>
      <c r="F3027">
        <v>84</v>
      </c>
    </row>
    <row r="3028" spans="1:6">
      <c r="A3028" t="s">
        <v>12</v>
      </c>
      <c r="B3028" t="s">
        <v>15</v>
      </c>
      <c r="C3028" t="s">
        <v>36</v>
      </c>
      <c r="D3028" s="1">
        <v>45630</v>
      </c>
      <c r="E3028" s="2">
        <v>8170.88</v>
      </c>
      <c r="F3028">
        <v>137</v>
      </c>
    </row>
    <row r="3029" spans="1:6">
      <c r="A3029" t="s">
        <v>19</v>
      </c>
      <c r="B3029" t="s">
        <v>10</v>
      </c>
      <c r="C3029" t="s">
        <v>38</v>
      </c>
      <c r="D3029" t="s">
        <v>347</v>
      </c>
      <c r="E3029" s="2">
        <v>19390.61</v>
      </c>
      <c r="F3029">
        <v>141</v>
      </c>
    </row>
    <row r="3030" spans="1:6">
      <c r="A3030" t="s">
        <v>9</v>
      </c>
      <c r="B3030" t="s">
        <v>25</v>
      </c>
      <c r="C3030" t="s">
        <v>87</v>
      </c>
      <c r="D3030" t="s">
        <v>345</v>
      </c>
      <c r="E3030" s="2">
        <v>10197.43</v>
      </c>
      <c r="F3030">
        <v>24</v>
      </c>
    </row>
    <row r="3031" spans="1:6">
      <c r="A3031" t="s">
        <v>53</v>
      </c>
      <c r="B3031" t="s">
        <v>10</v>
      </c>
      <c r="C3031" t="s">
        <v>13</v>
      </c>
      <c r="D3031" s="1">
        <v>45540</v>
      </c>
      <c r="E3031" s="2">
        <v>5188.18</v>
      </c>
      <c r="F3031">
        <v>5</v>
      </c>
    </row>
    <row r="3032" spans="1:6">
      <c r="A3032" t="s">
        <v>67</v>
      </c>
      <c r="B3032" t="s">
        <v>15</v>
      </c>
      <c r="C3032" t="s">
        <v>87</v>
      </c>
      <c r="D3032" s="1">
        <v>45543</v>
      </c>
      <c r="E3032" s="2">
        <v>350.27</v>
      </c>
      <c r="F3032">
        <v>117</v>
      </c>
    </row>
    <row r="3033" spans="1:6">
      <c r="A3033" t="s">
        <v>77</v>
      </c>
      <c r="B3033" t="s">
        <v>35</v>
      </c>
      <c r="C3033" t="s">
        <v>75</v>
      </c>
      <c r="D3033" t="s">
        <v>364</v>
      </c>
      <c r="E3033" s="2">
        <v>3766.32</v>
      </c>
      <c r="F3033">
        <v>300</v>
      </c>
    </row>
    <row r="3034" spans="1:6">
      <c r="A3034" t="s">
        <v>28</v>
      </c>
      <c r="B3034" t="s">
        <v>10</v>
      </c>
      <c r="C3034" t="s">
        <v>100</v>
      </c>
      <c r="D3034" t="s">
        <v>298</v>
      </c>
      <c r="E3034" s="2">
        <v>4888.37</v>
      </c>
      <c r="F3034">
        <v>435</v>
      </c>
    </row>
    <row r="3035" spans="1:6">
      <c r="A3035" t="s">
        <v>6</v>
      </c>
      <c r="B3035" t="s">
        <v>35</v>
      </c>
      <c r="C3035" t="s">
        <v>59</v>
      </c>
      <c r="D3035" t="s">
        <v>267</v>
      </c>
      <c r="E3035" s="2">
        <v>5230.3599999999997</v>
      </c>
      <c r="F3035">
        <v>142</v>
      </c>
    </row>
    <row r="3036" spans="1:6">
      <c r="A3036" t="s">
        <v>67</v>
      </c>
      <c r="B3036" t="s">
        <v>15</v>
      </c>
      <c r="C3036" t="s">
        <v>65</v>
      </c>
      <c r="D3036" t="s">
        <v>320</v>
      </c>
      <c r="E3036" s="2">
        <v>3790.18</v>
      </c>
      <c r="F3036">
        <v>168</v>
      </c>
    </row>
    <row r="3037" spans="1:6">
      <c r="A3037" t="s">
        <v>79</v>
      </c>
      <c r="B3037" t="s">
        <v>35</v>
      </c>
      <c r="C3037" t="s">
        <v>23</v>
      </c>
      <c r="D3037" t="s">
        <v>358</v>
      </c>
      <c r="E3037" s="2">
        <v>302.18</v>
      </c>
      <c r="F3037">
        <v>233</v>
      </c>
    </row>
    <row r="3038" spans="1:6">
      <c r="A3038" t="s">
        <v>37</v>
      </c>
      <c r="B3038" t="s">
        <v>32</v>
      </c>
      <c r="C3038" t="s">
        <v>36</v>
      </c>
      <c r="D3038" t="s">
        <v>318</v>
      </c>
      <c r="E3038" s="2">
        <v>1017.17</v>
      </c>
      <c r="F3038">
        <v>123</v>
      </c>
    </row>
    <row r="3039" spans="1:6">
      <c r="A3039" t="s">
        <v>37</v>
      </c>
      <c r="B3039" t="s">
        <v>35</v>
      </c>
      <c r="C3039" t="s">
        <v>57</v>
      </c>
      <c r="D3039" s="1">
        <v>45328</v>
      </c>
      <c r="E3039" s="2">
        <v>241.36</v>
      </c>
      <c r="F3039">
        <v>17</v>
      </c>
    </row>
    <row r="3040" spans="1:6">
      <c r="A3040" t="s">
        <v>22</v>
      </c>
      <c r="B3040" t="s">
        <v>32</v>
      </c>
      <c r="C3040" t="s">
        <v>11</v>
      </c>
      <c r="D3040" t="s">
        <v>283</v>
      </c>
      <c r="E3040" s="2">
        <v>8347.2999999999993</v>
      </c>
      <c r="F3040">
        <v>138</v>
      </c>
    </row>
    <row r="3041" spans="1:6">
      <c r="A3041" t="s">
        <v>79</v>
      </c>
      <c r="B3041" t="s">
        <v>25</v>
      </c>
      <c r="C3041" t="s">
        <v>73</v>
      </c>
      <c r="D3041" s="1">
        <v>45567</v>
      </c>
      <c r="E3041" s="2">
        <v>6291.74</v>
      </c>
      <c r="F3041">
        <v>88</v>
      </c>
    </row>
    <row r="3042" spans="1:6">
      <c r="A3042" t="s">
        <v>40</v>
      </c>
      <c r="B3042" t="s">
        <v>35</v>
      </c>
      <c r="C3042" t="s">
        <v>90</v>
      </c>
      <c r="D3042" t="s">
        <v>288</v>
      </c>
      <c r="E3042" s="2">
        <v>1543.77</v>
      </c>
      <c r="F3042">
        <v>674</v>
      </c>
    </row>
    <row r="3043" spans="1:6">
      <c r="A3043" t="s">
        <v>58</v>
      </c>
      <c r="B3043" t="s">
        <v>10</v>
      </c>
      <c r="C3043" t="s">
        <v>42</v>
      </c>
      <c r="D3043" t="s">
        <v>302</v>
      </c>
      <c r="E3043" s="2">
        <v>9744.5</v>
      </c>
      <c r="F3043">
        <v>225</v>
      </c>
    </row>
    <row r="3044" spans="1:6">
      <c r="A3044" t="s">
        <v>71</v>
      </c>
      <c r="B3044" t="s">
        <v>7</v>
      </c>
      <c r="C3044" t="s">
        <v>8</v>
      </c>
      <c r="D3044" t="s">
        <v>296</v>
      </c>
      <c r="E3044" s="2">
        <v>5414.75</v>
      </c>
      <c r="F3044">
        <v>325</v>
      </c>
    </row>
    <row r="3045" spans="1:6">
      <c r="A3045" t="s">
        <v>28</v>
      </c>
      <c r="B3045" t="s">
        <v>32</v>
      </c>
      <c r="C3045" t="s">
        <v>100</v>
      </c>
      <c r="D3045" t="s">
        <v>298</v>
      </c>
      <c r="E3045" s="2">
        <v>1898.07</v>
      </c>
      <c r="F3045">
        <v>22</v>
      </c>
    </row>
    <row r="3046" spans="1:6">
      <c r="A3046" t="s">
        <v>77</v>
      </c>
      <c r="B3046" t="s">
        <v>15</v>
      </c>
      <c r="C3046" t="s">
        <v>20</v>
      </c>
      <c r="D3046" s="1">
        <v>45299</v>
      </c>
      <c r="E3046" s="2">
        <v>4911.08</v>
      </c>
      <c r="F3046">
        <v>163</v>
      </c>
    </row>
    <row r="3047" spans="1:6">
      <c r="A3047" t="s">
        <v>34</v>
      </c>
      <c r="B3047" t="s">
        <v>15</v>
      </c>
      <c r="C3047" t="s">
        <v>36</v>
      </c>
      <c r="D3047" t="s">
        <v>289</v>
      </c>
      <c r="E3047" s="2">
        <v>11293.17</v>
      </c>
      <c r="F3047">
        <v>219</v>
      </c>
    </row>
    <row r="3048" spans="1:6">
      <c r="A3048" t="s">
        <v>40</v>
      </c>
      <c r="B3048" t="s">
        <v>10</v>
      </c>
      <c r="C3048" t="s">
        <v>20</v>
      </c>
      <c r="D3048" t="s">
        <v>284</v>
      </c>
      <c r="E3048" s="2">
        <v>12398.37</v>
      </c>
      <c r="F3048">
        <v>161</v>
      </c>
    </row>
    <row r="3049" spans="1:6">
      <c r="A3049" t="s">
        <v>53</v>
      </c>
      <c r="B3049" t="s">
        <v>32</v>
      </c>
      <c r="C3049" t="s">
        <v>57</v>
      </c>
      <c r="D3049" t="s">
        <v>365</v>
      </c>
      <c r="E3049" s="2">
        <v>1508.57</v>
      </c>
      <c r="F3049">
        <v>28</v>
      </c>
    </row>
    <row r="3050" spans="1:6">
      <c r="A3050" t="s">
        <v>70</v>
      </c>
      <c r="B3050" t="s">
        <v>15</v>
      </c>
      <c r="C3050" t="s">
        <v>65</v>
      </c>
      <c r="D3050" t="s">
        <v>277</v>
      </c>
      <c r="E3050" s="2">
        <v>5869.09</v>
      </c>
      <c r="F3050">
        <v>354</v>
      </c>
    </row>
    <row r="3051" spans="1:6">
      <c r="A3051" t="s">
        <v>83</v>
      </c>
      <c r="B3051" t="s">
        <v>32</v>
      </c>
      <c r="C3051" t="s">
        <v>46</v>
      </c>
      <c r="D3051" t="s">
        <v>347</v>
      </c>
      <c r="E3051" s="2">
        <v>2770.47</v>
      </c>
      <c r="F3051">
        <v>159</v>
      </c>
    </row>
    <row r="3052" spans="1:6">
      <c r="A3052" t="s">
        <v>14</v>
      </c>
      <c r="B3052" t="s">
        <v>7</v>
      </c>
      <c r="C3052" t="s">
        <v>90</v>
      </c>
      <c r="D3052" s="1">
        <v>45330</v>
      </c>
      <c r="E3052" s="2">
        <v>3541.73</v>
      </c>
      <c r="F3052">
        <v>494</v>
      </c>
    </row>
    <row r="3053" spans="1:6">
      <c r="A3053" t="s">
        <v>28</v>
      </c>
      <c r="B3053" t="s">
        <v>25</v>
      </c>
      <c r="C3053" t="s">
        <v>100</v>
      </c>
      <c r="D3053" t="s">
        <v>280</v>
      </c>
      <c r="E3053" s="2">
        <v>7624.41</v>
      </c>
      <c r="F3053">
        <v>139</v>
      </c>
    </row>
    <row r="3054" spans="1:6">
      <c r="A3054" t="s">
        <v>19</v>
      </c>
      <c r="B3054" t="s">
        <v>10</v>
      </c>
      <c r="C3054" t="s">
        <v>11</v>
      </c>
      <c r="D3054" s="1">
        <v>45419</v>
      </c>
      <c r="E3054" s="2">
        <v>9928.42</v>
      </c>
      <c r="F3054">
        <v>130</v>
      </c>
    </row>
    <row r="3055" spans="1:6">
      <c r="A3055" t="s">
        <v>55</v>
      </c>
      <c r="B3055" t="s">
        <v>25</v>
      </c>
      <c r="C3055" t="s">
        <v>18</v>
      </c>
      <c r="D3055" s="1">
        <v>45630</v>
      </c>
      <c r="E3055" s="2">
        <v>7.67</v>
      </c>
      <c r="F3055">
        <v>548</v>
      </c>
    </row>
    <row r="3056" spans="1:6">
      <c r="A3056" t="s">
        <v>12</v>
      </c>
      <c r="B3056" t="s">
        <v>15</v>
      </c>
      <c r="C3056" t="s">
        <v>100</v>
      </c>
      <c r="D3056" t="s">
        <v>304</v>
      </c>
      <c r="E3056" s="2">
        <v>1624.86</v>
      </c>
      <c r="F3056">
        <v>103</v>
      </c>
    </row>
    <row r="3057" spans="1:6">
      <c r="A3057" t="s">
        <v>14</v>
      </c>
      <c r="B3057" t="s">
        <v>7</v>
      </c>
      <c r="C3057" t="s">
        <v>26</v>
      </c>
      <c r="D3057" s="1">
        <v>45627</v>
      </c>
      <c r="E3057" s="2">
        <v>6301.56</v>
      </c>
      <c r="F3057">
        <v>287</v>
      </c>
    </row>
    <row r="3058" spans="1:6">
      <c r="A3058" t="s">
        <v>22</v>
      </c>
      <c r="B3058" t="s">
        <v>35</v>
      </c>
      <c r="C3058" t="s">
        <v>59</v>
      </c>
      <c r="D3058" s="1">
        <v>45604</v>
      </c>
      <c r="E3058" s="2">
        <v>8578.4</v>
      </c>
      <c r="F3058">
        <v>15</v>
      </c>
    </row>
    <row r="3059" spans="1:6">
      <c r="A3059" t="s">
        <v>6</v>
      </c>
      <c r="B3059" t="s">
        <v>15</v>
      </c>
      <c r="C3059" t="s">
        <v>50</v>
      </c>
      <c r="D3059" t="s">
        <v>270</v>
      </c>
      <c r="E3059" s="2">
        <v>5573.57</v>
      </c>
      <c r="F3059">
        <v>372</v>
      </c>
    </row>
    <row r="3060" spans="1:6">
      <c r="A3060" t="s">
        <v>53</v>
      </c>
      <c r="B3060" t="s">
        <v>7</v>
      </c>
      <c r="C3060" t="s">
        <v>87</v>
      </c>
      <c r="D3060" t="s">
        <v>322</v>
      </c>
      <c r="E3060" s="2">
        <v>3465.68</v>
      </c>
      <c r="F3060">
        <v>133</v>
      </c>
    </row>
    <row r="3061" spans="1:6">
      <c r="A3061" t="s">
        <v>29</v>
      </c>
      <c r="B3061" t="s">
        <v>25</v>
      </c>
      <c r="C3061" t="s">
        <v>23</v>
      </c>
      <c r="D3061" s="1">
        <v>45480</v>
      </c>
      <c r="E3061" s="2">
        <v>1245.9100000000001</v>
      </c>
      <c r="F3061">
        <v>90</v>
      </c>
    </row>
    <row r="3062" spans="1:6">
      <c r="A3062" t="s">
        <v>77</v>
      </c>
      <c r="B3062" t="s">
        <v>25</v>
      </c>
      <c r="C3062" t="s">
        <v>8</v>
      </c>
      <c r="D3062" s="1">
        <v>45599</v>
      </c>
      <c r="E3062" s="2">
        <v>8888.61</v>
      </c>
      <c r="F3062">
        <v>4</v>
      </c>
    </row>
    <row r="3063" spans="1:6">
      <c r="A3063" t="s">
        <v>77</v>
      </c>
      <c r="B3063" t="s">
        <v>7</v>
      </c>
      <c r="C3063" t="s">
        <v>100</v>
      </c>
      <c r="D3063" t="s">
        <v>274</v>
      </c>
      <c r="E3063" s="2">
        <v>5931.82</v>
      </c>
      <c r="F3063">
        <v>243</v>
      </c>
    </row>
    <row r="3064" spans="1:6">
      <c r="A3064" t="s">
        <v>31</v>
      </c>
      <c r="B3064" t="s">
        <v>15</v>
      </c>
      <c r="C3064" t="s">
        <v>42</v>
      </c>
      <c r="D3064" s="1">
        <v>45474</v>
      </c>
      <c r="E3064" s="2">
        <v>2620.66</v>
      </c>
      <c r="F3064">
        <v>34</v>
      </c>
    </row>
    <row r="3065" spans="1:6">
      <c r="A3065" t="s">
        <v>41</v>
      </c>
      <c r="B3065" t="s">
        <v>25</v>
      </c>
      <c r="C3065" t="s">
        <v>38</v>
      </c>
      <c r="D3065" s="1">
        <v>45627</v>
      </c>
      <c r="E3065" s="2">
        <v>1284.3699999999999</v>
      </c>
      <c r="F3065">
        <v>560</v>
      </c>
    </row>
    <row r="3066" spans="1:6">
      <c r="A3066" t="s">
        <v>41</v>
      </c>
      <c r="B3066" t="s">
        <v>10</v>
      </c>
      <c r="C3066" t="s">
        <v>36</v>
      </c>
      <c r="D3066" s="1">
        <v>45541</v>
      </c>
      <c r="E3066" s="2">
        <v>11033.61</v>
      </c>
      <c r="F3066">
        <v>155</v>
      </c>
    </row>
    <row r="3067" spans="1:6">
      <c r="A3067" t="s">
        <v>67</v>
      </c>
      <c r="B3067" t="s">
        <v>10</v>
      </c>
      <c r="C3067" t="s">
        <v>36</v>
      </c>
      <c r="D3067" t="s">
        <v>295</v>
      </c>
      <c r="E3067" s="2">
        <v>2413.0500000000002</v>
      </c>
      <c r="F3067">
        <v>82</v>
      </c>
    </row>
    <row r="3068" spans="1:6">
      <c r="A3068" t="s">
        <v>12</v>
      </c>
      <c r="B3068" t="s">
        <v>7</v>
      </c>
      <c r="C3068" t="s">
        <v>11</v>
      </c>
      <c r="D3068" t="s">
        <v>348</v>
      </c>
      <c r="E3068" s="2">
        <v>13136.08</v>
      </c>
      <c r="F3068">
        <v>90</v>
      </c>
    </row>
    <row r="3069" spans="1:6">
      <c r="A3069" t="s">
        <v>45</v>
      </c>
      <c r="B3069" t="s">
        <v>7</v>
      </c>
      <c r="C3069" t="s">
        <v>73</v>
      </c>
      <c r="D3069" t="s">
        <v>313</v>
      </c>
      <c r="E3069" s="2">
        <v>14297.82</v>
      </c>
      <c r="F3069">
        <v>211</v>
      </c>
    </row>
    <row r="3070" spans="1:6">
      <c r="A3070" t="s">
        <v>79</v>
      </c>
      <c r="B3070" t="s">
        <v>7</v>
      </c>
      <c r="C3070" t="s">
        <v>8</v>
      </c>
      <c r="D3070" t="s">
        <v>366</v>
      </c>
      <c r="E3070" s="2">
        <v>2837.65</v>
      </c>
      <c r="F3070">
        <v>212</v>
      </c>
    </row>
    <row r="3071" spans="1:6">
      <c r="A3071" t="s">
        <v>31</v>
      </c>
      <c r="B3071" t="s">
        <v>35</v>
      </c>
      <c r="C3071" t="s">
        <v>38</v>
      </c>
      <c r="D3071" t="s">
        <v>360</v>
      </c>
      <c r="E3071" s="2">
        <v>7496.03</v>
      </c>
      <c r="F3071">
        <v>259</v>
      </c>
    </row>
    <row r="3072" spans="1:6">
      <c r="A3072" t="s">
        <v>19</v>
      </c>
      <c r="B3072" t="s">
        <v>32</v>
      </c>
      <c r="C3072" t="s">
        <v>46</v>
      </c>
      <c r="D3072" t="s">
        <v>333</v>
      </c>
      <c r="E3072" s="2">
        <v>1815.29</v>
      </c>
      <c r="F3072">
        <v>79</v>
      </c>
    </row>
    <row r="3073" spans="1:6">
      <c r="A3073" t="s">
        <v>19</v>
      </c>
      <c r="B3073" t="s">
        <v>7</v>
      </c>
      <c r="C3073" t="s">
        <v>33</v>
      </c>
      <c r="D3073" t="s">
        <v>287</v>
      </c>
      <c r="E3073" s="2">
        <v>8250.0300000000007</v>
      </c>
      <c r="F3073">
        <v>228</v>
      </c>
    </row>
    <row r="3074" spans="1:6">
      <c r="A3074" t="s">
        <v>48</v>
      </c>
      <c r="B3074" t="s">
        <v>35</v>
      </c>
      <c r="C3074" t="s">
        <v>13</v>
      </c>
      <c r="D3074" t="s">
        <v>286</v>
      </c>
      <c r="E3074" s="2">
        <v>5605.82</v>
      </c>
      <c r="F3074">
        <v>64</v>
      </c>
    </row>
    <row r="3075" spans="1:6">
      <c r="A3075" t="s">
        <v>12</v>
      </c>
      <c r="B3075" t="s">
        <v>10</v>
      </c>
      <c r="C3075" t="s">
        <v>59</v>
      </c>
      <c r="D3075" t="s">
        <v>327</v>
      </c>
      <c r="E3075" s="2">
        <v>1563.39</v>
      </c>
      <c r="F3075">
        <v>179</v>
      </c>
    </row>
    <row r="3076" spans="1:6">
      <c r="A3076" t="s">
        <v>53</v>
      </c>
      <c r="B3076" t="s">
        <v>35</v>
      </c>
      <c r="C3076" t="s">
        <v>75</v>
      </c>
      <c r="D3076" t="s">
        <v>318</v>
      </c>
      <c r="E3076" s="2">
        <v>3997.02</v>
      </c>
      <c r="F3076">
        <v>411</v>
      </c>
    </row>
    <row r="3077" spans="1:6">
      <c r="A3077" t="s">
        <v>64</v>
      </c>
      <c r="B3077" t="s">
        <v>10</v>
      </c>
      <c r="C3077" t="s">
        <v>75</v>
      </c>
      <c r="D3077" t="s">
        <v>289</v>
      </c>
      <c r="E3077" s="2">
        <v>3284.22</v>
      </c>
      <c r="F3077">
        <v>230</v>
      </c>
    </row>
    <row r="3078" spans="1:6">
      <c r="A3078" t="s">
        <v>64</v>
      </c>
      <c r="B3078" t="s">
        <v>25</v>
      </c>
      <c r="C3078" t="s">
        <v>87</v>
      </c>
      <c r="D3078" t="s">
        <v>340</v>
      </c>
      <c r="E3078" s="2">
        <v>4609.67</v>
      </c>
      <c r="F3078">
        <v>58</v>
      </c>
    </row>
    <row r="3079" spans="1:6">
      <c r="A3079" t="s">
        <v>55</v>
      </c>
      <c r="B3079" t="s">
        <v>7</v>
      </c>
      <c r="C3079" t="s">
        <v>75</v>
      </c>
      <c r="D3079" s="1">
        <v>45359</v>
      </c>
      <c r="E3079" s="2">
        <v>9412.06</v>
      </c>
      <c r="F3079">
        <v>123</v>
      </c>
    </row>
    <row r="3080" spans="1:6">
      <c r="A3080" t="s">
        <v>58</v>
      </c>
      <c r="B3080" t="s">
        <v>25</v>
      </c>
      <c r="C3080" t="s">
        <v>42</v>
      </c>
      <c r="D3080" s="1">
        <v>45383</v>
      </c>
      <c r="E3080" s="2">
        <v>427.36</v>
      </c>
      <c r="F3080">
        <v>249</v>
      </c>
    </row>
    <row r="3081" spans="1:6">
      <c r="A3081" t="s">
        <v>70</v>
      </c>
      <c r="B3081" t="s">
        <v>35</v>
      </c>
      <c r="C3081" t="s">
        <v>23</v>
      </c>
      <c r="D3081" t="s">
        <v>270</v>
      </c>
      <c r="E3081" s="2">
        <v>19449.02</v>
      </c>
      <c r="F3081">
        <v>204</v>
      </c>
    </row>
    <row r="3082" spans="1:6">
      <c r="A3082" t="s">
        <v>9</v>
      </c>
      <c r="B3082" t="s">
        <v>15</v>
      </c>
      <c r="C3082" t="s">
        <v>87</v>
      </c>
      <c r="D3082" s="1">
        <v>45601</v>
      </c>
      <c r="E3082" s="2">
        <v>14122.44</v>
      </c>
      <c r="F3082">
        <v>32</v>
      </c>
    </row>
    <row r="3083" spans="1:6">
      <c r="A3083" t="s">
        <v>53</v>
      </c>
      <c r="B3083" t="s">
        <v>25</v>
      </c>
      <c r="C3083" t="s">
        <v>13</v>
      </c>
      <c r="D3083" t="s">
        <v>274</v>
      </c>
      <c r="E3083" s="2">
        <v>2257.14</v>
      </c>
      <c r="F3083">
        <v>231</v>
      </c>
    </row>
    <row r="3084" spans="1:6">
      <c r="A3084" t="s">
        <v>55</v>
      </c>
      <c r="B3084" t="s">
        <v>7</v>
      </c>
      <c r="C3084" t="s">
        <v>90</v>
      </c>
      <c r="D3084" t="s">
        <v>325</v>
      </c>
      <c r="E3084" s="2">
        <v>11334.21</v>
      </c>
      <c r="F3084">
        <v>72</v>
      </c>
    </row>
    <row r="3085" spans="1:6">
      <c r="A3085" t="s">
        <v>6</v>
      </c>
      <c r="B3085" t="s">
        <v>7</v>
      </c>
      <c r="C3085" t="s">
        <v>38</v>
      </c>
      <c r="D3085" s="1">
        <v>45353</v>
      </c>
      <c r="E3085" s="2">
        <v>7865.93</v>
      </c>
      <c r="F3085">
        <v>436</v>
      </c>
    </row>
    <row r="3086" spans="1:6">
      <c r="A3086" t="s">
        <v>41</v>
      </c>
      <c r="B3086" t="s">
        <v>10</v>
      </c>
      <c r="C3086" t="s">
        <v>60</v>
      </c>
      <c r="D3086" s="1">
        <v>45448</v>
      </c>
      <c r="E3086" s="2">
        <v>11462.32</v>
      </c>
      <c r="F3086">
        <v>172</v>
      </c>
    </row>
    <row r="3087" spans="1:6">
      <c r="A3087" t="s">
        <v>22</v>
      </c>
      <c r="B3087" t="s">
        <v>7</v>
      </c>
      <c r="C3087" t="s">
        <v>75</v>
      </c>
      <c r="D3087" t="s">
        <v>283</v>
      </c>
      <c r="E3087" s="2">
        <v>6154.53</v>
      </c>
      <c r="F3087">
        <v>132</v>
      </c>
    </row>
    <row r="3088" spans="1:6">
      <c r="A3088" t="s">
        <v>22</v>
      </c>
      <c r="B3088" t="s">
        <v>7</v>
      </c>
      <c r="C3088" t="s">
        <v>18</v>
      </c>
      <c r="D3088" t="s">
        <v>345</v>
      </c>
      <c r="E3088" s="2">
        <v>867.5</v>
      </c>
      <c r="F3088">
        <v>143</v>
      </c>
    </row>
    <row r="3089" spans="1:6">
      <c r="A3089" t="s">
        <v>71</v>
      </c>
      <c r="B3089" t="s">
        <v>35</v>
      </c>
      <c r="C3089" t="s">
        <v>33</v>
      </c>
      <c r="D3089" t="s">
        <v>276</v>
      </c>
      <c r="E3089" s="2">
        <v>9056.1</v>
      </c>
      <c r="F3089">
        <v>58</v>
      </c>
    </row>
    <row r="3090" spans="1:6">
      <c r="A3090" t="s">
        <v>6</v>
      </c>
      <c r="B3090" t="s">
        <v>7</v>
      </c>
      <c r="C3090" t="s">
        <v>11</v>
      </c>
      <c r="D3090" s="1">
        <v>45480</v>
      </c>
      <c r="E3090" s="2">
        <v>6569.4</v>
      </c>
      <c r="F3090">
        <v>66</v>
      </c>
    </row>
    <row r="3091" spans="1:6">
      <c r="A3091" t="s">
        <v>19</v>
      </c>
      <c r="B3091" t="s">
        <v>7</v>
      </c>
      <c r="C3091" t="s">
        <v>100</v>
      </c>
      <c r="D3091" t="s">
        <v>314</v>
      </c>
      <c r="E3091" s="2">
        <v>7431</v>
      </c>
      <c r="F3091">
        <v>180</v>
      </c>
    </row>
    <row r="3092" spans="1:6">
      <c r="A3092" t="s">
        <v>70</v>
      </c>
      <c r="B3092" t="s">
        <v>7</v>
      </c>
      <c r="C3092" t="s">
        <v>20</v>
      </c>
      <c r="D3092" s="1">
        <v>45634</v>
      </c>
      <c r="E3092" s="2">
        <v>3672.65</v>
      </c>
      <c r="F3092">
        <v>124</v>
      </c>
    </row>
    <row r="3093" spans="1:6">
      <c r="A3093" t="s">
        <v>12</v>
      </c>
      <c r="B3093" t="s">
        <v>25</v>
      </c>
      <c r="C3093" t="s">
        <v>23</v>
      </c>
      <c r="D3093" t="s">
        <v>330</v>
      </c>
      <c r="E3093" s="2">
        <v>6464.8</v>
      </c>
      <c r="F3093">
        <v>189</v>
      </c>
    </row>
    <row r="3094" spans="1:6">
      <c r="A3094" t="s">
        <v>19</v>
      </c>
      <c r="B3094" t="s">
        <v>15</v>
      </c>
      <c r="C3094" t="s">
        <v>26</v>
      </c>
      <c r="D3094" s="1">
        <v>45448</v>
      </c>
      <c r="E3094" s="2">
        <v>813.58</v>
      </c>
      <c r="F3094">
        <v>163</v>
      </c>
    </row>
    <row r="3095" spans="1:6">
      <c r="A3095" t="s">
        <v>19</v>
      </c>
      <c r="B3095" t="s">
        <v>35</v>
      </c>
      <c r="C3095" t="s">
        <v>26</v>
      </c>
      <c r="D3095" t="s">
        <v>349</v>
      </c>
      <c r="E3095" s="2">
        <v>7301.81</v>
      </c>
      <c r="F3095">
        <v>134</v>
      </c>
    </row>
    <row r="3096" spans="1:6">
      <c r="A3096" t="s">
        <v>31</v>
      </c>
      <c r="B3096" t="s">
        <v>32</v>
      </c>
      <c r="C3096" t="s">
        <v>59</v>
      </c>
      <c r="D3096" s="1">
        <v>45417</v>
      </c>
      <c r="E3096" s="2">
        <v>8523.42</v>
      </c>
      <c r="F3096">
        <v>171</v>
      </c>
    </row>
    <row r="3097" spans="1:6">
      <c r="A3097" t="s">
        <v>29</v>
      </c>
      <c r="B3097" t="s">
        <v>25</v>
      </c>
      <c r="C3097" t="s">
        <v>20</v>
      </c>
      <c r="D3097" t="s">
        <v>338</v>
      </c>
      <c r="E3097" s="2">
        <v>3822.64</v>
      </c>
      <c r="F3097">
        <v>85</v>
      </c>
    </row>
    <row r="3098" spans="1:6">
      <c r="A3098" t="s">
        <v>48</v>
      </c>
      <c r="B3098" t="s">
        <v>15</v>
      </c>
      <c r="C3098" t="s">
        <v>90</v>
      </c>
      <c r="D3098" t="s">
        <v>273</v>
      </c>
      <c r="E3098" s="2">
        <v>10219.39</v>
      </c>
      <c r="F3098">
        <v>139</v>
      </c>
    </row>
    <row r="3099" spans="1:6">
      <c r="A3099" t="s">
        <v>48</v>
      </c>
      <c r="B3099" t="s">
        <v>25</v>
      </c>
      <c r="C3099" t="s">
        <v>11</v>
      </c>
      <c r="D3099" s="1">
        <v>45631</v>
      </c>
      <c r="E3099" s="2">
        <v>5798.43</v>
      </c>
      <c r="F3099">
        <v>206</v>
      </c>
    </row>
    <row r="3100" spans="1:6">
      <c r="A3100" t="s">
        <v>31</v>
      </c>
      <c r="B3100" t="s">
        <v>25</v>
      </c>
      <c r="C3100" t="s">
        <v>18</v>
      </c>
      <c r="D3100" t="s">
        <v>267</v>
      </c>
      <c r="E3100" s="2">
        <v>4487.01</v>
      </c>
      <c r="F3100">
        <v>184</v>
      </c>
    </row>
    <row r="3101" spans="1:6">
      <c r="A3101" t="s">
        <v>83</v>
      </c>
      <c r="B3101" t="s">
        <v>7</v>
      </c>
      <c r="C3101" t="s">
        <v>11</v>
      </c>
      <c r="D3101" t="s">
        <v>294</v>
      </c>
      <c r="E3101" s="2">
        <v>17237.669999999998</v>
      </c>
      <c r="F3101">
        <v>13</v>
      </c>
    </row>
    <row r="3102" spans="1:6">
      <c r="A3102" t="s">
        <v>58</v>
      </c>
      <c r="B3102" t="s">
        <v>15</v>
      </c>
      <c r="C3102" t="s">
        <v>38</v>
      </c>
      <c r="D3102" t="s">
        <v>301</v>
      </c>
      <c r="E3102" s="2">
        <v>7497.22</v>
      </c>
      <c r="F3102">
        <v>184</v>
      </c>
    </row>
    <row r="3103" spans="1:6">
      <c r="A3103" t="s">
        <v>45</v>
      </c>
      <c r="B3103" t="s">
        <v>32</v>
      </c>
      <c r="C3103" t="s">
        <v>46</v>
      </c>
      <c r="D3103" t="s">
        <v>295</v>
      </c>
      <c r="E3103" s="2">
        <v>3034.06</v>
      </c>
      <c r="F3103">
        <v>245</v>
      </c>
    </row>
    <row r="3104" spans="1:6">
      <c r="A3104" t="s">
        <v>14</v>
      </c>
      <c r="B3104" t="s">
        <v>10</v>
      </c>
      <c r="C3104" t="s">
        <v>23</v>
      </c>
      <c r="D3104" t="s">
        <v>278</v>
      </c>
      <c r="E3104" s="2">
        <v>6795.06</v>
      </c>
      <c r="F3104">
        <v>177</v>
      </c>
    </row>
    <row r="3105" spans="1:6">
      <c r="A3105" t="s">
        <v>22</v>
      </c>
      <c r="B3105" t="s">
        <v>32</v>
      </c>
      <c r="C3105" t="s">
        <v>23</v>
      </c>
      <c r="D3105" t="s">
        <v>318</v>
      </c>
      <c r="E3105" s="2">
        <v>4273.09</v>
      </c>
      <c r="F3105">
        <v>280</v>
      </c>
    </row>
    <row r="3106" spans="1:6">
      <c r="A3106" t="s">
        <v>83</v>
      </c>
      <c r="B3106" t="s">
        <v>10</v>
      </c>
      <c r="C3106" t="s">
        <v>33</v>
      </c>
      <c r="D3106" t="s">
        <v>274</v>
      </c>
      <c r="E3106" s="2">
        <v>1412.6</v>
      </c>
      <c r="F3106">
        <v>278</v>
      </c>
    </row>
    <row r="3107" spans="1:6">
      <c r="A3107" t="s">
        <v>34</v>
      </c>
      <c r="B3107" t="s">
        <v>7</v>
      </c>
      <c r="C3107" t="s">
        <v>60</v>
      </c>
      <c r="D3107" t="s">
        <v>280</v>
      </c>
      <c r="E3107" s="2">
        <v>9852.89</v>
      </c>
      <c r="F3107">
        <v>43</v>
      </c>
    </row>
    <row r="3108" spans="1:6">
      <c r="A3108" t="s">
        <v>31</v>
      </c>
      <c r="B3108" t="s">
        <v>15</v>
      </c>
      <c r="C3108" t="s">
        <v>73</v>
      </c>
      <c r="D3108" t="s">
        <v>297</v>
      </c>
      <c r="E3108" s="2">
        <v>10744.23</v>
      </c>
      <c r="F3108">
        <v>105</v>
      </c>
    </row>
    <row r="3109" spans="1:6">
      <c r="A3109" t="s">
        <v>64</v>
      </c>
      <c r="B3109" t="s">
        <v>32</v>
      </c>
      <c r="C3109" t="s">
        <v>38</v>
      </c>
      <c r="D3109" t="s">
        <v>333</v>
      </c>
      <c r="E3109" s="2">
        <v>1213.6300000000001</v>
      </c>
      <c r="F3109">
        <v>101</v>
      </c>
    </row>
    <row r="3110" spans="1:6">
      <c r="A3110" t="s">
        <v>64</v>
      </c>
      <c r="B3110" t="s">
        <v>10</v>
      </c>
      <c r="C3110" t="s">
        <v>36</v>
      </c>
      <c r="D3110" t="s">
        <v>310</v>
      </c>
      <c r="E3110" s="2">
        <v>4263.93</v>
      </c>
      <c r="F3110">
        <v>80</v>
      </c>
    </row>
    <row r="3111" spans="1:6">
      <c r="A3111" t="s">
        <v>64</v>
      </c>
      <c r="B3111" t="s">
        <v>10</v>
      </c>
      <c r="C3111" t="s">
        <v>23</v>
      </c>
      <c r="D3111" s="1">
        <v>45390</v>
      </c>
      <c r="E3111" s="2">
        <v>13808.46</v>
      </c>
      <c r="F3111">
        <v>270</v>
      </c>
    </row>
    <row r="3112" spans="1:6">
      <c r="A3112" t="s">
        <v>70</v>
      </c>
      <c r="B3112" t="s">
        <v>10</v>
      </c>
      <c r="C3112" t="s">
        <v>20</v>
      </c>
      <c r="D3112" t="s">
        <v>294</v>
      </c>
      <c r="E3112" s="2">
        <v>2411.9299999999998</v>
      </c>
      <c r="F3112">
        <v>248</v>
      </c>
    </row>
    <row r="3113" spans="1:6">
      <c r="A3113" t="s">
        <v>22</v>
      </c>
      <c r="B3113" t="s">
        <v>35</v>
      </c>
      <c r="C3113" t="s">
        <v>50</v>
      </c>
      <c r="D3113" s="1">
        <v>45416</v>
      </c>
      <c r="E3113" s="2">
        <v>14603.41</v>
      </c>
      <c r="F3113">
        <v>12</v>
      </c>
    </row>
    <row r="3114" spans="1:6">
      <c r="A3114" t="s">
        <v>77</v>
      </c>
      <c r="B3114" t="s">
        <v>35</v>
      </c>
      <c r="C3114" t="s">
        <v>13</v>
      </c>
      <c r="D3114" s="1">
        <v>45419</v>
      </c>
      <c r="E3114" s="2">
        <v>17813.77</v>
      </c>
      <c r="F3114">
        <v>120</v>
      </c>
    </row>
    <row r="3115" spans="1:6">
      <c r="A3115" t="s">
        <v>55</v>
      </c>
      <c r="B3115" t="s">
        <v>25</v>
      </c>
      <c r="C3115" t="s">
        <v>36</v>
      </c>
      <c r="D3115" t="s">
        <v>367</v>
      </c>
      <c r="E3115" s="2">
        <v>14346.28</v>
      </c>
      <c r="F3115">
        <v>48</v>
      </c>
    </row>
    <row r="3116" spans="1:6">
      <c r="A3116" t="s">
        <v>83</v>
      </c>
      <c r="B3116" t="s">
        <v>25</v>
      </c>
      <c r="C3116" t="s">
        <v>38</v>
      </c>
      <c r="D3116" t="s">
        <v>274</v>
      </c>
      <c r="E3116" s="2">
        <v>10009.51</v>
      </c>
      <c r="F3116">
        <v>144</v>
      </c>
    </row>
    <row r="3117" spans="1:6">
      <c r="A3117" t="s">
        <v>48</v>
      </c>
      <c r="B3117" t="s">
        <v>7</v>
      </c>
      <c r="C3117" t="s">
        <v>38</v>
      </c>
      <c r="D3117" s="1">
        <v>45633</v>
      </c>
      <c r="E3117" s="2">
        <v>494.27</v>
      </c>
      <c r="F3117">
        <v>186</v>
      </c>
    </row>
    <row r="3118" spans="1:6">
      <c r="A3118" t="s">
        <v>70</v>
      </c>
      <c r="B3118" t="s">
        <v>10</v>
      </c>
      <c r="C3118" t="s">
        <v>73</v>
      </c>
      <c r="D3118" t="s">
        <v>317</v>
      </c>
      <c r="E3118" s="2">
        <v>9118.67</v>
      </c>
      <c r="F3118">
        <v>253</v>
      </c>
    </row>
    <row r="3119" spans="1:6">
      <c r="A3119" t="s">
        <v>79</v>
      </c>
      <c r="B3119" t="s">
        <v>15</v>
      </c>
      <c r="C3119" t="s">
        <v>75</v>
      </c>
      <c r="D3119" t="s">
        <v>327</v>
      </c>
      <c r="E3119" s="2">
        <v>1751.26</v>
      </c>
      <c r="F3119">
        <v>293</v>
      </c>
    </row>
    <row r="3120" spans="1:6">
      <c r="A3120" t="s">
        <v>55</v>
      </c>
      <c r="B3120" t="s">
        <v>7</v>
      </c>
      <c r="C3120" t="s">
        <v>26</v>
      </c>
      <c r="D3120" t="s">
        <v>315</v>
      </c>
      <c r="E3120" s="2">
        <v>3402.47</v>
      </c>
      <c r="F3120">
        <v>69</v>
      </c>
    </row>
    <row r="3121" spans="1:6">
      <c r="A3121" t="s">
        <v>45</v>
      </c>
      <c r="B3121" t="s">
        <v>35</v>
      </c>
      <c r="C3121" t="s">
        <v>75</v>
      </c>
      <c r="D3121" s="1">
        <v>45601</v>
      </c>
      <c r="E3121" s="2">
        <v>6841.28</v>
      </c>
      <c r="F3121">
        <v>237</v>
      </c>
    </row>
    <row r="3122" spans="1:6">
      <c r="A3122" t="s">
        <v>83</v>
      </c>
      <c r="B3122" t="s">
        <v>10</v>
      </c>
      <c r="C3122" t="s">
        <v>26</v>
      </c>
      <c r="D3122" t="s">
        <v>287</v>
      </c>
      <c r="E3122" s="2">
        <v>12584.46</v>
      </c>
      <c r="F3122">
        <v>328</v>
      </c>
    </row>
    <row r="3123" spans="1:6">
      <c r="A3123" t="s">
        <v>19</v>
      </c>
      <c r="B3123" t="s">
        <v>35</v>
      </c>
      <c r="C3123" t="s">
        <v>13</v>
      </c>
      <c r="D3123" s="1">
        <v>45479</v>
      </c>
      <c r="E3123" s="2">
        <v>14291.3</v>
      </c>
      <c r="F3123">
        <v>179</v>
      </c>
    </row>
    <row r="3124" spans="1:6">
      <c r="A3124" t="s">
        <v>19</v>
      </c>
      <c r="B3124" t="s">
        <v>7</v>
      </c>
      <c r="C3124" t="s">
        <v>59</v>
      </c>
      <c r="D3124" t="s">
        <v>275</v>
      </c>
      <c r="E3124" s="2">
        <v>1998.41</v>
      </c>
      <c r="F3124">
        <v>303</v>
      </c>
    </row>
    <row r="3125" spans="1:6">
      <c r="A3125" t="s">
        <v>31</v>
      </c>
      <c r="B3125" t="s">
        <v>10</v>
      </c>
      <c r="C3125" t="s">
        <v>23</v>
      </c>
      <c r="D3125" t="s">
        <v>326</v>
      </c>
      <c r="E3125" s="2">
        <v>9558.06</v>
      </c>
      <c r="F3125">
        <v>117</v>
      </c>
    </row>
    <row r="3126" spans="1:6">
      <c r="A3126" t="s">
        <v>64</v>
      </c>
      <c r="B3126" t="s">
        <v>35</v>
      </c>
      <c r="C3126" t="s">
        <v>18</v>
      </c>
      <c r="D3126" s="1">
        <v>45328</v>
      </c>
      <c r="E3126" s="2">
        <v>5594.84</v>
      </c>
      <c r="F3126">
        <v>174</v>
      </c>
    </row>
    <row r="3127" spans="1:6">
      <c r="A3127" t="s">
        <v>29</v>
      </c>
      <c r="B3127" t="s">
        <v>10</v>
      </c>
      <c r="C3127" t="s">
        <v>8</v>
      </c>
      <c r="D3127" t="s">
        <v>272</v>
      </c>
      <c r="E3127" s="2">
        <v>16520.75</v>
      </c>
      <c r="F3127">
        <v>84</v>
      </c>
    </row>
    <row r="3128" spans="1:6">
      <c r="A3128" t="s">
        <v>29</v>
      </c>
      <c r="B3128" t="s">
        <v>35</v>
      </c>
      <c r="C3128" t="s">
        <v>20</v>
      </c>
      <c r="D3128" s="1">
        <v>45325</v>
      </c>
      <c r="E3128" s="2">
        <v>5545.62</v>
      </c>
      <c r="F3128">
        <v>139</v>
      </c>
    </row>
    <row r="3129" spans="1:6">
      <c r="A3129" t="s">
        <v>9</v>
      </c>
      <c r="B3129" t="s">
        <v>15</v>
      </c>
      <c r="C3129" t="s">
        <v>100</v>
      </c>
      <c r="D3129" s="1">
        <v>45566</v>
      </c>
      <c r="E3129" s="2">
        <v>8260.58</v>
      </c>
      <c r="F3129">
        <v>108</v>
      </c>
    </row>
    <row r="3130" spans="1:6">
      <c r="A3130" t="s">
        <v>41</v>
      </c>
      <c r="B3130" t="s">
        <v>32</v>
      </c>
      <c r="C3130" t="s">
        <v>100</v>
      </c>
      <c r="D3130" t="s">
        <v>275</v>
      </c>
      <c r="E3130" s="2">
        <v>2636.16</v>
      </c>
      <c r="F3130">
        <v>110</v>
      </c>
    </row>
    <row r="3131" spans="1:6">
      <c r="A3131" t="s">
        <v>31</v>
      </c>
      <c r="B3131" t="s">
        <v>35</v>
      </c>
      <c r="C3131" t="s">
        <v>33</v>
      </c>
      <c r="D3131" t="s">
        <v>283</v>
      </c>
      <c r="E3131" s="2">
        <v>8285.3799999999992</v>
      </c>
      <c r="F3131">
        <v>18</v>
      </c>
    </row>
    <row r="3132" spans="1:6">
      <c r="A3132" t="s">
        <v>45</v>
      </c>
      <c r="B3132" t="s">
        <v>15</v>
      </c>
      <c r="C3132" t="s">
        <v>11</v>
      </c>
      <c r="D3132" s="1">
        <v>45511</v>
      </c>
      <c r="E3132" s="2">
        <v>4590</v>
      </c>
      <c r="F3132">
        <v>78</v>
      </c>
    </row>
    <row r="3133" spans="1:6">
      <c r="A3133" t="s">
        <v>19</v>
      </c>
      <c r="B3133" t="s">
        <v>10</v>
      </c>
      <c r="C3133" t="s">
        <v>50</v>
      </c>
      <c r="D3133" s="1">
        <v>45510</v>
      </c>
      <c r="E3133" s="2">
        <v>13189.14</v>
      </c>
      <c r="F3133">
        <v>95</v>
      </c>
    </row>
    <row r="3134" spans="1:6">
      <c r="A3134" t="s">
        <v>14</v>
      </c>
      <c r="B3134" t="s">
        <v>7</v>
      </c>
      <c r="C3134" t="s">
        <v>60</v>
      </c>
      <c r="D3134" t="s">
        <v>304</v>
      </c>
      <c r="E3134" s="2">
        <v>3768.3</v>
      </c>
      <c r="F3134">
        <v>212</v>
      </c>
    </row>
    <row r="3135" spans="1:6">
      <c r="A3135" t="s">
        <v>55</v>
      </c>
      <c r="B3135" t="s">
        <v>15</v>
      </c>
      <c r="C3135" t="s">
        <v>23</v>
      </c>
      <c r="D3135" s="1">
        <v>45508</v>
      </c>
      <c r="E3135" s="2">
        <v>7962.71</v>
      </c>
      <c r="F3135">
        <v>293</v>
      </c>
    </row>
    <row r="3136" spans="1:6">
      <c r="A3136" t="s">
        <v>64</v>
      </c>
      <c r="B3136" t="s">
        <v>35</v>
      </c>
      <c r="C3136" t="s">
        <v>57</v>
      </c>
      <c r="D3136" s="1">
        <v>45512</v>
      </c>
      <c r="E3136" s="2">
        <v>3665.13</v>
      </c>
      <c r="F3136">
        <v>191</v>
      </c>
    </row>
    <row r="3137" spans="1:6">
      <c r="A3137" t="s">
        <v>64</v>
      </c>
      <c r="B3137" t="s">
        <v>7</v>
      </c>
      <c r="C3137" t="s">
        <v>46</v>
      </c>
      <c r="D3137" t="s">
        <v>300</v>
      </c>
      <c r="E3137" s="2">
        <v>334.81</v>
      </c>
      <c r="F3137">
        <v>66</v>
      </c>
    </row>
    <row r="3138" spans="1:6">
      <c r="A3138" t="s">
        <v>19</v>
      </c>
      <c r="B3138" t="s">
        <v>35</v>
      </c>
      <c r="C3138" t="s">
        <v>57</v>
      </c>
      <c r="D3138" t="s">
        <v>328</v>
      </c>
      <c r="E3138" s="2">
        <v>2187.5</v>
      </c>
      <c r="F3138">
        <v>159</v>
      </c>
    </row>
    <row r="3139" spans="1:6">
      <c r="A3139" t="s">
        <v>58</v>
      </c>
      <c r="B3139" t="s">
        <v>32</v>
      </c>
      <c r="C3139" t="s">
        <v>87</v>
      </c>
      <c r="D3139" s="1">
        <v>45604</v>
      </c>
      <c r="E3139" s="2">
        <v>18481.73</v>
      </c>
      <c r="F3139">
        <v>295</v>
      </c>
    </row>
    <row r="3140" spans="1:6">
      <c r="A3140" t="s">
        <v>77</v>
      </c>
      <c r="B3140" t="s">
        <v>32</v>
      </c>
      <c r="C3140" t="s">
        <v>65</v>
      </c>
      <c r="D3140" t="s">
        <v>332</v>
      </c>
      <c r="E3140" s="2">
        <v>11863.69</v>
      </c>
      <c r="F3140">
        <v>24</v>
      </c>
    </row>
    <row r="3141" spans="1:6">
      <c r="A3141" t="s">
        <v>9</v>
      </c>
      <c r="B3141" t="s">
        <v>25</v>
      </c>
      <c r="C3141" t="s">
        <v>26</v>
      </c>
      <c r="D3141" s="1">
        <v>45603</v>
      </c>
      <c r="E3141" s="2">
        <v>4332.41</v>
      </c>
      <c r="F3141">
        <v>10</v>
      </c>
    </row>
    <row r="3142" spans="1:6">
      <c r="A3142" t="s">
        <v>37</v>
      </c>
      <c r="B3142" t="s">
        <v>35</v>
      </c>
      <c r="C3142" t="s">
        <v>90</v>
      </c>
      <c r="D3142" s="1">
        <v>45325</v>
      </c>
      <c r="E3142" s="2">
        <v>3653.33</v>
      </c>
      <c r="F3142">
        <v>327</v>
      </c>
    </row>
    <row r="3143" spans="1:6">
      <c r="A3143" t="s">
        <v>77</v>
      </c>
      <c r="B3143" t="s">
        <v>15</v>
      </c>
      <c r="C3143" t="s">
        <v>73</v>
      </c>
      <c r="D3143" t="s">
        <v>301</v>
      </c>
      <c r="E3143" s="2">
        <v>7023.94</v>
      </c>
      <c r="F3143">
        <v>89</v>
      </c>
    </row>
    <row r="3144" spans="1:6">
      <c r="A3144" t="s">
        <v>29</v>
      </c>
      <c r="B3144" t="s">
        <v>7</v>
      </c>
      <c r="C3144" t="s">
        <v>50</v>
      </c>
      <c r="D3144" s="1">
        <v>45359</v>
      </c>
      <c r="E3144" s="2">
        <v>10001.950000000001</v>
      </c>
      <c r="F3144">
        <v>132</v>
      </c>
    </row>
    <row r="3145" spans="1:6">
      <c r="A3145" t="s">
        <v>48</v>
      </c>
      <c r="B3145" t="s">
        <v>7</v>
      </c>
      <c r="C3145" t="s">
        <v>13</v>
      </c>
      <c r="D3145" s="1">
        <v>45294</v>
      </c>
      <c r="E3145" s="2">
        <v>16460.650000000001</v>
      </c>
      <c r="F3145">
        <v>171</v>
      </c>
    </row>
    <row r="3146" spans="1:6">
      <c r="A3146" t="s">
        <v>70</v>
      </c>
      <c r="B3146" t="s">
        <v>25</v>
      </c>
      <c r="C3146" t="s">
        <v>59</v>
      </c>
      <c r="D3146" t="s">
        <v>327</v>
      </c>
      <c r="E3146" s="2">
        <v>8575.27</v>
      </c>
      <c r="F3146">
        <v>165</v>
      </c>
    </row>
    <row r="3147" spans="1:6">
      <c r="A3147" t="s">
        <v>41</v>
      </c>
      <c r="B3147" t="s">
        <v>35</v>
      </c>
      <c r="C3147" t="s">
        <v>57</v>
      </c>
      <c r="D3147" t="s">
        <v>273</v>
      </c>
      <c r="E3147" s="2">
        <v>12191.42</v>
      </c>
      <c r="F3147">
        <v>177</v>
      </c>
    </row>
    <row r="3148" spans="1:6">
      <c r="A3148" t="s">
        <v>34</v>
      </c>
      <c r="B3148" t="s">
        <v>10</v>
      </c>
      <c r="C3148" t="s">
        <v>59</v>
      </c>
      <c r="D3148" t="s">
        <v>307</v>
      </c>
      <c r="E3148" s="2">
        <v>969.15</v>
      </c>
      <c r="F3148">
        <v>233</v>
      </c>
    </row>
    <row r="3149" spans="1:6">
      <c r="A3149" t="s">
        <v>28</v>
      </c>
      <c r="B3149" t="s">
        <v>7</v>
      </c>
      <c r="C3149" t="s">
        <v>38</v>
      </c>
      <c r="D3149" t="s">
        <v>302</v>
      </c>
      <c r="E3149" s="2">
        <v>6498.96</v>
      </c>
      <c r="F3149">
        <v>143</v>
      </c>
    </row>
    <row r="3150" spans="1:6">
      <c r="A3150" t="s">
        <v>6</v>
      </c>
      <c r="B3150" t="s">
        <v>10</v>
      </c>
      <c r="C3150" t="s">
        <v>13</v>
      </c>
      <c r="D3150" t="s">
        <v>298</v>
      </c>
      <c r="E3150" s="2">
        <v>33.68</v>
      </c>
      <c r="F3150">
        <v>487</v>
      </c>
    </row>
    <row r="3151" spans="1:6">
      <c r="A3151" t="s">
        <v>19</v>
      </c>
      <c r="B3151" t="s">
        <v>32</v>
      </c>
      <c r="C3151" t="s">
        <v>65</v>
      </c>
      <c r="D3151" t="s">
        <v>286</v>
      </c>
      <c r="E3151" s="2">
        <v>7640.61</v>
      </c>
      <c r="F3151">
        <v>154</v>
      </c>
    </row>
    <row r="3152" spans="1:6">
      <c r="A3152" t="s">
        <v>53</v>
      </c>
      <c r="B3152" t="s">
        <v>10</v>
      </c>
      <c r="C3152" t="s">
        <v>36</v>
      </c>
      <c r="D3152" s="1">
        <v>45537</v>
      </c>
      <c r="E3152" s="2">
        <v>5596.93</v>
      </c>
      <c r="F3152">
        <v>62</v>
      </c>
    </row>
    <row r="3153" spans="1:6">
      <c r="A3153" t="s">
        <v>28</v>
      </c>
      <c r="B3153" t="s">
        <v>7</v>
      </c>
      <c r="C3153" t="s">
        <v>50</v>
      </c>
      <c r="D3153" t="s">
        <v>306</v>
      </c>
      <c r="E3153" s="2">
        <v>2639.55</v>
      </c>
      <c r="F3153">
        <v>59</v>
      </c>
    </row>
    <row r="3154" spans="1:6">
      <c r="A3154" t="s">
        <v>19</v>
      </c>
      <c r="B3154" t="s">
        <v>15</v>
      </c>
      <c r="C3154" t="s">
        <v>60</v>
      </c>
      <c r="D3154" t="s">
        <v>272</v>
      </c>
      <c r="E3154" s="2">
        <v>4626.87</v>
      </c>
      <c r="F3154">
        <v>78</v>
      </c>
    </row>
    <row r="3155" spans="1:6">
      <c r="A3155" t="s">
        <v>41</v>
      </c>
      <c r="B3155" t="s">
        <v>10</v>
      </c>
      <c r="C3155" t="s">
        <v>59</v>
      </c>
      <c r="D3155" s="1">
        <v>45389</v>
      </c>
      <c r="E3155" s="2">
        <v>1900.09</v>
      </c>
      <c r="F3155">
        <v>297</v>
      </c>
    </row>
    <row r="3156" spans="1:6">
      <c r="A3156" t="s">
        <v>83</v>
      </c>
      <c r="B3156" t="s">
        <v>10</v>
      </c>
      <c r="C3156" t="s">
        <v>65</v>
      </c>
      <c r="D3156" t="s">
        <v>327</v>
      </c>
      <c r="E3156" s="2">
        <v>13315.47</v>
      </c>
      <c r="F3156">
        <v>72</v>
      </c>
    </row>
    <row r="3157" spans="1:6">
      <c r="A3157" t="s">
        <v>12</v>
      </c>
      <c r="B3157" t="s">
        <v>15</v>
      </c>
      <c r="C3157" t="s">
        <v>18</v>
      </c>
      <c r="D3157" t="s">
        <v>267</v>
      </c>
      <c r="E3157" s="2">
        <v>6359.09</v>
      </c>
      <c r="F3157">
        <v>121</v>
      </c>
    </row>
    <row r="3158" spans="1:6">
      <c r="A3158" t="s">
        <v>71</v>
      </c>
      <c r="B3158" t="s">
        <v>32</v>
      </c>
      <c r="C3158" t="s">
        <v>11</v>
      </c>
      <c r="D3158" t="s">
        <v>320</v>
      </c>
      <c r="E3158" s="2">
        <v>2644.65</v>
      </c>
      <c r="F3158">
        <v>83</v>
      </c>
    </row>
    <row r="3159" spans="1:6">
      <c r="A3159" t="s">
        <v>71</v>
      </c>
      <c r="B3159" t="s">
        <v>32</v>
      </c>
      <c r="C3159" t="s">
        <v>36</v>
      </c>
      <c r="D3159" s="1">
        <v>45571</v>
      </c>
      <c r="E3159" s="2">
        <v>4879.55</v>
      </c>
      <c r="F3159">
        <v>427</v>
      </c>
    </row>
    <row r="3160" spans="1:6">
      <c r="A3160" t="s">
        <v>77</v>
      </c>
      <c r="B3160" t="s">
        <v>25</v>
      </c>
      <c r="C3160" t="s">
        <v>59</v>
      </c>
      <c r="D3160" t="s">
        <v>289</v>
      </c>
      <c r="E3160" s="2">
        <v>11572.5</v>
      </c>
      <c r="F3160">
        <v>51</v>
      </c>
    </row>
    <row r="3161" spans="1:6">
      <c r="A3161" t="s">
        <v>9</v>
      </c>
      <c r="B3161" t="s">
        <v>10</v>
      </c>
      <c r="C3161" t="s">
        <v>23</v>
      </c>
      <c r="D3161" t="s">
        <v>275</v>
      </c>
      <c r="E3161" s="2">
        <v>15626.93</v>
      </c>
      <c r="F3161">
        <v>225</v>
      </c>
    </row>
    <row r="3162" spans="1:6">
      <c r="A3162" t="s">
        <v>53</v>
      </c>
      <c r="B3162" t="s">
        <v>10</v>
      </c>
      <c r="C3162" t="s">
        <v>33</v>
      </c>
      <c r="D3162" t="s">
        <v>283</v>
      </c>
      <c r="E3162" s="2">
        <v>4781.1400000000003</v>
      </c>
      <c r="F3162">
        <v>38</v>
      </c>
    </row>
    <row r="3163" spans="1:6">
      <c r="A3163" t="s">
        <v>6</v>
      </c>
      <c r="B3163" t="s">
        <v>10</v>
      </c>
      <c r="C3163" t="s">
        <v>65</v>
      </c>
      <c r="D3163" t="s">
        <v>346</v>
      </c>
      <c r="E3163" s="2">
        <v>11793.4</v>
      </c>
      <c r="F3163">
        <v>101</v>
      </c>
    </row>
    <row r="3164" spans="1:6">
      <c r="A3164" t="s">
        <v>37</v>
      </c>
      <c r="B3164" t="s">
        <v>15</v>
      </c>
      <c r="C3164" t="s">
        <v>73</v>
      </c>
      <c r="D3164" t="s">
        <v>305</v>
      </c>
      <c r="E3164" s="2">
        <v>1061.03</v>
      </c>
      <c r="F3164">
        <v>58</v>
      </c>
    </row>
    <row r="3165" spans="1:6">
      <c r="A3165" t="s">
        <v>71</v>
      </c>
      <c r="B3165" t="s">
        <v>25</v>
      </c>
      <c r="C3165" t="s">
        <v>20</v>
      </c>
      <c r="D3165" t="s">
        <v>300</v>
      </c>
      <c r="E3165" s="2">
        <v>2499.92</v>
      </c>
      <c r="F3165">
        <v>44</v>
      </c>
    </row>
    <row r="3166" spans="1:6">
      <c r="A3166" t="s">
        <v>12</v>
      </c>
      <c r="B3166" t="s">
        <v>15</v>
      </c>
      <c r="C3166" t="s">
        <v>33</v>
      </c>
      <c r="D3166" s="1">
        <v>45538</v>
      </c>
      <c r="E3166" s="2">
        <v>676.29</v>
      </c>
      <c r="F3166">
        <v>158</v>
      </c>
    </row>
    <row r="3167" spans="1:6">
      <c r="A3167" t="s">
        <v>70</v>
      </c>
      <c r="B3167" t="s">
        <v>7</v>
      </c>
      <c r="C3167" t="s">
        <v>38</v>
      </c>
      <c r="D3167" t="s">
        <v>269</v>
      </c>
      <c r="E3167" s="2">
        <v>1886.06</v>
      </c>
      <c r="F3167">
        <v>23</v>
      </c>
    </row>
    <row r="3168" spans="1:6">
      <c r="A3168" t="s">
        <v>34</v>
      </c>
      <c r="B3168" t="s">
        <v>35</v>
      </c>
      <c r="C3168" t="s">
        <v>90</v>
      </c>
      <c r="D3168" s="1">
        <v>45571</v>
      </c>
      <c r="E3168" s="2">
        <v>5093.92</v>
      </c>
      <c r="F3168">
        <v>524</v>
      </c>
    </row>
    <row r="3169" spans="1:6">
      <c r="A3169" t="s">
        <v>53</v>
      </c>
      <c r="B3169" t="s">
        <v>15</v>
      </c>
      <c r="C3169" t="s">
        <v>42</v>
      </c>
      <c r="D3169" s="1">
        <v>45506</v>
      </c>
      <c r="E3169" s="2">
        <v>1018.8</v>
      </c>
      <c r="F3169">
        <v>157</v>
      </c>
    </row>
    <row r="3170" spans="1:6">
      <c r="A3170" t="s">
        <v>28</v>
      </c>
      <c r="B3170" t="s">
        <v>15</v>
      </c>
      <c r="C3170" t="s">
        <v>59</v>
      </c>
      <c r="D3170" t="s">
        <v>309</v>
      </c>
      <c r="E3170" s="2">
        <v>5616.77</v>
      </c>
      <c r="F3170">
        <v>23</v>
      </c>
    </row>
    <row r="3171" spans="1:6">
      <c r="A3171" t="s">
        <v>79</v>
      </c>
      <c r="B3171" t="s">
        <v>10</v>
      </c>
      <c r="C3171" t="s">
        <v>13</v>
      </c>
      <c r="D3171" t="s">
        <v>274</v>
      </c>
      <c r="E3171" s="2">
        <v>10461.82</v>
      </c>
      <c r="F3171">
        <v>78</v>
      </c>
    </row>
    <row r="3172" spans="1:6">
      <c r="A3172" t="s">
        <v>58</v>
      </c>
      <c r="B3172" t="s">
        <v>7</v>
      </c>
      <c r="C3172" t="s">
        <v>20</v>
      </c>
      <c r="D3172" t="s">
        <v>277</v>
      </c>
      <c r="E3172" s="2">
        <v>12841.79</v>
      </c>
      <c r="F3172">
        <v>26</v>
      </c>
    </row>
    <row r="3173" spans="1:6">
      <c r="A3173" t="s">
        <v>12</v>
      </c>
      <c r="B3173" t="s">
        <v>25</v>
      </c>
      <c r="C3173" t="s">
        <v>26</v>
      </c>
      <c r="D3173" t="s">
        <v>282</v>
      </c>
      <c r="E3173" s="2">
        <v>6723.42</v>
      </c>
      <c r="F3173">
        <v>67</v>
      </c>
    </row>
    <row r="3174" spans="1:6">
      <c r="A3174" t="s">
        <v>12</v>
      </c>
      <c r="B3174" t="s">
        <v>32</v>
      </c>
      <c r="C3174" t="s">
        <v>46</v>
      </c>
      <c r="D3174" t="s">
        <v>317</v>
      </c>
      <c r="E3174" s="2">
        <v>521.35</v>
      </c>
      <c r="F3174">
        <v>127</v>
      </c>
    </row>
    <row r="3175" spans="1:6">
      <c r="A3175" t="s">
        <v>28</v>
      </c>
      <c r="B3175" t="s">
        <v>7</v>
      </c>
      <c r="C3175" t="s">
        <v>90</v>
      </c>
      <c r="D3175" s="1">
        <v>45385</v>
      </c>
      <c r="E3175" s="2">
        <v>3106.11</v>
      </c>
      <c r="F3175">
        <v>159</v>
      </c>
    </row>
    <row r="3176" spans="1:6">
      <c r="A3176" t="s">
        <v>48</v>
      </c>
      <c r="B3176" t="s">
        <v>25</v>
      </c>
      <c r="C3176" t="s">
        <v>13</v>
      </c>
      <c r="D3176" t="s">
        <v>337</v>
      </c>
      <c r="E3176" s="2">
        <v>1684.28</v>
      </c>
      <c r="F3176">
        <v>419</v>
      </c>
    </row>
    <row r="3177" spans="1:6">
      <c r="A3177" t="s">
        <v>48</v>
      </c>
      <c r="B3177" t="s">
        <v>25</v>
      </c>
      <c r="C3177" t="s">
        <v>26</v>
      </c>
      <c r="D3177" t="s">
        <v>302</v>
      </c>
      <c r="E3177" s="2">
        <v>11226.14</v>
      </c>
      <c r="F3177">
        <v>84</v>
      </c>
    </row>
    <row r="3178" spans="1:6">
      <c r="A3178" t="s">
        <v>41</v>
      </c>
      <c r="B3178" t="s">
        <v>35</v>
      </c>
      <c r="C3178" t="s">
        <v>38</v>
      </c>
      <c r="D3178" s="1">
        <v>45419</v>
      </c>
      <c r="E3178" s="2">
        <v>1172.53</v>
      </c>
      <c r="F3178">
        <v>124</v>
      </c>
    </row>
    <row r="3179" spans="1:6">
      <c r="A3179" t="s">
        <v>31</v>
      </c>
      <c r="B3179" t="s">
        <v>32</v>
      </c>
      <c r="C3179" t="s">
        <v>90</v>
      </c>
      <c r="D3179" t="s">
        <v>324</v>
      </c>
      <c r="E3179" s="2">
        <v>3917.13</v>
      </c>
      <c r="F3179">
        <v>287</v>
      </c>
    </row>
    <row r="3180" spans="1:6">
      <c r="A3180" t="s">
        <v>34</v>
      </c>
      <c r="B3180" t="s">
        <v>35</v>
      </c>
      <c r="C3180" t="s">
        <v>65</v>
      </c>
      <c r="D3180" s="1">
        <v>45631</v>
      </c>
      <c r="E3180" s="2">
        <v>4871.07</v>
      </c>
      <c r="F3180">
        <v>33</v>
      </c>
    </row>
    <row r="3181" spans="1:6">
      <c r="A3181" t="s">
        <v>19</v>
      </c>
      <c r="B3181" t="s">
        <v>32</v>
      </c>
      <c r="C3181" t="s">
        <v>38</v>
      </c>
      <c r="D3181" s="1">
        <v>45599</v>
      </c>
      <c r="E3181" s="2">
        <v>9306.64</v>
      </c>
      <c r="F3181">
        <v>48</v>
      </c>
    </row>
    <row r="3182" spans="1:6">
      <c r="A3182" t="s">
        <v>28</v>
      </c>
      <c r="B3182" t="s">
        <v>25</v>
      </c>
      <c r="C3182" t="s">
        <v>36</v>
      </c>
      <c r="D3182" s="1">
        <v>45603</v>
      </c>
      <c r="E3182" s="2">
        <v>5270.33</v>
      </c>
      <c r="F3182">
        <v>323</v>
      </c>
    </row>
    <row r="3183" spans="1:6">
      <c r="A3183" t="s">
        <v>22</v>
      </c>
      <c r="B3183" t="s">
        <v>25</v>
      </c>
      <c r="C3183" t="s">
        <v>75</v>
      </c>
      <c r="D3183" s="1">
        <v>45299</v>
      </c>
      <c r="E3183" s="2">
        <v>14722.35</v>
      </c>
      <c r="F3183">
        <v>61</v>
      </c>
    </row>
    <row r="3184" spans="1:6">
      <c r="A3184" t="s">
        <v>22</v>
      </c>
      <c r="B3184" t="s">
        <v>7</v>
      </c>
      <c r="C3184" t="s">
        <v>50</v>
      </c>
      <c r="D3184" t="s">
        <v>274</v>
      </c>
      <c r="E3184" s="2">
        <v>13444.87</v>
      </c>
      <c r="F3184">
        <v>197</v>
      </c>
    </row>
    <row r="3185" spans="1:6">
      <c r="A3185" t="s">
        <v>48</v>
      </c>
      <c r="B3185" t="s">
        <v>32</v>
      </c>
      <c r="C3185" t="s">
        <v>23</v>
      </c>
      <c r="D3185" t="s">
        <v>327</v>
      </c>
      <c r="E3185" s="2">
        <v>14885.97</v>
      </c>
      <c r="F3185">
        <v>248</v>
      </c>
    </row>
    <row r="3186" spans="1:6">
      <c r="A3186" t="s">
        <v>19</v>
      </c>
      <c r="B3186" t="s">
        <v>10</v>
      </c>
      <c r="C3186" t="s">
        <v>75</v>
      </c>
      <c r="D3186" t="s">
        <v>273</v>
      </c>
      <c r="E3186" s="2">
        <v>53.31</v>
      </c>
      <c r="F3186">
        <v>371</v>
      </c>
    </row>
    <row r="3187" spans="1:6">
      <c r="A3187" t="s">
        <v>83</v>
      </c>
      <c r="B3187" t="s">
        <v>15</v>
      </c>
      <c r="C3187" t="s">
        <v>13</v>
      </c>
      <c r="D3187" t="s">
        <v>278</v>
      </c>
      <c r="E3187" s="2">
        <v>11767.94</v>
      </c>
      <c r="F3187">
        <v>68</v>
      </c>
    </row>
    <row r="3188" spans="1:6">
      <c r="A3188" t="s">
        <v>19</v>
      </c>
      <c r="B3188" t="s">
        <v>15</v>
      </c>
      <c r="C3188" t="s">
        <v>50</v>
      </c>
      <c r="D3188" t="s">
        <v>357</v>
      </c>
      <c r="E3188" s="2">
        <v>12897.53</v>
      </c>
      <c r="F3188">
        <v>25</v>
      </c>
    </row>
    <row r="3189" spans="1:6">
      <c r="A3189" t="s">
        <v>6</v>
      </c>
      <c r="B3189" t="s">
        <v>35</v>
      </c>
      <c r="C3189" t="s">
        <v>60</v>
      </c>
      <c r="D3189" s="1">
        <v>45416</v>
      </c>
      <c r="E3189" s="2">
        <v>3867.62</v>
      </c>
      <c r="F3189">
        <v>214</v>
      </c>
    </row>
    <row r="3190" spans="1:6">
      <c r="A3190" t="s">
        <v>71</v>
      </c>
      <c r="B3190" t="s">
        <v>35</v>
      </c>
      <c r="C3190" t="s">
        <v>38</v>
      </c>
      <c r="D3190" s="1">
        <v>45354</v>
      </c>
      <c r="E3190" s="2">
        <v>13524.05</v>
      </c>
      <c r="F3190">
        <v>253</v>
      </c>
    </row>
    <row r="3191" spans="1:6">
      <c r="A3191" t="s">
        <v>55</v>
      </c>
      <c r="B3191" t="s">
        <v>32</v>
      </c>
      <c r="C3191" t="s">
        <v>50</v>
      </c>
      <c r="D3191" t="s">
        <v>334</v>
      </c>
      <c r="E3191" s="2">
        <v>2319.1</v>
      </c>
      <c r="F3191">
        <v>189</v>
      </c>
    </row>
    <row r="3192" spans="1:6">
      <c r="A3192" t="s">
        <v>40</v>
      </c>
      <c r="B3192" t="s">
        <v>25</v>
      </c>
      <c r="C3192" t="s">
        <v>100</v>
      </c>
      <c r="D3192" t="s">
        <v>273</v>
      </c>
      <c r="E3192" s="2">
        <v>9036.58</v>
      </c>
      <c r="F3192">
        <v>377</v>
      </c>
    </row>
    <row r="3193" spans="1:6">
      <c r="A3193" t="s">
        <v>45</v>
      </c>
      <c r="B3193" t="s">
        <v>25</v>
      </c>
      <c r="C3193" t="s">
        <v>20</v>
      </c>
      <c r="D3193" t="s">
        <v>360</v>
      </c>
      <c r="E3193" s="2">
        <v>8905.5300000000007</v>
      </c>
      <c r="F3193">
        <v>201</v>
      </c>
    </row>
    <row r="3194" spans="1:6">
      <c r="A3194" t="s">
        <v>19</v>
      </c>
      <c r="B3194" t="s">
        <v>25</v>
      </c>
      <c r="C3194" t="s">
        <v>11</v>
      </c>
      <c r="D3194" s="1">
        <v>45293</v>
      </c>
      <c r="E3194" s="2">
        <v>4040.65</v>
      </c>
      <c r="F3194">
        <v>423</v>
      </c>
    </row>
    <row r="3195" spans="1:6">
      <c r="A3195" t="s">
        <v>79</v>
      </c>
      <c r="B3195" t="s">
        <v>25</v>
      </c>
      <c r="C3195" t="s">
        <v>33</v>
      </c>
      <c r="D3195" s="1">
        <v>45390</v>
      </c>
      <c r="E3195" s="2">
        <v>2204.17</v>
      </c>
      <c r="F3195">
        <v>145</v>
      </c>
    </row>
    <row r="3196" spans="1:6">
      <c r="A3196" t="s">
        <v>67</v>
      </c>
      <c r="B3196" t="s">
        <v>25</v>
      </c>
      <c r="C3196" t="s">
        <v>65</v>
      </c>
      <c r="D3196" s="1">
        <v>45416</v>
      </c>
      <c r="E3196" s="2">
        <v>7037.21</v>
      </c>
      <c r="F3196">
        <v>172</v>
      </c>
    </row>
    <row r="3197" spans="1:6">
      <c r="A3197" t="s">
        <v>37</v>
      </c>
      <c r="B3197" t="s">
        <v>15</v>
      </c>
      <c r="C3197" t="s">
        <v>20</v>
      </c>
      <c r="D3197" t="s">
        <v>272</v>
      </c>
      <c r="E3197" s="2">
        <v>12285.41</v>
      </c>
      <c r="F3197">
        <v>175</v>
      </c>
    </row>
    <row r="3198" spans="1:6">
      <c r="A3198" t="s">
        <v>55</v>
      </c>
      <c r="B3198" t="s">
        <v>7</v>
      </c>
      <c r="C3198" t="s">
        <v>23</v>
      </c>
      <c r="D3198" t="s">
        <v>330</v>
      </c>
      <c r="E3198" s="2">
        <v>21812.86</v>
      </c>
      <c r="F3198">
        <v>183</v>
      </c>
    </row>
    <row r="3199" spans="1:6">
      <c r="A3199" t="s">
        <v>55</v>
      </c>
      <c r="B3199" t="s">
        <v>35</v>
      </c>
      <c r="C3199" t="s">
        <v>23</v>
      </c>
      <c r="D3199" t="s">
        <v>289</v>
      </c>
      <c r="E3199" s="2">
        <v>6707.97</v>
      </c>
      <c r="F3199">
        <v>187</v>
      </c>
    </row>
    <row r="3200" spans="1:6">
      <c r="A3200" t="s">
        <v>55</v>
      </c>
      <c r="B3200" t="s">
        <v>7</v>
      </c>
      <c r="C3200" t="s">
        <v>38</v>
      </c>
      <c r="D3200" t="s">
        <v>302</v>
      </c>
      <c r="E3200" s="2">
        <v>2513.58</v>
      </c>
      <c r="F3200">
        <v>226</v>
      </c>
    </row>
    <row r="3201" spans="1:6">
      <c r="A3201" t="s">
        <v>29</v>
      </c>
      <c r="B3201" t="s">
        <v>7</v>
      </c>
      <c r="C3201" t="s">
        <v>26</v>
      </c>
      <c r="D3201" t="s">
        <v>274</v>
      </c>
      <c r="E3201" s="2">
        <v>11491.21</v>
      </c>
      <c r="F3201">
        <v>71</v>
      </c>
    </row>
    <row r="3202" spans="1:6">
      <c r="A3202" t="s">
        <v>79</v>
      </c>
      <c r="B3202" t="s">
        <v>32</v>
      </c>
      <c r="C3202" t="s">
        <v>73</v>
      </c>
      <c r="D3202" s="1">
        <v>45352</v>
      </c>
      <c r="E3202" s="2">
        <v>3762.58</v>
      </c>
      <c r="F3202">
        <v>49</v>
      </c>
    </row>
    <row r="3203" spans="1:6">
      <c r="A3203" t="s">
        <v>37</v>
      </c>
      <c r="B3203" t="s">
        <v>32</v>
      </c>
      <c r="C3203" t="s">
        <v>59</v>
      </c>
      <c r="D3203" t="s">
        <v>285</v>
      </c>
      <c r="E3203" s="2">
        <v>5158.01</v>
      </c>
      <c r="F3203">
        <v>2</v>
      </c>
    </row>
    <row r="3204" spans="1:6">
      <c r="A3204" t="s">
        <v>19</v>
      </c>
      <c r="B3204" t="s">
        <v>32</v>
      </c>
      <c r="C3204" t="s">
        <v>50</v>
      </c>
      <c r="D3204" s="1">
        <v>45475</v>
      </c>
      <c r="E3204" s="2">
        <v>6660.69</v>
      </c>
      <c r="F3204">
        <v>418</v>
      </c>
    </row>
    <row r="3205" spans="1:6">
      <c r="A3205" t="s">
        <v>34</v>
      </c>
      <c r="B3205" t="s">
        <v>15</v>
      </c>
      <c r="C3205" t="s">
        <v>18</v>
      </c>
      <c r="D3205" s="1">
        <v>45598</v>
      </c>
      <c r="E3205" s="2">
        <v>4786.05</v>
      </c>
      <c r="F3205">
        <v>107</v>
      </c>
    </row>
    <row r="3206" spans="1:6">
      <c r="A3206" t="s">
        <v>55</v>
      </c>
      <c r="B3206" t="s">
        <v>35</v>
      </c>
      <c r="C3206" t="s">
        <v>42</v>
      </c>
      <c r="D3206" t="s">
        <v>324</v>
      </c>
      <c r="E3206" s="2">
        <v>6797.67</v>
      </c>
      <c r="F3206">
        <v>82</v>
      </c>
    </row>
    <row r="3207" spans="1:6">
      <c r="A3207" t="s">
        <v>40</v>
      </c>
      <c r="B3207" t="s">
        <v>32</v>
      </c>
      <c r="C3207" t="s">
        <v>13</v>
      </c>
      <c r="D3207" t="s">
        <v>280</v>
      </c>
      <c r="E3207" s="2">
        <v>782.24</v>
      </c>
      <c r="F3207">
        <v>348</v>
      </c>
    </row>
    <row r="3208" spans="1:6">
      <c r="A3208" t="s">
        <v>58</v>
      </c>
      <c r="B3208" t="s">
        <v>7</v>
      </c>
      <c r="C3208" t="s">
        <v>18</v>
      </c>
      <c r="D3208" t="s">
        <v>357</v>
      </c>
      <c r="E3208" s="2">
        <v>653.1</v>
      </c>
      <c r="F3208">
        <v>136</v>
      </c>
    </row>
    <row r="3209" spans="1:6">
      <c r="A3209" t="s">
        <v>28</v>
      </c>
      <c r="B3209" t="s">
        <v>15</v>
      </c>
      <c r="C3209" t="s">
        <v>42</v>
      </c>
      <c r="D3209" t="s">
        <v>292</v>
      </c>
      <c r="E3209" s="2">
        <v>4768.88</v>
      </c>
      <c r="F3209">
        <v>281</v>
      </c>
    </row>
    <row r="3210" spans="1:6">
      <c r="A3210" t="s">
        <v>41</v>
      </c>
      <c r="B3210" t="s">
        <v>10</v>
      </c>
      <c r="C3210" t="s">
        <v>42</v>
      </c>
      <c r="D3210" t="s">
        <v>348</v>
      </c>
      <c r="E3210" s="2">
        <v>1123.57</v>
      </c>
      <c r="F3210">
        <v>19</v>
      </c>
    </row>
    <row r="3211" spans="1:6">
      <c r="A3211" t="s">
        <v>58</v>
      </c>
      <c r="B3211" t="s">
        <v>15</v>
      </c>
      <c r="C3211" t="s">
        <v>87</v>
      </c>
      <c r="D3211" s="1">
        <v>45597</v>
      </c>
      <c r="E3211" s="2">
        <v>16435.38</v>
      </c>
      <c r="F3211">
        <v>425</v>
      </c>
    </row>
    <row r="3212" spans="1:6">
      <c r="A3212" t="s">
        <v>41</v>
      </c>
      <c r="B3212" t="s">
        <v>7</v>
      </c>
      <c r="C3212" t="s">
        <v>26</v>
      </c>
      <c r="D3212" s="1">
        <v>45537</v>
      </c>
      <c r="E3212" s="2">
        <v>2922.18</v>
      </c>
      <c r="F3212">
        <v>289</v>
      </c>
    </row>
    <row r="3213" spans="1:6">
      <c r="A3213" t="s">
        <v>9</v>
      </c>
      <c r="B3213" t="s">
        <v>7</v>
      </c>
      <c r="C3213" t="s">
        <v>65</v>
      </c>
      <c r="D3213" s="1">
        <v>45449</v>
      </c>
      <c r="E3213" s="2">
        <v>12123.84</v>
      </c>
      <c r="F3213">
        <v>222</v>
      </c>
    </row>
    <row r="3214" spans="1:6">
      <c r="A3214" t="s">
        <v>79</v>
      </c>
      <c r="B3214" t="s">
        <v>7</v>
      </c>
      <c r="C3214" t="s">
        <v>90</v>
      </c>
      <c r="D3214" s="1">
        <v>45573</v>
      </c>
      <c r="E3214" s="2">
        <v>6448.87</v>
      </c>
      <c r="F3214">
        <v>244</v>
      </c>
    </row>
    <row r="3215" spans="1:6">
      <c r="A3215" t="s">
        <v>64</v>
      </c>
      <c r="B3215" t="s">
        <v>15</v>
      </c>
      <c r="C3215" t="s">
        <v>18</v>
      </c>
      <c r="D3215" s="1">
        <v>45383</v>
      </c>
      <c r="E3215" s="2">
        <v>2587.61</v>
      </c>
      <c r="F3215">
        <v>44</v>
      </c>
    </row>
    <row r="3216" spans="1:6">
      <c r="A3216" t="s">
        <v>67</v>
      </c>
      <c r="B3216" t="s">
        <v>35</v>
      </c>
      <c r="C3216" t="s">
        <v>100</v>
      </c>
      <c r="D3216" s="1">
        <v>45508</v>
      </c>
      <c r="E3216" s="2">
        <v>12109</v>
      </c>
      <c r="F3216">
        <v>16</v>
      </c>
    </row>
    <row r="3217" spans="1:6">
      <c r="A3217" t="s">
        <v>31</v>
      </c>
      <c r="B3217" t="s">
        <v>7</v>
      </c>
      <c r="C3217" t="s">
        <v>46</v>
      </c>
      <c r="D3217" s="1">
        <v>45325</v>
      </c>
      <c r="E3217" s="2">
        <v>4482.33</v>
      </c>
      <c r="F3217">
        <v>467</v>
      </c>
    </row>
    <row r="3218" spans="1:6">
      <c r="A3218" t="s">
        <v>9</v>
      </c>
      <c r="B3218" t="s">
        <v>35</v>
      </c>
      <c r="C3218" t="s">
        <v>38</v>
      </c>
      <c r="D3218" t="s">
        <v>280</v>
      </c>
      <c r="E3218" s="2">
        <v>5294.88</v>
      </c>
      <c r="F3218">
        <v>679</v>
      </c>
    </row>
    <row r="3219" spans="1:6">
      <c r="A3219" t="s">
        <v>6</v>
      </c>
      <c r="B3219" t="s">
        <v>15</v>
      </c>
      <c r="C3219" t="s">
        <v>23</v>
      </c>
      <c r="D3219" t="s">
        <v>273</v>
      </c>
      <c r="E3219" s="2">
        <v>5512.57</v>
      </c>
      <c r="F3219">
        <v>46</v>
      </c>
    </row>
    <row r="3220" spans="1:6">
      <c r="A3220" t="s">
        <v>53</v>
      </c>
      <c r="B3220" t="s">
        <v>7</v>
      </c>
      <c r="C3220" t="s">
        <v>23</v>
      </c>
      <c r="D3220" s="1">
        <v>45419</v>
      </c>
      <c r="E3220" s="2">
        <v>3707.27</v>
      </c>
      <c r="F3220">
        <v>392</v>
      </c>
    </row>
    <row r="3221" spans="1:6">
      <c r="A3221" t="s">
        <v>31</v>
      </c>
      <c r="B3221" t="s">
        <v>10</v>
      </c>
      <c r="C3221" t="s">
        <v>8</v>
      </c>
      <c r="D3221" s="1">
        <v>45627</v>
      </c>
      <c r="E3221" s="2">
        <v>7899.01</v>
      </c>
      <c r="F3221">
        <v>461</v>
      </c>
    </row>
    <row r="3222" spans="1:6">
      <c r="A3222" t="s">
        <v>48</v>
      </c>
      <c r="B3222" t="s">
        <v>10</v>
      </c>
      <c r="C3222" t="s">
        <v>8</v>
      </c>
      <c r="D3222" s="1">
        <v>45354</v>
      </c>
      <c r="E3222" s="2">
        <v>9813.42</v>
      </c>
      <c r="F3222">
        <v>100</v>
      </c>
    </row>
    <row r="3223" spans="1:6">
      <c r="A3223" t="s">
        <v>6</v>
      </c>
      <c r="B3223" t="s">
        <v>25</v>
      </c>
      <c r="C3223" t="s">
        <v>46</v>
      </c>
      <c r="D3223" t="s">
        <v>293</v>
      </c>
      <c r="E3223" s="2">
        <v>2845.74</v>
      </c>
      <c r="F3223">
        <v>197</v>
      </c>
    </row>
    <row r="3224" spans="1:6">
      <c r="A3224" t="s">
        <v>22</v>
      </c>
      <c r="B3224" t="s">
        <v>10</v>
      </c>
      <c r="C3224" t="s">
        <v>90</v>
      </c>
      <c r="D3224" t="s">
        <v>271</v>
      </c>
      <c r="E3224" s="2">
        <v>2941.72</v>
      </c>
      <c r="F3224">
        <v>220</v>
      </c>
    </row>
    <row r="3225" spans="1:6">
      <c r="A3225" t="s">
        <v>48</v>
      </c>
      <c r="B3225" t="s">
        <v>7</v>
      </c>
      <c r="C3225" t="s">
        <v>60</v>
      </c>
      <c r="D3225" s="1">
        <v>45475</v>
      </c>
      <c r="E3225" s="2">
        <v>1969.62</v>
      </c>
      <c r="F3225">
        <v>114</v>
      </c>
    </row>
    <row r="3226" spans="1:6">
      <c r="A3226" t="s">
        <v>67</v>
      </c>
      <c r="B3226" t="s">
        <v>10</v>
      </c>
      <c r="C3226" t="s">
        <v>33</v>
      </c>
      <c r="D3226" t="s">
        <v>277</v>
      </c>
      <c r="E3226" s="2">
        <v>339.64</v>
      </c>
      <c r="F3226">
        <v>452</v>
      </c>
    </row>
    <row r="3227" spans="1:6">
      <c r="A3227" t="s">
        <v>34</v>
      </c>
      <c r="B3227" t="s">
        <v>15</v>
      </c>
      <c r="C3227" t="s">
        <v>73</v>
      </c>
      <c r="D3227" t="s">
        <v>320</v>
      </c>
      <c r="E3227" s="2">
        <v>8818.17</v>
      </c>
      <c r="F3227">
        <v>29</v>
      </c>
    </row>
    <row r="3228" spans="1:6">
      <c r="A3228" t="s">
        <v>41</v>
      </c>
      <c r="B3228" t="s">
        <v>35</v>
      </c>
      <c r="C3228" t="s">
        <v>11</v>
      </c>
      <c r="D3228" t="s">
        <v>274</v>
      </c>
      <c r="E3228" s="2">
        <v>6829.86</v>
      </c>
      <c r="F3228">
        <v>46</v>
      </c>
    </row>
    <row r="3229" spans="1:6">
      <c r="A3229" t="s">
        <v>70</v>
      </c>
      <c r="B3229" t="s">
        <v>15</v>
      </c>
      <c r="C3229" t="s">
        <v>38</v>
      </c>
      <c r="D3229" s="1">
        <v>45387</v>
      </c>
      <c r="E3229" s="2">
        <v>1370.19</v>
      </c>
      <c r="F3229">
        <v>58</v>
      </c>
    </row>
    <row r="3230" spans="1:6">
      <c r="A3230" t="s">
        <v>9</v>
      </c>
      <c r="B3230" t="s">
        <v>35</v>
      </c>
      <c r="C3230" t="s">
        <v>100</v>
      </c>
      <c r="D3230" s="1">
        <v>45328</v>
      </c>
      <c r="E3230" s="2">
        <v>7731.47</v>
      </c>
      <c r="F3230">
        <v>77</v>
      </c>
    </row>
    <row r="3231" spans="1:6">
      <c r="A3231" t="s">
        <v>58</v>
      </c>
      <c r="B3231" t="s">
        <v>32</v>
      </c>
      <c r="C3231" t="s">
        <v>90</v>
      </c>
      <c r="D3231" s="1">
        <v>45603</v>
      </c>
      <c r="E3231" s="2">
        <v>2757.16</v>
      </c>
      <c r="F3231">
        <v>463</v>
      </c>
    </row>
    <row r="3232" spans="1:6">
      <c r="A3232" t="s">
        <v>41</v>
      </c>
      <c r="B3232" t="s">
        <v>25</v>
      </c>
      <c r="C3232" t="s">
        <v>50</v>
      </c>
      <c r="D3232" s="1">
        <v>45479</v>
      </c>
      <c r="E3232" s="2">
        <v>70.19</v>
      </c>
      <c r="F3232">
        <v>63</v>
      </c>
    </row>
    <row r="3233" spans="1:6">
      <c r="A3233" t="s">
        <v>14</v>
      </c>
      <c r="B3233" t="s">
        <v>7</v>
      </c>
      <c r="C3233" t="s">
        <v>65</v>
      </c>
      <c r="D3233" s="1">
        <v>45450</v>
      </c>
      <c r="E3233" s="2">
        <v>10817.45</v>
      </c>
      <c r="F3233">
        <v>151</v>
      </c>
    </row>
    <row r="3234" spans="1:6">
      <c r="A3234" t="s">
        <v>53</v>
      </c>
      <c r="B3234" t="s">
        <v>10</v>
      </c>
      <c r="C3234" t="s">
        <v>73</v>
      </c>
      <c r="D3234" t="s">
        <v>280</v>
      </c>
      <c r="E3234" s="2">
        <v>11595.41</v>
      </c>
      <c r="F3234">
        <v>153</v>
      </c>
    </row>
    <row r="3235" spans="1:6">
      <c r="A3235" t="s">
        <v>79</v>
      </c>
      <c r="B3235" t="s">
        <v>10</v>
      </c>
      <c r="C3235" t="s">
        <v>8</v>
      </c>
      <c r="D3235" t="s">
        <v>298</v>
      </c>
      <c r="E3235" s="2">
        <v>1375.22</v>
      </c>
      <c r="F3235">
        <v>231</v>
      </c>
    </row>
    <row r="3236" spans="1:6">
      <c r="A3236" t="s">
        <v>71</v>
      </c>
      <c r="B3236" t="s">
        <v>10</v>
      </c>
      <c r="C3236" t="s">
        <v>38</v>
      </c>
      <c r="D3236" s="1">
        <v>45512</v>
      </c>
      <c r="E3236" s="2">
        <v>503.52</v>
      </c>
      <c r="F3236">
        <v>167</v>
      </c>
    </row>
    <row r="3237" spans="1:6">
      <c r="A3237" t="s">
        <v>40</v>
      </c>
      <c r="B3237" t="s">
        <v>7</v>
      </c>
      <c r="C3237" t="s">
        <v>38</v>
      </c>
      <c r="D3237" t="s">
        <v>324</v>
      </c>
      <c r="E3237" s="2">
        <v>1135.1600000000001</v>
      </c>
      <c r="F3237">
        <v>27</v>
      </c>
    </row>
    <row r="3238" spans="1:6">
      <c r="A3238" t="s">
        <v>45</v>
      </c>
      <c r="B3238" t="s">
        <v>15</v>
      </c>
      <c r="C3238" t="s">
        <v>42</v>
      </c>
      <c r="D3238" s="1">
        <v>45389</v>
      </c>
      <c r="E3238" s="2">
        <v>4375.45</v>
      </c>
      <c r="F3238">
        <v>79</v>
      </c>
    </row>
    <row r="3239" spans="1:6">
      <c r="A3239" t="s">
        <v>83</v>
      </c>
      <c r="B3239" t="s">
        <v>10</v>
      </c>
      <c r="C3239" t="s">
        <v>20</v>
      </c>
      <c r="D3239" t="s">
        <v>274</v>
      </c>
      <c r="E3239" s="2">
        <v>536.74</v>
      </c>
      <c r="F3239">
        <v>102</v>
      </c>
    </row>
    <row r="3240" spans="1:6">
      <c r="A3240" t="s">
        <v>29</v>
      </c>
      <c r="B3240" t="s">
        <v>35</v>
      </c>
      <c r="C3240" t="s">
        <v>50</v>
      </c>
      <c r="D3240" s="1">
        <v>45327</v>
      </c>
      <c r="E3240" s="2">
        <v>2702.08</v>
      </c>
      <c r="F3240">
        <v>164</v>
      </c>
    </row>
    <row r="3241" spans="1:6">
      <c r="A3241" t="s">
        <v>9</v>
      </c>
      <c r="B3241" t="s">
        <v>10</v>
      </c>
      <c r="C3241" t="s">
        <v>36</v>
      </c>
      <c r="D3241" t="s">
        <v>347</v>
      </c>
      <c r="E3241" s="2">
        <v>11064.27</v>
      </c>
      <c r="F3241">
        <v>104</v>
      </c>
    </row>
    <row r="3242" spans="1:6">
      <c r="A3242" t="s">
        <v>22</v>
      </c>
      <c r="B3242" t="s">
        <v>15</v>
      </c>
      <c r="C3242" t="s">
        <v>20</v>
      </c>
      <c r="D3242" t="s">
        <v>304</v>
      </c>
      <c r="E3242" s="2">
        <v>8861.83</v>
      </c>
      <c r="F3242">
        <v>226</v>
      </c>
    </row>
    <row r="3243" spans="1:6">
      <c r="A3243" t="s">
        <v>55</v>
      </c>
      <c r="B3243" t="s">
        <v>32</v>
      </c>
      <c r="C3243" t="s">
        <v>11</v>
      </c>
      <c r="D3243" t="s">
        <v>353</v>
      </c>
      <c r="E3243" s="2">
        <v>564.66999999999996</v>
      </c>
      <c r="F3243">
        <v>256</v>
      </c>
    </row>
    <row r="3244" spans="1:6">
      <c r="A3244" t="s">
        <v>71</v>
      </c>
      <c r="B3244" t="s">
        <v>7</v>
      </c>
      <c r="C3244" t="s">
        <v>13</v>
      </c>
      <c r="D3244" t="s">
        <v>290</v>
      </c>
      <c r="E3244" s="2">
        <v>5267.69</v>
      </c>
      <c r="F3244">
        <v>120</v>
      </c>
    </row>
    <row r="3245" spans="1:6">
      <c r="A3245" t="s">
        <v>77</v>
      </c>
      <c r="B3245" t="s">
        <v>7</v>
      </c>
      <c r="C3245" t="s">
        <v>13</v>
      </c>
      <c r="D3245" s="1">
        <v>45634</v>
      </c>
      <c r="E3245" s="2">
        <v>8698.4699999999993</v>
      </c>
      <c r="F3245">
        <v>89</v>
      </c>
    </row>
    <row r="3246" spans="1:6">
      <c r="A3246" t="s">
        <v>77</v>
      </c>
      <c r="B3246" t="s">
        <v>32</v>
      </c>
      <c r="C3246" t="s">
        <v>75</v>
      </c>
      <c r="D3246" s="1">
        <v>45479</v>
      </c>
      <c r="E3246" s="2">
        <v>6025.6</v>
      </c>
      <c r="F3246">
        <v>137</v>
      </c>
    </row>
    <row r="3247" spans="1:6">
      <c r="A3247" t="s">
        <v>40</v>
      </c>
      <c r="B3247" t="s">
        <v>35</v>
      </c>
      <c r="C3247" t="s">
        <v>13</v>
      </c>
      <c r="D3247" s="1">
        <v>45507</v>
      </c>
      <c r="E3247" s="2">
        <v>7032.54</v>
      </c>
      <c r="F3247">
        <v>87</v>
      </c>
    </row>
    <row r="3248" spans="1:6">
      <c r="A3248" t="s">
        <v>83</v>
      </c>
      <c r="B3248" t="s">
        <v>15</v>
      </c>
      <c r="C3248" t="s">
        <v>75</v>
      </c>
      <c r="D3248" s="1">
        <v>45508</v>
      </c>
      <c r="E3248" s="2">
        <v>1572.79</v>
      </c>
      <c r="F3248">
        <v>176</v>
      </c>
    </row>
    <row r="3249" spans="1:6">
      <c r="A3249" t="s">
        <v>48</v>
      </c>
      <c r="B3249" t="s">
        <v>35</v>
      </c>
      <c r="C3249" t="s">
        <v>36</v>
      </c>
      <c r="D3249" s="1">
        <v>45448</v>
      </c>
      <c r="E3249" s="2">
        <v>857.34</v>
      </c>
      <c r="F3249">
        <v>197</v>
      </c>
    </row>
    <row r="3250" spans="1:6">
      <c r="A3250" t="s">
        <v>45</v>
      </c>
      <c r="B3250" t="s">
        <v>10</v>
      </c>
      <c r="C3250" t="s">
        <v>38</v>
      </c>
      <c r="D3250" t="s">
        <v>332</v>
      </c>
      <c r="E3250" s="2">
        <v>4899.47</v>
      </c>
      <c r="F3250">
        <v>11</v>
      </c>
    </row>
    <row r="3251" spans="1:6">
      <c r="A3251" t="s">
        <v>9</v>
      </c>
      <c r="B3251" t="s">
        <v>15</v>
      </c>
      <c r="C3251" t="s">
        <v>8</v>
      </c>
      <c r="D3251" t="s">
        <v>270</v>
      </c>
      <c r="E3251" s="2">
        <v>2924.06</v>
      </c>
      <c r="F3251">
        <v>295</v>
      </c>
    </row>
    <row r="3252" spans="1:6">
      <c r="A3252" t="s">
        <v>58</v>
      </c>
      <c r="B3252" t="s">
        <v>32</v>
      </c>
      <c r="C3252" t="s">
        <v>100</v>
      </c>
      <c r="D3252" t="s">
        <v>337</v>
      </c>
      <c r="E3252" s="2">
        <v>730.06</v>
      </c>
      <c r="F3252">
        <v>78</v>
      </c>
    </row>
    <row r="3253" spans="1:6">
      <c r="A3253" t="s">
        <v>67</v>
      </c>
      <c r="B3253" t="s">
        <v>35</v>
      </c>
      <c r="C3253" t="s">
        <v>13</v>
      </c>
      <c r="D3253" t="s">
        <v>274</v>
      </c>
      <c r="E3253" s="2">
        <v>1348.05</v>
      </c>
      <c r="F3253">
        <v>332</v>
      </c>
    </row>
    <row r="3254" spans="1:6">
      <c r="A3254" t="s">
        <v>12</v>
      </c>
      <c r="B3254" t="s">
        <v>32</v>
      </c>
      <c r="C3254" t="s">
        <v>100</v>
      </c>
      <c r="D3254" t="s">
        <v>328</v>
      </c>
      <c r="E3254" s="2">
        <v>8561.59</v>
      </c>
      <c r="F3254">
        <v>204</v>
      </c>
    </row>
    <row r="3255" spans="1:6">
      <c r="A3255" t="s">
        <v>29</v>
      </c>
      <c r="B3255" t="s">
        <v>15</v>
      </c>
      <c r="C3255" t="s">
        <v>59</v>
      </c>
      <c r="D3255" t="s">
        <v>354</v>
      </c>
      <c r="E3255" s="2">
        <v>7326.91</v>
      </c>
      <c r="F3255">
        <v>102</v>
      </c>
    </row>
    <row r="3256" spans="1:6">
      <c r="A3256" t="s">
        <v>45</v>
      </c>
      <c r="B3256" t="s">
        <v>35</v>
      </c>
      <c r="C3256" t="s">
        <v>38</v>
      </c>
      <c r="D3256" t="s">
        <v>350</v>
      </c>
      <c r="E3256" s="2">
        <v>8196.93</v>
      </c>
      <c r="F3256">
        <v>340</v>
      </c>
    </row>
    <row r="3257" spans="1:6">
      <c r="A3257" t="s">
        <v>71</v>
      </c>
      <c r="B3257" t="s">
        <v>25</v>
      </c>
      <c r="C3257" t="s">
        <v>11</v>
      </c>
      <c r="D3257" s="1">
        <v>45512</v>
      </c>
      <c r="E3257" s="2">
        <v>17841.919999999998</v>
      </c>
      <c r="F3257">
        <v>53</v>
      </c>
    </row>
    <row r="3258" spans="1:6">
      <c r="A3258" t="s">
        <v>77</v>
      </c>
      <c r="B3258" t="s">
        <v>35</v>
      </c>
      <c r="C3258" t="s">
        <v>46</v>
      </c>
      <c r="D3258" t="s">
        <v>357</v>
      </c>
      <c r="E3258" s="2">
        <v>4285.13</v>
      </c>
      <c r="F3258">
        <v>87</v>
      </c>
    </row>
    <row r="3259" spans="1:6">
      <c r="A3259" t="s">
        <v>77</v>
      </c>
      <c r="B3259" t="s">
        <v>15</v>
      </c>
      <c r="C3259" t="s">
        <v>100</v>
      </c>
      <c r="D3259" t="s">
        <v>287</v>
      </c>
      <c r="E3259" s="2">
        <v>4196.2299999999996</v>
      </c>
      <c r="F3259">
        <v>256</v>
      </c>
    </row>
    <row r="3260" spans="1:6">
      <c r="A3260" t="s">
        <v>19</v>
      </c>
      <c r="B3260" t="s">
        <v>35</v>
      </c>
      <c r="C3260" t="s">
        <v>36</v>
      </c>
      <c r="D3260" t="s">
        <v>286</v>
      </c>
      <c r="E3260" s="2">
        <v>6409.31</v>
      </c>
      <c r="F3260">
        <v>621</v>
      </c>
    </row>
    <row r="3261" spans="1:6">
      <c r="A3261" t="s">
        <v>58</v>
      </c>
      <c r="B3261" t="s">
        <v>35</v>
      </c>
      <c r="C3261" t="s">
        <v>38</v>
      </c>
      <c r="D3261" s="1">
        <v>45566</v>
      </c>
      <c r="E3261" s="2">
        <v>3010.07</v>
      </c>
      <c r="F3261">
        <v>24</v>
      </c>
    </row>
    <row r="3262" spans="1:6">
      <c r="A3262" t="s">
        <v>34</v>
      </c>
      <c r="B3262" t="s">
        <v>25</v>
      </c>
      <c r="C3262" t="s">
        <v>23</v>
      </c>
      <c r="D3262" s="1">
        <v>45387</v>
      </c>
      <c r="E3262" s="2">
        <v>567.91</v>
      </c>
      <c r="F3262">
        <v>225</v>
      </c>
    </row>
    <row r="3263" spans="1:6">
      <c r="A3263" t="s">
        <v>45</v>
      </c>
      <c r="B3263" t="s">
        <v>35</v>
      </c>
      <c r="C3263" t="s">
        <v>59</v>
      </c>
      <c r="D3263" s="1">
        <v>45416</v>
      </c>
      <c r="E3263" s="2">
        <v>6948.79</v>
      </c>
      <c r="F3263">
        <v>292</v>
      </c>
    </row>
    <row r="3264" spans="1:6">
      <c r="A3264" t="s">
        <v>67</v>
      </c>
      <c r="B3264" t="s">
        <v>10</v>
      </c>
      <c r="C3264" t="s">
        <v>23</v>
      </c>
      <c r="D3264" t="s">
        <v>358</v>
      </c>
      <c r="E3264" s="2">
        <v>1009.28</v>
      </c>
      <c r="F3264">
        <v>69</v>
      </c>
    </row>
    <row r="3265" spans="1:6">
      <c r="A3265" t="s">
        <v>45</v>
      </c>
      <c r="B3265" t="s">
        <v>10</v>
      </c>
      <c r="C3265" t="s">
        <v>50</v>
      </c>
      <c r="D3265" t="s">
        <v>345</v>
      </c>
      <c r="E3265" s="2">
        <v>12049.05</v>
      </c>
      <c r="F3265">
        <v>180</v>
      </c>
    </row>
    <row r="3266" spans="1:6">
      <c r="A3266" t="s">
        <v>79</v>
      </c>
      <c r="B3266" t="s">
        <v>15</v>
      </c>
      <c r="C3266" t="s">
        <v>59</v>
      </c>
      <c r="D3266" s="1">
        <v>45419</v>
      </c>
      <c r="E3266" s="2">
        <v>6969.38</v>
      </c>
      <c r="F3266">
        <v>102</v>
      </c>
    </row>
    <row r="3267" spans="1:6">
      <c r="A3267" t="s">
        <v>19</v>
      </c>
      <c r="B3267" t="s">
        <v>35</v>
      </c>
      <c r="C3267" t="s">
        <v>33</v>
      </c>
      <c r="D3267" t="s">
        <v>265</v>
      </c>
      <c r="E3267" s="2">
        <v>10257.74</v>
      </c>
      <c r="F3267">
        <v>328</v>
      </c>
    </row>
    <row r="3268" spans="1:6">
      <c r="A3268" t="s">
        <v>55</v>
      </c>
      <c r="B3268" t="s">
        <v>35</v>
      </c>
      <c r="C3268" t="s">
        <v>65</v>
      </c>
      <c r="D3268" s="1">
        <v>45634</v>
      </c>
      <c r="E3268" s="2">
        <v>7220.35</v>
      </c>
      <c r="F3268">
        <v>71</v>
      </c>
    </row>
    <row r="3269" spans="1:6">
      <c r="A3269" t="s">
        <v>14</v>
      </c>
      <c r="B3269" t="s">
        <v>7</v>
      </c>
      <c r="C3269" t="s">
        <v>87</v>
      </c>
      <c r="D3269" s="1">
        <v>45599</v>
      </c>
      <c r="E3269" s="2">
        <v>783.35</v>
      </c>
      <c r="F3269">
        <v>273</v>
      </c>
    </row>
    <row r="3270" spans="1:6">
      <c r="A3270" t="s">
        <v>6</v>
      </c>
      <c r="B3270" t="s">
        <v>7</v>
      </c>
      <c r="C3270" t="s">
        <v>57</v>
      </c>
      <c r="D3270" t="s">
        <v>336</v>
      </c>
      <c r="E3270" s="2">
        <v>9434.44</v>
      </c>
      <c r="F3270">
        <v>221</v>
      </c>
    </row>
    <row r="3271" spans="1:6">
      <c r="A3271" t="s">
        <v>58</v>
      </c>
      <c r="B3271" t="s">
        <v>32</v>
      </c>
      <c r="C3271" t="s">
        <v>18</v>
      </c>
      <c r="D3271" s="1">
        <v>45631</v>
      </c>
      <c r="E3271" s="2">
        <v>12755.99</v>
      </c>
      <c r="F3271">
        <v>99</v>
      </c>
    </row>
    <row r="3272" spans="1:6">
      <c r="A3272" t="s">
        <v>28</v>
      </c>
      <c r="B3272" t="s">
        <v>32</v>
      </c>
      <c r="C3272" t="s">
        <v>73</v>
      </c>
      <c r="D3272" s="1">
        <v>45627</v>
      </c>
      <c r="E3272" s="2">
        <v>807.26</v>
      </c>
      <c r="F3272">
        <v>198</v>
      </c>
    </row>
    <row r="3273" spans="1:6">
      <c r="A3273" t="s">
        <v>77</v>
      </c>
      <c r="B3273" t="s">
        <v>25</v>
      </c>
      <c r="C3273" t="s">
        <v>46</v>
      </c>
      <c r="D3273" t="s">
        <v>324</v>
      </c>
      <c r="E3273" s="2">
        <v>13541.21</v>
      </c>
      <c r="F3273">
        <v>434</v>
      </c>
    </row>
    <row r="3274" spans="1:6">
      <c r="A3274" t="s">
        <v>45</v>
      </c>
      <c r="B3274" t="s">
        <v>10</v>
      </c>
      <c r="C3274" t="s">
        <v>26</v>
      </c>
      <c r="D3274" t="s">
        <v>278</v>
      </c>
      <c r="E3274" s="2">
        <v>9976.2199999999993</v>
      </c>
      <c r="F3274">
        <v>12</v>
      </c>
    </row>
    <row r="3275" spans="1:6">
      <c r="A3275" t="s">
        <v>31</v>
      </c>
      <c r="B3275" t="s">
        <v>25</v>
      </c>
      <c r="C3275" t="s">
        <v>20</v>
      </c>
      <c r="D3275" t="s">
        <v>281</v>
      </c>
      <c r="E3275" s="2">
        <v>9152.7199999999993</v>
      </c>
      <c r="F3275">
        <v>208</v>
      </c>
    </row>
    <row r="3276" spans="1:6">
      <c r="A3276" t="s">
        <v>58</v>
      </c>
      <c r="B3276" t="s">
        <v>35</v>
      </c>
      <c r="C3276" t="s">
        <v>42</v>
      </c>
      <c r="D3276" t="s">
        <v>313</v>
      </c>
      <c r="E3276" s="2">
        <v>9251.3700000000008</v>
      </c>
      <c r="F3276">
        <v>79</v>
      </c>
    </row>
    <row r="3277" spans="1:6">
      <c r="A3277" t="s">
        <v>41</v>
      </c>
      <c r="B3277" t="s">
        <v>10</v>
      </c>
      <c r="C3277" t="s">
        <v>65</v>
      </c>
      <c r="D3277" t="s">
        <v>281</v>
      </c>
      <c r="E3277" s="2">
        <v>3634.26</v>
      </c>
      <c r="F3277">
        <v>100</v>
      </c>
    </row>
    <row r="3278" spans="1:6">
      <c r="A3278" t="s">
        <v>28</v>
      </c>
      <c r="B3278" t="s">
        <v>15</v>
      </c>
      <c r="C3278" t="s">
        <v>13</v>
      </c>
      <c r="D3278" t="s">
        <v>343</v>
      </c>
      <c r="E3278" s="2">
        <v>352.51</v>
      </c>
      <c r="F3278">
        <v>196</v>
      </c>
    </row>
    <row r="3279" spans="1:6">
      <c r="A3279" t="s">
        <v>37</v>
      </c>
      <c r="B3279" t="s">
        <v>15</v>
      </c>
      <c r="C3279" t="s">
        <v>50</v>
      </c>
      <c r="D3279" t="s">
        <v>350</v>
      </c>
      <c r="E3279" s="2">
        <v>5303.58</v>
      </c>
      <c r="F3279">
        <v>354</v>
      </c>
    </row>
    <row r="3280" spans="1:6">
      <c r="A3280" t="s">
        <v>6</v>
      </c>
      <c r="B3280" t="s">
        <v>32</v>
      </c>
      <c r="C3280" t="s">
        <v>59</v>
      </c>
      <c r="D3280" s="1">
        <v>45479</v>
      </c>
      <c r="E3280" s="2">
        <v>7339.32</v>
      </c>
      <c r="F3280">
        <v>121</v>
      </c>
    </row>
    <row r="3281" spans="1:6">
      <c r="A3281" t="s">
        <v>83</v>
      </c>
      <c r="B3281" t="s">
        <v>35</v>
      </c>
      <c r="C3281" t="s">
        <v>42</v>
      </c>
      <c r="D3281" t="s">
        <v>307</v>
      </c>
      <c r="E3281" s="2">
        <v>616.09</v>
      </c>
      <c r="F3281">
        <v>238</v>
      </c>
    </row>
    <row r="3282" spans="1:6">
      <c r="A3282" t="s">
        <v>79</v>
      </c>
      <c r="B3282" t="s">
        <v>10</v>
      </c>
      <c r="C3282" t="s">
        <v>36</v>
      </c>
      <c r="D3282" t="s">
        <v>271</v>
      </c>
      <c r="E3282" s="2">
        <v>2504.62</v>
      </c>
      <c r="F3282">
        <v>397</v>
      </c>
    </row>
    <row r="3283" spans="1:6">
      <c r="A3283" t="s">
        <v>37</v>
      </c>
      <c r="B3283" t="s">
        <v>10</v>
      </c>
      <c r="C3283" t="s">
        <v>100</v>
      </c>
      <c r="D3283" t="s">
        <v>342</v>
      </c>
      <c r="E3283" s="2">
        <v>5915.87</v>
      </c>
      <c r="F3283">
        <v>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7897-A938-43AE-B1FE-2B88E0EEBBED}">
  <dimension ref="A1:P4891"/>
  <sheetViews>
    <sheetView topLeftCell="A3256" workbookViewId="0">
      <selection activeCell="N3264" sqref="N3264"/>
    </sheetView>
  </sheetViews>
  <sheetFormatPr defaultRowHeight="15" outlineLevelCol="1"/>
  <cols>
    <col min="1" max="1" width="17.42578125" customWidth="1"/>
    <col min="2" max="2" width="17" customWidth="1"/>
    <col min="3" max="3" width="20.42578125" customWidth="1"/>
    <col min="4" max="4" width="14.140625" style="3" customWidth="1"/>
    <col min="5" max="5" width="15.85546875" style="3" customWidth="1" outlineLevel="1"/>
    <col min="6" max="7" width="14.140625" style="3" customWidth="1" outlineLevel="1"/>
    <col min="8" max="8" width="18.28515625" style="6" customWidth="1"/>
    <col min="11" max="11" width="16" customWidth="1"/>
    <col min="12" max="12" width="17.28515625" bestFit="1" customWidth="1"/>
    <col min="13" max="13" width="17.28515625" customWidth="1"/>
    <col min="14" max="14" width="48.140625" customWidth="1"/>
    <col min="16" max="16" width="15.42578125" customWidth="1"/>
  </cols>
  <sheetData>
    <row r="1" spans="1:16">
      <c r="A1" t="s">
        <v>0</v>
      </c>
      <c r="B1" t="s">
        <v>1</v>
      </c>
      <c r="C1" t="s">
        <v>2</v>
      </c>
      <c r="D1" s="3" t="s">
        <v>3</v>
      </c>
      <c r="E1" s="3" t="s">
        <v>368</v>
      </c>
      <c r="F1" s="3" t="s">
        <v>369</v>
      </c>
      <c r="G1" s="3" t="s">
        <v>370</v>
      </c>
      <c r="H1" s="6" t="s">
        <v>4</v>
      </c>
      <c r="I1" t="s">
        <v>5</v>
      </c>
      <c r="K1" s="12" t="s">
        <v>371</v>
      </c>
      <c r="L1" t="s">
        <v>372</v>
      </c>
      <c r="M1" t="s">
        <v>373</v>
      </c>
    </row>
    <row r="2" spans="1:16" ht="16.5">
      <c r="A2" t="s">
        <v>6</v>
      </c>
      <c r="B2" t="s">
        <v>7</v>
      </c>
      <c r="C2" t="s">
        <v>8</v>
      </c>
      <c r="D2" s="4">
        <v>44652</v>
      </c>
      <c r="E2" s="5" t="str">
        <f>TEXT(D2,"dd/mm/yyyy")</f>
        <v>01/04/2022</v>
      </c>
      <c r="F2" s="5" t="str" cm="1">
        <f t="array" ref="F2">RIGHT(_xlfn.ANCHORARRAY(E2),4)</f>
        <v>2022</v>
      </c>
      <c r="G2" s="5" t="str">
        <f>TEXT(E2,"mm")</f>
        <v>01</v>
      </c>
      <c r="H2" s="6">
        <v>5320</v>
      </c>
      <c r="I2">
        <v>180</v>
      </c>
      <c r="K2" s="6">
        <f>AVERAGE(H:H)</f>
        <v>6030.3387751371092</v>
      </c>
      <c r="L2" t="str">
        <f>IF(H2&gt;6030.34,"Above Average","Below Average")</f>
        <v>Below Average</v>
      </c>
      <c r="M2">
        <f>RANK(H2,H:H,0)</f>
        <v>1609</v>
      </c>
      <c r="N2" s="9" t="s">
        <v>374</v>
      </c>
      <c r="O2" s="8" t="s">
        <v>375</v>
      </c>
      <c r="P2" s="6">
        <f>SUM(H2:H3283)</f>
        <v>19791571.859999992</v>
      </c>
    </row>
    <row r="3" spans="1:16">
      <c r="A3" t="s">
        <v>9</v>
      </c>
      <c r="B3" t="s">
        <v>10</v>
      </c>
      <c r="C3" t="s">
        <v>11</v>
      </c>
      <c r="D3" s="4">
        <v>44569</v>
      </c>
      <c r="E3" s="5" t="str">
        <f>TEXT(D3,"dd/mm/yyyy")</f>
        <v>08/01/2022</v>
      </c>
      <c r="F3" s="5" t="str" cm="1">
        <f t="array" ref="F3">RIGHT(_xlfn.ANCHORARRAY(E3),4)</f>
        <v>2022</v>
      </c>
      <c r="G3" s="5" t="str">
        <f>TEXT(E3,"mm")</f>
        <v>08</v>
      </c>
      <c r="H3" s="6">
        <v>7896</v>
      </c>
      <c r="I3">
        <v>94</v>
      </c>
      <c r="L3" t="str">
        <f t="shared" ref="L3:L66" si="0">IF(H3&gt;6030.34,"Above Average","Below Average")</f>
        <v>Above Average</v>
      </c>
      <c r="M3">
        <f>RANK(H3,H:H,0)</f>
        <v>973</v>
      </c>
    </row>
    <row r="4" spans="1:16" ht="15.75">
      <c r="A4" t="s">
        <v>12</v>
      </c>
      <c r="B4" t="s">
        <v>10</v>
      </c>
      <c r="C4" t="s">
        <v>13</v>
      </c>
      <c r="D4" s="4">
        <v>44749</v>
      </c>
      <c r="E4" s="5" t="str">
        <f>TEXT(D4,"dd/mm/yyyy")</f>
        <v>07/07/2022</v>
      </c>
      <c r="F4" s="5" t="str" cm="1">
        <f t="array" ref="F4">RIGHT(_xlfn.ANCHORARRAY(E4),4)</f>
        <v>2022</v>
      </c>
      <c r="G4" s="5" t="str">
        <f>TEXT(E4,"mm")</f>
        <v>07</v>
      </c>
      <c r="H4" s="6">
        <v>4501</v>
      </c>
      <c r="I4">
        <v>91</v>
      </c>
      <c r="L4" t="str">
        <f t="shared" si="0"/>
        <v>Below Average</v>
      </c>
      <c r="M4">
        <f>RANK(H4,H:H,0)</f>
        <v>1847</v>
      </c>
      <c r="N4" s="7" t="s">
        <v>376</v>
      </c>
      <c r="O4" s="8" t="s">
        <v>375</v>
      </c>
      <c r="P4" s="6">
        <f>AVERAGE(H2:H3283)</f>
        <v>6030.3387751371092</v>
      </c>
    </row>
    <row r="5" spans="1:16">
      <c r="A5" t="s">
        <v>14</v>
      </c>
      <c r="B5" t="s">
        <v>15</v>
      </c>
      <c r="C5" t="s">
        <v>13</v>
      </c>
      <c r="D5" s="3" t="s">
        <v>16</v>
      </c>
      <c r="E5" s="5" t="str">
        <f>TEXT(D5,"dd/mm/yyyy")</f>
        <v>27/04/2022</v>
      </c>
      <c r="F5" s="5" t="str" cm="1">
        <f t="array" ref="F5">RIGHT(_xlfn.ANCHORARRAY(E5),4)</f>
        <v>2022</v>
      </c>
      <c r="G5" s="5" t="str">
        <f>TEXT(E5,"mm")</f>
        <v>27/04/2022</v>
      </c>
      <c r="H5" s="6">
        <v>12726</v>
      </c>
      <c r="I5">
        <v>342</v>
      </c>
      <c r="L5" t="str">
        <f t="shared" si="0"/>
        <v>Above Average</v>
      </c>
      <c r="M5">
        <f>RANK(H5,H:H,0)</f>
        <v>284</v>
      </c>
    </row>
    <row r="6" spans="1:16" ht="15.75">
      <c r="A6" t="s">
        <v>6</v>
      </c>
      <c r="B6" t="s">
        <v>7</v>
      </c>
      <c r="C6" t="s">
        <v>13</v>
      </c>
      <c r="D6" s="3" t="s">
        <v>17</v>
      </c>
      <c r="E6" s="5" t="str">
        <f>TEXT(D6,"dd/mm/yyyy")</f>
        <v>24/02/2022</v>
      </c>
      <c r="F6" s="5" t="str" cm="1">
        <f t="array" ref="F6">RIGHT(_xlfn.ANCHORARRAY(E6),4)</f>
        <v>2022</v>
      </c>
      <c r="G6" s="5" t="str">
        <f>TEXT(E6,"mm")</f>
        <v>24/02/2022</v>
      </c>
      <c r="H6" s="6">
        <v>13685</v>
      </c>
      <c r="I6">
        <v>184</v>
      </c>
      <c r="L6" t="str">
        <f t="shared" si="0"/>
        <v>Above Average</v>
      </c>
      <c r="M6">
        <f>RANK(H6,H:H,0)</f>
        <v>223</v>
      </c>
      <c r="N6" s="7" t="s">
        <v>377</v>
      </c>
      <c r="O6" s="8" t="s">
        <v>375</v>
      </c>
      <c r="P6">
        <f>COUNT(H2:H3283)</f>
        <v>3282</v>
      </c>
    </row>
    <row r="7" spans="1:16">
      <c r="A7" t="s">
        <v>9</v>
      </c>
      <c r="B7" t="s">
        <v>10</v>
      </c>
      <c r="C7" t="s">
        <v>18</v>
      </c>
      <c r="D7" s="4">
        <v>44718</v>
      </c>
      <c r="E7" s="5" t="str">
        <f>TEXT(D7,"dd/mm/yyyy")</f>
        <v>06/06/2022</v>
      </c>
      <c r="F7" s="5" t="str" cm="1">
        <f t="array" ref="F7">RIGHT(_xlfn.ANCHORARRAY(E7),4)</f>
        <v>2022</v>
      </c>
      <c r="G7" s="5" t="str">
        <f>TEXT(E7,"mm")</f>
        <v>06</v>
      </c>
      <c r="H7" s="6">
        <v>5376</v>
      </c>
      <c r="I7">
        <v>38</v>
      </c>
      <c r="L7" t="str">
        <f t="shared" si="0"/>
        <v>Below Average</v>
      </c>
      <c r="M7">
        <f>RANK(H7,H:H,0)</f>
        <v>1598</v>
      </c>
    </row>
    <row r="8" spans="1:16" ht="15.75">
      <c r="A8" t="s">
        <v>19</v>
      </c>
      <c r="B8" t="s">
        <v>7</v>
      </c>
      <c r="C8" t="s">
        <v>20</v>
      </c>
      <c r="D8" s="3" t="s">
        <v>21</v>
      </c>
      <c r="E8" s="5" t="str">
        <f>TEXT(D8,"dd/mm/yyyy")</f>
        <v>25/01/2022</v>
      </c>
      <c r="F8" s="5" t="str" cm="1">
        <f t="array" ref="F8">RIGHT(_xlfn.ANCHORARRAY(E8),4)</f>
        <v>2022</v>
      </c>
      <c r="G8" s="5" t="str">
        <f>TEXT(E8,"mm")</f>
        <v>25/01/2022</v>
      </c>
      <c r="H8" s="6">
        <v>13685</v>
      </c>
      <c r="I8">
        <v>176</v>
      </c>
      <c r="L8" t="str">
        <f t="shared" si="0"/>
        <v>Above Average</v>
      </c>
      <c r="M8">
        <f>RANK(H8,H:H,0)</f>
        <v>223</v>
      </c>
      <c r="N8" s="7" t="s">
        <v>378</v>
      </c>
      <c r="O8" s="8" t="s">
        <v>375</v>
      </c>
      <c r="P8">
        <f>SUM(I2:I3283)</f>
        <v>540437</v>
      </c>
    </row>
    <row r="9" spans="1:16">
      <c r="A9" t="s">
        <v>22</v>
      </c>
      <c r="B9" t="s">
        <v>15</v>
      </c>
      <c r="C9" t="s">
        <v>23</v>
      </c>
      <c r="D9" s="3" t="s">
        <v>24</v>
      </c>
      <c r="E9" s="5" t="str">
        <f>TEXT(D9,"dd/mm/yyyy")</f>
        <v>24/03/2022</v>
      </c>
      <c r="F9" s="5" t="str" cm="1">
        <f t="array" ref="F9">RIGHT(_xlfn.ANCHORARRAY(E9),4)</f>
        <v>2022</v>
      </c>
      <c r="G9" s="5" t="str">
        <f>TEXT(E9,"mm")</f>
        <v>24/03/2022</v>
      </c>
      <c r="H9" s="6">
        <v>3080</v>
      </c>
      <c r="I9">
        <v>73</v>
      </c>
      <c r="L9" t="str">
        <f t="shared" si="0"/>
        <v>Below Average</v>
      </c>
      <c r="M9">
        <f>RANK(H9,H:H,0)</f>
        <v>2277</v>
      </c>
    </row>
    <row r="10" spans="1:16" ht="15.75">
      <c r="A10" t="s">
        <v>6</v>
      </c>
      <c r="B10" t="s">
        <v>25</v>
      </c>
      <c r="C10" t="s">
        <v>26</v>
      </c>
      <c r="D10" s="3" t="s">
        <v>27</v>
      </c>
      <c r="E10" s="5" t="str">
        <f>TEXT(D10,"dd/mm/yyyy")</f>
        <v>20/04/2022</v>
      </c>
      <c r="F10" s="5" t="str" cm="1">
        <f t="array" ref="F10">RIGHT(_xlfn.ANCHORARRAY(E10),4)</f>
        <v>2022</v>
      </c>
      <c r="G10" s="5" t="str">
        <f>TEXT(E10,"mm")</f>
        <v>20/04/2022</v>
      </c>
      <c r="H10" s="6">
        <v>3990</v>
      </c>
      <c r="I10">
        <v>59</v>
      </c>
      <c r="L10" t="str">
        <f t="shared" si="0"/>
        <v>Below Average</v>
      </c>
      <c r="M10">
        <f>RANK(H10,H:H,0)</f>
        <v>1989</v>
      </c>
      <c r="N10" s="7" t="s">
        <v>379</v>
      </c>
      <c r="O10" s="8" t="s">
        <v>375</v>
      </c>
      <c r="P10" s="6">
        <f>MAX(H2:H3283)</f>
        <v>26170.95</v>
      </c>
    </row>
    <row r="11" spans="1:16">
      <c r="A11" t="s">
        <v>28</v>
      </c>
      <c r="B11" t="s">
        <v>15</v>
      </c>
      <c r="C11" t="s">
        <v>20</v>
      </c>
      <c r="D11" s="4">
        <v>44658</v>
      </c>
      <c r="E11" s="5" t="str">
        <f>TEXT(D11,"dd/mm/yyyy")</f>
        <v>07/04/2022</v>
      </c>
      <c r="F11" s="5" t="str" cm="1">
        <f t="array" ref="F11">RIGHT(_xlfn.ANCHORARRAY(E11),4)</f>
        <v>2022</v>
      </c>
      <c r="G11" s="5" t="str">
        <f>TEXT(E11,"mm")</f>
        <v>07</v>
      </c>
      <c r="H11" s="6">
        <v>2835</v>
      </c>
      <c r="I11">
        <v>102</v>
      </c>
      <c r="L11" t="str">
        <f t="shared" si="0"/>
        <v>Below Average</v>
      </c>
      <c r="M11">
        <f>RANK(H11,H:H,0)</f>
        <v>2359</v>
      </c>
    </row>
    <row r="12" spans="1:16" ht="15.75">
      <c r="A12" t="s">
        <v>29</v>
      </c>
      <c r="B12" t="s">
        <v>7</v>
      </c>
      <c r="C12" t="s">
        <v>18</v>
      </c>
      <c r="D12" s="3" t="s">
        <v>30</v>
      </c>
      <c r="E12" s="5" t="str">
        <f>TEXT(D12,"dd/mm/yyyy")</f>
        <v>13/01/2022</v>
      </c>
      <c r="F12" s="5" t="str" cm="1">
        <f t="array" ref="F12">RIGHT(_xlfn.ANCHORARRAY(E12),4)</f>
        <v>2022</v>
      </c>
      <c r="G12" s="5" t="str">
        <f>TEXT(E12,"mm")</f>
        <v>13/01/2022</v>
      </c>
      <c r="H12" s="6">
        <v>4704</v>
      </c>
      <c r="I12">
        <v>62</v>
      </c>
      <c r="L12" t="str">
        <f t="shared" si="0"/>
        <v>Below Average</v>
      </c>
      <c r="M12">
        <f>RANK(H12,H:H,0)</f>
        <v>1798</v>
      </c>
      <c r="N12" s="7" t="s">
        <v>380</v>
      </c>
      <c r="O12" s="8" t="s">
        <v>375</v>
      </c>
      <c r="P12" s="6">
        <f>MIN(H2:H3283)</f>
        <v>7</v>
      </c>
    </row>
    <row r="13" spans="1:16">
      <c r="A13" t="s">
        <v>31</v>
      </c>
      <c r="B13" t="s">
        <v>32</v>
      </c>
      <c r="C13" t="s">
        <v>33</v>
      </c>
      <c r="D13" s="4">
        <v>44837</v>
      </c>
      <c r="E13" s="5" t="str">
        <f>TEXT(D13,"dd/mm/yyyy")</f>
        <v>03/10/2022</v>
      </c>
      <c r="F13" s="5" t="str" cm="1">
        <f t="array" ref="F13">RIGHT(_xlfn.ANCHORARRAY(E13),4)</f>
        <v>2022</v>
      </c>
      <c r="G13" s="5" t="str">
        <f>TEXT(E13,"mm")</f>
        <v>03</v>
      </c>
      <c r="H13" s="6">
        <v>3703</v>
      </c>
      <c r="I13">
        <v>11</v>
      </c>
      <c r="L13" t="str">
        <f t="shared" si="0"/>
        <v>Below Average</v>
      </c>
      <c r="M13">
        <f>RANK(H13,H:H,0)</f>
        <v>2073</v>
      </c>
    </row>
    <row r="14" spans="1:16">
      <c r="A14" t="s">
        <v>34</v>
      </c>
      <c r="B14" t="s">
        <v>35</v>
      </c>
      <c r="C14" t="s">
        <v>36</v>
      </c>
      <c r="D14" s="3" t="s">
        <v>30</v>
      </c>
      <c r="E14" s="5" t="str">
        <f>TEXT(D14,"dd/mm/yyyy")</f>
        <v>13/01/2022</v>
      </c>
      <c r="F14" s="5" t="str" cm="1">
        <f t="array" ref="F14">RIGHT(_xlfn.ANCHORARRAY(E14),4)</f>
        <v>2022</v>
      </c>
      <c r="G14" s="5" t="str">
        <f>TEXT(E14,"mm")</f>
        <v>13/01/2022</v>
      </c>
      <c r="H14" s="6">
        <v>1442</v>
      </c>
      <c r="I14">
        <v>286</v>
      </c>
      <c r="L14" t="str">
        <f t="shared" si="0"/>
        <v>Below Average</v>
      </c>
      <c r="M14">
        <f>RANK(H14,H:H,0)</f>
        <v>2823</v>
      </c>
      <c r="N14" s="12" t="s">
        <v>381</v>
      </c>
      <c r="O14" s="8" t="s">
        <v>375</v>
      </c>
      <c r="P14" s="15">
        <f>AVERAGE(I:I)</f>
        <v>164.66697135892747</v>
      </c>
    </row>
    <row r="15" spans="1:16">
      <c r="A15" t="s">
        <v>37</v>
      </c>
      <c r="B15" t="s">
        <v>25</v>
      </c>
      <c r="C15" t="s">
        <v>38</v>
      </c>
      <c r="D15" s="3" t="s">
        <v>39</v>
      </c>
      <c r="E15" s="5" t="str">
        <f>TEXT(D15,"dd/mm/yyyy")</f>
        <v>28/07/2022</v>
      </c>
      <c r="F15" s="5" t="str" cm="1">
        <f t="array" ref="F15">RIGHT(_xlfn.ANCHORARRAY(E15),4)</f>
        <v>2022</v>
      </c>
      <c r="G15" s="5" t="str">
        <f>TEXT(E15,"mm")</f>
        <v>28/07/2022</v>
      </c>
      <c r="H15" s="6">
        <v>168</v>
      </c>
      <c r="I15">
        <v>156</v>
      </c>
      <c r="L15" t="str">
        <f t="shared" si="0"/>
        <v>Below Average</v>
      </c>
      <c r="M15">
        <f>RANK(H15,H:H,0)</f>
        <v>3225</v>
      </c>
    </row>
    <row r="16" spans="1:16">
      <c r="A16" t="s">
        <v>40</v>
      </c>
      <c r="B16" t="s">
        <v>25</v>
      </c>
      <c r="C16" t="s">
        <v>13</v>
      </c>
      <c r="D16" s="4">
        <v>44628</v>
      </c>
      <c r="E16" s="5" t="str">
        <f>TEXT(D16,"dd/mm/yyyy")</f>
        <v>08/03/2022</v>
      </c>
      <c r="F16" s="5" t="str" cm="1">
        <f t="array" ref="F16">RIGHT(_xlfn.ANCHORARRAY(E16),4)</f>
        <v>2022</v>
      </c>
      <c r="G16" s="5" t="str">
        <f>TEXT(E16,"mm")</f>
        <v>08</v>
      </c>
      <c r="H16" s="6">
        <v>8379</v>
      </c>
      <c r="I16">
        <v>173</v>
      </c>
      <c r="L16" t="str">
        <f t="shared" si="0"/>
        <v>Above Average</v>
      </c>
      <c r="M16">
        <f>RANK(H16,H:H,0)</f>
        <v>857</v>
      </c>
    </row>
    <row r="17" spans="1:13">
      <c r="A17" t="s">
        <v>41</v>
      </c>
      <c r="B17" t="s">
        <v>15</v>
      </c>
      <c r="C17" t="s">
        <v>42</v>
      </c>
      <c r="D17" s="3" t="s">
        <v>43</v>
      </c>
      <c r="E17" s="5" t="str">
        <f>TEXT(D17,"dd/mm/yyyy")</f>
        <v>26/01/2022</v>
      </c>
      <c r="F17" s="5" t="str" cm="1">
        <f t="array" ref="F17">RIGHT(_xlfn.ANCHORARRAY(E17),4)</f>
        <v>2022</v>
      </c>
      <c r="G17" s="5" t="str">
        <f>TEXT(E17,"mm")</f>
        <v>26/01/2022</v>
      </c>
      <c r="H17" s="6">
        <v>6790</v>
      </c>
      <c r="I17">
        <v>356</v>
      </c>
      <c r="L17" t="str">
        <f t="shared" si="0"/>
        <v>Above Average</v>
      </c>
      <c r="M17">
        <f>RANK(H17,H:H,0)</f>
        <v>1241</v>
      </c>
    </row>
    <row r="18" spans="1:13">
      <c r="A18" t="s">
        <v>9</v>
      </c>
      <c r="B18" t="s">
        <v>35</v>
      </c>
      <c r="C18" t="s">
        <v>42</v>
      </c>
      <c r="D18" s="3" t="s">
        <v>44</v>
      </c>
      <c r="E18" s="5" t="str">
        <f>TEXT(D18,"dd/mm/yyyy")</f>
        <v>14/02/2022</v>
      </c>
      <c r="F18" s="5" t="str" cm="1">
        <f t="array" ref="F18">RIGHT(_xlfn.ANCHORARRAY(E18),4)</f>
        <v>2022</v>
      </c>
      <c r="G18" s="5" t="str">
        <f>TEXT(E18,"mm")</f>
        <v>14/02/2022</v>
      </c>
      <c r="H18" s="6">
        <v>4067</v>
      </c>
      <c r="I18">
        <v>42</v>
      </c>
      <c r="L18" t="str">
        <f t="shared" si="0"/>
        <v>Below Average</v>
      </c>
      <c r="M18">
        <f>RANK(H18,H:H,0)</f>
        <v>1963</v>
      </c>
    </row>
    <row r="19" spans="1:13">
      <c r="A19" t="s">
        <v>45</v>
      </c>
      <c r="B19" t="s">
        <v>32</v>
      </c>
      <c r="C19" t="s">
        <v>18</v>
      </c>
      <c r="D19" s="4">
        <v>44685</v>
      </c>
      <c r="E19" s="5" t="str">
        <f>TEXT(D19,"dd/mm/yyyy")</f>
        <v>04/05/2022</v>
      </c>
      <c r="F19" s="5" t="str" cm="1">
        <f t="array" ref="F19">RIGHT(_xlfn.ANCHORARRAY(E19),4)</f>
        <v>2022</v>
      </c>
      <c r="G19" s="5" t="str">
        <f>TEXT(E19,"mm")</f>
        <v>04</v>
      </c>
      <c r="H19" s="6">
        <v>3017</v>
      </c>
      <c r="I19">
        <v>140</v>
      </c>
      <c r="L19" t="str">
        <f t="shared" si="0"/>
        <v>Below Average</v>
      </c>
      <c r="M19">
        <f>RANK(H19,H:H,0)</f>
        <v>2299</v>
      </c>
    </row>
    <row r="20" spans="1:13">
      <c r="A20" t="s">
        <v>41</v>
      </c>
      <c r="B20" t="s">
        <v>35</v>
      </c>
      <c r="C20" t="s">
        <v>46</v>
      </c>
      <c r="D20" s="3" t="s">
        <v>47</v>
      </c>
      <c r="E20" s="5" t="str">
        <f>TEXT(D20,"dd/mm/yyyy")</f>
        <v>16/02/2022</v>
      </c>
      <c r="F20" s="5" t="str" cm="1">
        <f t="array" ref="F20">RIGHT(_xlfn.ANCHORARRAY(E20),4)</f>
        <v>2022</v>
      </c>
      <c r="G20" s="5" t="str">
        <f>TEXT(E20,"mm")</f>
        <v>16/02/2022</v>
      </c>
      <c r="H20" s="6">
        <v>8799</v>
      </c>
      <c r="I20">
        <v>250</v>
      </c>
      <c r="L20" t="str">
        <f t="shared" si="0"/>
        <v>Above Average</v>
      </c>
      <c r="M20">
        <f>RANK(H20,H:H,0)</f>
        <v>780</v>
      </c>
    </row>
    <row r="21" spans="1:13">
      <c r="A21" t="s">
        <v>48</v>
      </c>
      <c r="B21" t="s">
        <v>7</v>
      </c>
      <c r="C21" t="s">
        <v>11</v>
      </c>
      <c r="D21" s="4">
        <v>44779</v>
      </c>
      <c r="E21" s="5" t="str">
        <f>TEXT(D21,"dd/mm/yyyy")</f>
        <v>06/08/2022</v>
      </c>
      <c r="F21" s="5" t="str" cm="1">
        <f t="array" ref="F21">RIGHT(_xlfn.ANCHORARRAY(E21),4)</f>
        <v>2022</v>
      </c>
      <c r="G21" s="5" t="str">
        <f>TEXT(E21,"mm")</f>
        <v>06</v>
      </c>
      <c r="H21" s="6">
        <v>1085</v>
      </c>
      <c r="I21">
        <v>172</v>
      </c>
      <c r="L21" t="str">
        <f t="shared" si="0"/>
        <v>Below Average</v>
      </c>
      <c r="M21">
        <f>RANK(H21,H:H,0)</f>
        <v>2945</v>
      </c>
    </row>
    <row r="22" spans="1:13">
      <c r="A22" t="s">
        <v>28</v>
      </c>
      <c r="B22" t="s">
        <v>15</v>
      </c>
      <c r="C22" t="s">
        <v>36</v>
      </c>
      <c r="D22" s="3" t="s">
        <v>49</v>
      </c>
      <c r="E22" s="5" t="str">
        <f>TEXT(D22,"dd/mm/yyyy")</f>
        <v>27/06/2022</v>
      </c>
      <c r="F22" s="5" t="str" cm="1">
        <f t="array" ref="F22">RIGHT(_xlfn.ANCHORARRAY(E22),4)</f>
        <v>2022</v>
      </c>
      <c r="G22" s="5" t="str">
        <f>TEXT(E22,"mm")</f>
        <v>27/06/2022</v>
      </c>
      <c r="H22" s="6">
        <v>6888</v>
      </c>
      <c r="I22">
        <v>88</v>
      </c>
      <c r="L22" t="str">
        <f t="shared" si="0"/>
        <v>Above Average</v>
      </c>
      <c r="M22">
        <f>RANK(H22,H:H,0)</f>
        <v>1207</v>
      </c>
    </row>
    <row r="23" spans="1:13">
      <c r="A23" t="s">
        <v>22</v>
      </c>
      <c r="B23" t="s">
        <v>32</v>
      </c>
      <c r="C23" t="s">
        <v>50</v>
      </c>
      <c r="D23" s="3" t="s">
        <v>51</v>
      </c>
      <c r="E23" s="5" t="str">
        <f>TEXT(D23,"dd/mm/yyyy")</f>
        <v>17/02/2022</v>
      </c>
      <c r="F23" s="5" t="str" cm="1">
        <f t="array" ref="F23">RIGHT(_xlfn.ANCHORARRAY(E23),4)</f>
        <v>2022</v>
      </c>
      <c r="G23" s="5" t="str">
        <f>TEXT(E23,"mm")</f>
        <v>17/02/2022</v>
      </c>
      <c r="H23" s="6">
        <v>1267</v>
      </c>
      <c r="I23">
        <v>157</v>
      </c>
      <c r="L23" t="str">
        <f t="shared" si="0"/>
        <v>Below Average</v>
      </c>
      <c r="M23">
        <f>RANK(H23,H:H,0)</f>
        <v>2885</v>
      </c>
    </row>
    <row r="24" spans="1:13">
      <c r="A24" t="s">
        <v>40</v>
      </c>
      <c r="B24" t="s">
        <v>32</v>
      </c>
      <c r="C24" t="s">
        <v>23</v>
      </c>
      <c r="D24" s="3" t="s">
        <v>52</v>
      </c>
      <c r="E24" s="5" t="str">
        <f>TEXT(D24,"dd/mm/yyyy")</f>
        <v>30/05/2022</v>
      </c>
      <c r="F24" s="5" t="str" cm="1">
        <f t="array" ref="F24">RIGHT(_xlfn.ANCHORARRAY(E24),4)</f>
        <v>2022</v>
      </c>
      <c r="G24" s="5" t="str">
        <f>TEXT(E24,"mm")</f>
        <v>30/05/2022</v>
      </c>
      <c r="H24" s="6">
        <v>4753</v>
      </c>
      <c r="I24">
        <v>163</v>
      </c>
      <c r="L24" t="str">
        <f t="shared" si="0"/>
        <v>Below Average</v>
      </c>
      <c r="M24">
        <f>RANK(H24,H:H,0)</f>
        <v>1783</v>
      </c>
    </row>
    <row r="25" spans="1:13">
      <c r="A25" t="s">
        <v>53</v>
      </c>
      <c r="B25" t="s">
        <v>7</v>
      </c>
      <c r="C25" t="s">
        <v>38</v>
      </c>
      <c r="D25" s="3" t="s">
        <v>54</v>
      </c>
      <c r="E25" s="5" t="str">
        <f>TEXT(D25,"dd/mm/yyyy")</f>
        <v>14/03/2022</v>
      </c>
      <c r="F25" s="5" t="str" cm="1">
        <f t="array" ref="F25">RIGHT(_xlfn.ANCHORARRAY(E25),4)</f>
        <v>2022</v>
      </c>
      <c r="G25" s="5" t="str">
        <f>TEXT(E25,"mm")</f>
        <v>14/03/2022</v>
      </c>
      <c r="H25" s="6">
        <v>3003</v>
      </c>
      <c r="I25">
        <v>113</v>
      </c>
      <c r="L25" t="str">
        <f t="shared" si="0"/>
        <v>Below Average</v>
      </c>
      <c r="M25">
        <f>RANK(H25,H:H,0)</f>
        <v>2306</v>
      </c>
    </row>
    <row r="26" spans="1:13">
      <c r="A26" t="s">
        <v>55</v>
      </c>
      <c r="B26" t="s">
        <v>15</v>
      </c>
      <c r="C26" t="s">
        <v>36</v>
      </c>
      <c r="D26" s="3" t="s">
        <v>56</v>
      </c>
      <c r="E26" s="5" t="str">
        <f>TEXT(D26,"dd/mm/yyyy")</f>
        <v>28/02/2022</v>
      </c>
      <c r="F26" s="5" t="str" cm="1">
        <f t="array" ref="F26">RIGHT(_xlfn.ANCHORARRAY(E26),4)</f>
        <v>2022</v>
      </c>
      <c r="G26" s="5" t="str">
        <f>TEXT(E26,"mm")</f>
        <v>28/02/2022</v>
      </c>
      <c r="H26" s="6">
        <v>7672</v>
      </c>
      <c r="I26">
        <v>115</v>
      </c>
      <c r="L26" t="str">
        <f t="shared" si="0"/>
        <v>Above Average</v>
      </c>
      <c r="M26">
        <f>RANK(H26,H:H,0)</f>
        <v>1023</v>
      </c>
    </row>
    <row r="27" spans="1:13">
      <c r="A27" t="s">
        <v>37</v>
      </c>
      <c r="B27" t="s">
        <v>10</v>
      </c>
      <c r="C27" t="s">
        <v>57</v>
      </c>
      <c r="D27" s="3" t="s">
        <v>43</v>
      </c>
      <c r="E27" s="5" t="str">
        <f>TEXT(D27,"dd/mm/yyyy")</f>
        <v>26/01/2022</v>
      </c>
      <c r="F27" s="5" t="str" cm="1">
        <f t="array" ref="F27">RIGHT(_xlfn.ANCHORARRAY(E27),4)</f>
        <v>2022</v>
      </c>
      <c r="G27" s="5" t="str">
        <f>TEXT(E27,"mm")</f>
        <v>26/01/2022</v>
      </c>
      <c r="H27" s="6">
        <v>168</v>
      </c>
      <c r="I27">
        <v>321</v>
      </c>
      <c r="L27" t="str">
        <f t="shared" si="0"/>
        <v>Below Average</v>
      </c>
      <c r="M27">
        <f>RANK(H27,H:H,0)</f>
        <v>3225</v>
      </c>
    </row>
    <row r="28" spans="1:13">
      <c r="A28" t="s">
        <v>45</v>
      </c>
      <c r="B28" t="s">
        <v>35</v>
      </c>
      <c r="C28" t="s">
        <v>50</v>
      </c>
      <c r="D28" s="4">
        <v>44806</v>
      </c>
      <c r="E28" s="5" t="str">
        <f>TEXT(D28,"dd/mm/yyyy")</f>
        <v>02/09/2022</v>
      </c>
      <c r="F28" s="5" t="str" cm="1">
        <f t="array" ref="F28">RIGHT(_xlfn.ANCHORARRAY(E28),4)</f>
        <v>2022</v>
      </c>
      <c r="G28" s="5" t="str">
        <f>TEXT(E28,"mm")</f>
        <v>02</v>
      </c>
      <c r="H28" s="6">
        <v>1652</v>
      </c>
      <c r="I28">
        <v>186</v>
      </c>
      <c r="L28" t="str">
        <f t="shared" si="0"/>
        <v>Below Average</v>
      </c>
      <c r="M28">
        <f>RANK(H28,H:H,0)</f>
        <v>2750</v>
      </c>
    </row>
    <row r="29" spans="1:13">
      <c r="A29" t="s">
        <v>53</v>
      </c>
      <c r="B29" t="s">
        <v>32</v>
      </c>
      <c r="C29" t="s">
        <v>36</v>
      </c>
      <c r="D29" s="4">
        <v>44749</v>
      </c>
      <c r="E29" s="5" t="str">
        <f>TEXT(D29,"dd/mm/yyyy")</f>
        <v>07/07/2022</v>
      </c>
      <c r="F29" s="5" t="str" cm="1">
        <f t="array" ref="F29">RIGHT(_xlfn.ANCHORARRAY(E29),4)</f>
        <v>2022</v>
      </c>
      <c r="G29" s="5" t="str">
        <f>TEXT(E29,"mm")</f>
        <v>07</v>
      </c>
      <c r="H29" s="6">
        <v>4025</v>
      </c>
      <c r="I29">
        <v>112</v>
      </c>
      <c r="L29" t="str">
        <f t="shared" si="0"/>
        <v>Below Average</v>
      </c>
      <c r="M29">
        <f>RANK(H29,H:H,0)</f>
        <v>1978</v>
      </c>
    </row>
    <row r="30" spans="1:13">
      <c r="A30" t="s">
        <v>58</v>
      </c>
      <c r="B30" t="s">
        <v>25</v>
      </c>
      <c r="C30" t="s">
        <v>59</v>
      </c>
      <c r="D30" s="4">
        <v>44688</v>
      </c>
      <c r="E30" s="5" t="str">
        <f>TEXT(D30,"dd/mm/yyyy")</f>
        <v>07/05/2022</v>
      </c>
      <c r="F30" s="5" t="str" cm="1">
        <f t="array" ref="F30">RIGHT(_xlfn.ANCHORARRAY(E30),4)</f>
        <v>2022</v>
      </c>
      <c r="G30" s="5" t="str">
        <f>TEXT(E30,"mm")</f>
        <v>07</v>
      </c>
      <c r="H30" s="6">
        <v>9492</v>
      </c>
      <c r="I30">
        <v>151</v>
      </c>
      <c r="L30" t="str">
        <f t="shared" si="0"/>
        <v>Above Average</v>
      </c>
      <c r="M30">
        <f>RANK(H30,H:H,0)</f>
        <v>655</v>
      </c>
    </row>
    <row r="31" spans="1:13">
      <c r="A31" t="s">
        <v>58</v>
      </c>
      <c r="B31" t="s">
        <v>25</v>
      </c>
      <c r="C31" t="s">
        <v>60</v>
      </c>
      <c r="D31" s="3" t="s">
        <v>61</v>
      </c>
      <c r="E31" s="5" t="str">
        <f>TEXT(D31,"dd/mm/yyyy")</f>
        <v>15/06/2022</v>
      </c>
      <c r="F31" s="5" t="str" cm="1">
        <f t="array" ref="F31">RIGHT(_xlfn.ANCHORARRAY(E31),4)</f>
        <v>2022</v>
      </c>
      <c r="G31" s="5" t="str">
        <f>TEXT(E31,"mm")</f>
        <v>15/06/2022</v>
      </c>
      <c r="H31" s="6">
        <v>5061</v>
      </c>
      <c r="I31">
        <v>301</v>
      </c>
      <c r="L31" t="str">
        <f t="shared" si="0"/>
        <v>Below Average</v>
      </c>
      <c r="M31">
        <f>RANK(H31,H:H,0)</f>
        <v>1688</v>
      </c>
    </row>
    <row r="32" spans="1:13">
      <c r="A32" t="s">
        <v>9</v>
      </c>
      <c r="B32" t="s">
        <v>25</v>
      </c>
      <c r="C32" t="s">
        <v>11</v>
      </c>
      <c r="D32" s="3" t="s">
        <v>62</v>
      </c>
      <c r="E32" s="5" t="str">
        <f>TEXT(D32,"dd/mm/yyyy")</f>
        <v>24/05/2022</v>
      </c>
      <c r="F32" s="5" t="str" cm="1">
        <f t="array" ref="F32">RIGHT(_xlfn.ANCHORARRAY(E32),4)</f>
        <v>2022</v>
      </c>
      <c r="G32" s="5" t="str">
        <f>TEXT(E32,"mm")</f>
        <v>24/05/2022</v>
      </c>
      <c r="H32" s="6">
        <v>1722</v>
      </c>
      <c r="I32">
        <v>121</v>
      </c>
      <c r="L32" t="str">
        <f t="shared" si="0"/>
        <v>Below Average</v>
      </c>
      <c r="M32">
        <f>RANK(H32,H:H,0)</f>
        <v>2727</v>
      </c>
    </row>
    <row r="33" spans="1:13">
      <c r="A33" t="s">
        <v>29</v>
      </c>
      <c r="B33" t="s">
        <v>7</v>
      </c>
      <c r="C33" t="s">
        <v>20</v>
      </c>
      <c r="D33" s="3" t="s">
        <v>63</v>
      </c>
      <c r="E33" s="5" t="str">
        <f>TEXT(D33,"dd/mm/yyyy")</f>
        <v>29/06/2022</v>
      </c>
      <c r="F33" s="5" t="str" cm="1">
        <f t="array" ref="F33">RIGHT(_xlfn.ANCHORARRAY(E33),4)</f>
        <v>2022</v>
      </c>
      <c r="G33" s="5" t="str">
        <f>TEXT(E33,"mm")</f>
        <v>29/06/2022</v>
      </c>
      <c r="H33" s="6">
        <v>12446</v>
      </c>
      <c r="I33">
        <v>150</v>
      </c>
      <c r="L33" t="str">
        <f t="shared" si="0"/>
        <v>Above Average</v>
      </c>
      <c r="M33">
        <f>RANK(H33,H:H,0)</f>
        <v>307</v>
      </c>
    </row>
    <row r="34" spans="1:13">
      <c r="A34" t="s">
        <v>64</v>
      </c>
      <c r="B34" t="s">
        <v>15</v>
      </c>
      <c r="C34" t="s">
        <v>60</v>
      </c>
      <c r="D34" s="4">
        <v>44870</v>
      </c>
      <c r="E34" s="5" t="str">
        <f>TEXT(D34,"dd/mm/yyyy")</f>
        <v>05/11/2022</v>
      </c>
      <c r="F34" s="5" t="str" cm="1">
        <f t="array" ref="F34">RIGHT(_xlfn.ANCHORARRAY(E34),4)</f>
        <v>2022</v>
      </c>
      <c r="G34" s="5" t="str">
        <f>TEXT(E34,"mm")</f>
        <v>05</v>
      </c>
      <c r="H34" s="6">
        <v>4284</v>
      </c>
      <c r="I34">
        <v>94</v>
      </c>
      <c r="L34" t="str">
        <f t="shared" si="0"/>
        <v>Below Average</v>
      </c>
      <c r="M34">
        <f>RANK(H34,H:H,0)</f>
        <v>1906</v>
      </c>
    </row>
    <row r="35" spans="1:13">
      <c r="A35" t="s">
        <v>37</v>
      </c>
      <c r="B35" t="s">
        <v>7</v>
      </c>
      <c r="C35" t="s">
        <v>65</v>
      </c>
      <c r="D35" s="3" t="s">
        <v>66</v>
      </c>
      <c r="E35" s="5" t="str">
        <f>TEXT(D35,"dd/mm/yyyy")</f>
        <v>30/06/2022</v>
      </c>
      <c r="F35" s="5" t="str" cm="1">
        <f t="array" ref="F35">RIGHT(_xlfn.ANCHORARRAY(E35),4)</f>
        <v>2022</v>
      </c>
      <c r="G35" s="5" t="str">
        <f>TEXT(E35,"mm")</f>
        <v>30/06/2022</v>
      </c>
      <c r="H35" s="6">
        <v>6839</v>
      </c>
      <c r="I35">
        <v>133</v>
      </c>
      <c r="L35" t="str">
        <f t="shared" si="0"/>
        <v>Above Average</v>
      </c>
      <c r="M35">
        <f>RANK(H35,H:H,0)</f>
        <v>1221</v>
      </c>
    </row>
    <row r="36" spans="1:13">
      <c r="A36" t="s">
        <v>67</v>
      </c>
      <c r="B36" t="s">
        <v>35</v>
      </c>
      <c r="C36" t="s">
        <v>23</v>
      </c>
      <c r="D36" s="4">
        <v>44870</v>
      </c>
      <c r="E36" s="5" t="str">
        <f>TEXT(D36,"dd/mm/yyyy")</f>
        <v>05/11/2022</v>
      </c>
      <c r="F36" s="5" t="str" cm="1">
        <f t="array" ref="F36">RIGHT(_xlfn.ANCHORARRAY(E36),4)</f>
        <v>2022</v>
      </c>
      <c r="G36" s="5" t="str">
        <f>TEXT(E36,"mm")</f>
        <v>05</v>
      </c>
      <c r="H36" s="6">
        <v>2163</v>
      </c>
      <c r="I36">
        <v>70</v>
      </c>
      <c r="L36" t="str">
        <f t="shared" si="0"/>
        <v>Below Average</v>
      </c>
      <c r="M36">
        <f>RANK(H36,H:H,0)</f>
        <v>2588</v>
      </c>
    </row>
    <row r="37" spans="1:13">
      <c r="A37" t="s">
        <v>45</v>
      </c>
      <c r="B37" t="s">
        <v>32</v>
      </c>
      <c r="C37" t="s">
        <v>60</v>
      </c>
      <c r="D37" s="3" t="s">
        <v>68</v>
      </c>
      <c r="E37" s="5" t="str">
        <f>TEXT(D37,"dd/mm/yyyy")</f>
        <v>22/07/2022</v>
      </c>
      <c r="F37" s="5" t="str" cm="1">
        <f t="array" ref="F37">RIGHT(_xlfn.ANCHORARRAY(E37),4)</f>
        <v>2022</v>
      </c>
      <c r="G37" s="5" t="str">
        <f>TEXT(E37,"mm")</f>
        <v>22/07/2022</v>
      </c>
      <c r="H37" s="6">
        <v>9583</v>
      </c>
      <c r="I37">
        <v>315</v>
      </c>
      <c r="L37" t="str">
        <f t="shared" si="0"/>
        <v>Above Average</v>
      </c>
      <c r="M37">
        <f>RANK(H37,H:H,0)</f>
        <v>644</v>
      </c>
    </row>
    <row r="38" spans="1:13">
      <c r="A38" t="s">
        <v>67</v>
      </c>
      <c r="B38" t="s">
        <v>7</v>
      </c>
      <c r="C38" t="s">
        <v>26</v>
      </c>
      <c r="D38" s="3" t="s">
        <v>69</v>
      </c>
      <c r="E38" s="5" t="str">
        <f>TEXT(D38,"dd/mm/yyyy")</f>
        <v>24/08/2022</v>
      </c>
      <c r="F38" s="5" t="str" cm="1">
        <f t="array" ref="F38">RIGHT(_xlfn.ANCHORARRAY(E38),4)</f>
        <v>2022</v>
      </c>
      <c r="G38" s="5" t="str">
        <f>TEXT(E38,"mm")</f>
        <v>24/08/2022</v>
      </c>
      <c r="H38" s="6">
        <v>2653</v>
      </c>
      <c r="I38">
        <v>314</v>
      </c>
      <c r="L38" t="str">
        <f t="shared" si="0"/>
        <v>Below Average</v>
      </c>
      <c r="M38">
        <f>RANK(H38,H:H,0)</f>
        <v>2420</v>
      </c>
    </row>
    <row r="39" spans="1:13">
      <c r="A39" t="s">
        <v>70</v>
      </c>
      <c r="B39" t="s">
        <v>25</v>
      </c>
      <c r="C39" t="s">
        <v>23</v>
      </c>
      <c r="D39" s="4">
        <v>44749</v>
      </c>
      <c r="E39" s="5" t="str">
        <f>TEXT(D39,"dd/mm/yyyy")</f>
        <v>07/07/2022</v>
      </c>
      <c r="F39" s="5" t="str" cm="1">
        <f t="array" ref="F39">RIGHT(_xlfn.ANCHORARRAY(E39),4)</f>
        <v>2022</v>
      </c>
      <c r="G39" s="5" t="str">
        <f>TEXT(E39,"mm")</f>
        <v>07</v>
      </c>
      <c r="H39" s="6">
        <v>147</v>
      </c>
      <c r="I39">
        <v>72</v>
      </c>
      <c r="L39" t="str">
        <f t="shared" si="0"/>
        <v>Below Average</v>
      </c>
      <c r="M39">
        <f>RANK(H39,H:H,0)</f>
        <v>3232</v>
      </c>
    </row>
    <row r="40" spans="1:13">
      <c r="A40" t="s">
        <v>71</v>
      </c>
      <c r="B40" t="s">
        <v>15</v>
      </c>
      <c r="C40" t="s">
        <v>11</v>
      </c>
      <c r="D40" s="3" t="s">
        <v>72</v>
      </c>
      <c r="E40" s="5" t="str">
        <f>TEXT(D40,"dd/mm/yyyy")</f>
        <v>19/05/2022</v>
      </c>
      <c r="F40" s="5" t="str" cm="1">
        <f t="array" ref="F40">RIGHT(_xlfn.ANCHORARRAY(E40),4)</f>
        <v>2022</v>
      </c>
      <c r="G40" s="5" t="str">
        <f>TEXT(E40,"mm")</f>
        <v>19/05/2022</v>
      </c>
      <c r="H40" s="6">
        <v>3654</v>
      </c>
      <c r="I40">
        <v>14</v>
      </c>
      <c r="L40" t="str">
        <f t="shared" si="0"/>
        <v>Below Average</v>
      </c>
      <c r="M40">
        <f>RANK(H40,H:H,0)</f>
        <v>2085</v>
      </c>
    </row>
    <row r="41" spans="1:13">
      <c r="A41" t="s">
        <v>37</v>
      </c>
      <c r="B41" t="s">
        <v>10</v>
      </c>
      <c r="C41" t="s">
        <v>60</v>
      </c>
      <c r="D41" s="4">
        <v>44658</v>
      </c>
      <c r="E41" s="5" t="str">
        <f>TEXT(D41,"dd/mm/yyyy")</f>
        <v>07/04/2022</v>
      </c>
      <c r="F41" s="5" t="str" cm="1">
        <f t="array" ref="F41">RIGHT(_xlfn.ANCHORARRAY(E41),4)</f>
        <v>2022</v>
      </c>
      <c r="G41" s="5" t="str">
        <f>TEXT(E41,"mm")</f>
        <v>07</v>
      </c>
      <c r="H41" s="6">
        <v>2443</v>
      </c>
      <c r="I41">
        <v>581</v>
      </c>
      <c r="L41" t="str">
        <f t="shared" si="0"/>
        <v>Below Average</v>
      </c>
      <c r="M41">
        <f>RANK(H41,H:H,0)</f>
        <v>2499</v>
      </c>
    </row>
    <row r="42" spans="1:13">
      <c r="A42" t="s">
        <v>70</v>
      </c>
      <c r="B42" t="s">
        <v>32</v>
      </c>
      <c r="C42" t="s">
        <v>23</v>
      </c>
      <c r="D42" s="4">
        <v>44598</v>
      </c>
      <c r="E42" s="5" t="str">
        <f>TEXT(D42,"dd/mm/yyyy")</f>
        <v>06/02/2022</v>
      </c>
      <c r="F42" s="5" t="str" cm="1">
        <f t="array" ref="F42">RIGHT(_xlfn.ANCHORARRAY(E42),4)</f>
        <v>2022</v>
      </c>
      <c r="G42" s="5" t="str">
        <f>TEXT(E42,"mm")</f>
        <v>06</v>
      </c>
      <c r="H42" s="6">
        <v>938</v>
      </c>
      <c r="I42">
        <v>16</v>
      </c>
      <c r="L42" t="str">
        <f t="shared" si="0"/>
        <v>Below Average</v>
      </c>
      <c r="M42">
        <f>RANK(H42,H:H,0)</f>
        <v>2993</v>
      </c>
    </row>
    <row r="43" spans="1:13">
      <c r="A43" t="s">
        <v>37</v>
      </c>
      <c r="B43" t="s">
        <v>32</v>
      </c>
      <c r="C43" t="s">
        <v>73</v>
      </c>
      <c r="D43" s="3" t="s">
        <v>74</v>
      </c>
      <c r="E43" s="5" t="str">
        <f>TEXT(D43,"dd/mm/yyyy")</f>
        <v>15/04/2022</v>
      </c>
      <c r="F43" s="5" t="str" cm="1">
        <f t="array" ref="F43">RIGHT(_xlfn.ANCHORARRAY(E43),4)</f>
        <v>2022</v>
      </c>
      <c r="G43" s="5" t="str">
        <f>TEXT(E43,"mm")</f>
        <v>15/04/2022</v>
      </c>
      <c r="H43" s="6">
        <v>14749</v>
      </c>
      <c r="I43">
        <v>354</v>
      </c>
      <c r="L43" t="str">
        <f t="shared" si="0"/>
        <v>Above Average</v>
      </c>
      <c r="M43">
        <f>RANK(H43,H:H,0)</f>
        <v>161</v>
      </c>
    </row>
    <row r="44" spans="1:13">
      <c r="A44" t="s">
        <v>34</v>
      </c>
      <c r="B44" t="s">
        <v>35</v>
      </c>
      <c r="C44" t="s">
        <v>75</v>
      </c>
      <c r="D44" s="4">
        <v>44872</v>
      </c>
      <c r="E44" s="5" t="str">
        <f>TEXT(D44,"dd/mm/yyyy")</f>
        <v>07/11/2022</v>
      </c>
      <c r="F44" s="5" t="str" cm="1">
        <f t="array" ref="F44">RIGHT(_xlfn.ANCHORARRAY(E44),4)</f>
        <v>2022</v>
      </c>
      <c r="G44" s="5" t="str">
        <f>TEXT(E44,"mm")</f>
        <v>07</v>
      </c>
      <c r="H44" s="6">
        <v>4781</v>
      </c>
      <c r="I44">
        <v>241</v>
      </c>
      <c r="L44" t="str">
        <f t="shared" si="0"/>
        <v>Below Average</v>
      </c>
      <c r="M44">
        <f>RANK(H44,H:H,0)</f>
        <v>1773</v>
      </c>
    </row>
    <row r="45" spans="1:13">
      <c r="A45" t="s">
        <v>67</v>
      </c>
      <c r="B45" t="s">
        <v>10</v>
      </c>
      <c r="C45" t="s">
        <v>50</v>
      </c>
      <c r="D45" s="3" t="s">
        <v>76</v>
      </c>
      <c r="E45" s="5" t="str">
        <f>TEXT(D45,"dd/mm/yyyy")</f>
        <v>23/02/2022</v>
      </c>
      <c r="F45" s="5" t="str" cm="1">
        <f t="array" ref="F45">RIGHT(_xlfn.ANCHORARRAY(E45),4)</f>
        <v>2022</v>
      </c>
      <c r="G45" s="5" t="str">
        <f>TEXT(E45,"mm")</f>
        <v>23/02/2022</v>
      </c>
      <c r="H45" s="6">
        <v>6307</v>
      </c>
      <c r="I45">
        <v>142</v>
      </c>
      <c r="L45" t="str">
        <f t="shared" si="0"/>
        <v>Above Average</v>
      </c>
      <c r="M45">
        <f>RANK(H45,H:H,0)</f>
        <v>1357</v>
      </c>
    </row>
    <row r="46" spans="1:13">
      <c r="A46" t="s">
        <v>77</v>
      </c>
      <c r="B46" t="s">
        <v>35</v>
      </c>
      <c r="C46" t="s">
        <v>65</v>
      </c>
      <c r="D46" s="3" t="s">
        <v>78</v>
      </c>
      <c r="E46" s="5" t="str">
        <f>TEXT(D46,"dd/mm/yyyy")</f>
        <v>22/08/2022</v>
      </c>
      <c r="F46" s="5" t="str" cm="1">
        <f t="array" ref="F46">RIGHT(_xlfn.ANCHORARRAY(E46),4)</f>
        <v>2022</v>
      </c>
      <c r="G46" s="5" t="str">
        <f>TEXT(E46,"mm")</f>
        <v>22/08/2022</v>
      </c>
      <c r="H46" s="6">
        <v>7602</v>
      </c>
      <c r="I46">
        <v>102</v>
      </c>
      <c r="L46" t="str">
        <f t="shared" si="0"/>
        <v>Above Average</v>
      </c>
      <c r="M46">
        <f>RANK(H46,H:H,0)</f>
        <v>1044</v>
      </c>
    </row>
    <row r="47" spans="1:13">
      <c r="A47" t="s">
        <v>55</v>
      </c>
      <c r="B47" t="s">
        <v>32</v>
      </c>
      <c r="C47" t="s">
        <v>13</v>
      </c>
      <c r="D47" s="3" t="s">
        <v>47</v>
      </c>
      <c r="E47" s="5" t="str">
        <f>TEXT(D47,"dd/mm/yyyy")</f>
        <v>16/02/2022</v>
      </c>
      <c r="F47" s="5" t="str" cm="1">
        <f t="array" ref="F47">RIGHT(_xlfn.ANCHORARRAY(E47),4)</f>
        <v>2022</v>
      </c>
      <c r="G47" s="5" t="str">
        <f>TEXT(E47,"mm")</f>
        <v>16/02/2022</v>
      </c>
      <c r="H47" s="6">
        <v>6790</v>
      </c>
      <c r="I47">
        <v>188</v>
      </c>
      <c r="L47" t="str">
        <f t="shared" si="0"/>
        <v>Above Average</v>
      </c>
      <c r="M47">
        <f>RANK(H47,H:H,0)</f>
        <v>1241</v>
      </c>
    </row>
    <row r="48" spans="1:13">
      <c r="A48" t="s">
        <v>9</v>
      </c>
      <c r="B48" t="s">
        <v>32</v>
      </c>
      <c r="C48" t="s">
        <v>26</v>
      </c>
      <c r="D48" s="3" t="s">
        <v>30</v>
      </c>
      <c r="E48" s="5" t="str">
        <f>TEXT(D48,"dd/mm/yyyy")</f>
        <v>13/01/2022</v>
      </c>
      <c r="F48" s="5" t="str" cm="1">
        <f t="array" ref="F48">RIGHT(_xlfn.ANCHORARRAY(E48),4)</f>
        <v>2022</v>
      </c>
      <c r="G48" s="5" t="str">
        <f>TEXT(E48,"mm")</f>
        <v>13/01/2022</v>
      </c>
      <c r="H48" s="6">
        <v>9737</v>
      </c>
      <c r="I48">
        <v>160</v>
      </c>
      <c r="L48" t="str">
        <f t="shared" si="0"/>
        <v>Above Average</v>
      </c>
      <c r="M48">
        <f>RANK(H48,H:H,0)</f>
        <v>627</v>
      </c>
    </row>
    <row r="49" spans="1:13">
      <c r="A49" t="s">
        <v>48</v>
      </c>
      <c r="B49" t="s">
        <v>15</v>
      </c>
      <c r="C49" t="s">
        <v>46</v>
      </c>
      <c r="D49" s="3" t="s">
        <v>44</v>
      </c>
      <c r="E49" s="5" t="str">
        <f>TEXT(D49,"dd/mm/yyyy")</f>
        <v>14/02/2022</v>
      </c>
      <c r="F49" s="5" t="str" cm="1">
        <f t="array" ref="F49">RIGHT(_xlfn.ANCHORARRAY(E49),4)</f>
        <v>2022</v>
      </c>
      <c r="G49" s="5" t="str">
        <f>TEXT(E49,"mm")</f>
        <v>14/02/2022</v>
      </c>
      <c r="H49" s="6">
        <v>6979</v>
      </c>
      <c r="I49">
        <v>18</v>
      </c>
      <c r="L49" t="str">
        <f t="shared" si="0"/>
        <v>Above Average</v>
      </c>
      <c r="M49">
        <f>RANK(H49,H:H,0)</f>
        <v>1189</v>
      </c>
    </row>
    <row r="50" spans="1:13">
      <c r="A50" t="s">
        <v>45</v>
      </c>
      <c r="B50" t="s">
        <v>10</v>
      </c>
      <c r="C50" t="s">
        <v>36</v>
      </c>
      <c r="D50" s="4">
        <v>44840</v>
      </c>
      <c r="E50" s="5" t="str">
        <f>TEXT(D50,"dd/mm/yyyy")</f>
        <v>06/10/2022</v>
      </c>
      <c r="F50" s="5" t="str" cm="1">
        <f t="array" ref="F50">RIGHT(_xlfn.ANCHORARRAY(E50),4)</f>
        <v>2022</v>
      </c>
      <c r="G50" s="5" t="str">
        <f>TEXT(E50,"mm")</f>
        <v>06</v>
      </c>
      <c r="H50" s="6">
        <v>4382</v>
      </c>
      <c r="I50">
        <v>303</v>
      </c>
      <c r="L50" t="str">
        <f t="shared" si="0"/>
        <v>Below Average</v>
      </c>
      <c r="M50">
        <f>RANK(H50,H:H,0)</f>
        <v>1881</v>
      </c>
    </row>
    <row r="51" spans="1:13">
      <c r="A51" t="s">
        <v>48</v>
      </c>
      <c r="B51" t="s">
        <v>10</v>
      </c>
      <c r="C51" t="s">
        <v>57</v>
      </c>
      <c r="D51" s="4">
        <v>44749</v>
      </c>
      <c r="E51" s="5" t="str">
        <f>TEXT(D51,"dd/mm/yyyy")</f>
        <v>07/07/2022</v>
      </c>
      <c r="F51" s="5" t="str" cm="1">
        <f t="array" ref="F51">RIGHT(_xlfn.ANCHORARRAY(E51),4)</f>
        <v>2022</v>
      </c>
      <c r="G51" s="5" t="str">
        <f>TEXT(E51,"mm")</f>
        <v>07</v>
      </c>
      <c r="H51" s="6">
        <v>5243</v>
      </c>
      <c r="I51">
        <v>176</v>
      </c>
      <c r="L51" t="str">
        <f t="shared" si="0"/>
        <v>Below Average</v>
      </c>
      <c r="M51">
        <f>RANK(H51,H:H,0)</f>
        <v>1636</v>
      </c>
    </row>
    <row r="52" spans="1:13">
      <c r="A52" t="s">
        <v>48</v>
      </c>
      <c r="B52" t="s">
        <v>35</v>
      </c>
      <c r="C52" t="s">
        <v>65</v>
      </c>
      <c r="D52" s="3" t="s">
        <v>24</v>
      </c>
      <c r="E52" s="5" t="str">
        <f>TEXT(D52,"dd/mm/yyyy")</f>
        <v>24/03/2022</v>
      </c>
      <c r="F52" s="5" t="str" cm="1">
        <f t="array" ref="F52">RIGHT(_xlfn.ANCHORARRAY(E52),4)</f>
        <v>2022</v>
      </c>
      <c r="G52" s="5" t="str">
        <f>TEXT(E52,"mm")</f>
        <v>24/03/2022</v>
      </c>
      <c r="H52" s="6">
        <v>4865</v>
      </c>
      <c r="I52">
        <v>70</v>
      </c>
      <c r="L52" t="str">
        <f t="shared" si="0"/>
        <v>Below Average</v>
      </c>
      <c r="M52">
        <f>RANK(H52,H:H,0)</f>
        <v>1746</v>
      </c>
    </row>
    <row r="53" spans="1:13">
      <c r="A53" t="s">
        <v>28</v>
      </c>
      <c r="B53" t="s">
        <v>15</v>
      </c>
      <c r="C53" t="s">
        <v>57</v>
      </c>
      <c r="D53" s="4">
        <v>44718</v>
      </c>
      <c r="E53" s="5" t="str">
        <f>TEXT(D53,"dd/mm/yyyy")</f>
        <v>06/06/2022</v>
      </c>
      <c r="F53" s="5" t="str" cm="1">
        <f t="array" ref="F53">RIGHT(_xlfn.ANCHORARRAY(E53),4)</f>
        <v>2022</v>
      </c>
      <c r="G53" s="5" t="str">
        <f>TEXT(E53,"mm")</f>
        <v>06</v>
      </c>
      <c r="H53" s="6">
        <v>8575</v>
      </c>
      <c r="I53">
        <v>23</v>
      </c>
      <c r="L53" t="str">
        <f t="shared" si="0"/>
        <v>Above Average</v>
      </c>
      <c r="M53">
        <f>RANK(H53,H:H,0)</f>
        <v>818</v>
      </c>
    </row>
    <row r="54" spans="1:13">
      <c r="A54" t="s">
        <v>79</v>
      </c>
      <c r="B54" t="s">
        <v>15</v>
      </c>
      <c r="C54" t="s">
        <v>38</v>
      </c>
      <c r="D54" s="3" t="s">
        <v>80</v>
      </c>
      <c r="E54" s="5" t="str">
        <f>TEXT(D54,"dd/mm/yyyy")</f>
        <v>19/07/2022</v>
      </c>
      <c r="F54" s="5" t="str" cm="1">
        <f t="array" ref="F54">RIGHT(_xlfn.ANCHORARRAY(E54),4)</f>
        <v>2022</v>
      </c>
      <c r="G54" s="5" t="str">
        <f>TEXT(E54,"mm")</f>
        <v>19/07/2022</v>
      </c>
      <c r="H54" s="6">
        <v>91</v>
      </c>
      <c r="I54">
        <v>135</v>
      </c>
      <c r="L54" t="str">
        <f t="shared" si="0"/>
        <v>Below Average</v>
      </c>
      <c r="M54">
        <f>RANK(H54,H:H,0)</f>
        <v>3247</v>
      </c>
    </row>
    <row r="55" spans="1:13">
      <c r="A55" t="s">
        <v>41</v>
      </c>
      <c r="B55" t="s">
        <v>32</v>
      </c>
      <c r="C55" t="s">
        <v>73</v>
      </c>
      <c r="D55" s="3" t="s">
        <v>81</v>
      </c>
      <c r="E55" s="5" t="str">
        <f>TEXT(D55,"dd/mm/yyyy")</f>
        <v>19/04/2022</v>
      </c>
      <c r="F55" s="5" t="str" cm="1">
        <f t="array" ref="F55">RIGHT(_xlfn.ANCHORARRAY(E55),4)</f>
        <v>2022</v>
      </c>
      <c r="G55" s="5" t="str">
        <f>TEXT(E55,"mm")</f>
        <v>19/04/2022</v>
      </c>
      <c r="H55" s="6">
        <v>14798</v>
      </c>
      <c r="I55">
        <v>83</v>
      </c>
      <c r="L55" t="str">
        <f t="shared" si="0"/>
        <v>Above Average</v>
      </c>
      <c r="M55">
        <f>RANK(H55,H:H,0)</f>
        <v>157</v>
      </c>
    </row>
    <row r="56" spans="1:13">
      <c r="A56" t="s">
        <v>40</v>
      </c>
      <c r="B56" t="s">
        <v>10</v>
      </c>
      <c r="C56" t="s">
        <v>11</v>
      </c>
      <c r="D56" s="3" t="s">
        <v>80</v>
      </c>
      <c r="E56" s="5" t="str">
        <f>TEXT(D56,"dd/mm/yyyy")</f>
        <v>19/07/2022</v>
      </c>
      <c r="F56" s="5" t="str" cm="1">
        <f t="array" ref="F56">RIGHT(_xlfn.ANCHORARRAY(E56),4)</f>
        <v>2022</v>
      </c>
      <c r="G56" s="5" t="str">
        <f>TEXT(E56,"mm")</f>
        <v>19/07/2022</v>
      </c>
      <c r="H56" s="6">
        <v>2205</v>
      </c>
      <c r="I56">
        <v>179</v>
      </c>
      <c r="L56" t="str">
        <f t="shared" si="0"/>
        <v>Below Average</v>
      </c>
      <c r="M56">
        <f>RANK(H56,H:H,0)</f>
        <v>2578</v>
      </c>
    </row>
    <row r="57" spans="1:13">
      <c r="A57" t="s">
        <v>6</v>
      </c>
      <c r="B57" t="s">
        <v>35</v>
      </c>
      <c r="C57" t="s">
        <v>38</v>
      </c>
      <c r="D57" s="3" t="s">
        <v>82</v>
      </c>
      <c r="E57" s="5" t="str">
        <f>TEXT(D57,"dd/mm/yyyy")</f>
        <v>15/07/2022</v>
      </c>
      <c r="F57" s="5" t="str" cm="1">
        <f t="array" ref="F57">RIGHT(_xlfn.ANCHORARRAY(E57),4)</f>
        <v>2022</v>
      </c>
      <c r="G57" s="5" t="str">
        <f>TEXT(E57,"mm")</f>
        <v>15/07/2022</v>
      </c>
      <c r="H57" s="6">
        <v>441</v>
      </c>
      <c r="I57">
        <v>24</v>
      </c>
      <c r="L57" t="str">
        <f t="shared" si="0"/>
        <v>Below Average</v>
      </c>
      <c r="M57">
        <f>RANK(H57,H:H,0)</f>
        <v>3153</v>
      </c>
    </row>
    <row r="58" spans="1:13">
      <c r="A58" t="s">
        <v>83</v>
      </c>
      <c r="B58" t="s">
        <v>25</v>
      </c>
      <c r="C58" t="s">
        <v>50</v>
      </c>
      <c r="D58" s="3" t="s">
        <v>44</v>
      </c>
      <c r="E58" s="5" t="str">
        <f>TEXT(D58,"dd/mm/yyyy")</f>
        <v>14/02/2022</v>
      </c>
      <c r="F58" s="5" t="str" cm="1">
        <f t="array" ref="F58">RIGHT(_xlfn.ANCHORARRAY(E58),4)</f>
        <v>2022</v>
      </c>
      <c r="G58" s="5" t="str">
        <f>TEXT(E58,"mm")</f>
        <v>14/02/2022</v>
      </c>
      <c r="H58" s="6">
        <v>3556</v>
      </c>
      <c r="I58">
        <v>18</v>
      </c>
      <c r="L58" t="str">
        <f t="shared" si="0"/>
        <v>Below Average</v>
      </c>
      <c r="M58">
        <f>RANK(H58,H:H,0)</f>
        <v>2124</v>
      </c>
    </row>
    <row r="59" spans="1:13">
      <c r="A59" t="s">
        <v>28</v>
      </c>
      <c r="B59" t="s">
        <v>35</v>
      </c>
      <c r="C59" t="s">
        <v>20</v>
      </c>
      <c r="D59" s="3" t="s">
        <v>84</v>
      </c>
      <c r="E59" s="5" t="str">
        <f>TEXT(D59,"dd/mm/yyyy")</f>
        <v>18/05/2022</v>
      </c>
      <c r="F59" s="5" t="str" cm="1">
        <f t="array" ref="F59">RIGHT(_xlfn.ANCHORARRAY(E59),4)</f>
        <v>2022</v>
      </c>
      <c r="G59" s="5" t="str">
        <f>TEXT(E59,"mm")</f>
        <v>18/05/2022</v>
      </c>
      <c r="H59" s="6">
        <v>16793</v>
      </c>
      <c r="I59">
        <v>416</v>
      </c>
      <c r="L59" t="str">
        <f t="shared" si="0"/>
        <v>Above Average</v>
      </c>
      <c r="M59">
        <f>RANK(H59,H:H,0)</f>
        <v>71</v>
      </c>
    </row>
    <row r="60" spans="1:13">
      <c r="A60" t="s">
        <v>31</v>
      </c>
      <c r="B60" t="s">
        <v>15</v>
      </c>
      <c r="C60" t="s">
        <v>57</v>
      </c>
      <c r="D60" s="3" t="s">
        <v>66</v>
      </c>
      <c r="E60" s="5" t="str">
        <f>TEXT(D60,"dd/mm/yyyy")</f>
        <v>30/06/2022</v>
      </c>
      <c r="F60" s="5" t="str" cm="1">
        <f t="array" ref="F60">RIGHT(_xlfn.ANCHORARRAY(E60),4)</f>
        <v>2022</v>
      </c>
      <c r="G60" s="5" t="str">
        <f>TEXT(E60,"mm")</f>
        <v>30/06/2022</v>
      </c>
      <c r="H60" s="6">
        <v>15421</v>
      </c>
      <c r="I60">
        <v>55</v>
      </c>
      <c r="L60" t="str">
        <f t="shared" si="0"/>
        <v>Above Average</v>
      </c>
      <c r="M60">
        <f>RANK(H60,H:H,0)</f>
        <v>130</v>
      </c>
    </row>
    <row r="61" spans="1:13">
      <c r="A61" t="s">
        <v>67</v>
      </c>
      <c r="B61" t="s">
        <v>15</v>
      </c>
      <c r="C61" t="s">
        <v>26</v>
      </c>
      <c r="D61" s="4">
        <v>44598</v>
      </c>
      <c r="E61" s="5" t="str">
        <f>TEXT(D61,"dd/mm/yyyy")</f>
        <v>06/02/2022</v>
      </c>
      <c r="F61" s="5" t="str" cm="1">
        <f t="array" ref="F61">RIGHT(_xlfn.ANCHORARRAY(E61),4)</f>
        <v>2022</v>
      </c>
      <c r="G61" s="5" t="str">
        <f>TEXT(E61,"mm")</f>
        <v>06</v>
      </c>
      <c r="H61" s="6">
        <v>4438</v>
      </c>
      <c r="I61">
        <v>227</v>
      </c>
      <c r="L61" t="str">
        <f t="shared" si="0"/>
        <v>Below Average</v>
      </c>
      <c r="M61">
        <f>RANK(H61,H:H,0)</f>
        <v>1868</v>
      </c>
    </row>
    <row r="62" spans="1:13">
      <c r="A62" t="s">
        <v>67</v>
      </c>
      <c r="B62" t="s">
        <v>15</v>
      </c>
      <c r="C62" t="s">
        <v>38</v>
      </c>
      <c r="D62" s="3" t="s">
        <v>85</v>
      </c>
      <c r="E62" s="5" t="str">
        <f>TEXT(D62,"dd/mm/yyyy")</f>
        <v>28/06/2022</v>
      </c>
      <c r="F62" s="5" t="str" cm="1">
        <f t="array" ref="F62">RIGHT(_xlfn.ANCHORARRAY(E62),4)</f>
        <v>2022</v>
      </c>
      <c r="G62" s="5" t="str">
        <f>TEXT(E62,"mm")</f>
        <v>28/06/2022</v>
      </c>
      <c r="H62" s="6">
        <v>1603</v>
      </c>
      <c r="I62">
        <v>48</v>
      </c>
      <c r="L62" t="str">
        <f t="shared" si="0"/>
        <v>Below Average</v>
      </c>
      <c r="M62">
        <f>RANK(H62,H:H,0)</f>
        <v>2770</v>
      </c>
    </row>
    <row r="63" spans="1:13">
      <c r="A63" t="s">
        <v>40</v>
      </c>
      <c r="B63" t="s">
        <v>15</v>
      </c>
      <c r="C63" t="s">
        <v>42</v>
      </c>
      <c r="D63" s="3" t="s">
        <v>86</v>
      </c>
      <c r="E63" s="5" t="str">
        <f>TEXT(D63,"dd/mm/yyyy")</f>
        <v>16/05/2022</v>
      </c>
      <c r="F63" s="5" t="str" cm="1">
        <f t="array" ref="F63">RIGHT(_xlfn.ANCHORARRAY(E63),4)</f>
        <v>2022</v>
      </c>
      <c r="G63" s="5" t="str">
        <f>TEXT(E63,"mm")</f>
        <v>16/05/2022</v>
      </c>
      <c r="H63" s="6">
        <v>273</v>
      </c>
      <c r="I63">
        <v>174</v>
      </c>
      <c r="L63" t="str">
        <f t="shared" si="0"/>
        <v>Below Average</v>
      </c>
      <c r="M63">
        <f>RANK(H63,H:H,0)</f>
        <v>3202</v>
      </c>
    </row>
    <row r="64" spans="1:13">
      <c r="A64" t="s">
        <v>70</v>
      </c>
      <c r="B64" t="s">
        <v>35</v>
      </c>
      <c r="C64" t="s">
        <v>87</v>
      </c>
      <c r="D64" s="3" t="s">
        <v>88</v>
      </c>
      <c r="E64" s="5" t="str">
        <f>TEXT(D64,"dd/mm/yyyy")</f>
        <v>26/05/2022</v>
      </c>
      <c r="F64" s="5" t="str" cm="1">
        <f t="array" ref="F64">RIGHT(_xlfn.ANCHORARRAY(E64),4)</f>
        <v>2022</v>
      </c>
      <c r="G64" s="5" t="str">
        <f>TEXT(E64,"mm")</f>
        <v>26/05/2022</v>
      </c>
      <c r="H64" s="6">
        <v>3073</v>
      </c>
      <c r="I64">
        <v>302</v>
      </c>
      <c r="L64" t="str">
        <f t="shared" si="0"/>
        <v>Below Average</v>
      </c>
      <c r="M64">
        <f>RANK(H64,H:H,0)</f>
        <v>2279</v>
      </c>
    </row>
    <row r="65" spans="1:13">
      <c r="A65" t="s">
        <v>37</v>
      </c>
      <c r="B65" t="s">
        <v>10</v>
      </c>
      <c r="C65" t="s">
        <v>65</v>
      </c>
      <c r="D65" s="4">
        <v>44719</v>
      </c>
      <c r="E65" s="5" t="str">
        <f>TEXT(D65,"dd/mm/yyyy")</f>
        <v>07/06/2022</v>
      </c>
      <c r="F65" s="5" t="str" cm="1">
        <f t="array" ref="F65">RIGHT(_xlfn.ANCHORARRAY(E65),4)</f>
        <v>2022</v>
      </c>
      <c r="G65" s="5" t="str">
        <f>TEXT(E65,"mm")</f>
        <v>07</v>
      </c>
      <c r="H65" s="6">
        <v>6090</v>
      </c>
      <c r="I65">
        <v>149</v>
      </c>
      <c r="L65" t="str">
        <f t="shared" si="0"/>
        <v>Above Average</v>
      </c>
      <c r="M65">
        <f>RANK(H65,H:H,0)</f>
        <v>1406</v>
      </c>
    </row>
    <row r="66" spans="1:13">
      <c r="A66" t="s">
        <v>19</v>
      </c>
      <c r="B66" t="s">
        <v>10</v>
      </c>
      <c r="C66" t="s">
        <v>20</v>
      </c>
      <c r="D66" s="3" t="s">
        <v>89</v>
      </c>
      <c r="E66" s="5" t="str">
        <f>TEXT(D66,"dd/mm/yyyy")</f>
        <v>27/05/2022</v>
      </c>
      <c r="F66" s="5" t="str" cm="1">
        <f t="array" ref="F66">RIGHT(_xlfn.ANCHORARRAY(E66),4)</f>
        <v>2022</v>
      </c>
      <c r="G66" s="5" t="str">
        <f>TEXT(E66,"mm")</f>
        <v>27/05/2022</v>
      </c>
      <c r="H66" s="6">
        <v>10255</v>
      </c>
      <c r="I66">
        <v>11</v>
      </c>
      <c r="L66" t="str">
        <f t="shared" si="0"/>
        <v>Above Average</v>
      </c>
      <c r="M66">
        <f>RANK(H66,H:H,0)</f>
        <v>543</v>
      </c>
    </row>
    <row r="67" spans="1:13">
      <c r="A67" t="s">
        <v>64</v>
      </c>
      <c r="B67" t="s">
        <v>15</v>
      </c>
      <c r="C67" t="s">
        <v>90</v>
      </c>
      <c r="D67" s="3" t="s">
        <v>91</v>
      </c>
      <c r="E67" s="5" t="str">
        <f>TEXT(D67,"dd/mm/yyyy")</f>
        <v>14/04/2022</v>
      </c>
      <c r="F67" s="5" t="str" cm="1">
        <f t="array" ref="F67">RIGHT(_xlfn.ANCHORARRAY(E67),4)</f>
        <v>2022</v>
      </c>
      <c r="G67" s="5" t="str">
        <f>TEXT(E67,"mm")</f>
        <v>14/04/2022</v>
      </c>
      <c r="H67" s="6">
        <v>2030</v>
      </c>
      <c r="I67">
        <v>11</v>
      </c>
      <c r="L67" t="str">
        <f t="shared" ref="L67:L130" si="1">IF(H67&gt;6030.34,"Above Average","Below Average")</f>
        <v>Below Average</v>
      </c>
      <c r="M67">
        <f>RANK(H67,H:H,0)</f>
        <v>2626</v>
      </c>
    </row>
    <row r="68" spans="1:13">
      <c r="A68" t="s">
        <v>9</v>
      </c>
      <c r="B68" t="s">
        <v>15</v>
      </c>
      <c r="C68" t="s">
        <v>42</v>
      </c>
      <c r="D68" s="4">
        <v>44842</v>
      </c>
      <c r="E68" s="5" t="str">
        <f>TEXT(D68,"dd/mm/yyyy")</f>
        <v>08/10/2022</v>
      </c>
      <c r="F68" s="5" t="str" cm="1">
        <f t="array" ref="F68">RIGHT(_xlfn.ANCHORARRAY(E68),4)</f>
        <v>2022</v>
      </c>
      <c r="G68" s="5" t="str">
        <f>TEXT(E68,"mm")</f>
        <v>08</v>
      </c>
      <c r="H68" s="6">
        <v>19453</v>
      </c>
      <c r="I68">
        <v>14</v>
      </c>
      <c r="L68" t="str">
        <f t="shared" si="1"/>
        <v>Above Average</v>
      </c>
      <c r="M68">
        <f>RANK(H68,H:H,0)</f>
        <v>21</v>
      </c>
    </row>
    <row r="69" spans="1:13">
      <c r="A69" t="s">
        <v>71</v>
      </c>
      <c r="B69" t="s">
        <v>10</v>
      </c>
      <c r="C69" t="s">
        <v>26</v>
      </c>
      <c r="D69" s="4">
        <v>44658</v>
      </c>
      <c r="E69" s="5" t="str">
        <f>TEXT(D69,"dd/mm/yyyy")</f>
        <v>07/04/2022</v>
      </c>
      <c r="F69" s="5" t="str" cm="1">
        <f t="array" ref="F69">RIGHT(_xlfn.ANCHORARRAY(E69),4)</f>
        <v>2022</v>
      </c>
      <c r="G69" s="5" t="str">
        <f>TEXT(E69,"mm")</f>
        <v>07</v>
      </c>
      <c r="H69" s="6">
        <v>9275</v>
      </c>
      <c r="I69">
        <v>411</v>
      </c>
      <c r="L69" t="str">
        <f t="shared" si="1"/>
        <v>Above Average</v>
      </c>
      <c r="M69">
        <f>RANK(H69,H:H,0)</f>
        <v>694</v>
      </c>
    </row>
    <row r="70" spans="1:13">
      <c r="A70" t="s">
        <v>19</v>
      </c>
      <c r="B70" t="s">
        <v>10</v>
      </c>
      <c r="C70" t="s">
        <v>42</v>
      </c>
      <c r="D70" s="4">
        <v>44780</v>
      </c>
      <c r="E70" s="5" t="str">
        <f>TEXT(D70,"dd/mm/yyyy")</f>
        <v>07/08/2022</v>
      </c>
      <c r="F70" s="5" t="str" cm="1">
        <f t="array" ref="F70">RIGHT(_xlfn.ANCHORARRAY(E70),4)</f>
        <v>2022</v>
      </c>
      <c r="G70" s="5" t="str">
        <f>TEXT(E70,"mm")</f>
        <v>07</v>
      </c>
      <c r="H70" s="6">
        <v>6181</v>
      </c>
      <c r="I70">
        <v>56</v>
      </c>
      <c r="L70" t="str">
        <f t="shared" si="1"/>
        <v>Above Average</v>
      </c>
      <c r="M70">
        <f>RANK(H70,H:H,0)</f>
        <v>1384</v>
      </c>
    </row>
    <row r="71" spans="1:13">
      <c r="A71" t="s">
        <v>14</v>
      </c>
      <c r="B71" t="s">
        <v>32</v>
      </c>
      <c r="C71" t="s">
        <v>13</v>
      </c>
      <c r="D71" s="3" t="s">
        <v>68</v>
      </c>
      <c r="E71" s="5" t="str">
        <f>TEXT(D71,"dd/mm/yyyy")</f>
        <v>22/07/2022</v>
      </c>
      <c r="F71" s="5" t="str" cm="1">
        <f t="array" ref="F71">RIGHT(_xlfn.ANCHORARRAY(E71),4)</f>
        <v>2022</v>
      </c>
      <c r="G71" s="5" t="str">
        <f>TEXT(E71,"mm")</f>
        <v>22/07/2022</v>
      </c>
      <c r="H71" s="6">
        <v>9037</v>
      </c>
      <c r="I71">
        <v>102</v>
      </c>
      <c r="L71" t="str">
        <f t="shared" si="1"/>
        <v>Above Average</v>
      </c>
      <c r="M71">
        <f>RANK(H71,H:H,0)</f>
        <v>729</v>
      </c>
    </row>
    <row r="72" spans="1:13">
      <c r="A72" t="s">
        <v>12</v>
      </c>
      <c r="B72" t="s">
        <v>32</v>
      </c>
      <c r="C72" t="s">
        <v>75</v>
      </c>
      <c r="D72" s="4">
        <v>44595</v>
      </c>
      <c r="E72" s="5" t="str">
        <f>TEXT(D72,"dd/mm/yyyy")</f>
        <v>03/02/2022</v>
      </c>
      <c r="F72" s="5" t="str" cm="1">
        <f t="array" ref="F72">RIGHT(_xlfn.ANCHORARRAY(E72),4)</f>
        <v>2022</v>
      </c>
      <c r="G72" s="5" t="str">
        <f>TEXT(E72,"mm")</f>
        <v>03</v>
      </c>
      <c r="H72" s="6">
        <v>12313</v>
      </c>
      <c r="I72">
        <v>103</v>
      </c>
      <c r="L72" t="str">
        <f t="shared" si="1"/>
        <v>Above Average</v>
      </c>
      <c r="M72">
        <f>RANK(H72,H:H,0)</f>
        <v>318</v>
      </c>
    </row>
    <row r="73" spans="1:13">
      <c r="A73" t="s">
        <v>12</v>
      </c>
      <c r="B73" t="s">
        <v>7</v>
      </c>
      <c r="C73" t="s">
        <v>65</v>
      </c>
      <c r="D73" s="4">
        <v>44835</v>
      </c>
      <c r="E73" s="5" t="str">
        <f>TEXT(D73,"dd/mm/yyyy")</f>
        <v>01/10/2022</v>
      </c>
      <c r="F73" s="5" t="str" cm="1">
        <f t="array" ref="F73">RIGHT(_xlfn.ANCHORARRAY(E73),4)</f>
        <v>2022</v>
      </c>
      <c r="G73" s="5" t="str">
        <f>TEXT(E73,"mm")</f>
        <v>01</v>
      </c>
      <c r="H73" s="6">
        <v>5642</v>
      </c>
      <c r="I73">
        <v>9</v>
      </c>
      <c r="L73" t="str">
        <f t="shared" si="1"/>
        <v>Below Average</v>
      </c>
      <c r="M73">
        <f>RANK(H73,H:H,0)</f>
        <v>1531</v>
      </c>
    </row>
    <row r="74" spans="1:13">
      <c r="A74" t="s">
        <v>6</v>
      </c>
      <c r="B74" t="s">
        <v>25</v>
      </c>
      <c r="C74" t="s">
        <v>59</v>
      </c>
      <c r="D74" s="4">
        <v>44868</v>
      </c>
      <c r="E74" s="5" t="str">
        <f>TEXT(D74,"dd/mm/yyyy")</f>
        <v>03/11/2022</v>
      </c>
      <c r="F74" s="5" t="str" cm="1">
        <f t="array" ref="F74">RIGHT(_xlfn.ANCHORARRAY(E74),4)</f>
        <v>2022</v>
      </c>
      <c r="G74" s="5" t="str">
        <f>TEXT(E74,"mm")</f>
        <v>03</v>
      </c>
      <c r="H74" s="6">
        <v>2800</v>
      </c>
      <c r="I74">
        <v>241</v>
      </c>
      <c r="L74" t="str">
        <f t="shared" si="1"/>
        <v>Below Average</v>
      </c>
      <c r="M74">
        <f>RANK(H74,H:H,0)</f>
        <v>2372</v>
      </c>
    </row>
    <row r="75" spans="1:13">
      <c r="A75" t="s">
        <v>67</v>
      </c>
      <c r="B75" t="s">
        <v>25</v>
      </c>
      <c r="C75" t="s">
        <v>13</v>
      </c>
      <c r="D75" s="3" t="s">
        <v>92</v>
      </c>
      <c r="E75" s="5" t="str">
        <f>TEXT(D75,"dd/mm/yyyy")</f>
        <v>20/06/2022</v>
      </c>
      <c r="F75" s="5" t="str" cm="1">
        <f t="array" ref="F75">RIGHT(_xlfn.ANCHORARRAY(E75),4)</f>
        <v>2022</v>
      </c>
      <c r="G75" s="5" t="str">
        <f>TEXT(E75,"mm")</f>
        <v>20/06/2022</v>
      </c>
      <c r="H75" s="6">
        <v>959</v>
      </c>
      <c r="I75">
        <v>265</v>
      </c>
      <c r="L75" t="str">
        <f t="shared" si="1"/>
        <v>Below Average</v>
      </c>
      <c r="M75">
        <f>RANK(H75,H:H,0)</f>
        <v>2987</v>
      </c>
    </row>
    <row r="76" spans="1:13">
      <c r="A76" t="s">
        <v>9</v>
      </c>
      <c r="B76" t="s">
        <v>7</v>
      </c>
      <c r="C76" t="s">
        <v>42</v>
      </c>
      <c r="D76" s="3" t="s">
        <v>93</v>
      </c>
      <c r="E76" s="5" t="str">
        <f>TEXT(D76,"dd/mm/yyyy")</f>
        <v>26/08/2022</v>
      </c>
      <c r="F76" s="5" t="str" cm="1">
        <f t="array" ref="F76">RIGHT(_xlfn.ANCHORARRAY(E76),4)</f>
        <v>2022</v>
      </c>
      <c r="G76" s="5" t="str">
        <f>TEXT(E76,"mm")</f>
        <v>26/08/2022</v>
      </c>
      <c r="H76" s="6">
        <v>2002</v>
      </c>
      <c r="I76">
        <v>214</v>
      </c>
      <c r="L76" t="str">
        <f t="shared" si="1"/>
        <v>Below Average</v>
      </c>
      <c r="M76">
        <f>RANK(H76,H:H,0)</f>
        <v>2635</v>
      </c>
    </row>
    <row r="77" spans="1:13">
      <c r="A77" t="s">
        <v>45</v>
      </c>
      <c r="B77" t="s">
        <v>35</v>
      </c>
      <c r="C77" t="s">
        <v>46</v>
      </c>
      <c r="D77" s="3" t="s">
        <v>94</v>
      </c>
      <c r="E77" s="5" t="str">
        <f>TEXT(D77,"dd/mm/yyyy")</f>
        <v>13/07/2022</v>
      </c>
      <c r="F77" s="5" t="str" cm="1">
        <f t="array" ref="F77">RIGHT(_xlfn.ANCHORARRAY(E77),4)</f>
        <v>2022</v>
      </c>
      <c r="G77" s="5" t="str">
        <f>TEXT(E77,"mm")</f>
        <v>13/07/2022</v>
      </c>
      <c r="H77" s="6">
        <v>609</v>
      </c>
      <c r="I77">
        <v>32</v>
      </c>
      <c r="L77" t="str">
        <f t="shared" si="1"/>
        <v>Below Average</v>
      </c>
      <c r="M77">
        <f>RANK(H77,H:H,0)</f>
        <v>3095</v>
      </c>
    </row>
    <row r="78" spans="1:13">
      <c r="A78" t="s">
        <v>71</v>
      </c>
      <c r="B78" t="s">
        <v>32</v>
      </c>
      <c r="C78" t="s">
        <v>50</v>
      </c>
      <c r="D78" s="4">
        <v>44867</v>
      </c>
      <c r="E78" s="5" t="str">
        <f>TEXT(D78,"dd/mm/yyyy")</f>
        <v>02/11/2022</v>
      </c>
      <c r="F78" s="5" t="str" cm="1">
        <f t="array" ref="F78">RIGHT(_xlfn.ANCHORARRAY(E78),4)</f>
        <v>2022</v>
      </c>
      <c r="G78" s="5" t="str">
        <f>TEXT(E78,"mm")</f>
        <v>02</v>
      </c>
      <c r="H78" s="6">
        <v>1274</v>
      </c>
      <c r="I78">
        <v>244</v>
      </c>
      <c r="L78" t="str">
        <f t="shared" si="1"/>
        <v>Below Average</v>
      </c>
      <c r="M78">
        <f>RANK(H78,H:H,0)</f>
        <v>2883</v>
      </c>
    </row>
    <row r="79" spans="1:13">
      <c r="A79" t="s">
        <v>40</v>
      </c>
      <c r="B79" t="s">
        <v>32</v>
      </c>
      <c r="C79" t="s">
        <v>33</v>
      </c>
      <c r="D79" s="3" t="s">
        <v>95</v>
      </c>
      <c r="E79" s="5" t="str">
        <f>TEXT(D79,"dd/mm/yyyy")</f>
        <v>27/01/2022</v>
      </c>
      <c r="F79" s="5" t="str" cm="1">
        <f t="array" ref="F79">RIGHT(_xlfn.ANCHORARRAY(E79),4)</f>
        <v>2022</v>
      </c>
      <c r="G79" s="5" t="str">
        <f>TEXT(E79,"mm")</f>
        <v>27/01/2022</v>
      </c>
      <c r="H79" s="6">
        <v>7595</v>
      </c>
      <c r="I79">
        <v>181</v>
      </c>
      <c r="L79" t="str">
        <f t="shared" si="1"/>
        <v>Above Average</v>
      </c>
      <c r="M79">
        <f>RANK(H79,H:H,0)</f>
        <v>1046</v>
      </c>
    </row>
    <row r="80" spans="1:13">
      <c r="A80" t="s">
        <v>9</v>
      </c>
      <c r="B80" t="s">
        <v>7</v>
      </c>
      <c r="C80" t="s">
        <v>20</v>
      </c>
      <c r="D80" s="3" t="s">
        <v>96</v>
      </c>
      <c r="E80" s="5" t="str">
        <f>TEXT(D80,"dd/mm/yyyy")</f>
        <v>31/01/2022</v>
      </c>
      <c r="F80" s="5" t="str" cm="1">
        <f t="array" ref="F80">RIGHT(_xlfn.ANCHORARRAY(E80),4)</f>
        <v>2022</v>
      </c>
      <c r="G80" s="5" t="str">
        <f>TEXT(E80,"mm")</f>
        <v>31/01/2022</v>
      </c>
      <c r="H80" s="6">
        <v>4725</v>
      </c>
      <c r="I80">
        <v>137</v>
      </c>
      <c r="L80" t="str">
        <f t="shared" si="1"/>
        <v>Below Average</v>
      </c>
      <c r="M80">
        <f>RANK(H80,H:H,0)</f>
        <v>1794</v>
      </c>
    </row>
    <row r="81" spans="1:13">
      <c r="A81" t="s">
        <v>71</v>
      </c>
      <c r="B81" t="s">
        <v>32</v>
      </c>
      <c r="C81" t="s">
        <v>59</v>
      </c>
      <c r="D81" s="3" t="s">
        <v>97</v>
      </c>
      <c r="E81" s="5" t="str">
        <f>TEXT(D81,"dd/mm/yyyy")</f>
        <v>18/08/2022</v>
      </c>
      <c r="F81" s="5" t="str" cm="1">
        <f t="array" ref="F81">RIGHT(_xlfn.ANCHORARRAY(E81),4)</f>
        <v>2022</v>
      </c>
      <c r="G81" s="5" t="str">
        <f>TEXT(E81,"mm")</f>
        <v>18/08/2022</v>
      </c>
      <c r="H81" s="6">
        <v>9681</v>
      </c>
      <c r="I81">
        <v>24</v>
      </c>
      <c r="L81" t="str">
        <f t="shared" si="1"/>
        <v>Above Average</v>
      </c>
      <c r="M81">
        <f>RANK(H81,H:H,0)</f>
        <v>632</v>
      </c>
    </row>
    <row r="82" spans="1:13">
      <c r="A82" t="s">
        <v>67</v>
      </c>
      <c r="B82" t="s">
        <v>32</v>
      </c>
      <c r="C82" t="s">
        <v>73</v>
      </c>
      <c r="D82" s="3" t="s">
        <v>66</v>
      </c>
      <c r="E82" s="5" t="str">
        <f>TEXT(D82,"dd/mm/yyyy")</f>
        <v>30/06/2022</v>
      </c>
      <c r="F82" s="5" t="str" cm="1">
        <f t="array" ref="F82">RIGHT(_xlfn.ANCHORARRAY(E82),4)</f>
        <v>2022</v>
      </c>
      <c r="G82" s="5" t="str">
        <f>TEXT(E82,"mm")</f>
        <v>30/06/2022</v>
      </c>
      <c r="H82" s="6">
        <v>14504</v>
      </c>
      <c r="I82">
        <v>21</v>
      </c>
      <c r="L82" t="str">
        <f t="shared" si="1"/>
        <v>Above Average</v>
      </c>
      <c r="M82">
        <f>RANK(H82,H:H,0)</f>
        <v>181</v>
      </c>
    </row>
    <row r="83" spans="1:13">
      <c r="A83" t="s">
        <v>79</v>
      </c>
      <c r="B83" t="s">
        <v>15</v>
      </c>
      <c r="C83" t="s">
        <v>57</v>
      </c>
      <c r="D83" s="3" t="s">
        <v>98</v>
      </c>
      <c r="E83" s="5" t="str">
        <f>TEXT(D83,"dd/mm/yyyy")</f>
        <v>23/08/2022</v>
      </c>
      <c r="F83" s="5" t="str" cm="1">
        <f t="array" ref="F83">RIGHT(_xlfn.ANCHORARRAY(E83),4)</f>
        <v>2022</v>
      </c>
      <c r="G83" s="5" t="str">
        <f>TEXT(E83,"mm")</f>
        <v>23/08/2022</v>
      </c>
      <c r="H83" s="6">
        <v>280</v>
      </c>
      <c r="I83">
        <v>311</v>
      </c>
      <c r="L83" t="str">
        <f t="shared" si="1"/>
        <v>Below Average</v>
      </c>
      <c r="M83">
        <f>RANK(H83,H:H,0)</f>
        <v>3199</v>
      </c>
    </row>
    <row r="84" spans="1:13">
      <c r="A84" t="s">
        <v>28</v>
      </c>
      <c r="B84" t="s">
        <v>25</v>
      </c>
      <c r="C84" t="s">
        <v>8</v>
      </c>
      <c r="D84" s="4">
        <v>44569</v>
      </c>
      <c r="E84" s="5" t="str">
        <f>TEXT(D84,"dd/mm/yyyy")</f>
        <v>08/01/2022</v>
      </c>
      <c r="F84" s="5" t="str" cm="1">
        <f t="array" ref="F84">RIGHT(_xlfn.ANCHORARRAY(E84),4)</f>
        <v>2022</v>
      </c>
      <c r="G84" s="5" t="str">
        <f>TEXT(E84,"mm")</f>
        <v>08</v>
      </c>
      <c r="H84" s="6">
        <v>63</v>
      </c>
      <c r="I84">
        <v>181</v>
      </c>
      <c r="L84" t="str">
        <f t="shared" si="1"/>
        <v>Below Average</v>
      </c>
      <c r="M84">
        <f>RANK(H84,H:H,0)</f>
        <v>3265</v>
      </c>
    </row>
    <row r="85" spans="1:13">
      <c r="A85" t="s">
        <v>45</v>
      </c>
      <c r="B85" t="s">
        <v>25</v>
      </c>
      <c r="C85" t="s">
        <v>23</v>
      </c>
      <c r="D85" s="3" t="s">
        <v>99</v>
      </c>
      <c r="E85" s="5" t="str">
        <f>TEXT(D85,"dd/mm/yyyy")</f>
        <v>25/05/2022</v>
      </c>
      <c r="F85" s="5" t="str" cm="1">
        <f t="array" ref="F85">RIGHT(_xlfn.ANCHORARRAY(E85),4)</f>
        <v>2022</v>
      </c>
      <c r="G85" s="5" t="str">
        <f>TEXT(E85,"mm")</f>
        <v>25/05/2022</v>
      </c>
      <c r="H85" s="6">
        <v>8001</v>
      </c>
      <c r="I85">
        <v>10</v>
      </c>
      <c r="L85" t="str">
        <f t="shared" si="1"/>
        <v>Above Average</v>
      </c>
      <c r="M85">
        <f>RANK(H85,H:H,0)</f>
        <v>936</v>
      </c>
    </row>
    <row r="86" spans="1:13">
      <c r="A86" t="s">
        <v>45</v>
      </c>
      <c r="B86" t="s">
        <v>35</v>
      </c>
      <c r="C86" t="s">
        <v>42</v>
      </c>
      <c r="D86" s="4">
        <v>44835</v>
      </c>
      <c r="E86" s="5" t="str">
        <f>TEXT(D86,"dd/mm/yyyy")</f>
        <v>01/10/2022</v>
      </c>
      <c r="F86" s="5" t="str" cm="1">
        <f t="array" ref="F86">RIGHT(_xlfn.ANCHORARRAY(E86),4)</f>
        <v>2022</v>
      </c>
      <c r="G86" s="5" t="str">
        <f>TEXT(E86,"mm")</f>
        <v>01</v>
      </c>
      <c r="H86" s="6">
        <v>4032</v>
      </c>
      <c r="I86">
        <v>82</v>
      </c>
      <c r="L86" t="str">
        <f t="shared" si="1"/>
        <v>Below Average</v>
      </c>
      <c r="M86">
        <f>RANK(H86,H:H,0)</f>
        <v>1976</v>
      </c>
    </row>
    <row r="87" spans="1:13">
      <c r="A87" t="s">
        <v>58</v>
      </c>
      <c r="B87" t="s">
        <v>15</v>
      </c>
      <c r="C87" t="s">
        <v>100</v>
      </c>
      <c r="D87" s="4">
        <v>44744</v>
      </c>
      <c r="E87" s="5" t="str">
        <f>TEXT(D87,"dd/mm/yyyy")</f>
        <v>02/07/2022</v>
      </c>
      <c r="F87" s="5" t="str" cm="1">
        <f t="array" ref="F87">RIGHT(_xlfn.ANCHORARRAY(E87),4)</f>
        <v>2022</v>
      </c>
      <c r="G87" s="5" t="str">
        <f>TEXT(E87,"mm")</f>
        <v>02</v>
      </c>
      <c r="H87" s="6">
        <v>5859</v>
      </c>
      <c r="I87">
        <v>108</v>
      </c>
      <c r="L87" t="str">
        <f t="shared" si="1"/>
        <v>Below Average</v>
      </c>
      <c r="M87">
        <f>RANK(H87,H:H,0)</f>
        <v>1469</v>
      </c>
    </row>
    <row r="88" spans="1:13">
      <c r="A88" t="s">
        <v>37</v>
      </c>
      <c r="B88" t="s">
        <v>32</v>
      </c>
      <c r="C88" t="s">
        <v>33</v>
      </c>
      <c r="D88" s="4">
        <v>44900</v>
      </c>
      <c r="E88" s="5" t="str">
        <f>TEXT(D88,"dd/mm/yyyy")</f>
        <v>05/12/2022</v>
      </c>
      <c r="F88" s="5" t="str" cm="1">
        <f t="array" ref="F88">RIGHT(_xlfn.ANCHORARRAY(E88),4)</f>
        <v>2022</v>
      </c>
      <c r="G88" s="5" t="str">
        <f>TEXT(E88,"mm")</f>
        <v>05</v>
      </c>
      <c r="H88" s="6">
        <v>11095</v>
      </c>
      <c r="I88">
        <v>401</v>
      </c>
      <c r="L88" t="str">
        <f t="shared" si="1"/>
        <v>Above Average</v>
      </c>
      <c r="M88">
        <f>RANK(H88,H:H,0)</f>
        <v>433</v>
      </c>
    </row>
    <row r="89" spans="1:13">
      <c r="A89" t="s">
        <v>77</v>
      </c>
      <c r="B89" t="s">
        <v>15</v>
      </c>
      <c r="C89" t="s">
        <v>50</v>
      </c>
      <c r="D89" s="4">
        <v>44745</v>
      </c>
      <c r="E89" s="5" t="str">
        <f>TEXT(D89,"dd/mm/yyyy")</f>
        <v>03/07/2022</v>
      </c>
      <c r="F89" s="5" t="str" cm="1">
        <f t="array" ref="F89">RIGHT(_xlfn.ANCHORARRAY(E89),4)</f>
        <v>2022</v>
      </c>
      <c r="G89" s="5" t="str">
        <f>TEXT(E89,"mm")</f>
        <v>03</v>
      </c>
      <c r="H89" s="6">
        <v>7182</v>
      </c>
      <c r="I89">
        <v>408</v>
      </c>
      <c r="L89" t="str">
        <f t="shared" si="1"/>
        <v>Above Average</v>
      </c>
      <c r="M89">
        <f>RANK(H89,H:H,0)</f>
        <v>1138</v>
      </c>
    </row>
    <row r="90" spans="1:13">
      <c r="A90" t="s">
        <v>58</v>
      </c>
      <c r="B90" t="s">
        <v>15</v>
      </c>
      <c r="C90" t="s">
        <v>11</v>
      </c>
      <c r="D90" s="4">
        <v>44685</v>
      </c>
      <c r="E90" s="5" t="str">
        <f>TEXT(D90,"dd/mm/yyyy")</f>
        <v>04/05/2022</v>
      </c>
      <c r="F90" s="5" t="str" cm="1">
        <f t="array" ref="F90">RIGHT(_xlfn.ANCHORARRAY(E90),4)</f>
        <v>2022</v>
      </c>
      <c r="G90" s="5" t="str">
        <f>TEXT(E90,"mm")</f>
        <v>04</v>
      </c>
      <c r="H90" s="6">
        <v>6881</v>
      </c>
      <c r="I90">
        <v>420</v>
      </c>
      <c r="L90" t="str">
        <f t="shared" si="1"/>
        <v>Above Average</v>
      </c>
      <c r="M90">
        <f>RANK(H90,H:H,0)</f>
        <v>1211</v>
      </c>
    </row>
    <row r="91" spans="1:13">
      <c r="A91" t="s">
        <v>67</v>
      </c>
      <c r="B91" t="s">
        <v>35</v>
      </c>
      <c r="C91" t="s">
        <v>90</v>
      </c>
      <c r="D91" s="4">
        <v>44621</v>
      </c>
      <c r="E91" s="5" t="str">
        <f>TEXT(D91,"dd/mm/yyyy")</f>
        <v>01/03/2022</v>
      </c>
      <c r="F91" s="5" t="str" cm="1">
        <f t="array" ref="F91">RIGHT(_xlfn.ANCHORARRAY(E91),4)</f>
        <v>2022</v>
      </c>
      <c r="G91" s="5" t="str">
        <f>TEXT(E91,"mm")</f>
        <v>01</v>
      </c>
      <c r="H91" s="6">
        <v>7154</v>
      </c>
      <c r="I91">
        <v>348</v>
      </c>
      <c r="L91" t="str">
        <f t="shared" si="1"/>
        <v>Above Average</v>
      </c>
      <c r="M91">
        <f>RANK(H91,H:H,0)</f>
        <v>1144</v>
      </c>
    </row>
    <row r="92" spans="1:13">
      <c r="A92" t="s">
        <v>58</v>
      </c>
      <c r="B92" t="s">
        <v>7</v>
      </c>
      <c r="C92" t="s">
        <v>36</v>
      </c>
      <c r="D92" s="3" t="s">
        <v>24</v>
      </c>
      <c r="E92" s="5" t="str">
        <f>TEXT(D92,"dd/mm/yyyy")</f>
        <v>24/03/2022</v>
      </c>
      <c r="F92" s="5" t="str" cm="1">
        <f t="array" ref="F92">RIGHT(_xlfn.ANCHORARRAY(E92),4)</f>
        <v>2022</v>
      </c>
      <c r="G92" s="5" t="str">
        <f>TEXT(E92,"mm")</f>
        <v>24/03/2022</v>
      </c>
      <c r="H92" s="6">
        <v>6188</v>
      </c>
      <c r="I92">
        <v>270</v>
      </c>
      <c r="L92" t="str">
        <f t="shared" si="1"/>
        <v>Above Average</v>
      </c>
      <c r="M92">
        <f>RANK(H92,H:H,0)</f>
        <v>1382</v>
      </c>
    </row>
    <row r="93" spans="1:13">
      <c r="A93" t="s">
        <v>77</v>
      </c>
      <c r="B93" t="s">
        <v>10</v>
      </c>
      <c r="C93" t="s">
        <v>73</v>
      </c>
      <c r="D93" s="4">
        <v>44749</v>
      </c>
      <c r="E93" s="5" t="str">
        <f>TEXT(D93,"dd/mm/yyyy")</f>
        <v>07/07/2022</v>
      </c>
      <c r="F93" s="5" t="str" cm="1">
        <f t="array" ref="F93">RIGHT(_xlfn.ANCHORARRAY(E93),4)</f>
        <v>2022</v>
      </c>
      <c r="G93" s="5" t="str">
        <f>TEXT(E93,"mm")</f>
        <v>07</v>
      </c>
      <c r="H93" s="6">
        <v>4221</v>
      </c>
      <c r="I93">
        <v>9</v>
      </c>
      <c r="L93" t="str">
        <f t="shared" si="1"/>
        <v>Below Average</v>
      </c>
      <c r="M93">
        <f>RANK(H93,H:H,0)</f>
        <v>1921</v>
      </c>
    </row>
    <row r="94" spans="1:13">
      <c r="A94" t="s">
        <v>9</v>
      </c>
      <c r="B94" t="s">
        <v>32</v>
      </c>
      <c r="C94" t="s">
        <v>23</v>
      </c>
      <c r="D94" s="3" t="s">
        <v>101</v>
      </c>
      <c r="E94" s="5" t="str">
        <f>TEXT(D94,"dd/mm/yyyy")</f>
        <v>26/07/2022</v>
      </c>
      <c r="F94" s="5" t="str" cm="1">
        <f t="array" ref="F94">RIGHT(_xlfn.ANCHORARRAY(E94),4)</f>
        <v>2022</v>
      </c>
      <c r="G94" s="5" t="str">
        <f>TEXT(E94,"mm")</f>
        <v>26/07/2022</v>
      </c>
      <c r="H94" s="6">
        <v>630</v>
      </c>
      <c r="I94">
        <v>264</v>
      </c>
      <c r="L94" t="str">
        <f t="shared" si="1"/>
        <v>Below Average</v>
      </c>
      <c r="M94">
        <f>RANK(H94,H:H,0)</f>
        <v>3090</v>
      </c>
    </row>
    <row r="95" spans="1:13">
      <c r="A95" t="s">
        <v>64</v>
      </c>
      <c r="B95" t="s">
        <v>15</v>
      </c>
      <c r="C95" t="s">
        <v>42</v>
      </c>
      <c r="D95" s="4">
        <v>44749</v>
      </c>
      <c r="E95" s="5" t="str">
        <f>TEXT(D95,"dd/mm/yyyy")</f>
        <v>07/07/2022</v>
      </c>
      <c r="F95" s="5" t="str" cm="1">
        <f t="array" ref="F95">RIGHT(_xlfn.ANCHORARRAY(E95),4)</f>
        <v>2022</v>
      </c>
      <c r="G95" s="5" t="str">
        <f>TEXT(E95,"mm")</f>
        <v>07</v>
      </c>
      <c r="H95" s="6">
        <v>1743</v>
      </c>
      <c r="I95">
        <v>111</v>
      </c>
      <c r="L95" t="str">
        <f t="shared" si="1"/>
        <v>Below Average</v>
      </c>
      <c r="M95">
        <f>RANK(H95,H:H,0)</f>
        <v>2716</v>
      </c>
    </row>
    <row r="96" spans="1:13">
      <c r="A96" t="s">
        <v>37</v>
      </c>
      <c r="B96" t="s">
        <v>35</v>
      </c>
      <c r="C96" t="s">
        <v>26</v>
      </c>
      <c r="D96" s="3" t="s">
        <v>82</v>
      </c>
      <c r="E96" s="5" t="str">
        <f>TEXT(D96,"dd/mm/yyyy")</f>
        <v>15/07/2022</v>
      </c>
      <c r="F96" s="5" t="str" cm="1">
        <f t="array" ref="F96">RIGHT(_xlfn.ANCHORARRAY(E96),4)</f>
        <v>2022</v>
      </c>
      <c r="G96" s="5" t="str">
        <f>TEXT(E96,"mm")</f>
        <v>15/07/2022</v>
      </c>
      <c r="H96" s="6">
        <v>2919</v>
      </c>
      <c r="I96">
        <v>65</v>
      </c>
      <c r="L96" t="str">
        <f t="shared" si="1"/>
        <v>Below Average</v>
      </c>
      <c r="M96">
        <f>RANK(H96,H:H,0)</f>
        <v>2340</v>
      </c>
    </row>
    <row r="97" spans="1:13">
      <c r="A97" t="s">
        <v>45</v>
      </c>
      <c r="B97" t="s">
        <v>25</v>
      </c>
      <c r="C97" t="s">
        <v>33</v>
      </c>
      <c r="D97" s="4">
        <v>44565</v>
      </c>
      <c r="E97" s="5" t="str">
        <f>TEXT(D97,"dd/mm/yyyy")</f>
        <v>04/01/2022</v>
      </c>
      <c r="F97" s="5" t="str" cm="1">
        <f t="array" ref="F97">RIGHT(_xlfn.ANCHORARRAY(E97),4)</f>
        <v>2022</v>
      </c>
      <c r="G97" s="5" t="str">
        <f>TEXT(E97,"mm")</f>
        <v>04</v>
      </c>
      <c r="H97" s="6">
        <v>49</v>
      </c>
      <c r="I97">
        <v>97</v>
      </c>
      <c r="L97" t="str">
        <f t="shared" si="1"/>
        <v>Below Average</v>
      </c>
      <c r="M97">
        <f>RANK(H97,H:H,0)</f>
        <v>3272</v>
      </c>
    </row>
    <row r="98" spans="1:13">
      <c r="A98" t="s">
        <v>41</v>
      </c>
      <c r="B98" t="s">
        <v>15</v>
      </c>
      <c r="C98" t="s">
        <v>36</v>
      </c>
      <c r="D98" s="3" t="s">
        <v>92</v>
      </c>
      <c r="E98" s="5" t="str">
        <f>TEXT(D98,"dd/mm/yyyy")</f>
        <v>20/06/2022</v>
      </c>
      <c r="F98" s="5" t="str" cm="1">
        <f t="array" ref="F98">RIGHT(_xlfn.ANCHORARRAY(E98),4)</f>
        <v>2022</v>
      </c>
      <c r="G98" s="5" t="str">
        <f>TEXT(E98,"mm")</f>
        <v>20/06/2022</v>
      </c>
      <c r="H98" s="6">
        <v>1827</v>
      </c>
      <c r="I98">
        <v>6</v>
      </c>
      <c r="L98" t="str">
        <f t="shared" si="1"/>
        <v>Below Average</v>
      </c>
      <c r="M98">
        <f>RANK(H98,H:H,0)</f>
        <v>2693</v>
      </c>
    </row>
    <row r="99" spans="1:13">
      <c r="A99" t="s">
        <v>70</v>
      </c>
      <c r="B99" t="s">
        <v>7</v>
      </c>
      <c r="C99" t="s">
        <v>57</v>
      </c>
      <c r="D99" s="3" t="s">
        <v>63</v>
      </c>
      <c r="E99" s="5" t="str">
        <f>TEXT(D99,"dd/mm/yyyy")</f>
        <v>29/06/2022</v>
      </c>
      <c r="F99" s="5" t="str" cm="1">
        <f t="array" ref="F99">RIGHT(_xlfn.ANCHORARRAY(E99),4)</f>
        <v>2022</v>
      </c>
      <c r="G99" s="5" t="str">
        <f>TEXT(E99,"mm")</f>
        <v>29/06/2022</v>
      </c>
      <c r="H99" s="6">
        <v>13006</v>
      </c>
      <c r="I99">
        <v>482</v>
      </c>
      <c r="L99" t="str">
        <f t="shared" si="1"/>
        <v>Above Average</v>
      </c>
      <c r="M99">
        <f>RANK(H99,H:H,0)</f>
        <v>268</v>
      </c>
    </row>
    <row r="100" spans="1:13">
      <c r="A100" t="s">
        <v>40</v>
      </c>
      <c r="B100" t="s">
        <v>32</v>
      </c>
      <c r="C100" t="s">
        <v>26</v>
      </c>
      <c r="D100" s="3" t="s">
        <v>61</v>
      </c>
      <c r="E100" s="5" t="str">
        <f>TEXT(D100,"dd/mm/yyyy")</f>
        <v>15/06/2022</v>
      </c>
      <c r="F100" s="5" t="str" cm="1">
        <f t="array" ref="F100">RIGHT(_xlfn.ANCHORARRAY(E100),4)</f>
        <v>2022</v>
      </c>
      <c r="G100" s="5" t="str">
        <f>TEXT(E100,"mm")</f>
        <v>15/06/2022</v>
      </c>
      <c r="H100" s="6">
        <v>1064</v>
      </c>
      <c r="I100">
        <v>106</v>
      </c>
      <c r="L100" t="str">
        <f t="shared" si="1"/>
        <v>Below Average</v>
      </c>
      <c r="M100">
        <f>RANK(H100,H:H,0)</f>
        <v>2952</v>
      </c>
    </row>
    <row r="101" spans="1:13">
      <c r="A101" t="s">
        <v>53</v>
      </c>
      <c r="B101" t="s">
        <v>32</v>
      </c>
      <c r="C101" t="s">
        <v>23</v>
      </c>
      <c r="D101" s="4">
        <v>44777</v>
      </c>
      <c r="E101" s="5" t="str">
        <f>TEXT(D101,"dd/mm/yyyy")</f>
        <v>04/08/2022</v>
      </c>
      <c r="F101" s="5" t="str" cm="1">
        <f t="array" ref="F101">RIGHT(_xlfn.ANCHORARRAY(E101),4)</f>
        <v>2022</v>
      </c>
      <c r="G101" s="5" t="str">
        <f>TEXT(E101,"mm")</f>
        <v>04</v>
      </c>
      <c r="H101" s="6">
        <v>11571</v>
      </c>
      <c r="I101">
        <v>180</v>
      </c>
      <c r="L101" t="str">
        <f t="shared" si="1"/>
        <v>Above Average</v>
      </c>
      <c r="M101">
        <f>RANK(H101,H:H,0)</f>
        <v>389</v>
      </c>
    </row>
    <row r="102" spans="1:13">
      <c r="A102" t="s">
        <v>58</v>
      </c>
      <c r="B102" t="s">
        <v>15</v>
      </c>
      <c r="C102" t="s">
        <v>73</v>
      </c>
      <c r="D102" s="3" t="s">
        <v>54</v>
      </c>
      <c r="E102" s="5" t="str">
        <f>TEXT(D102,"dd/mm/yyyy")</f>
        <v>14/03/2022</v>
      </c>
      <c r="F102" s="5" t="str" cm="1">
        <f t="array" ref="F102">RIGHT(_xlfn.ANCHORARRAY(E102),4)</f>
        <v>2022</v>
      </c>
      <c r="G102" s="5" t="str">
        <f>TEXT(E102,"mm")</f>
        <v>14/03/2022</v>
      </c>
      <c r="H102" s="6">
        <v>5740</v>
      </c>
      <c r="I102">
        <v>31</v>
      </c>
      <c r="L102" t="str">
        <f t="shared" si="1"/>
        <v>Below Average</v>
      </c>
      <c r="M102">
        <f>RANK(H102,H:H,0)</f>
        <v>1509</v>
      </c>
    </row>
    <row r="103" spans="1:13">
      <c r="A103" t="s">
        <v>67</v>
      </c>
      <c r="B103" t="s">
        <v>32</v>
      </c>
      <c r="C103" t="s">
        <v>57</v>
      </c>
      <c r="D103" s="3" t="s">
        <v>82</v>
      </c>
      <c r="E103" s="5" t="str">
        <f>TEXT(D103,"dd/mm/yyyy")</f>
        <v>15/07/2022</v>
      </c>
      <c r="F103" s="5" t="str" cm="1">
        <f t="array" ref="F103">RIGHT(_xlfn.ANCHORARRAY(E103),4)</f>
        <v>2022</v>
      </c>
      <c r="G103" s="5" t="str">
        <f>TEXT(E103,"mm")</f>
        <v>15/07/2022</v>
      </c>
      <c r="H103" s="6">
        <v>1456</v>
      </c>
      <c r="I103">
        <v>359</v>
      </c>
      <c r="L103" t="str">
        <f t="shared" si="1"/>
        <v>Below Average</v>
      </c>
      <c r="M103">
        <f>RANK(H103,H:H,0)</f>
        <v>2816</v>
      </c>
    </row>
    <row r="104" spans="1:13">
      <c r="A104" t="s">
        <v>70</v>
      </c>
      <c r="B104" t="s">
        <v>10</v>
      </c>
      <c r="C104" t="s">
        <v>36</v>
      </c>
      <c r="D104" s="3" t="s">
        <v>81</v>
      </c>
      <c r="E104" s="5" t="str">
        <f>TEXT(D104,"dd/mm/yyyy")</f>
        <v>19/04/2022</v>
      </c>
      <c r="F104" s="5" t="str" cm="1">
        <f t="array" ref="F104">RIGHT(_xlfn.ANCHORARRAY(E104),4)</f>
        <v>2022</v>
      </c>
      <c r="G104" s="5" t="str">
        <f>TEXT(E104,"mm")</f>
        <v>19/04/2022</v>
      </c>
      <c r="H104" s="6">
        <v>5334</v>
      </c>
      <c r="I104">
        <v>80</v>
      </c>
      <c r="L104" t="str">
        <f t="shared" si="1"/>
        <v>Below Average</v>
      </c>
      <c r="M104">
        <f>RANK(H104,H:H,0)</f>
        <v>1605</v>
      </c>
    </row>
    <row r="105" spans="1:13">
      <c r="A105" t="s">
        <v>40</v>
      </c>
      <c r="B105" t="s">
        <v>32</v>
      </c>
      <c r="C105" t="s">
        <v>20</v>
      </c>
      <c r="D105" s="3" t="s">
        <v>102</v>
      </c>
      <c r="E105" s="5" t="str">
        <f>TEXT(D105,"dd/mm/yyyy")</f>
        <v>28/03/2022</v>
      </c>
      <c r="F105" s="5" t="str" cm="1">
        <f t="array" ref="F105">RIGHT(_xlfn.ANCHORARRAY(E105),4)</f>
        <v>2022</v>
      </c>
      <c r="G105" s="5" t="str">
        <f>TEXT(E105,"mm")</f>
        <v>28/03/2022</v>
      </c>
      <c r="H105" s="6">
        <v>4151</v>
      </c>
      <c r="I105">
        <v>296</v>
      </c>
      <c r="L105" t="str">
        <f t="shared" si="1"/>
        <v>Below Average</v>
      </c>
      <c r="M105">
        <f>RANK(H105,H:H,0)</f>
        <v>1946</v>
      </c>
    </row>
    <row r="106" spans="1:13">
      <c r="A106" t="s">
        <v>28</v>
      </c>
      <c r="B106" t="s">
        <v>35</v>
      </c>
      <c r="C106" t="s">
        <v>50</v>
      </c>
      <c r="D106" s="4">
        <v>44654</v>
      </c>
      <c r="E106" s="5" t="str">
        <f>TEXT(D106,"dd/mm/yyyy")</f>
        <v>03/04/2022</v>
      </c>
      <c r="F106" s="5" t="str" cm="1">
        <f t="array" ref="F106">RIGHT(_xlfn.ANCHORARRAY(E106),4)</f>
        <v>2022</v>
      </c>
      <c r="G106" s="5" t="str">
        <f>TEXT(E106,"mm")</f>
        <v>03</v>
      </c>
      <c r="H106" s="6">
        <v>8106</v>
      </c>
      <c r="I106">
        <v>101</v>
      </c>
      <c r="L106" t="str">
        <f t="shared" si="1"/>
        <v>Above Average</v>
      </c>
      <c r="M106">
        <f>RANK(H106,H:H,0)</f>
        <v>915</v>
      </c>
    </row>
    <row r="107" spans="1:13">
      <c r="A107" t="s">
        <v>37</v>
      </c>
      <c r="B107" t="s">
        <v>25</v>
      </c>
      <c r="C107" t="s">
        <v>100</v>
      </c>
      <c r="D107" s="4">
        <v>44600</v>
      </c>
      <c r="E107" s="5" t="str">
        <f>TEXT(D107,"dd/mm/yyyy")</f>
        <v>08/02/2022</v>
      </c>
      <c r="F107" s="5" t="str" cm="1">
        <f t="array" ref="F107">RIGHT(_xlfn.ANCHORARRAY(E107),4)</f>
        <v>2022</v>
      </c>
      <c r="G107" s="5" t="str">
        <f>TEXT(E107,"mm")</f>
        <v>08</v>
      </c>
      <c r="H107" s="6">
        <v>126</v>
      </c>
      <c r="I107">
        <v>40</v>
      </c>
      <c r="L107" t="str">
        <f t="shared" si="1"/>
        <v>Below Average</v>
      </c>
      <c r="M107">
        <f>RANK(H107,H:H,0)</f>
        <v>3235</v>
      </c>
    </row>
    <row r="108" spans="1:13">
      <c r="A108" t="s">
        <v>53</v>
      </c>
      <c r="B108" t="s">
        <v>7</v>
      </c>
      <c r="C108" t="s">
        <v>50</v>
      </c>
      <c r="D108" s="3" t="s">
        <v>103</v>
      </c>
      <c r="E108" s="5" t="str">
        <f>TEXT(D108,"dd/mm/yyyy")</f>
        <v>25/08/2022</v>
      </c>
      <c r="F108" s="5" t="str" cm="1">
        <f t="array" ref="F108">RIGHT(_xlfn.ANCHORARRAY(E108),4)</f>
        <v>2022</v>
      </c>
      <c r="G108" s="5" t="str">
        <f>TEXT(E108,"mm")</f>
        <v>25/08/2022</v>
      </c>
      <c r="H108" s="6">
        <v>4697</v>
      </c>
      <c r="I108">
        <v>42</v>
      </c>
      <c r="L108" t="str">
        <f t="shared" si="1"/>
        <v>Below Average</v>
      </c>
      <c r="M108">
        <f>RANK(H108,H:H,0)</f>
        <v>1800</v>
      </c>
    </row>
    <row r="109" spans="1:13">
      <c r="A109" t="s">
        <v>40</v>
      </c>
      <c r="B109" t="s">
        <v>32</v>
      </c>
      <c r="C109" t="s">
        <v>65</v>
      </c>
      <c r="D109" s="3" t="s">
        <v>104</v>
      </c>
      <c r="E109" s="5" t="str">
        <f>TEXT(D109,"dd/mm/yyyy")</f>
        <v>25/02/2022</v>
      </c>
      <c r="F109" s="5" t="str" cm="1">
        <f t="array" ref="F109">RIGHT(_xlfn.ANCHORARRAY(E109),4)</f>
        <v>2022</v>
      </c>
      <c r="G109" s="5" t="str">
        <f>TEXT(E109,"mm")</f>
        <v>25/02/2022</v>
      </c>
      <c r="H109" s="6">
        <v>7798</v>
      </c>
      <c r="I109">
        <v>167</v>
      </c>
      <c r="L109" t="str">
        <f t="shared" si="1"/>
        <v>Above Average</v>
      </c>
      <c r="M109">
        <f>RANK(H109,H:H,0)</f>
        <v>989</v>
      </c>
    </row>
    <row r="110" spans="1:13">
      <c r="A110" t="s">
        <v>70</v>
      </c>
      <c r="B110" t="s">
        <v>10</v>
      </c>
      <c r="C110" t="s">
        <v>33</v>
      </c>
      <c r="D110" s="4">
        <v>44748</v>
      </c>
      <c r="E110" s="5" t="str">
        <f>TEXT(D110,"dd/mm/yyyy")</f>
        <v>06/07/2022</v>
      </c>
      <c r="F110" s="5" t="str" cm="1">
        <f t="array" ref="F110">RIGHT(_xlfn.ANCHORARRAY(E110),4)</f>
        <v>2022</v>
      </c>
      <c r="G110" s="5" t="str">
        <f>TEXT(E110,"mm")</f>
        <v>06</v>
      </c>
      <c r="H110" s="6">
        <v>9408</v>
      </c>
      <c r="I110">
        <v>138</v>
      </c>
      <c r="L110" t="str">
        <f t="shared" si="1"/>
        <v>Above Average</v>
      </c>
      <c r="M110">
        <f>RANK(H110,H:H,0)</f>
        <v>674</v>
      </c>
    </row>
    <row r="111" spans="1:13">
      <c r="A111" t="s">
        <v>14</v>
      </c>
      <c r="B111" t="s">
        <v>10</v>
      </c>
      <c r="C111" t="s">
        <v>50</v>
      </c>
      <c r="D111" s="4">
        <v>44899</v>
      </c>
      <c r="E111" s="5" t="str">
        <f>TEXT(D111,"dd/mm/yyyy")</f>
        <v>04/12/2022</v>
      </c>
      <c r="F111" s="5" t="str" cm="1">
        <f t="array" ref="F111">RIGHT(_xlfn.ANCHORARRAY(E111),4)</f>
        <v>2022</v>
      </c>
      <c r="G111" s="5" t="str">
        <f>TEXT(E111,"mm")</f>
        <v>04</v>
      </c>
      <c r="H111" s="6">
        <v>1939</v>
      </c>
      <c r="I111">
        <v>520</v>
      </c>
      <c r="L111" t="str">
        <f t="shared" si="1"/>
        <v>Below Average</v>
      </c>
      <c r="M111">
        <f>RANK(H111,H:H,0)</f>
        <v>2653</v>
      </c>
    </row>
    <row r="112" spans="1:13">
      <c r="A112" t="s">
        <v>83</v>
      </c>
      <c r="B112" t="s">
        <v>10</v>
      </c>
      <c r="C112" t="s">
        <v>50</v>
      </c>
      <c r="D112" s="4">
        <v>44719</v>
      </c>
      <c r="E112" s="5" t="str">
        <f>TEXT(D112,"dd/mm/yyyy")</f>
        <v>07/06/2022</v>
      </c>
      <c r="F112" s="5" t="str" cm="1">
        <f t="array" ref="F112">RIGHT(_xlfn.ANCHORARRAY(E112),4)</f>
        <v>2022</v>
      </c>
      <c r="G112" s="5" t="str">
        <f>TEXT(E112,"mm")</f>
        <v>07</v>
      </c>
      <c r="H112" s="6">
        <v>10906</v>
      </c>
      <c r="I112">
        <v>94</v>
      </c>
      <c r="L112" t="str">
        <f t="shared" si="1"/>
        <v>Above Average</v>
      </c>
      <c r="M112">
        <f>RANK(H112,H:H,0)</f>
        <v>455</v>
      </c>
    </row>
    <row r="113" spans="1:13">
      <c r="A113" t="s">
        <v>70</v>
      </c>
      <c r="B113" t="s">
        <v>7</v>
      </c>
      <c r="C113" t="s">
        <v>18</v>
      </c>
      <c r="D113" s="3" t="s">
        <v>105</v>
      </c>
      <c r="E113" s="5" t="str">
        <f>TEXT(D113,"dd/mm/yyyy")</f>
        <v>19/01/2022</v>
      </c>
      <c r="F113" s="5" t="str" cm="1">
        <f t="array" ref="F113">RIGHT(_xlfn.ANCHORARRAY(E113),4)</f>
        <v>2022</v>
      </c>
      <c r="G113" s="5" t="str">
        <f>TEXT(E113,"mm")</f>
        <v>19/01/2022</v>
      </c>
      <c r="H113" s="6">
        <v>5929</v>
      </c>
      <c r="I113">
        <v>175</v>
      </c>
      <c r="L113" t="str">
        <f t="shared" si="1"/>
        <v>Below Average</v>
      </c>
      <c r="M113">
        <f>RANK(H113,H:H,0)</f>
        <v>1451</v>
      </c>
    </row>
    <row r="114" spans="1:13">
      <c r="A114" t="s">
        <v>77</v>
      </c>
      <c r="B114" t="s">
        <v>15</v>
      </c>
      <c r="C114" t="s">
        <v>57</v>
      </c>
      <c r="D114" s="4">
        <v>44682</v>
      </c>
      <c r="E114" s="5" t="str">
        <f>TEXT(D114,"dd/mm/yyyy")</f>
        <v>01/05/2022</v>
      </c>
      <c r="F114" s="5" t="str" cm="1">
        <f t="array" ref="F114">RIGHT(_xlfn.ANCHORARRAY(E114),4)</f>
        <v>2022</v>
      </c>
      <c r="G114" s="5" t="str">
        <f>TEXT(E114,"mm")</f>
        <v>01</v>
      </c>
      <c r="H114" s="6">
        <v>5579</v>
      </c>
      <c r="I114">
        <v>92</v>
      </c>
      <c r="L114" t="str">
        <f t="shared" si="1"/>
        <v>Below Average</v>
      </c>
      <c r="M114">
        <f>RANK(H114,H:H,0)</f>
        <v>1549</v>
      </c>
    </row>
    <row r="115" spans="1:13">
      <c r="A115" t="s">
        <v>77</v>
      </c>
      <c r="B115" t="s">
        <v>35</v>
      </c>
      <c r="C115" t="s">
        <v>100</v>
      </c>
      <c r="D115" s="3" t="s">
        <v>106</v>
      </c>
      <c r="E115" s="5" t="str">
        <f>TEXT(D115,"dd/mm/yyyy")</f>
        <v>24/01/2022</v>
      </c>
      <c r="F115" s="5" t="str" cm="1">
        <f t="array" ref="F115">RIGHT(_xlfn.ANCHORARRAY(E115),4)</f>
        <v>2022</v>
      </c>
      <c r="G115" s="5" t="str">
        <f>TEXT(E115,"mm")</f>
        <v>24/01/2022</v>
      </c>
      <c r="H115" s="6">
        <v>10927</v>
      </c>
      <c r="I115">
        <v>141</v>
      </c>
      <c r="L115" t="str">
        <f t="shared" si="1"/>
        <v>Above Average</v>
      </c>
      <c r="M115">
        <f>RANK(H115,H:H,0)</f>
        <v>450</v>
      </c>
    </row>
    <row r="116" spans="1:13">
      <c r="A116" t="s">
        <v>64</v>
      </c>
      <c r="B116" t="s">
        <v>15</v>
      </c>
      <c r="C116" t="s">
        <v>38</v>
      </c>
      <c r="D116" s="4">
        <v>44716</v>
      </c>
      <c r="E116" s="5" t="str">
        <f>TEXT(D116,"dd/mm/yyyy")</f>
        <v>04/06/2022</v>
      </c>
      <c r="F116" s="5" t="str" cm="1">
        <f t="array" ref="F116">RIGHT(_xlfn.ANCHORARRAY(E116),4)</f>
        <v>2022</v>
      </c>
      <c r="G116" s="5" t="str">
        <f>TEXT(E116,"mm")</f>
        <v>04</v>
      </c>
      <c r="H116" s="6">
        <v>623</v>
      </c>
      <c r="I116">
        <v>283</v>
      </c>
      <c r="L116" t="str">
        <f t="shared" si="1"/>
        <v>Below Average</v>
      </c>
      <c r="M116">
        <f>RANK(H116,H:H,0)</f>
        <v>3093</v>
      </c>
    </row>
    <row r="117" spans="1:13">
      <c r="A117" t="s">
        <v>22</v>
      </c>
      <c r="B117" t="s">
        <v>15</v>
      </c>
      <c r="C117" t="s">
        <v>57</v>
      </c>
      <c r="D117" s="3" t="s">
        <v>61</v>
      </c>
      <c r="E117" s="5" t="str">
        <f>TEXT(D117,"dd/mm/yyyy")</f>
        <v>15/06/2022</v>
      </c>
      <c r="F117" s="5" t="str" cm="1">
        <f t="array" ref="F117">RIGHT(_xlfn.ANCHORARRAY(E117),4)</f>
        <v>2022</v>
      </c>
      <c r="G117" s="5" t="str">
        <f>TEXT(E117,"mm")</f>
        <v>15/06/2022</v>
      </c>
      <c r="H117" s="6">
        <v>6013</v>
      </c>
      <c r="I117">
        <v>21</v>
      </c>
      <c r="L117" t="str">
        <f t="shared" si="1"/>
        <v>Below Average</v>
      </c>
      <c r="M117">
        <f>RANK(H117,H:H,0)</f>
        <v>1435</v>
      </c>
    </row>
    <row r="118" spans="1:13">
      <c r="A118" t="s">
        <v>12</v>
      </c>
      <c r="B118" t="s">
        <v>35</v>
      </c>
      <c r="C118" t="s">
        <v>87</v>
      </c>
      <c r="D118" s="3" t="s">
        <v>107</v>
      </c>
      <c r="E118" s="5" t="str">
        <f>TEXT(D118,"dd/mm/yyyy")</f>
        <v>28/01/2022</v>
      </c>
      <c r="F118" s="5" t="str" cm="1">
        <f t="array" ref="F118">RIGHT(_xlfn.ANCHORARRAY(E118),4)</f>
        <v>2022</v>
      </c>
      <c r="G118" s="5" t="str">
        <f>TEXT(E118,"mm")</f>
        <v>28/01/2022</v>
      </c>
      <c r="H118" s="6">
        <v>1505</v>
      </c>
      <c r="I118">
        <v>47</v>
      </c>
      <c r="L118" t="str">
        <f t="shared" si="1"/>
        <v>Below Average</v>
      </c>
      <c r="M118">
        <f>RANK(H118,H:H,0)</f>
        <v>2808</v>
      </c>
    </row>
    <row r="119" spans="1:13">
      <c r="A119" t="s">
        <v>70</v>
      </c>
      <c r="B119" t="s">
        <v>10</v>
      </c>
      <c r="C119" t="s">
        <v>90</v>
      </c>
      <c r="D119" s="3" t="s">
        <v>108</v>
      </c>
      <c r="E119" s="5" t="str">
        <f>TEXT(D119,"dd/mm/yyyy")</f>
        <v>16/03/2022</v>
      </c>
      <c r="F119" s="5" t="str" cm="1">
        <f t="array" ref="F119">RIGHT(_xlfn.ANCHORARRAY(E119),4)</f>
        <v>2022</v>
      </c>
      <c r="G119" s="5" t="str">
        <f>TEXT(E119,"mm")</f>
        <v>16/03/2022</v>
      </c>
      <c r="H119" s="6">
        <v>476</v>
      </c>
      <c r="I119">
        <v>125</v>
      </c>
      <c r="L119" t="str">
        <f t="shared" si="1"/>
        <v>Below Average</v>
      </c>
      <c r="M119">
        <f>RANK(H119,H:H,0)</f>
        <v>3140</v>
      </c>
    </row>
    <row r="120" spans="1:13">
      <c r="A120" t="s">
        <v>29</v>
      </c>
      <c r="B120" t="s">
        <v>15</v>
      </c>
      <c r="C120" t="s">
        <v>38</v>
      </c>
      <c r="D120" s="3" t="s">
        <v>109</v>
      </c>
      <c r="E120" s="5" t="str">
        <f>TEXT(D120,"dd/mm/yyyy")</f>
        <v>21/02/2022</v>
      </c>
      <c r="F120" s="5" t="str" cm="1">
        <f t="array" ref="F120">RIGHT(_xlfn.ANCHORARRAY(E120),4)</f>
        <v>2022</v>
      </c>
      <c r="G120" s="5" t="str">
        <f>TEXT(E120,"mm")</f>
        <v>21/02/2022</v>
      </c>
      <c r="H120" s="6">
        <v>11550</v>
      </c>
      <c r="I120">
        <v>396</v>
      </c>
      <c r="L120" t="str">
        <f t="shared" si="1"/>
        <v>Above Average</v>
      </c>
      <c r="M120">
        <f>RANK(H120,H:H,0)</f>
        <v>392</v>
      </c>
    </row>
    <row r="121" spans="1:13">
      <c r="A121" t="s">
        <v>70</v>
      </c>
      <c r="B121" t="s">
        <v>32</v>
      </c>
      <c r="C121" t="s">
        <v>60</v>
      </c>
      <c r="D121" s="3" t="s">
        <v>47</v>
      </c>
      <c r="E121" s="5" t="str">
        <f>TEXT(D121,"dd/mm/yyyy")</f>
        <v>16/02/2022</v>
      </c>
      <c r="F121" s="5" t="str" cm="1">
        <f t="array" ref="F121">RIGHT(_xlfn.ANCHORARRAY(E121),4)</f>
        <v>2022</v>
      </c>
      <c r="G121" s="5" t="str">
        <f>TEXT(E121,"mm")</f>
        <v>16/02/2022</v>
      </c>
      <c r="H121" s="6">
        <v>17318</v>
      </c>
      <c r="I121">
        <v>87</v>
      </c>
      <c r="L121" t="str">
        <f t="shared" si="1"/>
        <v>Above Average</v>
      </c>
      <c r="M121">
        <f>RANK(H121,H:H,0)</f>
        <v>58</v>
      </c>
    </row>
    <row r="122" spans="1:13">
      <c r="A122" t="s">
        <v>6</v>
      </c>
      <c r="B122" t="s">
        <v>35</v>
      </c>
      <c r="C122" t="s">
        <v>50</v>
      </c>
      <c r="D122" s="3" t="s">
        <v>30</v>
      </c>
      <c r="E122" s="5" t="str">
        <f>TEXT(D122,"dd/mm/yyyy")</f>
        <v>13/01/2022</v>
      </c>
      <c r="F122" s="5" t="str" cm="1">
        <f t="array" ref="F122">RIGHT(_xlfn.ANCHORARRAY(E122),4)</f>
        <v>2022</v>
      </c>
      <c r="G122" s="5" t="str">
        <f>TEXT(E122,"mm")</f>
        <v>13/01/2022</v>
      </c>
      <c r="H122" s="6">
        <v>1848</v>
      </c>
      <c r="I122">
        <v>27</v>
      </c>
      <c r="L122" t="str">
        <f t="shared" si="1"/>
        <v>Below Average</v>
      </c>
      <c r="M122">
        <f>RANK(H122,H:H,0)</f>
        <v>2685</v>
      </c>
    </row>
    <row r="123" spans="1:13">
      <c r="A123" t="s">
        <v>70</v>
      </c>
      <c r="B123" t="s">
        <v>15</v>
      </c>
      <c r="C123" t="s">
        <v>36</v>
      </c>
      <c r="D123" s="3" t="s">
        <v>110</v>
      </c>
      <c r="E123" s="5" t="str">
        <f>TEXT(D123,"dd/mm/yyyy")</f>
        <v>23/03/2022</v>
      </c>
      <c r="F123" s="5" t="str" cm="1">
        <f t="array" ref="F123">RIGHT(_xlfn.ANCHORARRAY(E123),4)</f>
        <v>2022</v>
      </c>
      <c r="G123" s="5" t="str">
        <f>TEXT(E123,"mm")</f>
        <v>23/03/2022</v>
      </c>
      <c r="H123" s="6">
        <v>7273</v>
      </c>
      <c r="I123">
        <v>547</v>
      </c>
      <c r="L123" t="str">
        <f t="shared" si="1"/>
        <v>Above Average</v>
      </c>
      <c r="M123">
        <f>RANK(H123,H:H,0)</f>
        <v>1114</v>
      </c>
    </row>
    <row r="124" spans="1:13">
      <c r="A124" t="s">
        <v>48</v>
      </c>
      <c r="B124" t="s">
        <v>35</v>
      </c>
      <c r="C124" t="s">
        <v>50</v>
      </c>
      <c r="D124" s="3" t="s">
        <v>111</v>
      </c>
      <c r="E124" s="5" t="str">
        <f>TEXT(D124,"dd/mm/yyyy")</f>
        <v>16/06/2022</v>
      </c>
      <c r="F124" s="5" t="str" cm="1">
        <f t="array" ref="F124">RIGHT(_xlfn.ANCHORARRAY(E124),4)</f>
        <v>2022</v>
      </c>
      <c r="G124" s="5" t="str">
        <f>TEXT(E124,"mm")</f>
        <v>16/06/2022</v>
      </c>
      <c r="H124" s="6">
        <v>854</v>
      </c>
      <c r="I124">
        <v>118</v>
      </c>
      <c r="L124" t="str">
        <f t="shared" si="1"/>
        <v>Below Average</v>
      </c>
      <c r="M124">
        <f>RANK(H124,H:H,0)</f>
        <v>3015</v>
      </c>
    </row>
    <row r="125" spans="1:13">
      <c r="A125" t="s">
        <v>19</v>
      </c>
      <c r="B125" t="s">
        <v>10</v>
      </c>
      <c r="C125" t="s">
        <v>73</v>
      </c>
      <c r="D125" s="3" t="s">
        <v>91</v>
      </c>
      <c r="E125" s="5" t="str">
        <f>TEXT(D125,"dd/mm/yyyy")</f>
        <v>14/04/2022</v>
      </c>
      <c r="F125" s="5" t="str" cm="1">
        <f t="array" ref="F125">RIGHT(_xlfn.ANCHORARRAY(E125),4)</f>
        <v>2022</v>
      </c>
      <c r="G125" s="5" t="str">
        <f>TEXT(E125,"mm")</f>
        <v>14/04/2022</v>
      </c>
      <c r="H125" s="6">
        <v>6832</v>
      </c>
      <c r="I125">
        <v>46</v>
      </c>
      <c r="L125" t="str">
        <f t="shared" si="1"/>
        <v>Above Average</v>
      </c>
      <c r="M125">
        <f>RANK(H125,H:H,0)</f>
        <v>1225</v>
      </c>
    </row>
    <row r="126" spans="1:13">
      <c r="A126" t="s">
        <v>70</v>
      </c>
      <c r="B126" t="s">
        <v>7</v>
      </c>
      <c r="C126" t="s">
        <v>36</v>
      </c>
      <c r="D126" s="3" t="s">
        <v>21</v>
      </c>
      <c r="E126" s="5" t="str">
        <f>TEXT(D126,"dd/mm/yyyy")</f>
        <v>25/01/2022</v>
      </c>
      <c r="F126" s="5" t="str" cm="1">
        <f t="array" ref="F126">RIGHT(_xlfn.ANCHORARRAY(E126),4)</f>
        <v>2022</v>
      </c>
      <c r="G126" s="5" t="str">
        <f>TEXT(E126,"mm")</f>
        <v>25/01/2022</v>
      </c>
      <c r="H126" s="6">
        <v>4606</v>
      </c>
      <c r="I126">
        <v>57</v>
      </c>
      <c r="L126" t="str">
        <f t="shared" si="1"/>
        <v>Below Average</v>
      </c>
      <c r="M126">
        <f>RANK(H126,H:H,0)</f>
        <v>1821</v>
      </c>
    </row>
    <row r="127" spans="1:13">
      <c r="A127" t="s">
        <v>14</v>
      </c>
      <c r="B127" t="s">
        <v>10</v>
      </c>
      <c r="C127" t="s">
        <v>65</v>
      </c>
      <c r="D127" s="4">
        <v>44868</v>
      </c>
      <c r="E127" s="5" t="str">
        <f>TEXT(D127,"dd/mm/yyyy")</f>
        <v>03/11/2022</v>
      </c>
      <c r="F127" s="5" t="str" cm="1">
        <f t="array" ref="F127">RIGHT(_xlfn.ANCHORARRAY(E127),4)</f>
        <v>2022</v>
      </c>
      <c r="G127" s="5" t="str">
        <f>TEXT(E127,"mm")</f>
        <v>03</v>
      </c>
      <c r="H127" s="6">
        <v>4466</v>
      </c>
      <c r="I127">
        <v>22</v>
      </c>
      <c r="L127" t="str">
        <f t="shared" si="1"/>
        <v>Below Average</v>
      </c>
      <c r="M127">
        <f>RANK(H127,H:H,0)</f>
        <v>1861</v>
      </c>
    </row>
    <row r="128" spans="1:13">
      <c r="A128" t="s">
        <v>79</v>
      </c>
      <c r="B128" t="s">
        <v>7</v>
      </c>
      <c r="C128" t="s">
        <v>65</v>
      </c>
      <c r="D128" s="3" t="s">
        <v>39</v>
      </c>
      <c r="E128" s="5" t="str">
        <f>TEXT(D128,"dd/mm/yyyy")</f>
        <v>28/07/2022</v>
      </c>
      <c r="F128" s="5" t="str" cm="1">
        <f t="array" ref="F128">RIGHT(_xlfn.ANCHORARRAY(E128),4)</f>
        <v>2022</v>
      </c>
      <c r="G128" s="5" t="str">
        <f>TEXT(E128,"mm")</f>
        <v>28/07/2022</v>
      </c>
      <c r="H128" s="6">
        <v>16114</v>
      </c>
      <c r="I128">
        <v>96</v>
      </c>
      <c r="L128" t="str">
        <f t="shared" si="1"/>
        <v>Above Average</v>
      </c>
      <c r="M128">
        <f>RANK(H128,H:H,0)</f>
        <v>97</v>
      </c>
    </row>
    <row r="129" spans="1:13">
      <c r="A129" t="s">
        <v>40</v>
      </c>
      <c r="B129" t="s">
        <v>25</v>
      </c>
      <c r="C129" t="s">
        <v>23</v>
      </c>
      <c r="D129" s="4">
        <v>44807</v>
      </c>
      <c r="E129" s="5" t="str">
        <f>TEXT(D129,"dd/mm/yyyy")</f>
        <v>03/09/2022</v>
      </c>
      <c r="F129" s="5" t="str" cm="1">
        <f t="array" ref="F129">RIGHT(_xlfn.ANCHORARRAY(E129),4)</f>
        <v>2022</v>
      </c>
      <c r="G129" s="5" t="str">
        <f>TEXT(E129,"mm")</f>
        <v>03</v>
      </c>
      <c r="H129" s="6">
        <v>1561</v>
      </c>
      <c r="I129">
        <v>44</v>
      </c>
      <c r="L129" t="str">
        <f t="shared" si="1"/>
        <v>Below Average</v>
      </c>
      <c r="M129">
        <f>RANK(H129,H:H,0)</f>
        <v>2784</v>
      </c>
    </row>
    <row r="130" spans="1:13">
      <c r="A130" t="s">
        <v>53</v>
      </c>
      <c r="B130" t="s">
        <v>15</v>
      </c>
      <c r="C130" t="s">
        <v>33</v>
      </c>
      <c r="D130" s="3" t="s">
        <v>85</v>
      </c>
      <c r="E130" s="5" t="str">
        <f>TEXT(D130,"dd/mm/yyyy")</f>
        <v>28/06/2022</v>
      </c>
      <c r="F130" s="5" t="str" cm="1">
        <f t="array" ref="F130">RIGHT(_xlfn.ANCHORARRAY(E130),4)</f>
        <v>2022</v>
      </c>
      <c r="G130" s="5" t="str">
        <f>TEXT(E130,"mm")</f>
        <v>28/06/2022</v>
      </c>
      <c r="H130" s="6">
        <v>8897</v>
      </c>
      <c r="I130">
        <v>188</v>
      </c>
      <c r="L130" t="str">
        <f t="shared" si="1"/>
        <v>Above Average</v>
      </c>
      <c r="M130">
        <f>RANK(H130,H:H,0)</f>
        <v>760</v>
      </c>
    </row>
    <row r="131" spans="1:13">
      <c r="A131" t="s">
        <v>40</v>
      </c>
      <c r="B131" t="s">
        <v>15</v>
      </c>
      <c r="C131" t="s">
        <v>46</v>
      </c>
      <c r="D131" s="3" t="s">
        <v>39</v>
      </c>
      <c r="E131" s="5" t="str">
        <f>TEXT(D131,"dd/mm/yyyy")</f>
        <v>28/07/2022</v>
      </c>
      <c r="F131" s="5" t="str" cm="1">
        <f t="array" ref="F131">RIGHT(_xlfn.ANCHORARRAY(E131),4)</f>
        <v>2022</v>
      </c>
      <c r="G131" s="5" t="str">
        <f>TEXT(E131,"mm")</f>
        <v>28/07/2022</v>
      </c>
      <c r="H131" s="6">
        <v>2464</v>
      </c>
      <c r="I131">
        <v>387</v>
      </c>
      <c r="L131" t="str">
        <f t="shared" ref="L131:L194" si="2">IF(H131&gt;6030.34,"Above Average","Below Average")</f>
        <v>Below Average</v>
      </c>
      <c r="M131">
        <f>RANK(H131,H:H,0)</f>
        <v>2488</v>
      </c>
    </row>
    <row r="132" spans="1:13">
      <c r="A132" t="s">
        <v>70</v>
      </c>
      <c r="B132" t="s">
        <v>35</v>
      </c>
      <c r="C132" t="s">
        <v>20</v>
      </c>
      <c r="D132" s="3" t="s">
        <v>112</v>
      </c>
      <c r="E132" s="5" t="str">
        <f>TEXT(D132,"dd/mm/yyyy")</f>
        <v>15/08/2022</v>
      </c>
      <c r="F132" s="5" t="str" cm="1">
        <f t="array" ref="F132">RIGHT(_xlfn.ANCHORARRAY(E132),4)</f>
        <v>2022</v>
      </c>
      <c r="G132" s="5" t="str">
        <f>TEXT(E132,"mm")</f>
        <v>15/08/2022</v>
      </c>
      <c r="H132" s="6">
        <v>4830</v>
      </c>
      <c r="I132">
        <v>50</v>
      </c>
      <c r="L132" t="str">
        <f t="shared" si="2"/>
        <v>Below Average</v>
      </c>
      <c r="M132">
        <f>RANK(H132,H:H,0)</f>
        <v>1757</v>
      </c>
    </row>
    <row r="133" spans="1:13">
      <c r="A133" t="s">
        <v>55</v>
      </c>
      <c r="B133" t="s">
        <v>15</v>
      </c>
      <c r="C133" t="s">
        <v>60</v>
      </c>
      <c r="D133" s="4">
        <v>44896</v>
      </c>
      <c r="E133" s="5" t="str">
        <f>TEXT(D133,"dd/mm/yyyy")</f>
        <v>01/12/2022</v>
      </c>
      <c r="F133" s="5" t="str" cm="1">
        <f t="array" ref="F133">RIGHT(_xlfn.ANCHORARRAY(E133),4)</f>
        <v>2022</v>
      </c>
      <c r="G133" s="5" t="str">
        <f>TEXT(E133,"mm")</f>
        <v>01</v>
      </c>
      <c r="H133" s="6">
        <v>2765</v>
      </c>
      <c r="I133">
        <v>264</v>
      </c>
      <c r="L133" t="str">
        <f t="shared" si="2"/>
        <v>Below Average</v>
      </c>
      <c r="M133">
        <f>RANK(H133,H:H,0)</f>
        <v>2386</v>
      </c>
    </row>
    <row r="134" spans="1:13">
      <c r="A134" t="s">
        <v>41</v>
      </c>
      <c r="B134" t="s">
        <v>25</v>
      </c>
      <c r="C134" t="s">
        <v>59</v>
      </c>
      <c r="D134" s="3" t="s">
        <v>24</v>
      </c>
      <c r="E134" s="5" t="str">
        <f>TEXT(D134,"dd/mm/yyyy")</f>
        <v>24/03/2022</v>
      </c>
      <c r="F134" s="5" t="str" cm="1">
        <f t="array" ref="F134">RIGHT(_xlfn.ANCHORARRAY(E134),4)</f>
        <v>2022</v>
      </c>
      <c r="G134" s="5" t="str">
        <f>TEXT(E134,"mm")</f>
        <v>24/03/2022</v>
      </c>
      <c r="H134" s="6">
        <v>7126</v>
      </c>
      <c r="I134">
        <v>7</v>
      </c>
      <c r="L134" t="str">
        <f t="shared" si="2"/>
        <v>Above Average</v>
      </c>
      <c r="M134">
        <f>RANK(H134,H:H,0)</f>
        <v>1152</v>
      </c>
    </row>
    <row r="135" spans="1:13">
      <c r="A135" t="s">
        <v>9</v>
      </c>
      <c r="B135" t="s">
        <v>7</v>
      </c>
      <c r="C135" t="s">
        <v>46</v>
      </c>
      <c r="D135" s="3" t="s">
        <v>113</v>
      </c>
      <c r="E135" s="5" t="str">
        <f>TEXT(D135,"dd/mm/yyyy")</f>
        <v>25/07/2022</v>
      </c>
      <c r="F135" s="5" t="str" cm="1">
        <f t="array" ref="F135">RIGHT(_xlfn.ANCHORARRAY(E135),4)</f>
        <v>2022</v>
      </c>
      <c r="G135" s="5" t="str">
        <f>TEXT(E135,"mm")</f>
        <v>25/07/2022</v>
      </c>
      <c r="H135" s="6">
        <v>4263</v>
      </c>
      <c r="I135">
        <v>90</v>
      </c>
      <c r="L135" t="str">
        <f t="shared" si="2"/>
        <v>Below Average</v>
      </c>
      <c r="M135">
        <f>RANK(H135,H:H,0)</f>
        <v>1912</v>
      </c>
    </row>
    <row r="136" spans="1:13">
      <c r="A136" t="s">
        <v>19</v>
      </c>
      <c r="B136" t="s">
        <v>35</v>
      </c>
      <c r="C136" t="s">
        <v>20</v>
      </c>
      <c r="D136" s="4">
        <v>44569</v>
      </c>
      <c r="E136" s="5" t="str">
        <f>TEXT(D136,"dd/mm/yyyy")</f>
        <v>08/01/2022</v>
      </c>
      <c r="F136" s="5" t="str" cm="1">
        <f t="array" ref="F136">RIGHT(_xlfn.ANCHORARRAY(E136),4)</f>
        <v>2022</v>
      </c>
      <c r="G136" s="5" t="str">
        <f>TEXT(E136,"mm")</f>
        <v>08</v>
      </c>
      <c r="H136" s="6">
        <v>3605</v>
      </c>
      <c r="I136">
        <v>403</v>
      </c>
      <c r="L136" t="str">
        <f t="shared" si="2"/>
        <v>Below Average</v>
      </c>
      <c r="M136">
        <f>RANK(H136,H:H,0)</f>
        <v>2105</v>
      </c>
    </row>
    <row r="137" spans="1:13">
      <c r="A137" t="s">
        <v>9</v>
      </c>
      <c r="B137" t="s">
        <v>10</v>
      </c>
      <c r="C137" t="s">
        <v>42</v>
      </c>
      <c r="D137" s="3" t="s">
        <v>86</v>
      </c>
      <c r="E137" s="5" t="str">
        <f>TEXT(D137,"dd/mm/yyyy")</f>
        <v>16/05/2022</v>
      </c>
      <c r="F137" s="5" t="str" cm="1">
        <f t="array" ref="F137">RIGHT(_xlfn.ANCHORARRAY(E137),4)</f>
        <v>2022</v>
      </c>
      <c r="G137" s="5" t="str">
        <f>TEXT(E137,"mm")</f>
        <v>16/05/2022</v>
      </c>
      <c r="H137" s="6">
        <v>19929</v>
      </c>
      <c r="I137">
        <v>174</v>
      </c>
      <c r="L137" t="str">
        <f t="shared" si="2"/>
        <v>Above Average</v>
      </c>
      <c r="M137">
        <f>RANK(H137,H:H,0)</f>
        <v>19</v>
      </c>
    </row>
    <row r="138" spans="1:13">
      <c r="A138" t="s">
        <v>45</v>
      </c>
      <c r="B138" t="s">
        <v>10</v>
      </c>
      <c r="C138" t="s">
        <v>18</v>
      </c>
      <c r="D138" s="4">
        <v>44842</v>
      </c>
      <c r="E138" s="5" t="str">
        <f>TEXT(D138,"dd/mm/yyyy")</f>
        <v>08/10/2022</v>
      </c>
      <c r="F138" s="5" t="str" cm="1">
        <f t="array" ref="F138">RIGHT(_xlfn.ANCHORARRAY(E138),4)</f>
        <v>2022</v>
      </c>
      <c r="G138" s="5" t="str">
        <f>TEXT(E138,"mm")</f>
        <v>08</v>
      </c>
      <c r="H138" s="6">
        <v>5103</v>
      </c>
      <c r="I138">
        <v>140</v>
      </c>
      <c r="L138" t="str">
        <f t="shared" si="2"/>
        <v>Below Average</v>
      </c>
      <c r="M138">
        <f>RANK(H138,H:H,0)</f>
        <v>1669</v>
      </c>
    </row>
    <row r="139" spans="1:13">
      <c r="A139" t="s">
        <v>14</v>
      </c>
      <c r="B139" t="s">
        <v>10</v>
      </c>
      <c r="C139" t="s">
        <v>36</v>
      </c>
      <c r="D139" s="4">
        <v>44682</v>
      </c>
      <c r="E139" s="5" t="str">
        <f>TEXT(D139,"dd/mm/yyyy")</f>
        <v>01/05/2022</v>
      </c>
      <c r="F139" s="5" t="str" cm="1">
        <f t="array" ref="F139">RIGHT(_xlfn.ANCHORARRAY(E139),4)</f>
        <v>2022</v>
      </c>
      <c r="G139" s="5" t="str">
        <f>TEXT(E139,"mm")</f>
        <v>01</v>
      </c>
      <c r="H139" s="6">
        <v>2541</v>
      </c>
      <c r="I139">
        <v>27</v>
      </c>
      <c r="L139" t="str">
        <f t="shared" si="2"/>
        <v>Below Average</v>
      </c>
      <c r="M139">
        <f>RANK(H139,H:H,0)</f>
        <v>2454</v>
      </c>
    </row>
    <row r="140" spans="1:13">
      <c r="A140" t="s">
        <v>83</v>
      </c>
      <c r="B140" t="s">
        <v>7</v>
      </c>
      <c r="C140" t="s">
        <v>18</v>
      </c>
      <c r="D140" s="4">
        <v>44872</v>
      </c>
      <c r="E140" s="5" t="str">
        <f>TEXT(D140,"dd/mm/yyyy")</f>
        <v>07/11/2022</v>
      </c>
      <c r="F140" s="5" t="str" cm="1">
        <f t="array" ref="F140">RIGHT(_xlfn.ANCHORARRAY(E140),4)</f>
        <v>2022</v>
      </c>
      <c r="G140" s="5" t="str">
        <f>TEXT(E140,"mm")</f>
        <v>07</v>
      </c>
      <c r="H140" s="6">
        <v>5663</v>
      </c>
      <c r="I140">
        <v>110</v>
      </c>
      <c r="L140" t="str">
        <f t="shared" si="2"/>
        <v>Below Average</v>
      </c>
      <c r="M140">
        <f>RANK(H140,H:H,0)</f>
        <v>1528</v>
      </c>
    </row>
    <row r="141" spans="1:13">
      <c r="A141" t="s">
        <v>64</v>
      </c>
      <c r="B141" t="s">
        <v>32</v>
      </c>
      <c r="C141" t="s">
        <v>23</v>
      </c>
      <c r="D141" s="3" t="s">
        <v>114</v>
      </c>
      <c r="E141" s="5" t="str">
        <f>TEXT(D141,"dd/mm/yyyy")</f>
        <v>25/04/2022</v>
      </c>
      <c r="F141" s="5" t="str" cm="1">
        <f t="array" ref="F141">RIGHT(_xlfn.ANCHORARRAY(E141),4)</f>
        <v>2022</v>
      </c>
      <c r="G141" s="5" t="str">
        <f>TEXT(E141,"mm")</f>
        <v>25/04/2022</v>
      </c>
      <c r="H141" s="6">
        <v>392</v>
      </c>
      <c r="I141">
        <v>30</v>
      </c>
      <c r="L141" t="str">
        <f t="shared" si="2"/>
        <v>Below Average</v>
      </c>
      <c r="M141">
        <f>RANK(H141,H:H,0)</f>
        <v>3165</v>
      </c>
    </row>
    <row r="142" spans="1:13">
      <c r="A142" t="s">
        <v>12</v>
      </c>
      <c r="B142" t="s">
        <v>25</v>
      </c>
      <c r="C142" t="s">
        <v>57</v>
      </c>
      <c r="D142" s="4">
        <v>44655</v>
      </c>
      <c r="E142" s="5" t="str">
        <f>TEXT(D142,"dd/mm/yyyy")</f>
        <v>04/04/2022</v>
      </c>
      <c r="F142" s="5" t="str" cm="1">
        <f t="array" ref="F142">RIGHT(_xlfn.ANCHORARRAY(E142),4)</f>
        <v>2022</v>
      </c>
      <c r="G142" s="5" t="str">
        <f>TEXT(E142,"mm")</f>
        <v>04</v>
      </c>
      <c r="H142" s="6">
        <v>10976</v>
      </c>
      <c r="I142">
        <v>121</v>
      </c>
      <c r="L142" t="str">
        <f t="shared" si="2"/>
        <v>Above Average</v>
      </c>
      <c r="M142">
        <f>RANK(H142,H:H,0)</f>
        <v>442</v>
      </c>
    </row>
    <row r="143" spans="1:13">
      <c r="A143" t="s">
        <v>31</v>
      </c>
      <c r="B143" t="s">
        <v>32</v>
      </c>
      <c r="C143" t="s">
        <v>73</v>
      </c>
      <c r="D143" s="4">
        <v>44899</v>
      </c>
      <c r="E143" s="5" t="str">
        <f>TEXT(D143,"dd/mm/yyyy")</f>
        <v>04/12/2022</v>
      </c>
      <c r="F143" s="5" t="str" cm="1">
        <f t="array" ref="F143">RIGHT(_xlfn.ANCHORARRAY(E143),4)</f>
        <v>2022</v>
      </c>
      <c r="G143" s="5" t="str">
        <f>TEXT(E143,"mm")</f>
        <v>04</v>
      </c>
      <c r="H143" s="6">
        <v>9282</v>
      </c>
      <c r="I143">
        <v>101</v>
      </c>
      <c r="L143" t="str">
        <f t="shared" si="2"/>
        <v>Above Average</v>
      </c>
      <c r="M143">
        <f>RANK(H143,H:H,0)</f>
        <v>693</v>
      </c>
    </row>
    <row r="144" spans="1:13">
      <c r="A144" t="s">
        <v>64</v>
      </c>
      <c r="B144" t="s">
        <v>25</v>
      </c>
      <c r="C144" t="s">
        <v>11</v>
      </c>
      <c r="D144" s="4">
        <v>44600</v>
      </c>
      <c r="E144" s="5" t="str">
        <f>TEXT(D144,"dd/mm/yyyy")</f>
        <v>08/02/2022</v>
      </c>
      <c r="F144" s="5" t="str" cm="1">
        <f t="array" ref="F144">RIGHT(_xlfn.ANCHORARRAY(E144),4)</f>
        <v>2022</v>
      </c>
      <c r="G144" s="5" t="str">
        <f>TEXT(E144,"mm")</f>
        <v>08</v>
      </c>
      <c r="H144" s="6">
        <v>1827</v>
      </c>
      <c r="I144">
        <v>117</v>
      </c>
      <c r="L144" t="str">
        <f t="shared" si="2"/>
        <v>Below Average</v>
      </c>
      <c r="M144">
        <f>RANK(H144,H:H,0)</f>
        <v>2693</v>
      </c>
    </row>
    <row r="145" spans="1:13">
      <c r="A145" t="s">
        <v>12</v>
      </c>
      <c r="B145" t="s">
        <v>25</v>
      </c>
      <c r="C145" t="s">
        <v>60</v>
      </c>
      <c r="D145" s="3" t="s">
        <v>85</v>
      </c>
      <c r="E145" s="5" t="str">
        <f>TEXT(D145,"dd/mm/yyyy")</f>
        <v>28/06/2022</v>
      </c>
      <c r="F145" s="5" t="str" cm="1">
        <f t="array" ref="F145">RIGHT(_xlfn.ANCHORARRAY(E145),4)</f>
        <v>2022</v>
      </c>
      <c r="G145" s="5" t="str">
        <f>TEXT(E145,"mm")</f>
        <v>28/06/2022</v>
      </c>
      <c r="H145" s="6">
        <v>8267</v>
      </c>
      <c r="I145">
        <v>272</v>
      </c>
      <c r="L145" t="str">
        <f t="shared" si="2"/>
        <v>Above Average</v>
      </c>
      <c r="M145">
        <f>RANK(H145,H:H,0)</f>
        <v>878</v>
      </c>
    </row>
    <row r="146" spans="1:13">
      <c r="A146" t="s">
        <v>83</v>
      </c>
      <c r="B146" t="s">
        <v>15</v>
      </c>
      <c r="C146" t="s">
        <v>36</v>
      </c>
      <c r="D146" s="4">
        <v>44688</v>
      </c>
      <c r="E146" s="5" t="str">
        <f>TEXT(D146,"dd/mm/yyyy")</f>
        <v>07/05/2022</v>
      </c>
      <c r="F146" s="5" t="str" cm="1">
        <f t="array" ref="F146">RIGHT(_xlfn.ANCHORARRAY(E146),4)</f>
        <v>2022</v>
      </c>
      <c r="G146" s="5" t="str">
        <f>TEXT(E146,"mm")</f>
        <v>07</v>
      </c>
      <c r="H146" s="6">
        <v>4116</v>
      </c>
      <c r="I146">
        <v>128</v>
      </c>
      <c r="L146" t="str">
        <f t="shared" si="2"/>
        <v>Below Average</v>
      </c>
      <c r="M146">
        <f>RANK(H146,H:H,0)</f>
        <v>1953</v>
      </c>
    </row>
    <row r="147" spans="1:13">
      <c r="A147" t="s">
        <v>29</v>
      </c>
      <c r="B147" t="s">
        <v>25</v>
      </c>
      <c r="C147" t="s">
        <v>75</v>
      </c>
      <c r="D147" s="4">
        <v>44748</v>
      </c>
      <c r="E147" s="5" t="str">
        <f>TEXT(D147,"dd/mm/yyyy")</f>
        <v>06/07/2022</v>
      </c>
      <c r="F147" s="5" t="str" cm="1">
        <f t="array" ref="F147">RIGHT(_xlfn.ANCHORARRAY(E147),4)</f>
        <v>2022</v>
      </c>
      <c r="G147" s="5" t="str">
        <f>TEXT(E147,"mm")</f>
        <v>06</v>
      </c>
      <c r="H147" s="6">
        <v>2093</v>
      </c>
      <c r="I147">
        <v>45</v>
      </c>
      <c r="L147" t="str">
        <f t="shared" si="2"/>
        <v>Below Average</v>
      </c>
      <c r="M147">
        <f>RANK(H147,H:H,0)</f>
        <v>2605</v>
      </c>
    </row>
    <row r="148" spans="1:13">
      <c r="A148" t="s">
        <v>28</v>
      </c>
      <c r="B148" t="s">
        <v>25</v>
      </c>
      <c r="C148" t="s">
        <v>18</v>
      </c>
      <c r="D148" s="3" t="s">
        <v>115</v>
      </c>
      <c r="E148" s="5" t="str">
        <f>TEXT(D148,"dd/mm/yyyy")</f>
        <v>18/01/2022</v>
      </c>
      <c r="F148" s="5" t="str" cm="1">
        <f t="array" ref="F148">RIGHT(_xlfn.ANCHORARRAY(E148),4)</f>
        <v>2022</v>
      </c>
      <c r="G148" s="5" t="str">
        <f>TEXT(E148,"mm")</f>
        <v>18/01/2022</v>
      </c>
      <c r="H148" s="6">
        <v>1015</v>
      </c>
      <c r="I148">
        <v>27</v>
      </c>
      <c r="L148" t="str">
        <f t="shared" si="2"/>
        <v>Below Average</v>
      </c>
      <c r="M148">
        <f>RANK(H148,H:H,0)</f>
        <v>2970</v>
      </c>
    </row>
    <row r="149" spans="1:13">
      <c r="A149" t="s">
        <v>28</v>
      </c>
      <c r="B149" t="s">
        <v>15</v>
      </c>
      <c r="C149" t="s">
        <v>87</v>
      </c>
      <c r="D149" s="4">
        <v>44652</v>
      </c>
      <c r="E149" s="5" t="str">
        <f>TEXT(D149,"dd/mm/yyyy")</f>
        <v>01/04/2022</v>
      </c>
      <c r="F149" s="5" t="str" cm="1">
        <f t="array" ref="F149">RIGHT(_xlfn.ANCHORARRAY(E149),4)</f>
        <v>2022</v>
      </c>
      <c r="G149" s="5" t="str">
        <f>TEXT(E149,"mm")</f>
        <v>01</v>
      </c>
      <c r="H149" s="6">
        <v>12516</v>
      </c>
      <c r="I149">
        <v>212</v>
      </c>
      <c r="L149" t="str">
        <f t="shared" si="2"/>
        <v>Above Average</v>
      </c>
      <c r="M149">
        <f>RANK(H149,H:H,0)</f>
        <v>300</v>
      </c>
    </row>
    <row r="150" spans="1:13">
      <c r="A150" t="s">
        <v>58</v>
      </c>
      <c r="B150" t="s">
        <v>15</v>
      </c>
      <c r="C150" t="s">
        <v>20</v>
      </c>
      <c r="D150" s="3" t="s">
        <v>96</v>
      </c>
      <c r="E150" s="5" t="str">
        <f>TEXT(D150,"dd/mm/yyyy")</f>
        <v>31/01/2022</v>
      </c>
      <c r="F150" s="5" t="str" cm="1">
        <f t="array" ref="F150">RIGHT(_xlfn.ANCHORARRAY(E150),4)</f>
        <v>2022</v>
      </c>
      <c r="G150" s="5" t="str">
        <f>TEXT(E150,"mm")</f>
        <v>31/01/2022</v>
      </c>
      <c r="H150" s="6">
        <v>2758</v>
      </c>
      <c r="I150">
        <v>18</v>
      </c>
      <c r="L150" t="str">
        <f t="shared" si="2"/>
        <v>Below Average</v>
      </c>
      <c r="M150">
        <f>RANK(H150,H:H,0)</f>
        <v>2388</v>
      </c>
    </row>
    <row r="151" spans="1:13">
      <c r="A151" t="s">
        <v>70</v>
      </c>
      <c r="B151" t="s">
        <v>10</v>
      </c>
      <c r="C151" t="s">
        <v>65</v>
      </c>
      <c r="D151" s="3" t="s">
        <v>54</v>
      </c>
      <c r="E151" s="5" t="str">
        <f>TEXT(D151,"dd/mm/yyyy")</f>
        <v>14/03/2022</v>
      </c>
      <c r="F151" s="5" t="str" cm="1">
        <f t="array" ref="F151">RIGHT(_xlfn.ANCHORARRAY(E151),4)</f>
        <v>2022</v>
      </c>
      <c r="G151" s="5" t="str">
        <f>TEXT(E151,"mm")</f>
        <v>14/03/2022</v>
      </c>
      <c r="H151" s="6">
        <v>3297</v>
      </c>
      <c r="I151">
        <v>149</v>
      </c>
      <c r="L151" t="str">
        <f t="shared" si="2"/>
        <v>Below Average</v>
      </c>
      <c r="M151">
        <f>RANK(H151,H:H,0)</f>
        <v>2211</v>
      </c>
    </row>
    <row r="152" spans="1:13">
      <c r="A152" t="s">
        <v>71</v>
      </c>
      <c r="B152" t="s">
        <v>15</v>
      </c>
      <c r="C152" t="s">
        <v>100</v>
      </c>
      <c r="D152" s="3" t="s">
        <v>116</v>
      </c>
      <c r="E152" s="5" t="str">
        <f>TEXT(D152,"dd/mm/yyyy")</f>
        <v>29/04/2022</v>
      </c>
      <c r="F152" s="5" t="str" cm="1">
        <f t="array" ref="F152">RIGHT(_xlfn.ANCHORARRAY(E152),4)</f>
        <v>2022</v>
      </c>
      <c r="G152" s="5" t="str">
        <f>TEXT(E152,"mm")</f>
        <v>29/04/2022</v>
      </c>
      <c r="H152" s="6">
        <v>6048</v>
      </c>
      <c r="I152">
        <v>477</v>
      </c>
      <c r="L152" t="str">
        <f t="shared" si="2"/>
        <v>Above Average</v>
      </c>
      <c r="M152">
        <f>RANK(H152,H:H,0)</f>
        <v>1423</v>
      </c>
    </row>
    <row r="153" spans="1:13">
      <c r="A153" t="s">
        <v>19</v>
      </c>
      <c r="B153" t="s">
        <v>10</v>
      </c>
      <c r="C153" t="s">
        <v>18</v>
      </c>
      <c r="D153" s="4">
        <v>44744</v>
      </c>
      <c r="E153" s="5" t="str">
        <f>TEXT(D153,"dd/mm/yyyy")</f>
        <v>02/07/2022</v>
      </c>
      <c r="F153" s="5" t="str" cm="1">
        <f t="array" ref="F153">RIGHT(_xlfn.ANCHORARRAY(E153),4)</f>
        <v>2022</v>
      </c>
      <c r="G153" s="5" t="str">
        <f>TEXT(E153,"mm")</f>
        <v>02</v>
      </c>
      <c r="H153" s="6">
        <v>10101</v>
      </c>
      <c r="I153">
        <v>108</v>
      </c>
      <c r="L153" t="str">
        <f t="shared" si="2"/>
        <v>Above Average</v>
      </c>
      <c r="M153">
        <f>RANK(H153,H:H,0)</f>
        <v>567</v>
      </c>
    </row>
    <row r="154" spans="1:13">
      <c r="A154" t="s">
        <v>55</v>
      </c>
      <c r="B154" t="s">
        <v>7</v>
      </c>
      <c r="C154" t="s">
        <v>42</v>
      </c>
      <c r="D154" s="3" t="s">
        <v>117</v>
      </c>
      <c r="E154" s="5" t="str">
        <f>TEXT(D154,"dd/mm/yyyy")</f>
        <v>31/03/2022</v>
      </c>
      <c r="F154" s="5" t="str" cm="1">
        <f t="array" ref="F154">RIGHT(_xlfn.ANCHORARRAY(E154),4)</f>
        <v>2022</v>
      </c>
      <c r="G154" s="5" t="str">
        <f>TEXT(E154,"mm")</f>
        <v>31/03/2022</v>
      </c>
      <c r="H154" s="6">
        <v>2282</v>
      </c>
      <c r="I154">
        <v>178</v>
      </c>
      <c r="L154" t="str">
        <f t="shared" si="2"/>
        <v>Below Average</v>
      </c>
      <c r="M154">
        <f>RANK(H154,H:H,0)</f>
        <v>2556</v>
      </c>
    </row>
    <row r="155" spans="1:13">
      <c r="A155" t="s">
        <v>40</v>
      </c>
      <c r="B155" t="s">
        <v>10</v>
      </c>
      <c r="C155" t="s">
        <v>90</v>
      </c>
      <c r="D155" s="3" t="s">
        <v>108</v>
      </c>
      <c r="E155" s="5" t="str">
        <f>TEXT(D155,"dd/mm/yyyy")</f>
        <v>16/03/2022</v>
      </c>
      <c r="F155" s="5" t="str" cm="1">
        <f t="array" ref="F155">RIGHT(_xlfn.ANCHORARRAY(E155),4)</f>
        <v>2022</v>
      </c>
      <c r="G155" s="5" t="str">
        <f>TEXT(E155,"mm")</f>
        <v>16/03/2022</v>
      </c>
      <c r="H155" s="6">
        <v>4361</v>
      </c>
      <c r="I155">
        <v>81</v>
      </c>
      <c r="L155" t="str">
        <f t="shared" si="2"/>
        <v>Below Average</v>
      </c>
      <c r="M155">
        <f>RANK(H155,H:H,0)</f>
        <v>1887</v>
      </c>
    </row>
    <row r="156" spans="1:13">
      <c r="A156" t="s">
        <v>37</v>
      </c>
      <c r="B156" t="s">
        <v>7</v>
      </c>
      <c r="C156" t="s">
        <v>36</v>
      </c>
      <c r="D156" s="3" t="s">
        <v>21</v>
      </c>
      <c r="E156" s="5" t="str">
        <f>TEXT(D156,"dd/mm/yyyy")</f>
        <v>25/01/2022</v>
      </c>
      <c r="F156" s="5" t="str" cm="1">
        <f t="array" ref="F156">RIGHT(_xlfn.ANCHORARRAY(E156),4)</f>
        <v>2022</v>
      </c>
      <c r="G156" s="5" t="str">
        <f>TEXT(E156,"mm")</f>
        <v>25/01/2022</v>
      </c>
      <c r="H156" s="6">
        <v>7798</v>
      </c>
      <c r="I156">
        <v>196</v>
      </c>
      <c r="L156" t="str">
        <f t="shared" si="2"/>
        <v>Above Average</v>
      </c>
      <c r="M156">
        <f>RANK(H156,H:H,0)</f>
        <v>989</v>
      </c>
    </row>
    <row r="157" spans="1:13">
      <c r="A157" t="s">
        <v>9</v>
      </c>
      <c r="B157" t="s">
        <v>10</v>
      </c>
      <c r="C157" t="s">
        <v>87</v>
      </c>
      <c r="D157" s="3" t="s">
        <v>92</v>
      </c>
      <c r="E157" s="5" t="str">
        <f>TEXT(D157,"dd/mm/yyyy")</f>
        <v>20/06/2022</v>
      </c>
      <c r="F157" s="5" t="str" cm="1">
        <f t="array" ref="F157">RIGHT(_xlfn.ANCHORARRAY(E157),4)</f>
        <v>2022</v>
      </c>
      <c r="G157" s="5" t="str">
        <f>TEXT(E157,"mm")</f>
        <v>20/06/2022</v>
      </c>
      <c r="H157" s="6">
        <v>3052</v>
      </c>
      <c r="I157">
        <v>447</v>
      </c>
      <c r="L157" t="str">
        <f t="shared" si="2"/>
        <v>Below Average</v>
      </c>
      <c r="M157">
        <f>RANK(H157,H:H,0)</f>
        <v>2285</v>
      </c>
    </row>
    <row r="158" spans="1:13">
      <c r="A158" t="s">
        <v>12</v>
      </c>
      <c r="B158" t="s">
        <v>7</v>
      </c>
      <c r="C158" t="s">
        <v>23</v>
      </c>
      <c r="D158" s="3" t="s">
        <v>118</v>
      </c>
      <c r="E158" s="5" t="str">
        <f>TEXT(D158,"dd/mm/yyyy")</f>
        <v>29/03/2022</v>
      </c>
      <c r="F158" s="5" t="str" cm="1">
        <f t="array" ref="F158">RIGHT(_xlfn.ANCHORARRAY(E158),4)</f>
        <v>2022</v>
      </c>
      <c r="G158" s="5" t="str">
        <f>TEXT(E158,"mm")</f>
        <v>29/03/2022</v>
      </c>
      <c r="H158" s="6">
        <v>8029</v>
      </c>
      <c r="I158">
        <v>175</v>
      </c>
      <c r="L158" t="str">
        <f t="shared" si="2"/>
        <v>Above Average</v>
      </c>
      <c r="M158">
        <f>RANK(H158,H:H,0)</f>
        <v>932</v>
      </c>
    </row>
    <row r="159" spans="1:13">
      <c r="A159" t="s">
        <v>48</v>
      </c>
      <c r="B159" t="s">
        <v>15</v>
      </c>
      <c r="C159" t="s">
        <v>33</v>
      </c>
      <c r="D159" s="4">
        <v>44902</v>
      </c>
      <c r="E159" s="5" t="str">
        <f>TEXT(D159,"dd/mm/yyyy")</f>
        <v>07/12/2022</v>
      </c>
      <c r="F159" s="5" t="str" cm="1">
        <f t="array" ref="F159">RIGHT(_xlfn.ANCHORARRAY(E159),4)</f>
        <v>2022</v>
      </c>
      <c r="G159" s="5" t="str">
        <f>TEXT(E159,"mm")</f>
        <v>07</v>
      </c>
      <c r="H159" s="6">
        <v>854</v>
      </c>
      <c r="I159">
        <v>136</v>
      </c>
      <c r="L159" t="str">
        <f t="shared" si="2"/>
        <v>Below Average</v>
      </c>
      <c r="M159">
        <f>RANK(H159,H:H,0)</f>
        <v>3015</v>
      </c>
    </row>
    <row r="160" spans="1:13">
      <c r="A160" t="s">
        <v>6</v>
      </c>
      <c r="B160" t="s">
        <v>35</v>
      </c>
      <c r="C160" t="s">
        <v>18</v>
      </c>
      <c r="D160" s="4">
        <v>44872</v>
      </c>
      <c r="E160" s="5" t="str">
        <f>TEXT(D160,"dd/mm/yyyy")</f>
        <v>07/11/2022</v>
      </c>
      <c r="F160" s="5" t="str" cm="1">
        <f t="array" ref="F160">RIGHT(_xlfn.ANCHORARRAY(E160),4)</f>
        <v>2022</v>
      </c>
      <c r="G160" s="5" t="str">
        <f>TEXT(E160,"mm")</f>
        <v>07</v>
      </c>
      <c r="H160" s="6">
        <v>5460</v>
      </c>
      <c r="I160">
        <v>138</v>
      </c>
      <c r="L160" t="str">
        <f t="shared" si="2"/>
        <v>Below Average</v>
      </c>
      <c r="M160">
        <f>RANK(H160,H:H,0)</f>
        <v>1579</v>
      </c>
    </row>
    <row r="161" spans="1:13">
      <c r="A161" t="s">
        <v>37</v>
      </c>
      <c r="B161" t="s">
        <v>35</v>
      </c>
      <c r="C161" t="s">
        <v>18</v>
      </c>
      <c r="D161" s="3" t="s">
        <v>105</v>
      </c>
      <c r="E161" s="5" t="str">
        <f>TEXT(D161,"dd/mm/yyyy")</f>
        <v>19/01/2022</v>
      </c>
      <c r="F161" s="5" t="str" cm="1">
        <f t="array" ref="F161">RIGHT(_xlfn.ANCHORARRAY(E161),4)</f>
        <v>2022</v>
      </c>
      <c r="G161" s="5" t="str">
        <f>TEXT(E161,"mm")</f>
        <v>19/01/2022</v>
      </c>
      <c r="H161" s="6">
        <v>3017</v>
      </c>
      <c r="I161">
        <v>184</v>
      </c>
      <c r="L161" t="str">
        <f t="shared" si="2"/>
        <v>Below Average</v>
      </c>
      <c r="M161">
        <f>RANK(H161,H:H,0)</f>
        <v>2299</v>
      </c>
    </row>
    <row r="162" spans="1:13">
      <c r="A162" t="s">
        <v>67</v>
      </c>
      <c r="B162" t="s">
        <v>32</v>
      </c>
      <c r="C162" t="s">
        <v>11</v>
      </c>
      <c r="D162" s="4">
        <v>44685</v>
      </c>
      <c r="E162" s="5" t="str">
        <f>TEXT(D162,"dd/mm/yyyy")</f>
        <v>04/05/2022</v>
      </c>
      <c r="F162" s="5" t="str" cm="1">
        <f t="array" ref="F162">RIGHT(_xlfn.ANCHORARRAY(E162),4)</f>
        <v>2022</v>
      </c>
      <c r="G162" s="5" t="str">
        <f>TEXT(E162,"mm")</f>
        <v>04</v>
      </c>
      <c r="H162" s="6">
        <v>8911</v>
      </c>
      <c r="I162">
        <v>82</v>
      </c>
      <c r="L162" t="str">
        <f t="shared" si="2"/>
        <v>Above Average</v>
      </c>
      <c r="M162">
        <f>RANK(H162,H:H,0)</f>
        <v>755</v>
      </c>
    </row>
    <row r="163" spans="1:13">
      <c r="A163" t="s">
        <v>6</v>
      </c>
      <c r="B163" t="s">
        <v>35</v>
      </c>
      <c r="C163" t="s">
        <v>46</v>
      </c>
      <c r="D163" s="3" t="s">
        <v>109</v>
      </c>
      <c r="E163" s="5" t="str">
        <f>TEXT(D163,"dd/mm/yyyy")</f>
        <v>21/02/2022</v>
      </c>
      <c r="F163" s="5" t="str" cm="1">
        <f t="array" ref="F163">RIGHT(_xlfn.ANCHORARRAY(E163),4)</f>
        <v>2022</v>
      </c>
      <c r="G163" s="5" t="str">
        <f>TEXT(E163,"mm")</f>
        <v>21/02/2022</v>
      </c>
      <c r="H163" s="6">
        <v>7203</v>
      </c>
      <c r="I163">
        <v>12</v>
      </c>
      <c r="L163" t="str">
        <f t="shared" si="2"/>
        <v>Above Average</v>
      </c>
      <c r="M163">
        <f>RANK(H163,H:H,0)</f>
        <v>1130</v>
      </c>
    </row>
    <row r="164" spans="1:13">
      <c r="A164" t="s">
        <v>29</v>
      </c>
      <c r="B164" t="s">
        <v>25</v>
      </c>
      <c r="C164" t="s">
        <v>90</v>
      </c>
      <c r="D164" s="3" t="s">
        <v>119</v>
      </c>
      <c r="E164" s="5" t="str">
        <f>TEXT(D164,"dd/mm/yyyy")</f>
        <v>20/05/2022</v>
      </c>
      <c r="F164" s="5" t="str" cm="1">
        <f t="array" ref="F164">RIGHT(_xlfn.ANCHORARRAY(E164),4)</f>
        <v>2022</v>
      </c>
      <c r="G164" s="5" t="str">
        <f>TEXT(E164,"mm")</f>
        <v>20/05/2022</v>
      </c>
      <c r="H164" s="6">
        <v>13083</v>
      </c>
      <c r="I164">
        <v>14</v>
      </c>
      <c r="L164" t="str">
        <f t="shared" si="2"/>
        <v>Above Average</v>
      </c>
      <c r="M164">
        <f>RANK(H164,H:H,0)</f>
        <v>259</v>
      </c>
    </row>
    <row r="165" spans="1:13">
      <c r="A165" t="s">
        <v>34</v>
      </c>
      <c r="B165" t="s">
        <v>15</v>
      </c>
      <c r="C165" t="s">
        <v>46</v>
      </c>
      <c r="D165" s="3" t="s">
        <v>120</v>
      </c>
      <c r="E165" s="5" t="str">
        <f>TEXT(D165,"dd/mm/yyyy")</f>
        <v>29/07/2022</v>
      </c>
      <c r="F165" s="5" t="str" cm="1">
        <f t="array" ref="F165">RIGHT(_xlfn.ANCHORARRAY(E165),4)</f>
        <v>2022</v>
      </c>
      <c r="G165" s="5" t="str">
        <f>TEXT(E165,"mm")</f>
        <v>29/07/2022</v>
      </c>
      <c r="H165" s="6">
        <v>2779</v>
      </c>
      <c r="I165">
        <v>104</v>
      </c>
      <c r="L165" t="str">
        <f t="shared" si="2"/>
        <v>Below Average</v>
      </c>
      <c r="M165">
        <f>RANK(H165,H:H,0)</f>
        <v>2381</v>
      </c>
    </row>
    <row r="166" spans="1:13">
      <c r="A166" t="s">
        <v>31</v>
      </c>
      <c r="B166" t="s">
        <v>32</v>
      </c>
      <c r="C166" t="s">
        <v>57</v>
      </c>
      <c r="D166" s="3" t="s">
        <v>107</v>
      </c>
      <c r="E166" s="5" t="str">
        <f>TEXT(D166,"dd/mm/yyyy")</f>
        <v>28/01/2022</v>
      </c>
      <c r="F166" s="5" t="str" cm="1">
        <f t="array" ref="F166">RIGHT(_xlfn.ANCHORARRAY(E166),4)</f>
        <v>2022</v>
      </c>
      <c r="G166" s="5" t="str">
        <f>TEXT(E166,"mm")</f>
        <v>28/01/2022</v>
      </c>
      <c r="H166" s="6">
        <v>9058</v>
      </c>
      <c r="I166">
        <v>46</v>
      </c>
      <c r="L166" t="str">
        <f t="shared" si="2"/>
        <v>Above Average</v>
      </c>
      <c r="M166">
        <f>RANK(H166,H:H,0)</f>
        <v>725</v>
      </c>
    </row>
    <row r="167" spans="1:13">
      <c r="A167" t="s">
        <v>40</v>
      </c>
      <c r="B167" t="s">
        <v>7</v>
      </c>
      <c r="C167" t="s">
        <v>90</v>
      </c>
      <c r="D167" s="3" t="s">
        <v>80</v>
      </c>
      <c r="E167" s="5" t="str">
        <f>TEXT(D167,"dd/mm/yyyy")</f>
        <v>19/07/2022</v>
      </c>
      <c r="F167" s="5" t="str" cm="1">
        <f t="array" ref="F167">RIGHT(_xlfn.ANCHORARRAY(E167),4)</f>
        <v>2022</v>
      </c>
      <c r="G167" s="5" t="str">
        <f>TEXT(E167,"mm")</f>
        <v>19/07/2022</v>
      </c>
      <c r="H167" s="6">
        <v>3549</v>
      </c>
      <c r="I167">
        <v>112</v>
      </c>
      <c r="L167" t="str">
        <f t="shared" si="2"/>
        <v>Below Average</v>
      </c>
      <c r="M167">
        <f>RANK(H167,H:H,0)</f>
        <v>2126</v>
      </c>
    </row>
    <row r="168" spans="1:13">
      <c r="A168" t="s">
        <v>34</v>
      </c>
      <c r="B168" t="s">
        <v>25</v>
      </c>
      <c r="C168" t="s">
        <v>60</v>
      </c>
      <c r="D168" s="3" t="s">
        <v>121</v>
      </c>
      <c r="E168" s="5" t="str">
        <f>TEXT(D168,"dd/mm/yyyy")</f>
        <v>13/04/2022</v>
      </c>
      <c r="F168" s="5" t="str" cm="1">
        <f t="array" ref="F168">RIGHT(_xlfn.ANCHORARRAY(E168),4)</f>
        <v>2022</v>
      </c>
      <c r="G168" s="5" t="str">
        <f>TEXT(E168,"mm")</f>
        <v>13/04/2022</v>
      </c>
      <c r="H168" s="6">
        <v>9436</v>
      </c>
      <c r="I168">
        <v>11</v>
      </c>
      <c r="L168" t="str">
        <f t="shared" si="2"/>
        <v>Above Average</v>
      </c>
      <c r="M168">
        <f>RANK(H168,H:H,0)</f>
        <v>667</v>
      </c>
    </row>
    <row r="169" spans="1:13">
      <c r="A169" t="s">
        <v>45</v>
      </c>
      <c r="B169" t="s">
        <v>10</v>
      </c>
      <c r="C169" t="s">
        <v>13</v>
      </c>
      <c r="D169" s="4">
        <v>44867</v>
      </c>
      <c r="E169" s="5" t="str">
        <f>TEXT(D169,"dd/mm/yyyy")</f>
        <v>02/11/2022</v>
      </c>
      <c r="F169" s="5" t="str" cm="1">
        <f t="array" ref="F169">RIGHT(_xlfn.ANCHORARRAY(E169),4)</f>
        <v>2022</v>
      </c>
      <c r="G169" s="5" t="str">
        <f>TEXT(E169,"mm")</f>
        <v>02</v>
      </c>
      <c r="H169" s="6">
        <v>10283</v>
      </c>
      <c r="I169">
        <v>21</v>
      </c>
      <c r="L169" t="str">
        <f t="shared" si="2"/>
        <v>Above Average</v>
      </c>
      <c r="M169">
        <f>RANK(H169,H:H,0)</f>
        <v>536</v>
      </c>
    </row>
    <row r="170" spans="1:13">
      <c r="A170" t="s">
        <v>45</v>
      </c>
      <c r="B170" t="s">
        <v>25</v>
      </c>
      <c r="C170" t="s">
        <v>46</v>
      </c>
      <c r="D170" s="4">
        <v>44595</v>
      </c>
      <c r="E170" s="5" t="str">
        <f>TEXT(D170,"dd/mm/yyyy")</f>
        <v>03/02/2022</v>
      </c>
      <c r="F170" s="5" t="str" cm="1">
        <f t="array" ref="F170">RIGHT(_xlfn.ANCHORARRAY(E170),4)</f>
        <v>2022</v>
      </c>
      <c r="G170" s="5" t="str">
        <f>TEXT(E170,"mm")</f>
        <v>03</v>
      </c>
      <c r="H170" s="6">
        <v>5446</v>
      </c>
      <c r="I170">
        <v>116</v>
      </c>
      <c r="L170" t="str">
        <f t="shared" si="2"/>
        <v>Below Average</v>
      </c>
      <c r="M170">
        <f>RANK(H170,H:H,0)</f>
        <v>1581</v>
      </c>
    </row>
    <row r="171" spans="1:13">
      <c r="A171" t="s">
        <v>83</v>
      </c>
      <c r="B171" t="s">
        <v>15</v>
      </c>
      <c r="C171" t="s">
        <v>59</v>
      </c>
      <c r="D171" s="4">
        <v>44595</v>
      </c>
      <c r="E171" s="5" t="str">
        <f>TEXT(D171,"dd/mm/yyyy")</f>
        <v>03/02/2022</v>
      </c>
      <c r="F171" s="5" t="str" cm="1">
        <f t="array" ref="F171">RIGHT(_xlfn.ANCHORARRAY(E171),4)</f>
        <v>2022</v>
      </c>
      <c r="G171" s="5" t="str">
        <f>TEXT(E171,"mm")</f>
        <v>03</v>
      </c>
      <c r="H171" s="6">
        <v>1043</v>
      </c>
      <c r="I171">
        <v>202</v>
      </c>
      <c r="L171" t="str">
        <f t="shared" si="2"/>
        <v>Below Average</v>
      </c>
      <c r="M171">
        <f>RANK(H171,H:H,0)</f>
        <v>2958</v>
      </c>
    </row>
    <row r="172" spans="1:13">
      <c r="A172" t="s">
        <v>9</v>
      </c>
      <c r="B172" t="s">
        <v>32</v>
      </c>
      <c r="C172" t="s">
        <v>20</v>
      </c>
      <c r="D172" s="3" t="s">
        <v>39</v>
      </c>
      <c r="E172" s="5" t="str">
        <f>TEXT(D172,"dd/mm/yyyy")</f>
        <v>28/07/2022</v>
      </c>
      <c r="F172" s="5" t="str" cm="1">
        <f t="array" ref="F172">RIGHT(_xlfn.ANCHORARRAY(E172),4)</f>
        <v>2022</v>
      </c>
      <c r="G172" s="5" t="str">
        <f>TEXT(E172,"mm")</f>
        <v>28/07/2022</v>
      </c>
      <c r="H172" s="6">
        <v>12586</v>
      </c>
      <c r="I172">
        <v>6</v>
      </c>
      <c r="L172" t="str">
        <f t="shared" si="2"/>
        <v>Above Average</v>
      </c>
      <c r="M172">
        <f>RANK(H172,H:H,0)</f>
        <v>290</v>
      </c>
    </row>
    <row r="173" spans="1:13">
      <c r="A173" t="s">
        <v>70</v>
      </c>
      <c r="B173" t="s">
        <v>10</v>
      </c>
      <c r="C173" t="s">
        <v>23</v>
      </c>
      <c r="D173" s="4">
        <v>44743</v>
      </c>
      <c r="E173" s="5" t="str">
        <f>TEXT(D173,"dd/mm/yyyy")</f>
        <v>01/07/2022</v>
      </c>
      <c r="F173" s="5" t="str" cm="1">
        <f t="array" ref="F173">RIGHT(_xlfn.ANCHORARRAY(E173),4)</f>
        <v>2022</v>
      </c>
      <c r="G173" s="5" t="str">
        <f>TEXT(E173,"mm")</f>
        <v>01</v>
      </c>
      <c r="H173" s="6">
        <v>1687</v>
      </c>
      <c r="I173">
        <v>520</v>
      </c>
      <c r="L173" t="str">
        <f t="shared" si="2"/>
        <v>Below Average</v>
      </c>
      <c r="M173">
        <f>RANK(H173,H:H,0)</f>
        <v>2734</v>
      </c>
    </row>
    <row r="174" spans="1:13">
      <c r="A174" t="s">
        <v>28</v>
      </c>
      <c r="B174" t="s">
        <v>7</v>
      </c>
      <c r="C174" t="s">
        <v>59</v>
      </c>
      <c r="D174" s="4">
        <v>44899</v>
      </c>
      <c r="E174" s="5" t="str">
        <f>TEXT(D174,"dd/mm/yyyy")</f>
        <v>04/12/2022</v>
      </c>
      <c r="F174" s="5" t="str" cm="1">
        <f t="array" ref="F174">RIGHT(_xlfn.ANCHORARRAY(E174),4)</f>
        <v>2022</v>
      </c>
      <c r="G174" s="5" t="str">
        <f>TEXT(E174,"mm")</f>
        <v>04</v>
      </c>
      <c r="H174" s="6">
        <v>5299</v>
      </c>
      <c r="I174">
        <v>167</v>
      </c>
      <c r="L174" t="str">
        <f t="shared" si="2"/>
        <v>Below Average</v>
      </c>
      <c r="M174">
        <f>RANK(H174,H:H,0)</f>
        <v>1617</v>
      </c>
    </row>
    <row r="175" spans="1:13">
      <c r="A175" t="s">
        <v>9</v>
      </c>
      <c r="B175" t="s">
        <v>35</v>
      </c>
      <c r="C175" t="s">
        <v>65</v>
      </c>
      <c r="D175" s="3" t="s">
        <v>49</v>
      </c>
      <c r="E175" s="5" t="str">
        <f>TEXT(D175,"dd/mm/yyyy")</f>
        <v>27/06/2022</v>
      </c>
      <c r="F175" s="5" t="str" cm="1">
        <f t="array" ref="F175">RIGHT(_xlfn.ANCHORARRAY(E175),4)</f>
        <v>2022</v>
      </c>
      <c r="G175" s="5" t="str">
        <f>TEXT(E175,"mm")</f>
        <v>27/06/2022</v>
      </c>
      <c r="H175" s="6">
        <v>3213</v>
      </c>
      <c r="I175">
        <v>72</v>
      </c>
      <c r="L175" t="str">
        <f t="shared" si="2"/>
        <v>Below Average</v>
      </c>
      <c r="M175">
        <f>RANK(H175,H:H,0)</f>
        <v>2230</v>
      </c>
    </row>
    <row r="176" spans="1:13">
      <c r="A176" t="s">
        <v>6</v>
      </c>
      <c r="B176" t="s">
        <v>15</v>
      </c>
      <c r="C176" t="s">
        <v>26</v>
      </c>
      <c r="D176" s="3" t="s">
        <v>122</v>
      </c>
      <c r="E176" s="5" t="str">
        <f>TEXT(D176,"dd/mm/yyyy")</f>
        <v>14/01/2022</v>
      </c>
      <c r="F176" s="5" t="str" cm="1">
        <f t="array" ref="F176">RIGHT(_xlfn.ANCHORARRAY(E176),4)</f>
        <v>2022</v>
      </c>
      <c r="G176" s="5" t="str">
        <f>TEXT(E176,"mm")</f>
        <v>14/01/2022</v>
      </c>
      <c r="H176" s="6">
        <v>5194</v>
      </c>
      <c r="I176">
        <v>418</v>
      </c>
      <c r="L176" t="str">
        <f t="shared" si="2"/>
        <v>Below Average</v>
      </c>
      <c r="M176">
        <f>RANK(H176,H:H,0)</f>
        <v>1649</v>
      </c>
    </row>
    <row r="177" spans="1:13">
      <c r="A177" t="s">
        <v>37</v>
      </c>
      <c r="B177" t="s">
        <v>7</v>
      </c>
      <c r="C177" t="s">
        <v>87</v>
      </c>
      <c r="D177" s="4">
        <v>44744</v>
      </c>
      <c r="E177" s="5" t="str">
        <f>TEXT(D177,"dd/mm/yyyy")</f>
        <v>02/07/2022</v>
      </c>
      <c r="F177" s="5" t="str" cm="1">
        <f t="array" ref="F177">RIGHT(_xlfn.ANCHORARRAY(E177),4)</f>
        <v>2022</v>
      </c>
      <c r="G177" s="5" t="str">
        <f>TEXT(E177,"mm")</f>
        <v>02</v>
      </c>
      <c r="H177" s="6">
        <v>4753</v>
      </c>
      <c r="I177">
        <v>389</v>
      </c>
      <c r="L177" t="str">
        <f t="shared" si="2"/>
        <v>Below Average</v>
      </c>
      <c r="M177">
        <f>RANK(H177,H:H,0)</f>
        <v>1783</v>
      </c>
    </row>
    <row r="178" spans="1:13">
      <c r="A178" t="s">
        <v>6</v>
      </c>
      <c r="B178" t="s">
        <v>15</v>
      </c>
      <c r="C178" t="s">
        <v>33</v>
      </c>
      <c r="D178" s="3" t="s">
        <v>110</v>
      </c>
      <c r="E178" s="5" t="str">
        <f>TEXT(D178,"dd/mm/yyyy")</f>
        <v>23/03/2022</v>
      </c>
      <c r="F178" s="5" t="str" cm="1">
        <f t="array" ref="F178">RIGHT(_xlfn.ANCHORARRAY(E178),4)</f>
        <v>2022</v>
      </c>
      <c r="G178" s="5" t="str">
        <f>TEXT(E178,"mm")</f>
        <v>23/03/2022</v>
      </c>
      <c r="H178" s="6">
        <v>13706</v>
      </c>
      <c r="I178">
        <v>26</v>
      </c>
      <c r="L178" t="str">
        <f t="shared" si="2"/>
        <v>Above Average</v>
      </c>
      <c r="M178">
        <f>RANK(H178,H:H,0)</f>
        <v>220</v>
      </c>
    </row>
    <row r="179" spans="1:13">
      <c r="A179" t="s">
        <v>40</v>
      </c>
      <c r="B179" t="s">
        <v>10</v>
      </c>
      <c r="C179" t="s">
        <v>13</v>
      </c>
      <c r="D179" s="4">
        <v>44835</v>
      </c>
      <c r="E179" s="5" t="str">
        <f>TEXT(D179,"dd/mm/yyyy")</f>
        <v>01/10/2022</v>
      </c>
      <c r="F179" s="5" t="str" cm="1">
        <f t="array" ref="F179">RIGHT(_xlfn.ANCHORARRAY(E179),4)</f>
        <v>2022</v>
      </c>
      <c r="G179" s="5" t="str">
        <f>TEXT(E179,"mm")</f>
        <v>01</v>
      </c>
      <c r="H179" s="6">
        <v>6489</v>
      </c>
      <c r="I179">
        <v>146</v>
      </c>
      <c r="L179" t="str">
        <f t="shared" si="2"/>
        <v>Above Average</v>
      </c>
      <c r="M179">
        <f>RANK(H179,H:H,0)</f>
        <v>1310</v>
      </c>
    </row>
    <row r="180" spans="1:13">
      <c r="A180" t="s">
        <v>19</v>
      </c>
      <c r="B180" t="s">
        <v>7</v>
      </c>
      <c r="C180" t="s">
        <v>75</v>
      </c>
      <c r="D180" s="3" t="s">
        <v>123</v>
      </c>
      <c r="E180" s="5" t="str">
        <f>TEXT(D180,"dd/mm/yyyy")</f>
        <v>17/03/2022</v>
      </c>
      <c r="F180" s="5" t="str" cm="1">
        <f t="array" ref="F180">RIGHT(_xlfn.ANCHORARRAY(E180),4)</f>
        <v>2022</v>
      </c>
      <c r="G180" s="5" t="str">
        <f>TEXT(E180,"mm")</f>
        <v>17/03/2022</v>
      </c>
      <c r="H180" s="6">
        <v>9324</v>
      </c>
      <c r="I180">
        <v>41</v>
      </c>
      <c r="L180" t="str">
        <f t="shared" si="2"/>
        <v>Above Average</v>
      </c>
      <c r="M180">
        <f>RANK(H180,H:H,0)</f>
        <v>685</v>
      </c>
    </row>
    <row r="181" spans="1:13">
      <c r="A181" t="s">
        <v>12</v>
      </c>
      <c r="B181" t="s">
        <v>32</v>
      </c>
      <c r="C181" t="s">
        <v>50</v>
      </c>
      <c r="D181" s="3" t="s">
        <v>124</v>
      </c>
      <c r="E181" s="5" t="str">
        <f>TEXT(D181,"dd/mm/yyyy")</f>
        <v>21/01/2022</v>
      </c>
      <c r="F181" s="5" t="str" cm="1">
        <f t="array" ref="F181">RIGHT(_xlfn.ANCHORARRAY(E181),4)</f>
        <v>2022</v>
      </c>
      <c r="G181" s="5" t="str">
        <f>TEXT(E181,"mm")</f>
        <v>21/01/2022</v>
      </c>
      <c r="H181" s="6">
        <v>10829</v>
      </c>
      <c r="I181">
        <v>54</v>
      </c>
      <c r="L181" t="str">
        <f t="shared" si="2"/>
        <v>Above Average</v>
      </c>
      <c r="M181">
        <f>RANK(H181,H:H,0)</f>
        <v>466</v>
      </c>
    </row>
    <row r="182" spans="1:13">
      <c r="A182" t="s">
        <v>31</v>
      </c>
      <c r="B182" t="s">
        <v>15</v>
      </c>
      <c r="C182" t="s">
        <v>59</v>
      </c>
      <c r="D182" s="4">
        <v>44658</v>
      </c>
      <c r="E182" s="5" t="str">
        <f>TEXT(D182,"dd/mm/yyyy")</f>
        <v>07/04/2022</v>
      </c>
      <c r="F182" s="5" t="str" cm="1">
        <f t="array" ref="F182">RIGHT(_xlfn.ANCHORARRAY(E182),4)</f>
        <v>2022</v>
      </c>
      <c r="G182" s="5" t="str">
        <f>TEXT(E182,"mm")</f>
        <v>07</v>
      </c>
      <c r="H182" s="6">
        <v>8113</v>
      </c>
      <c r="I182">
        <v>370</v>
      </c>
      <c r="L182" t="str">
        <f t="shared" si="2"/>
        <v>Above Average</v>
      </c>
      <c r="M182">
        <f>RANK(H182,H:H,0)</f>
        <v>910</v>
      </c>
    </row>
    <row r="183" spans="1:13">
      <c r="A183" t="s">
        <v>55</v>
      </c>
      <c r="B183" t="s">
        <v>35</v>
      </c>
      <c r="C183" t="s">
        <v>13</v>
      </c>
      <c r="D183" s="4">
        <v>44658</v>
      </c>
      <c r="E183" s="5" t="str">
        <f>TEXT(D183,"dd/mm/yyyy")</f>
        <v>07/04/2022</v>
      </c>
      <c r="F183" s="5" t="str" cm="1">
        <f t="array" ref="F183">RIGHT(_xlfn.ANCHORARRAY(E183),4)</f>
        <v>2022</v>
      </c>
      <c r="G183" s="5" t="str">
        <f>TEXT(E183,"mm")</f>
        <v>07</v>
      </c>
      <c r="H183" s="6">
        <v>3269</v>
      </c>
      <c r="I183">
        <v>176</v>
      </c>
      <c r="L183" t="str">
        <f t="shared" si="2"/>
        <v>Below Average</v>
      </c>
      <c r="M183">
        <f>RANK(H183,H:H,0)</f>
        <v>2220</v>
      </c>
    </row>
    <row r="184" spans="1:13">
      <c r="A184" t="s">
        <v>79</v>
      </c>
      <c r="B184" t="s">
        <v>32</v>
      </c>
      <c r="C184" t="s">
        <v>60</v>
      </c>
      <c r="D184" s="4">
        <v>44842</v>
      </c>
      <c r="E184" s="5" t="str">
        <f>TEXT(D184,"dd/mm/yyyy")</f>
        <v>08/10/2022</v>
      </c>
      <c r="F184" s="5" t="str" cm="1">
        <f t="array" ref="F184">RIGHT(_xlfn.ANCHORARRAY(E184),4)</f>
        <v>2022</v>
      </c>
      <c r="G184" s="5" t="str">
        <f>TEXT(E184,"mm")</f>
        <v>08</v>
      </c>
      <c r="H184" s="6">
        <v>273</v>
      </c>
      <c r="I184">
        <v>210</v>
      </c>
      <c r="L184" t="str">
        <f t="shared" si="2"/>
        <v>Below Average</v>
      </c>
      <c r="M184">
        <f>RANK(H184,H:H,0)</f>
        <v>3202</v>
      </c>
    </row>
    <row r="185" spans="1:13">
      <c r="A185" t="s">
        <v>58</v>
      </c>
      <c r="B185" t="s">
        <v>15</v>
      </c>
      <c r="C185" t="s">
        <v>26</v>
      </c>
      <c r="D185" s="4">
        <v>44565</v>
      </c>
      <c r="E185" s="5" t="str">
        <f>TEXT(D185,"dd/mm/yyyy")</f>
        <v>04/01/2022</v>
      </c>
      <c r="F185" s="5" t="str" cm="1">
        <f t="array" ref="F185">RIGHT(_xlfn.ANCHORARRAY(E185),4)</f>
        <v>2022</v>
      </c>
      <c r="G185" s="5" t="str">
        <f>TEXT(E185,"mm")</f>
        <v>04</v>
      </c>
      <c r="H185" s="6">
        <v>7287</v>
      </c>
      <c r="I185">
        <v>12</v>
      </c>
      <c r="L185" t="str">
        <f t="shared" si="2"/>
        <v>Above Average</v>
      </c>
      <c r="M185">
        <f>RANK(H185,H:H,0)</f>
        <v>1113</v>
      </c>
    </row>
    <row r="186" spans="1:13">
      <c r="A186" t="s">
        <v>12</v>
      </c>
      <c r="B186" t="s">
        <v>10</v>
      </c>
      <c r="C186" t="s">
        <v>73</v>
      </c>
      <c r="D186" s="3" t="s">
        <v>125</v>
      </c>
      <c r="E186" s="5" t="str">
        <f>TEXT(D186,"dd/mm/yyyy")</f>
        <v>22/02/2022</v>
      </c>
      <c r="F186" s="5" t="str" cm="1">
        <f t="array" ref="F186">RIGHT(_xlfn.ANCHORARRAY(E186),4)</f>
        <v>2022</v>
      </c>
      <c r="G186" s="5" t="str">
        <f>TEXT(E186,"mm")</f>
        <v>22/02/2022</v>
      </c>
      <c r="H186" s="6">
        <v>2583</v>
      </c>
      <c r="I186">
        <v>159</v>
      </c>
      <c r="L186" t="str">
        <f t="shared" si="2"/>
        <v>Below Average</v>
      </c>
      <c r="M186">
        <f>RANK(H186,H:H,0)</f>
        <v>2446</v>
      </c>
    </row>
    <row r="187" spans="1:13">
      <c r="A187" t="s">
        <v>71</v>
      </c>
      <c r="B187" t="s">
        <v>7</v>
      </c>
      <c r="C187" t="s">
        <v>59</v>
      </c>
      <c r="D187" s="4">
        <v>44621</v>
      </c>
      <c r="E187" s="5" t="str">
        <f>TEXT(D187,"dd/mm/yyyy")</f>
        <v>01/03/2022</v>
      </c>
      <c r="F187" s="5" t="str" cm="1">
        <f t="array" ref="F187">RIGHT(_xlfn.ANCHORARRAY(E187),4)</f>
        <v>2022</v>
      </c>
      <c r="G187" s="5" t="str">
        <f>TEXT(E187,"mm")</f>
        <v>01</v>
      </c>
      <c r="H187" s="6">
        <v>9982</v>
      </c>
      <c r="I187">
        <v>187</v>
      </c>
      <c r="L187" t="str">
        <f t="shared" si="2"/>
        <v>Above Average</v>
      </c>
      <c r="M187">
        <f>RANK(H187,H:H,0)</f>
        <v>585</v>
      </c>
    </row>
    <row r="188" spans="1:13">
      <c r="A188" t="s">
        <v>37</v>
      </c>
      <c r="B188" t="s">
        <v>10</v>
      </c>
      <c r="C188" t="s">
        <v>38</v>
      </c>
      <c r="D188" s="3" t="s">
        <v>126</v>
      </c>
      <c r="E188" s="5" t="str">
        <f>TEXT(D188,"dd/mm/yyyy")</f>
        <v>31/05/2022</v>
      </c>
      <c r="F188" s="5" t="str" cm="1">
        <f t="array" ref="F188">RIGHT(_xlfn.ANCHORARRAY(E188),4)</f>
        <v>2022</v>
      </c>
      <c r="G188" s="5" t="str">
        <f>TEXT(E188,"mm")</f>
        <v>31/05/2022</v>
      </c>
      <c r="H188" s="6">
        <v>4795</v>
      </c>
      <c r="I188">
        <v>233</v>
      </c>
      <c r="L188" t="str">
        <f t="shared" si="2"/>
        <v>Below Average</v>
      </c>
      <c r="M188">
        <f>RANK(H188,H:H,0)</f>
        <v>1768</v>
      </c>
    </row>
    <row r="189" spans="1:13">
      <c r="A189" t="s">
        <v>79</v>
      </c>
      <c r="B189" t="s">
        <v>7</v>
      </c>
      <c r="C189" t="s">
        <v>20</v>
      </c>
      <c r="D189" s="4">
        <v>44621</v>
      </c>
      <c r="E189" s="5" t="str">
        <f>TEXT(D189,"dd/mm/yyyy")</f>
        <v>01/03/2022</v>
      </c>
      <c r="F189" s="5" t="str" cm="1">
        <f t="array" ref="F189">RIGHT(_xlfn.ANCHORARRAY(E189),4)</f>
        <v>2022</v>
      </c>
      <c r="G189" s="5" t="str">
        <f>TEXT(E189,"mm")</f>
        <v>01</v>
      </c>
      <c r="H189" s="6">
        <v>9310</v>
      </c>
      <c r="I189">
        <v>282</v>
      </c>
      <c r="L189" t="str">
        <f t="shared" si="2"/>
        <v>Above Average</v>
      </c>
      <c r="M189">
        <f>RANK(H189,H:H,0)</f>
        <v>689</v>
      </c>
    </row>
    <row r="190" spans="1:13">
      <c r="A190" t="s">
        <v>53</v>
      </c>
      <c r="B190" t="s">
        <v>25</v>
      </c>
      <c r="C190" t="s">
        <v>90</v>
      </c>
      <c r="D190" s="3" t="s">
        <v>95</v>
      </c>
      <c r="E190" s="5" t="str">
        <f>TEXT(D190,"dd/mm/yyyy")</f>
        <v>27/01/2022</v>
      </c>
      <c r="F190" s="5" t="str" cm="1">
        <f t="array" ref="F190">RIGHT(_xlfn.ANCHORARRAY(E190),4)</f>
        <v>2022</v>
      </c>
      <c r="G190" s="5" t="str">
        <f>TEXT(E190,"mm")</f>
        <v>27/01/2022</v>
      </c>
      <c r="H190" s="6">
        <v>497</v>
      </c>
      <c r="I190">
        <v>475</v>
      </c>
      <c r="L190" t="str">
        <f t="shared" si="2"/>
        <v>Below Average</v>
      </c>
      <c r="M190">
        <f>RANK(H190,H:H,0)</f>
        <v>3128</v>
      </c>
    </row>
    <row r="191" spans="1:13">
      <c r="A191" t="s">
        <v>31</v>
      </c>
      <c r="B191" t="s">
        <v>7</v>
      </c>
      <c r="C191" t="s">
        <v>26</v>
      </c>
      <c r="D191" s="3" t="s">
        <v>107</v>
      </c>
      <c r="E191" s="5" t="str">
        <f>TEXT(D191,"dd/mm/yyyy")</f>
        <v>28/01/2022</v>
      </c>
      <c r="F191" s="5" t="str" cm="1">
        <f t="array" ref="F191">RIGHT(_xlfn.ANCHORARRAY(E191),4)</f>
        <v>2022</v>
      </c>
      <c r="G191" s="5" t="str">
        <f>TEXT(E191,"mm")</f>
        <v>28/01/2022</v>
      </c>
      <c r="H191" s="6">
        <v>581</v>
      </c>
      <c r="I191">
        <v>65</v>
      </c>
      <c r="L191" t="str">
        <f t="shared" si="2"/>
        <v>Below Average</v>
      </c>
      <c r="M191">
        <f>RANK(H191,H:H,0)</f>
        <v>3103</v>
      </c>
    </row>
    <row r="192" spans="1:13">
      <c r="A192" t="s">
        <v>48</v>
      </c>
      <c r="B192" t="s">
        <v>15</v>
      </c>
      <c r="C192" t="s">
        <v>42</v>
      </c>
      <c r="D192" s="3" t="s">
        <v>85</v>
      </c>
      <c r="E192" s="5" t="str">
        <f>TEXT(D192,"dd/mm/yyyy")</f>
        <v>28/06/2022</v>
      </c>
      <c r="F192" s="5" t="str" cm="1">
        <f t="array" ref="F192">RIGHT(_xlfn.ANCHORARRAY(E192),4)</f>
        <v>2022</v>
      </c>
      <c r="G192" s="5" t="str">
        <f>TEXT(E192,"mm")</f>
        <v>28/06/2022</v>
      </c>
      <c r="H192" s="6">
        <v>3472</v>
      </c>
      <c r="I192">
        <v>311</v>
      </c>
      <c r="L192" t="str">
        <f t="shared" si="2"/>
        <v>Below Average</v>
      </c>
      <c r="M192">
        <f>RANK(H192,H:H,0)</f>
        <v>2146</v>
      </c>
    </row>
    <row r="193" spans="1:13">
      <c r="A193" t="s">
        <v>53</v>
      </c>
      <c r="B193" t="s">
        <v>7</v>
      </c>
      <c r="C193" t="s">
        <v>75</v>
      </c>
      <c r="D193" s="4">
        <v>44595</v>
      </c>
      <c r="E193" s="5" t="str">
        <f>TEXT(D193,"dd/mm/yyyy")</f>
        <v>03/02/2022</v>
      </c>
      <c r="F193" s="5" t="str" cm="1">
        <f t="array" ref="F193">RIGHT(_xlfn.ANCHORARRAY(E193),4)</f>
        <v>2022</v>
      </c>
      <c r="G193" s="5" t="str">
        <f>TEXT(E193,"mm")</f>
        <v>03</v>
      </c>
      <c r="H193" s="6">
        <v>4333</v>
      </c>
      <c r="I193">
        <v>43</v>
      </c>
      <c r="L193" t="str">
        <f t="shared" si="2"/>
        <v>Below Average</v>
      </c>
      <c r="M193">
        <f>RANK(H193,H:H,0)</f>
        <v>1897</v>
      </c>
    </row>
    <row r="194" spans="1:13">
      <c r="A194" t="s">
        <v>64</v>
      </c>
      <c r="B194" t="s">
        <v>15</v>
      </c>
      <c r="C194" t="s">
        <v>23</v>
      </c>
      <c r="D194" s="3" t="s">
        <v>89</v>
      </c>
      <c r="E194" s="5" t="str">
        <f>TEXT(D194,"dd/mm/yyyy")</f>
        <v>27/05/2022</v>
      </c>
      <c r="F194" s="5" t="str" cm="1">
        <f t="array" ref="F194">RIGHT(_xlfn.ANCHORARRAY(E194),4)</f>
        <v>2022</v>
      </c>
      <c r="G194" s="5" t="str">
        <f>TEXT(E194,"mm")</f>
        <v>27/05/2022</v>
      </c>
      <c r="H194" s="6">
        <v>3325</v>
      </c>
      <c r="I194">
        <v>26</v>
      </c>
      <c r="L194" t="str">
        <f t="shared" si="2"/>
        <v>Below Average</v>
      </c>
      <c r="M194">
        <f>RANK(H194,H:H,0)</f>
        <v>2204</v>
      </c>
    </row>
    <row r="195" spans="1:13">
      <c r="A195" t="s">
        <v>58</v>
      </c>
      <c r="B195" t="s">
        <v>32</v>
      </c>
      <c r="C195" t="s">
        <v>65</v>
      </c>
      <c r="D195" s="3" t="s">
        <v>66</v>
      </c>
      <c r="E195" s="5" t="str">
        <f>TEXT(D195,"dd/mm/yyyy")</f>
        <v>30/06/2022</v>
      </c>
      <c r="F195" s="5" t="str" cm="1">
        <f t="array" ref="F195">RIGHT(_xlfn.ANCHORARRAY(E195),4)</f>
        <v>2022</v>
      </c>
      <c r="G195" s="5" t="str">
        <f>TEXT(E195,"mm")</f>
        <v>30/06/2022</v>
      </c>
      <c r="H195" s="6">
        <v>11718</v>
      </c>
      <c r="I195">
        <v>84</v>
      </c>
      <c r="L195" t="str">
        <f t="shared" ref="L195:L258" si="3">IF(H195&gt;6030.34,"Above Average","Below Average")</f>
        <v>Above Average</v>
      </c>
      <c r="M195">
        <f>RANK(H195,H:H,0)</f>
        <v>372</v>
      </c>
    </row>
    <row r="196" spans="1:13">
      <c r="A196" t="s">
        <v>31</v>
      </c>
      <c r="B196" t="s">
        <v>35</v>
      </c>
      <c r="C196" t="s">
        <v>13</v>
      </c>
      <c r="D196" s="4">
        <v>44748</v>
      </c>
      <c r="E196" s="5" t="str">
        <f>TEXT(D196,"dd/mm/yyyy")</f>
        <v>06/07/2022</v>
      </c>
      <c r="F196" s="5" t="str" cm="1">
        <f t="array" ref="F196">RIGHT(_xlfn.ANCHORARRAY(E196),4)</f>
        <v>2022</v>
      </c>
      <c r="G196" s="5" t="str">
        <f>TEXT(E196,"mm")</f>
        <v>06</v>
      </c>
      <c r="H196" s="6">
        <v>2100</v>
      </c>
      <c r="I196">
        <v>78</v>
      </c>
      <c r="L196" t="str">
        <f t="shared" si="3"/>
        <v>Below Average</v>
      </c>
      <c r="M196">
        <f>RANK(H196,H:H,0)</f>
        <v>2601</v>
      </c>
    </row>
    <row r="197" spans="1:13">
      <c r="A197" t="s">
        <v>55</v>
      </c>
      <c r="B197" t="s">
        <v>32</v>
      </c>
      <c r="C197" t="s">
        <v>100</v>
      </c>
      <c r="D197" s="4">
        <v>44900</v>
      </c>
      <c r="E197" s="5" t="str">
        <f>TEXT(D197,"dd/mm/yyyy")</f>
        <v>05/12/2022</v>
      </c>
      <c r="F197" s="5" t="str" cm="1">
        <f t="array" ref="F197">RIGHT(_xlfn.ANCHORARRAY(E197),4)</f>
        <v>2022</v>
      </c>
      <c r="G197" s="5" t="str">
        <f>TEXT(E197,"mm")</f>
        <v>05</v>
      </c>
      <c r="H197" s="6">
        <v>4018</v>
      </c>
      <c r="I197">
        <v>100</v>
      </c>
      <c r="L197" t="str">
        <f t="shared" si="3"/>
        <v>Below Average</v>
      </c>
      <c r="M197">
        <f>RANK(H197,H:H,0)</f>
        <v>1980</v>
      </c>
    </row>
    <row r="198" spans="1:13">
      <c r="A198" t="s">
        <v>31</v>
      </c>
      <c r="B198" t="s">
        <v>25</v>
      </c>
      <c r="C198" t="s">
        <v>73</v>
      </c>
      <c r="D198" s="3" t="s">
        <v>120</v>
      </c>
      <c r="E198" s="5" t="str">
        <f>TEXT(D198,"dd/mm/yyyy")</f>
        <v>29/07/2022</v>
      </c>
      <c r="F198" s="5" t="str" cm="1">
        <f t="array" ref="F198">RIGHT(_xlfn.ANCHORARRAY(E198),4)</f>
        <v>2022</v>
      </c>
      <c r="G198" s="5" t="str">
        <f>TEXT(E198,"mm")</f>
        <v>29/07/2022</v>
      </c>
      <c r="H198" s="6">
        <v>6468</v>
      </c>
      <c r="I198">
        <v>66</v>
      </c>
      <c r="L198" t="str">
        <f t="shared" si="3"/>
        <v>Above Average</v>
      </c>
      <c r="M198">
        <f>RANK(H198,H:H,0)</f>
        <v>1314</v>
      </c>
    </row>
    <row r="199" spans="1:13">
      <c r="A199" t="s">
        <v>58</v>
      </c>
      <c r="B199" t="s">
        <v>7</v>
      </c>
      <c r="C199" t="s">
        <v>59</v>
      </c>
      <c r="D199" s="4">
        <v>44628</v>
      </c>
      <c r="E199" s="5" t="str">
        <f>TEXT(D199,"dd/mm/yyyy")</f>
        <v>08/03/2022</v>
      </c>
      <c r="F199" s="5" t="str" cm="1">
        <f t="array" ref="F199">RIGHT(_xlfn.ANCHORARRAY(E199),4)</f>
        <v>2022</v>
      </c>
      <c r="G199" s="5" t="str">
        <f>TEXT(E199,"mm")</f>
        <v>08</v>
      </c>
      <c r="H199" s="6">
        <v>7238</v>
      </c>
      <c r="I199">
        <v>265</v>
      </c>
      <c r="L199" t="str">
        <f t="shared" si="3"/>
        <v>Above Average</v>
      </c>
      <c r="M199">
        <f>RANK(H199,H:H,0)</f>
        <v>1120</v>
      </c>
    </row>
    <row r="200" spans="1:13">
      <c r="A200" t="s">
        <v>31</v>
      </c>
      <c r="B200" t="s">
        <v>10</v>
      </c>
      <c r="C200" t="s">
        <v>87</v>
      </c>
      <c r="D200" s="3" t="s">
        <v>97</v>
      </c>
      <c r="E200" s="5" t="str">
        <f>TEXT(D200,"dd/mm/yyyy")</f>
        <v>18/08/2022</v>
      </c>
      <c r="F200" s="5" t="str" cm="1">
        <f t="array" ref="F200">RIGHT(_xlfn.ANCHORARRAY(E200),4)</f>
        <v>2022</v>
      </c>
      <c r="G200" s="5" t="str">
        <f>TEXT(E200,"mm")</f>
        <v>18/08/2022</v>
      </c>
      <c r="H200" s="6">
        <v>6454</v>
      </c>
      <c r="I200">
        <v>141</v>
      </c>
      <c r="L200" t="str">
        <f t="shared" si="3"/>
        <v>Above Average</v>
      </c>
      <c r="M200">
        <f>RANK(H200,H:H,0)</f>
        <v>1317</v>
      </c>
    </row>
    <row r="201" spans="1:13">
      <c r="A201" t="s">
        <v>9</v>
      </c>
      <c r="B201" t="s">
        <v>25</v>
      </c>
      <c r="C201" t="s">
        <v>18</v>
      </c>
      <c r="D201" s="3" t="s">
        <v>127</v>
      </c>
      <c r="E201" s="5" t="str">
        <f>TEXT(D201,"dd/mm/yyyy")</f>
        <v>14/06/2022</v>
      </c>
      <c r="F201" s="5" t="str" cm="1">
        <f t="array" ref="F201">RIGHT(_xlfn.ANCHORARRAY(E201),4)</f>
        <v>2022</v>
      </c>
      <c r="G201" s="5" t="str">
        <f>TEXT(E201,"mm")</f>
        <v>14/06/2022</v>
      </c>
      <c r="H201" s="6">
        <v>3115</v>
      </c>
      <c r="I201">
        <v>42</v>
      </c>
      <c r="L201" t="str">
        <f t="shared" si="3"/>
        <v>Below Average</v>
      </c>
      <c r="M201">
        <f>RANK(H201,H:H,0)</f>
        <v>2262</v>
      </c>
    </row>
    <row r="202" spans="1:13">
      <c r="A202" t="s">
        <v>41</v>
      </c>
      <c r="B202" t="s">
        <v>7</v>
      </c>
      <c r="C202" t="s">
        <v>59</v>
      </c>
      <c r="D202" s="3" t="s">
        <v>66</v>
      </c>
      <c r="E202" s="5" t="str">
        <f>TEXT(D202,"dd/mm/yyyy")</f>
        <v>30/06/2022</v>
      </c>
      <c r="F202" s="5" t="str" cm="1">
        <f t="array" ref="F202">RIGHT(_xlfn.ANCHORARRAY(E202),4)</f>
        <v>2022</v>
      </c>
      <c r="G202" s="5" t="str">
        <f>TEXT(E202,"mm")</f>
        <v>30/06/2022</v>
      </c>
      <c r="H202" s="6">
        <v>6475</v>
      </c>
      <c r="I202">
        <v>76</v>
      </c>
      <c r="L202" t="str">
        <f t="shared" si="3"/>
        <v>Above Average</v>
      </c>
      <c r="M202">
        <f>RANK(H202,H:H,0)</f>
        <v>1312</v>
      </c>
    </row>
    <row r="203" spans="1:13">
      <c r="A203" t="s">
        <v>71</v>
      </c>
      <c r="B203" t="s">
        <v>25</v>
      </c>
      <c r="C203" t="s">
        <v>8</v>
      </c>
      <c r="D203" s="3" t="s">
        <v>128</v>
      </c>
      <c r="E203" s="5" t="str">
        <f>TEXT(D203,"dd/mm/yyyy")</f>
        <v>13/06/2022</v>
      </c>
      <c r="F203" s="5" t="str" cm="1">
        <f t="array" ref="F203">RIGHT(_xlfn.ANCHORARRAY(E203),4)</f>
        <v>2022</v>
      </c>
      <c r="G203" s="5" t="str">
        <f>TEXT(E203,"mm")</f>
        <v>13/06/2022</v>
      </c>
      <c r="H203" s="6">
        <v>1162</v>
      </c>
      <c r="I203">
        <v>190</v>
      </c>
      <c r="L203" t="str">
        <f t="shared" si="3"/>
        <v>Below Average</v>
      </c>
      <c r="M203">
        <f>RANK(H203,H:H,0)</f>
        <v>2913</v>
      </c>
    </row>
    <row r="204" spans="1:13">
      <c r="A204" t="s">
        <v>83</v>
      </c>
      <c r="B204" t="s">
        <v>7</v>
      </c>
      <c r="C204" t="s">
        <v>33</v>
      </c>
      <c r="D204" s="3" t="s">
        <v>16</v>
      </c>
      <c r="E204" s="5" t="str">
        <f>TEXT(D204,"dd/mm/yyyy")</f>
        <v>27/04/2022</v>
      </c>
      <c r="F204" s="5" t="str" cm="1">
        <f t="array" ref="F204">RIGHT(_xlfn.ANCHORARRAY(E204),4)</f>
        <v>2022</v>
      </c>
      <c r="G204" s="5" t="str">
        <f>TEXT(E204,"mm")</f>
        <v>27/04/2022</v>
      </c>
      <c r="H204" s="6">
        <v>14238</v>
      </c>
      <c r="I204">
        <v>54</v>
      </c>
      <c r="L204" t="str">
        <f t="shared" si="3"/>
        <v>Above Average</v>
      </c>
      <c r="M204">
        <f>RANK(H204,H:H,0)</f>
        <v>194</v>
      </c>
    </row>
    <row r="205" spans="1:13">
      <c r="A205" t="s">
        <v>14</v>
      </c>
      <c r="B205" t="s">
        <v>15</v>
      </c>
      <c r="C205" t="s">
        <v>59</v>
      </c>
      <c r="D205" s="3" t="s">
        <v>129</v>
      </c>
      <c r="E205" s="5" t="str">
        <f>TEXT(D205,"dd/mm/yyyy")</f>
        <v>27/07/2022</v>
      </c>
      <c r="F205" s="5" t="str" cm="1">
        <f t="array" ref="F205">RIGHT(_xlfn.ANCHORARRAY(E205),4)</f>
        <v>2022</v>
      </c>
      <c r="G205" s="5" t="str">
        <f>TEXT(E205,"mm")</f>
        <v>27/07/2022</v>
      </c>
      <c r="H205" s="6">
        <v>3472</v>
      </c>
      <c r="I205">
        <v>32</v>
      </c>
      <c r="L205" t="str">
        <f t="shared" si="3"/>
        <v>Below Average</v>
      </c>
      <c r="M205">
        <f>RANK(H205,H:H,0)</f>
        <v>2146</v>
      </c>
    </row>
    <row r="206" spans="1:13">
      <c r="A206" t="s">
        <v>34</v>
      </c>
      <c r="B206" t="s">
        <v>35</v>
      </c>
      <c r="C206" t="s">
        <v>11</v>
      </c>
      <c r="D206" s="3" t="s">
        <v>27</v>
      </c>
      <c r="E206" s="5" t="str">
        <f>TEXT(D206,"dd/mm/yyyy")</f>
        <v>20/04/2022</v>
      </c>
      <c r="F206" s="5" t="str" cm="1">
        <f t="array" ref="F206">RIGHT(_xlfn.ANCHORARRAY(E206),4)</f>
        <v>2022</v>
      </c>
      <c r="G206" s="5" t="str">
        <f>TEXT(E206,"mm")</f>
        <v>20/04/2022</v>
      </c>
      <c r="H206" s="6">
        <v>1428</v>
      </c>
      <c r="I206">
        <v>424</v>
      </c>
      <c r="L206" t="str">
        <f t="shared" si="3"/>
        <v>Below Average</v>
      </c>
      <c r="M206">
        <f>RANK(H206,H:H,0)</f>
        <v>2829</v>
      </c>
    </row>
    <row r="207" spans="1:13">
      <c r="A207" t="s">
        <v>29</v>
      </c>
      <c r="B207" t="s">
        <v>10</v>
      </c>
      <c r="C207" t="s">
        <v>50</v>
      </c>
      <c r="D207" s="4">
        <v>44652</v>
      </c>
      <c r="E207" s="5" t="str">
        <f>TEXT(D207,"dd/mm/yyyy")</f>
        <v>01/04/2022</v>
      </c>
      <c r="F207" s="5" t="str" cm="1">
        <f t="array" ref="F207">RIGHT(_xlfn.ANCHORARRAY(E207),4)</f>
        <v>2022</v>
      </c>
      <c r="G207" s="5" t="str">
        <f>TEXT(E207,"mm")</f>
        <v>01</v>
      </c>
      <c r="H207" s="6">
        <v>8064</v>
      </c>
      <c r="I207">
        <v>134</v>
      </c>
      <c r="L207" t="str">
        <f t="shared" si="3"/>
        <v>Above Average</v>
      </c>
      <c r="M207">
        <f>RANK(H207,H:H,0)</f>
        <v>925</v>
      </c>
    </row>
    <row r="208" spans="1:13">
      <c r="A208" t="s">
        <v>83</v>
      </c>
      <c r="B208" t="s">
        <v>15</v>
      </c>
      <c r="C208" t="s">
        <v>8</v>
      </c>
      <c r="D208" s="3" t="s">
        <v>109</v>
      </c>
      <c r="E208" s="5" t="str">
        <f>TEXT(D208,"dd/mm/yyyy")</f>
        <v>21/02/2022</v>
      </c>
      <c r="F208" s="5" t="str" cm="1">
        <f t="array" ref="F208">RIGHT(_xlfn.ANCHORARRAY(E208),4)</f>
        <v>2022</v>
      </c>
      <c r="G208" s="5" t="str">
        <f>TEXT(E208,"mm")</f>
        <v>21/02/2022</v>
      </c>
      <c r="H208" s="6">
        <v>9660</v>
      </c>
      <c r="I208">
        <v>92</v>
      </c>
      <c r="L208" t="str">
        <f t="shared" si="3"/>
        <v>Above Average</v>
      </c>
      <c r="M208">
        <f>RANK(H208,H:H,0)</f>
        <v>634</v>
      </c>
    </row>
    <row r="209" spans="1:13">
      <c r="A209" t="s">
        <v>37</v>
      </c>
      <c r="B209" t="s">
        <v>15</v>
      </c>
      <c r="C209" t="s">
        <v>59</v>
      </c>
      <c r="D209" s="4">
        <v>44682</v>
      </c>
      <c r="E209" s="5" t="str">
        <f>TEXT(D209,"dd/mm/yyyy")</f>
        <v>01/05/2022</v>
      </c>
      <c r="F209" s="5" t="str" cm="1">
        <f t="array" ref="F209">RIGHT(_xlfn.ANCHORARRAY(E209),4)</f>
        <v>2022</v>
      </c>
      <c r="G209" s="5" t="str">
        <f>TEXT(E209,"mm")</f>
        <v>01</v>
      </c>
      <c r="H209" s="6">
        <v>7357</v>
      </c>
      <c r="I209">
        <v>48</v>
      </c>
      <c r="L209" t="str">
        <f t="shared" si="3"/>
        <v>Above Average</v>
      </c>
      <c r="M209">
        <f>RANK(H209,H:H,0)</f>
        <v>1098</v>
      </c>
    </row>
    <row r="210" spans="1:13">
      <c r="A210" t="s">
        <v>41</v>
      </c>
      <c r="B210" t="s">
        <v>10</v>
      </c>
      <c r="C210" t="s">
        <v>38</v>
      </c>
      <c r="D210" s="3" t="s">
        <v>82</v>
      </c>
      <c r="E210" s="5" t="str">
        <f>TEXT(D210,"dd/mm/yyyy")</f>
        <v>15/07/2022</v>
      </c>
      <c r="F210" s="5" t="str" cm="1">
        <f t="array" ref="F210">RIGHT(_xlfn.ANCHORARRAY(E210),4)</f>
        <v>2022</v>
      </c>
      <c r="G210" s="5" t="str">
        <f>TEXT(E210,"mm")</f>
        <v>15/07/2022</v>
      </c>
      <c r="H210" s="6">
        <v>6055</v>
      </c>
      <c r="I210">
        <v>46</v>
      </c>
      <c r="L210" t="str">
        <f t="shared" si="3"/>
        <v>Above Average</v>
      </c>
      <c r="M210">
        <f>RANK(H210,H:H,0)</f>
        <v>1417</v>
      </c>
    </row>
    <row r="211" spans="1:13">
      <c r="A211" t="s">
        <v>28</v>
      </c>
      <c r="B211" t="s">
        <v>15</v>
      </c>
      <c r="C211" t="s">
        <v>75</v>
      </c>
      <c r="D211" s="3" t="s">
        <v>99</v>
      </c>
      <c r="E211" s="5" t="str">
        <f>TEXT(D211,"dd/mm/yyyy")</f>
        <v>25/05/2022</v>
      </c>
      <c r="F211" s="5" t="str" cm="1">
        <f t="array" ref="F211">RIGHT(_xlfn.ANCHORARRAY(E211),4)</f>
        <v>2022</v>
      </c>
      <c r="G211" s="5" t="str">
        <f>TEXT(E211,"mm")</f>
        <v>25/05/2022</v>
      </c>
      <c r="H211" s="6">
        <v>5124</v>
      </c>
      <c r="I211">
        <v>62</v>
      </c>
      <c r="L211" t="str">
        <f t="shared" si="3"/>
        <v>Below Average</v>
      </c>
      <c r="M211">
        <f>RANK(H211,H:H,0)</f>
        <v>1665</v>
      </c>
    </row>
    <row r="212" spans="1:13">
      <c r="A212" t="s">
        <v>37</v>
      </c>
      <c r="B212" t="s">
        <v>35</v>
      </c>
      <c r="C212" t="s">
        <v>36</v>
      </c>
      <c r="D212" s="3" t="s">
        <v>27</v>
      </c>
      <c r="E212" s="5" t="str">
        <f>TEXT(D212,"dd/mm/yyyy")</f>
        <v>20/04/2022</v>
      </c>
      <c r="F212" s="5" t="str" cm="1">
        <f t="array" ref="F212">RIGHT(_xlfn.ANCHORARRAY(E212),4)</f>
        <v>2022</v>
      </c>
      <c r="G212" s="5" t="str">
        <f>TEXT(E212,"mm")</f>
        <v>20/04/2022</v>
      </c>
      <c r="H212" s="6">
        <v>3479</v>
      </c>
      <c r="I212">
        <v>358</v>
      </c>
      <c r="L212" t="str">
        <f t="shared" si="3"/>
        <v>Below Average</v>
      </c>
      <c r="M212">
        <f>RANK(H212,H:H,0)</f>
        <v>2143</v>
      </c>
    </row>
    <row r="213" spans="1:13">
      <c r="A213" t="s">
        <v>12</v>
      </c>
      <c r="B213" t="s">
        <v>32</v>
      </c>
      <c r="C213" t="s">
        <v>20</v>
      </c>
      <c r="D213" s="4">
        <v>44598</v>
      </c>
      <c r="E213" s="5" t="str">
        <f>TEXT(D213,"dd/mm/yyyy")</f>
        <v>06/02/2022</v>
      </c>
      <c r="F213" s="5" t="str" cm="1">
        <f t="array" ref="F213">RIGHT(_xlfn.ANCHORARRAY(E213),4)</f>
        <v>2022</v>
      </c>
      <c r="G213" s="5" t="str">
        <f>TEXT(E213,"mm")</f>
        <v>06</v>
      </c>
      <c r="H213" s="6">
        <v>784</v>
      </c>
      <c r="I213">
        <v>249</v>
      </c>
      <c r="L213" t="str">
        <f t="shared" si="3"/>
        <v>Below Average</v>
      </c>
      <c r="M213">
        <f>RANK(H213,H:H,0)</f>
        <v>3032</v>
      </c>
    </row>
    <row r="214" spans="1:13">
      <c r="A214" t="s">
        <v>40</v>
      </c>
      <c r="B214" t="s">
        <v>7</v>
      </c>
      <c r="C214" t="s">
        <v>18</v>
      </c>
      <c r="D214" s="3" t="s">
        <v>130</v>
      </c>
      <c r="E214" s="5" t="str">
        <f>TEXT(D214,"dd/mm/yyyy")</f>
        <v>13/05/2022</v>
      </c>
      <c r="F214" s="5" t="str" cm="1">
        <f t="array" ref="F214">RIGHT(_xlfn.ANCHORARRAY(E214),4)</f>
        <v>2022</v>
      </c>
      <c r="G214" s="5" t="str">
        <f>TEXT(E214,"mm")</f>
        <v>13/05/2022</v>
      </c>
      <c r="H214" s="6">
        <v>18991</v>
      </c>
      <c r="I214">
        <v>88</v>
      </c>
      <c r="L214" t="str">
        <f t="shared" si="3"/>
        <v>Above Average</v>
      </c>
      <c r="M214">
        <f>RANK(H214,H:H,0)</f>
        <v>27</v>
      </c>
    </row>
    <row r="215" spans="1:13">
      <c r="A215" t="s">
        <v>41</v>
      </c>
      <c r="B215" t="s">
        <v>25</v>
      </c>
      <c r="C215" t="s">
        <v>87</v>
      </c>
      <c r="D215" s="4">
        <v>44628</v>
      </c>
      <c r="E215" s="5" t="str">
        <f>TEXT(D215,"dd/mm/yyyy")</f>
        <v>08/03/2022</v>
      </c>
      <c r="F215" s="5" t="str" cm="1">
        <f t="array" ref="F215">RIGHT(_xlfn.ANCHORARRAY(E215),4)</f>
        <v>2022</v>
      </c>
      <c r="G215" s="5" t="str">
        <f>TEXT(E215,"mm")</f>
        <v>08</v>
      </c>
      <c r="H215" s="6">
        <v>1372</v>
      </c>
      <c r="I215">
        <v>144</v>
      </c>
      <c r="L215" t="str">
        <f t="shared" si="3"/>
        <v>Below Average</v>
      </c>
      <c r="M215">
        <f>RANK(H215,H:H,0)</f>
        <v>2850</v>
      </c>
    </row>
    <row r="216" spans="1:13">
      <c r="A216" t="s">
        <v>41</v>
      </c>
      <c r="B216" t="s">
        <v>15</v>
      </c>
      <c r="C216" t="s">
        <v>46</v>
      </c>
      <c r="D216" s="3" t="s">
        <v>99</v>
      </c>
      <c r="E216" s="5" t="str">
        <f>TEXT(D216,"dd/mm/yyyy")</f>
        <v>25/05/2022</v>
      </c>
      <c r="F216" s="5" t="str" cm="1">
        <f t="array" ref="F216">RIGHT(_xlfn.ANCHORARRAY(E216),4)</f>
        <v>2022</v>
      </c>
      <c r="G216" s="5" t="str">
        <f>TEXT(E216,"mm")</f>
        <v>25/05/2022</v>
      </c>
      <c r="H216" s="6">
        <v>735</v>
      </c>
      <c r="I216">
        <v>390</v>
      </c>
      <c r="L216" t="str">
        <f t="shared" si="3"/>
        <v>Below Average</v>
      </c>
      <c r="M216">
        <f>RANK(H216,H:H,0)</f>
        <v>3048</v>
      </c>
    </row>
    <row r="217" spans="1:13">
      <c r="A217" t="s">
        <v>9</v>
      </c>
      <c r="B217" t="s">
        <v>7</v>
      </c>
      <c r="C217" t="s">
        <v>73</v>
      </c>
      <c r="D217" s="3" t="s">
        <v>108</v>
      </c>
      <c r="E217" s="5" t="str">
        <f>TEXT(D217,"dd/mm/yyyy")</f>
        <v>16/03/2022</v>
      </c>
      <c r="F217" s="5" t="str" cm="1">
        <f t="array" ref="F217">RIGHT(_xlfn.ANCHORARRAY(E217),4)</f>
        <v>2022</v>
      </c>
      <c r="G217" s="5" t="str">
        <f>TEXT(E217,"mm")</f>
        <v>16/03/2022</v>
      </c>
      <c r="H217" s="6">
        <v>6538</v>
      </c>
      <c r="I217">
        <v>79</v>
      </c>
      <c r="L217" t="str">
        <f t="shared" si="3"/>
        <v>Above Average</v>
      </c>
      <c r="M217">
        <f>RANK(H217,H:H,0)</f>
        <v>1298</v>
      </c>
    </row>
    <row r="218" spans="1:13">
      <c r="A218" t="s">
        <v>14</v>
      </c>
      <c r="B218" t="s">
        <v>15</v>
      </c>
      <c r="C218" t="s">
        <v>33</v>
      </c>
      <c r="D218" s="4">
        <v>44658</v>
      </c>
      <c r="E218" s="5" t="str">
        <f>TEXT(D218,"dd/mm/yyyy")</f>
        <v>07/04/2022</v>
      </c>
      <c r="F218" s="5" t="str" cm="1">
        <f t="array" ref="F218">RIGHT(_xlfn.ANCHORARRAY(E218),4)</f>
        <v>2022</v>
      </c>
      <c r="G218" s="5" t="str">
        <f>TEXT(E218,"mm")</f>
        <v>07</v>
      </c>
      <c r="H218" s="6">
        <v>3199</v>
      </c>
      <c r="I218">
        <v>122</v>
      </c>
      <c r="L218" t="str">
        <f t="shared" si="3"/>
        <v>Below Average</v>
      </c>
      <c r="M218">
        <f>RANK(H218,H:H,0)</f>
        <v>2233</v>
      </c>
    </row>
    <row r="219" spans="1:13">
      <c r="A219" t="s">
        <v>6</v>
      </c>
      <c r="B219" t="s">
        <v>10</v>
      </c>
      <c r="C219" t="s">
        <v>26</v>
      </c>
      <c r="D219" s="4">
        <v>44688</v>
      </c>
      <c r="E219" s="5" t="str">
        <f>TEXT(D219,"dd/mm/yyyy")</f>
        <v>07/05/2022</v>
      </c>
      <c r="F219" s="5" t="str" cm="1">
        <f t="array" ref="F219">RIGHT(_xlfn.ANCHORARRAY(E219),4)</f>
        <v>2022</v>
      </c>
      <c r="G219" s="5" t="str">
        <f>TEXT(E219,"mm")</f>
        <v>07</v>
      </c>
      <c r="H219" s="6">
        <v>3472</v>
      </c>
      <c r="I219">
        <v>135</v>
      </c>
      <c r="L219" t="str">
        <f t="shared" si="3"/>
        <v>Below Average</v>
      </c>
      <c r="M219">
        <f>RANK(H219,H:H,0)</f>
        <v>2146</v>
      </c>
    </row>
    <row r="220" spans="1:13">
      <c r="A220" t="s">
        <v>77</v>
      </c>
      <c r="B220" t="s">
        <v>32</v>
      </c>
      <c r="C220" t="s">
        <v>23</v>
      </c>
      <c r="D220" s="3" t="s">
        <v>131</v>
      </c>
      <c r="E220" s="5" t="str">
        <f>TEXT(D220,"dd/mm/yyyy")</f>
        <v>15/03/2022</v>
      </c>
      <c r="F220" s="5" t="str" cm="1">
        <f t="array" ref="F220">RIGHT(_xlfn.ANCHORARRAY(E220),4)</f>
        <v>2022</v>
      </c>
      <c r="G220" s="5" t="str">
        <f>TEXT(E220,"mm")</f>
        <v>15/03/2022</v>
      </c>
      <c r="H220" s="6">
        <v>4571</v>
      </c>
      <c r="I220">
        <v>430</v>
      </c>
      <c r="L220" t="str">
        <f t="shared" si="3"/>
        <v>Below Average</v>
      </c>
      <c r="M220">
        <f>RANK(H220,H:H,0)</f>
        <v>1828</v>
      </c>
    </row>
    <row r="221" spans="1:13">
      <c r="A221" t="s">
        <v>31</v>
      </c>
      <c r="B221" t="s">
        <v>7</v>
      </c>
      <c r="C221" t="s">
        <v>73</v>
      </c>
      <c r="D221" s="3" t="s">
        <v>78</v>
      </c>
      <c r="E221" s="5" t="str">
        <f>TEXT(D221,"dd/mm/yyyy")</f>
        <v>22/08/2022</v>
      </c>
      <c r="F221" s="5" t="str" cm="1">
        <f t="array" ref="F221">RIGHT(_xlfn.ANCHORARRAY(E221),4)</f>
        <v>2022</v>
      </c>
      <c r="G221" s="5" t="str">
        <f>TEXT(E221,"mm")</f>
        <v>22/08/2022</v>
      </c>
      <c r="H221" s="6">
        <v>5481</v>
      </c>
      <c r="I221">
        <v>69</v>
      </c>
      <c r="L221" t="str">
        <f t="shared" si="3"/>
        <v>Below Average</v>
      </c>
      <c r="M221">
        <f>RANK(H221,H:H,0)</f>
        <v>1572</v>
      </c>
    </row>
    <row r="222" spans="1:13">
      <c r="A222" t="s">
        <v>83</v>
      </c>
      <c r="B222" t="s">
        <v>15</v>
      </c>
      <c r="C222" t="s">
        <v>100</v>
      </c>
      <c r="D222" s="4">
        <v>44896</v>
      </c>
      <c r="E222" s="5" t="str">
        <f>TEXT(D222,"dd/mm/yyyy")</f>
        <v>01/12/2022</v>
      </c>
      <c r="F222" s="5" t="str" cm="1">
        <f t="array" ref="F222">RIGHT(_xlfn.ANCHORARRAY(E222),4)</f>
        <v>2022</v>
      </c>
      <c r="G222" s="5" t="str">
        <f>TEXT(E222,"mm")</f>
        <v>01</v>
      </c>
      <c r="H222" s="6">
        <v>3136</v>
      </c>
      <c r="I222">
        <v>125</v>
      </c>
      <c r="L222" t="str">
        <f t="shared" si="3"/>
        <v>Below Average</v>
      </c>
      <c r="M222">
        <f>RANK(H222,H:H,0)</f>
        <v>2257</v>
      </c>
    </row>
    <row r="223" spans="1:13">
      <c r="A223" t="s">
        <v>40</v>
      </c>
      <c r="B223" t="s">
        <v>7</v>
      </c>
      <c r="C223" t="s">
        <v>87</v>
      </c>
      <c r="D223" s="4">
        <v>44840</v>
      </c>
      <c r="E223" s="5" t="str">
        <f>TEXT(D223,"dd/mm/yyyy")</f>
        <v>06/10/2022</v>
      </c>
      <c r="F223" s="5" t="str" cm="1">
        <f t="array" ref="F223">RIGHT(_xlfn.ANCHORARRAY(E223),4)</f>
        <v>2022</v>
      </c>
      <c r="G223" s="5" t="str">
        <f>TEXT(E223,"mm")</f>
        <v>06</v>
      </c>
      <c r="H223" s="6">
        <v>252</v>
      </c>
      <c r="I223">
        <v>154</v>
      </c>
      <c r="L223" t="str">
        <f t="shared" si="3"/>
        <v>Below Average</v>
      </c>
      <c r="M223">
        <f>RANK(H223,H:H,0)</f>
        <v>3207</v>
      </c>
    </row>
    <row r="224" spans="1:13">
      <c r="A224" t="s">
        <v>55</v>
      </c>
      <c r="B224" t="s">
        <v>15</v>
      </c>
      <c r="C224" t="s">
        <v>13</v>
      </c>
      <c r="D224" s="3" t="s">
        <v>132</v>
      </c>
      <c r="E224" s="5" t="str">
        <f>TEXT(D224,"dd/mm/yyyy")</f>
        <v>25/03/2022</v>
      </c>
      <c r="F224" s="5" t="str" cm="1">
        <f t="array" ref="F224">RIGHT(_xlfn.ANCHORARRAY(E224),4)</f>
        <v>2022</v>
      </c>
      <c r="G224" s="5" t="str">
        <f>TEXT(E224,"mm")</f>
        <v>25/03/2022</v>
      </c>
      <c r="H224" s="6">
        <v>5460</v>
      </c>
      <c r="I224">
        <v>286</v>
      </c>
      <c r="L224" t="str">
        <f t="shared" si="3"/>
        <v>Below Average</v>
      </c>
      <c r="M224">
        <f>RANK(H224,H:H,0)</f>
        <v>1579</v>
      </c>
    </row>
    <row r="225" spans="1:13">
      <c r="A225" t="s">
        <v>29</v>
      </c>
      <c r="B225" t="s">
        <v>10</v>
      </c>
      <c r="C225" t="s">
        <v>65</v>
      </c>
      <c r="D225" s="3" t="s">
        <v>129</v>
      </c>
      <c r="E225" s="5" t="str">
        <f>TEXT(D225,"dd/mm/yyyy")</f>
        <v>27/07/2022</v>
      </c>
      <c r="F225" s="5" t="str" cm="1">
        <f t="array" ref="F225">RIGHT(_xlfn.ANCHORARRAY(E225),4)</f>
        <v>2022</v>
      </c>
      <c r="G225" s="5" t="str">
        <f>TEXT(E225,"mm")</f>
        <v>27/07/2022</v>
      </c>
      <c r="H225" s="6">
        <v>3395</v>
      </c>
      <c r="I225">
        <v>99</v>
      </c>
      <c r="L225" t="str">
        <f t="shared" si="3"/>
        <v>Below Average</v>
      </c>
      <c r="M225">
        <f>RANK(H225,H:H,0)</f>
        <v>2176</v>
      </c>
    </row>
    <row r="226" spans="1:13">
      <c r="A226" t="s">
        <v>53</v>
      </c>
      <c r="B226" t="s">
        <v>7</v>
      </c>
      <c r="C226" t="s">
        <v>90</v>
      </c>
      <c r="D226" s="3" t="s">
        <v>74</v>
      </c>
      <c r="E226" s="5" t="str">
        <f>TEXT(D226,"dd/mm/yyyy")</f>
        <v>15/04/2022</v>
      </c>
      <c r="F226" s="5" t="str" cm="1">
        <f t="array" ref="F226">RIGHT(_xlfn.ANCHORARRAY(E226),4)</f>
        <v>2022</v>
      </c>
      <c r="G226" s="5" t="str">
        <f>TEXT(E226,"mm")</f>
        <v>15/04/2022</v>
      </c>
      <c r="H226" s="6">
        <v>14938</v>
      </c>
      <c r="I226">
        <v>433</v>
      </c>
      <c r="L226" t="str">
        <f t="shared" si="3"/>
        <v>Above Average</v>
      </c>
      <c r="M226">
        <f>RANK(H226,H:H,0)</f>
        <v>152</v>
      </c>
    </row>
    <row r="227" spans="1:13">
      <c r="A227" t="s">
        <v>45</v>
      </c>
      <c r="B227" t="s">
        <v>10</v>
      </c>
      <c r="C227" t="s">
        <v>33</v>
      </c>
      <c r="D227" s="3" t="s">
        <v>49</v>
      </c>
      <c r="E227" s="5" t="str">
        <f>TEXT(D227,"dd/mm/yyyy")</f>
        <v>27/06/2022</v>
      </c>
      <c r="F227" s="5" t="str" cm="1">
        <f t="array" ref="F227">RIGHT(_xlfn.ANCHORARRAY(E227),4)</f>
        <v>2022</v>
      </c>
      <c r="G227" s="5" t="str">
        <f>TEXT(E227,"mm")</f>
        <v>27/06/2022</v>
      </c>
      <c r="H227" s="6">
        <v>4053</v>
      </c>
      <c r="I227">
        <v>19</v>
      </c>
      <c r="L227" t="str">
        <f t="shared" si="3"/>
        <v>Below Average</v>
      </c>
      <c r="M227">
        <f>RANK(H227,H:H,0)</f>
        <v>1968</v>
      </c>
    </row>
    <row r="228" spans="1:13">
      <c r="A228" t="s">
        <v>6</v>
      </c>
      <c r="B228" t="s">
        <v>7</v>
      </c>
      <c r="C228" t="s">
        <v>100</v>
      </c>
      <c r="D228" s="3" t="s">
        <v>91</v>
      </c>
      <c r="E228" s="5" t="str">
        <f>TEXT(D228,"dd/mm/yyyy")</f>
        <v>14/04/2022</v>
      </c>
      <c r="F228" s="5" t="str" cm="1">
        <f t="array" ref="F228">RIGHT(_xlfn.ANCHORARRAY(E228),4)</f>
        <v>2022</v>
      </c>
      <c r="G228" s="5" t="str">
        <f>TEXT(E228,"mm")</f>
        <v>14/04/2022</v>
      </c>
      <c r="H228" s="6">
        <v>5565</v>
      </c>
      <c r="I228">
        <v>258</v>
      </c>
      <c r="L228" t="str">
        <f t="shared" si="3"/>
        <v>Below Average</v>
      </c>
      <c r="M228">
        <f>RANK(H228,H:H,0)</f>
        <v>1553</v>
      </c>
    </row>
    <row r="229" spans="1:13">
      <c r="A229" t="s">
        <v>53</v>
      </c>
      <c r="B229" t="s">
        <v>15</v>
      </c>
      <c r="C229" t="s">
        <v>60</v>
      </c>
      <c r="D229" s="3" t="s">
        <v>131</v>
      </c>
      <c r="E229" s="5" t="str">
        <f>TEXT(D229,"dd/mm/yyyy")</f>
        <v>15/03/2022</v>
      </c>
      <c r="F229" s="5" t="str" cm="1">
        <f t="array" ref="F229">RIGHT(_xlfn.ANCHORARRAY(E229),4)</f>
        <v>2022</v>
      </c>
      <c r="G229" s="5" t="str">
        <f>TEXT(E229,"mm")</f>
        <v>15/03/2022</v>
      </c>
      <c r="H229" s="6">
        <v>7161</v>
      </c>
      <c r="I229">
        <v>92</v>
      </c>
      <c r="L229" t="str">
        <f t="shared" si="3"/>
        <v>Above Average</v>
      </c>
      <c r="M229">
        <f>RANK(H229,H:H,0)</f>
        <v>1143</v>
      </c>
    </row>
    <row r="230" spans="1:13">
      <c r="A230" t="s">
        <v>77</v>
      </c>
      <c r="B230" t="s">
        <v>32</v>
      </c>
      <c r="C230" t="s">
        <v>36</v>
      </c>
      <c r="D230" s="3" t="s">
        <v>133</v>
      </c>
      <c r="E230" s="5" t="str">
        <f>TEXT(D230,"dd/mm/yyyy")</f>
        <v>18/03/2022</v>
      </c>
      <c r="F230" s="5" t="str" cm="1">
        <f t="array" ref="F230">RIGHT(_xlfn.ANCHORARRAY(E230),4)</f>
        <v>2022</v>
      </c>
      <c r="G230" s="5" t="str">
        <f>TEXT(E230,"mm")</f>
        <v>18/03/2022</v>
      </c>
      <c r="H230" s="6">
        <v>8883</v>
      </c>
      <c r="I230">
        <v>200</v>
      </c>
      <c r="L230" t="str">
        <f t="shared" si="3"/>
        <v>Above Average</v>
      </c>
      <c r="M230">
        <f>RANK(H230,H:H,0)</f>
        <v>763</v>
      </c>
    </row>
    <row r="231" spans="1:13">
      <c r="A231" t="s">
        <v>28</v>
      </c>
      <c r="B231" t="s">
        <v>10</v>
      </c>
      <c r="C231" t="s">
        <v>36</v>
      </c>
      <c r="D231" s="3" t="s">
        <v>116</v>
      </c>
      <c r="E231" s="5" t="str">
        <f>TEXT(D231,"dd/mm/yyyy")</f>
        <v>29/04/2022</v>
      </c>
      <c r="F231" s="5" t="str" cm="1">
        <f t="array" ref="F231">RIGHT(_xlfn.ANCHORARRAY(E231),4)</f>
        <v>2022</v>
      </c>
      <c r="G231" s="5" t="str">
        <f>TEXT(E231,"mm")</f>
        <v>29/04/2022</v>
      </c>
      <c r="H231" s="6">
        <v>1351</v>
      </c>
      <c r="I231">
        <v>61</v>
      </c>
      <c r="L231" t="str">
        <f t="shared" si="3"/>
        <v>Below Average</v>
      </c>
      <c r="M231">
        <f>RANK(H231,H:H,0)</f>
        <v>2860</v>
      </c>
    </row>
    <row r="232" spans="1:13">
      <c r="A232" t="s">
        <v>34</v>
      </c>
      <c r="B232" t="s">
        <v>25</v>
      </c>
      <c r="C232" t="s">
        <v>59</v>
      </c>
      <c r="D232" s="3" t="s">
        <v>104</v>
      </c>
      <c r="E232" s="5" t="str">
        <f>TEXT(D232,"dd/mm/yyyy")</f>
        <v>25/02/2022</v>
      </c>
      <c r="F232" s="5" t="str" cm="1">
        <f t="array" ref="F232">RIGHT(_xlfn.ANCHORARRAY(E232),4)</f>
        <v>2022</v>
      </c>
      <c r="G232" s="5" t="str">
        <f>TEXT(E232,"mm")</f>
        <v>25/02/2022</v>
      </c>
      <c r="H232" s="6">
        <v>3171</v>
      </c>
      <c r="I232">
        <v>246</v>
      </c>
      <c r="L232" t="str">
        <f t="shared" si="3"/>
        <v>Below Average</v>
      </c>
      <c r="M232">
        <f>RANK(H232,H:H,0)</f>
        <v>2244</v>
      </c>
    </row>
    <row r="233" spans="1:13">
      <c r="A233" t="s">
        <v>53</v>
      </c>
      <c r="B233" t="s">
        <v>32</v>
      </c>
      <c r="C233" t="s">
        <v>46</v>
      </c>
      <c r="D233" s="4">
        <v>44595</v>
      </c>
      <c r="E233" s="5" t="str">
        <f>TEXT(D233,"dd/mm/yyyy")</f>
        <v>03/02/2022</v>
      </c>
      <c r="F233" s="5" t="str" cm="1">
        <f t="array" ref="F233">RIGHT(_xlfn.ANCHORARRAY(E233),4)</f>
        <v>2022</v>
      </c>
      <c r="G233" s="5" t="str">
        <f>TEXT(E233,"mm")</f>
        <v>03</v>
      </c>
      <c r="H233" s="6">
        <v>854</v>
      </c>
      <c r="I233">
        <v>56</v>
      </c>
      <c r="L233" t="str">
        <f t="shared" si="3"/>
        <v>Below Average</v>
      </c>
      <c r="M233">
        <f>RANK(H233,H:H,0)</f>
        <v>3015</v>
      </c>
    </row>
    <row r="234" spans="1:13">
      <c r="A234" t="s">
        <v>9</v>
      </c>
      <c r="B234" t="s">
        <v>15</v>
      </c>
      <c r="C234" t="s">
        <v>46</v>
      </c>
      <c r="D234" s="3" t="s">
        <v>92</v>
      </c>
      <c r="E234" s="5" t="str">
        <f>TEXT(D234,"dd/mm/yyyy")</f>
        <v>20/06/2022</v>
      </c>
      <c r="F234" s="5" t="str" cm="1">
        <f t="array" ref="F234">RIGHT(_xlfn.ANCHORARRAY(E234),4)</f>
        <v>2022</v>
      </c>
      <c r="G234" s="5" t="str">
        <f>TEXT(E234,"mm")</f>
        <v>20/06/2022</v>
      </c>
      <c r="H234" s="6">
        <v>7910</v>
      </c>
      <c r="I234">
        <v>87</v>
      </c>
      <c r="L234" t="str">
        <f t="shared" si="3"/>
        <v>Above Average</v>
      </c>
      <c r="M234">
        <f>RANK(H234,H:H,0)</f>
        <v>964</v>
      </c>
    </row>
    <row r="235" spans="1:13">
      <c r="A235" t="s">
        <v>41</v>
      </c>
      <c r="B235" t="s">
        <v>35</v>
      </c>
      <c r="C235" t="s">
        <v>59</v>
      </c>
      <c r="D235" s="3" t="s">
        <v>82</v>
      </c>
      <c r="E235" s="5" t="str">
        <f>TEXT(D235,"dd/mm/yyyy")</f>
        <v>15/07/2022</v>
      </c>
      <c r="F235" s="5" t="str" cm="1">
        <f t="array" ref="F235">RIGHT(_xlfn.ANCHORARRAY(E235),4)</f>
        <v>2022</v>
      </c>
      <c r="G235" s="5" t="str">
        <f>TEXT(E235,"mm")</f>
        <v>15/07/2022</v>
      </c>
      <c r="H235" s="6">
        <v>9275</v>
      </c>
      <c r="I235">
        <v>173</v>
      </c>
      <c r="L235" t="str">
        <f t="shared" si="3"/>
        <v>Above Average</v>
      </c>
      <c r="M235">
        <f>RANK(H235,H:H,0)</f>
        <v>694</v>
      </c>
    </row>
    <row r="236" spans="1:13">
      <c r="A236" t="s">
        <v>79</v>
      </c>
      <c r="B236" t="s">
        <v>15</v>
      </c>
      <c r="C236" t="s">
        <v>26</v>
      </c>
      <c r="D236" s="4">
        <v>44900</v>
      </c>
      <c r="E236" s="5" t="str">
        <f>TEXT(D236,"dd/mm/yyyy")</f>
        <v>05/12/2022</v>
      </c>
      <c r="F236" s="5" t="str" cm="1">
        <f t="array" ref="F236">RIGHT(_xlfn.ANCHORARRAY(E236),4)</f>
        <v>2022</v>
      </c>
      <c r="G236" s="5" t="str">
        <f>TEXT(E236,"mm")</f>
        <v>05</v>
      </c>
      <c r="H236" s="6">
        <v>3108</v>
      </c>
      <c r="I236">
        <v>252</v>
      </c>
      <c r="L236" t="str">
        <f t="shared" si="3"/>
        <v>Below Average</v>
      </c>
      <c r="M236">
        <f>RANK(H236,H:H,0)</f>
        <v>2266</v>
      </c>
    </row>
    <row r="237" spans="1:13">
      <c r="A237" t="s">
        <v>34</v>
      </c>
      <c r="B237" t="s">
        <v>25</v>
      </c>
      <c r="C237" t="s">
        <v>42</v>
      </c>
      <c r="D237" s="4">
        <v>44568</v>
      </c>
      <c r="E237" s="5" t="str">
        <f>TEXT(D237,"dd/mm/yyyy")</f>
        <v>07/01/2022</v>
      </c>
      <c r="F237" s="5" t="str" cm="1">
        <f t="array" ref="F237">RIGHT(_xlfn.ANCHORARRAY(E237),4)</f>
        <v>2022</v>
      </c>
      <c r="G237" s="5" t="str">
        <f>TEXT(E237,"mm")</f>
        <v>07</v>
      </c>
      <c r="H237" s="6">
        <v>5075</v>
      </c>
      <c r="I237">
        <v>256</v>
      </c>
      <c r="L237" t="str">
        <f t="shared" si="3"/>
        <v>Below Average</v>
      </c>
      <c r="M237">
        <f>RANK(H237,H:H,0)</f>
        <v>1681</v>
      </c>
    </row>
    <row r="238" spans="1:13">
      <c r="A238" t="s">
        <v>53</v>
      </c>
      <c r="B238" t="s">
        <v>32</v>
      </c>
      <c r="C238" t="s">
        <v>11</v>
      </c>
      <c r="D238" s="4">
        <v>44781</v>
      </c>
      <c r="E238" s="5" t="str">
        <f>TEXT(D238,"dd/mm/yyyy")</f>
        <v>08/08/2022</v>
      </c>
      <c r="F238" s="5" t="str" cm="1">
        <f t="array" ref="F238">RIGHT(_xlfn.ANCHORARRAY(E238),4)</f>
        <v>2022</v>
      </c>
      <c r="G238" s="5" t="str">
        <f>TEXT(E238,"mm")</f>
        <v>08</v>
      </c>
      <c r="H238" s="6">
        <v>378</v>
      </c>
      <c r="I238">
        <v>54</v>
      </c>
      <c r="L238" t="str">
        <f t="shared" si="3"/>
        <v>Below Average</v>
      </c>
      <c r="M238">
        <f>RANK(H238,H:H,0)</f>
        <v>3169</v>
      </c>
    </row>
    <row r="239" spans="1:13">
      <c r="A239" t="s">
        <v>77</v>
      </c>
      <c r="B239" t="s">
        <v>15</v>
      </c>
      <c r="C239" t="s">
        <v>26</v>
      </c>
      <c r="D239" s="3" t="s">
        <v>113</v>
      </c>
      <c r="E239" s="5" t="str">
        <f>TEXT(D239,"dd/mm/yyyy")</f>
        <v>25/07/2022</v>
      </c>
      <c r="F239" s="5" t="str" cm="1">
        <f t="array" ref="F239">RIGHT(_xlfn.ANCHORARRAY(E239),4)</f>
        <v>2022</v>
      </c>
      <c r="G239" s="5" t="str">
        <f>TEXT(E239,"mm")</f>
        <v>25/07/2022</v>
      </c>
      <c r="H239" s="6">
        <v>7350</v>
      </c>
      <c r="I239">
        <v>6</v>
      </c>
      <c r="L239" t="str">
        <f t="shared" si="3"/>
        <v>Above Average</v>
      </c>
      <c r="M239">
        <f>RANK(H239,H:H,0)</f>
        <v>1101</v>
      </c>
    </row>
    <row r="240" spans="1:13">
      <c r="A240" t="s">
        <v>64</v>
      </c>
      <c r="B240" t="s">
        <v>7</v>
      </c>
      <c r="C240" t="s">
        <v>38</v>
      </c>
      <c r="D240" s="3" t="s">
        <v>84</v>
      </c>
      <c r="E240" s="5" t="str">
        <f>TEXT(D240,"dd/mm/yyyy")</f>
        <v>18/05/2022</v>
      </c>
      <c r="F240" s="5" t="str" cm="1">
        <f t="array" ref="F240">RIGHT(_xlfn.ANCHORARRAY(E240),4)</f>
        <v>2022</v>
      </c>
      <c r="G240" s="5" t="str">
        <f>TEXT(E240,"mm")</f>
        <v>18/05/2022</v>
      </c>
      <c r="H240" s="6">
        <v>3388</v>
      </c>
      <c r="I240">
        <v>55</v>
      </c>
      <c r="L240" t="str">
        <f t="shared" si="3"/>
        <v>Below Average</v>
      </c>
      <c r="M240">
        <f>RANK(H240,H:H,0)</f>
        <v>2180</v>
      </c>
    </row>
    <row r="241" spans="1:13">
      <c r="A241" t="s">
        <v>71</v>
      </c>
      <c r="B241" t="s">
        <v>10</v>
      </c>
      <c r="C241" t="s">
        <v>13</v>
      </c>
      <c r="D241" s="3" t="s">
        <v>82</v>
      </c>
      <c r="E241" s="5" t="str">
        <f>TEXT(D241,"dd/mm/yyyy")</f>
        <v>15/07/2022</v>
      </c>
      <c r="F241" s="5" t="str" cm="1">
        <f t="array" ref="F241">RIGHT(_xlfn.ANCHORARRAY(E241),4)</f>
        <v>2022</v>
      </c>
      <c r="G241" s="5" t="str">
        <f>TEXT(E241,"mm")</f>
        <v>15/07/2022</v>
      </c>
      <c r="H241" s="6">
        <v>11837</v>
      </c>
      <c r="I241">
        <v>277</v>
      </c>
      <c r="L241" t="str">
        <f t="shared" si="3"/>
        <v>Above Average</v>
      </c>
      <c r="M241">
        <f>RANK(H241,H:H,0)</f>
        <v>356</v>
      </c>
    </row>
    <row r="242" spans="1:13">
      <c r="A242" t="s">
        <v>48</v>
      </c>
      <c r="B242" t="s">
        <v>10</v>
      </c>
      <c r="C242" t="s">
        <v>100</v>
      </c>
      <c r="D242" s="4">
        <v>44688</v>
      </c>
      <c r="E242" s="5" t="str">
        <f>TEXT(D242,"dd/mm/yyyy")</f>
        <v>07/05/2022</v>
      </c>
      <c r="F242" s="5" t="str" cm="1">
        <f t="array" ref="F242">RIGHT(_xlfn.ANCHORARRAY(E242),4)</f>
        <v>2022</v>
      </c>
      <c r="G242" s="5" t="str">
        <f>TEXT(E242,"mm")</f>
        <v>07</v>
      </c>
      <c r="H242" s="6">
        <v>2282</v>
      </c>
      <c r="I242">
        <v>44</v>
      </c>
      <c r="L242" t="str">
        <f t="shared" si="3"/>
        <v>Below Average</v>
      </c>
      <c r="M242">
        <f>RANK(H242,H:H,0)</f>
        <v>2556</v>
      </c>
    </row>
    <row r="243" spans="1:13">
      <c r="A243" t="s">
        <v>34</v>
      </c>
      <c r="B243" t="s">
        <v>32</v>
      </c>
      <c r="C243" t="s">
        <v>60</v>
      </c>
      <c r="D243" s="4">
        <v>44658</v>
      </c>
      <c r="E243" s="5" t="str">
        <f>TEXT(D243,"dd/mm/yyyy")</f>
        <v>07/04/2022</v>
      </c>
      <c r="F243" s="5" t="str" cm="1">
        <f t="array" ref="F243">RIGHT(_xlfn.ANCHORARRAY(E243),4)</f>
        <v>2022</v>
      </c>
      <c r="G243" s="5" t="str">
        <f>TEXT(E243,"mm")</f>
        <v>07</v>
      </c>
      <c r="H243" s="6">
        <v>5425</v>
      </c>
      <c r="I243">
        <v>96</v>
      </c>
      <c r="L243" t="str">
        <f t="shared" si="3"/>
        <v>Below Average</v>
      </c>
      <c r="M243">
        <f>RANK(H243,H:H,0)</f>
        <v>1588</v>
      </c>
    </row>
    <row r="244" spans="1:13">
      <c r="A244" t="s">
        <v>79</v>
      </c>
      <c r="B244" t="s">
        <v>7</v>
      </c>
      <c r="C244" t="s">
        <v>100</v>
      </c>
      <c r="D244" s="3" t="s">
        <v>92</v>
      </c>
      <c r="E244" s="5" t="str">
        <f>TEXT(D244,"dd/mm/yyyy")</f>
        <v>20/06/2022</v>
      </c>
      <c r="F244" s="5" t="str" cm="1">
        <f t="array" ref="F244">RIGHT(_xlfn.ANCHORARRAY(E244),4)</f>
        <v>2022</v>
      </c>
      <c r="G244" s="5" t="str">
        <f>TEXT(E244,"mm")</f>
        <v>20/06/2022</v>
      </c>
      <c r="H244" s="6">
        <v>1267</v>
      </c>
      <c r="I244">
        <v>216</v>
      </c>
      <c r="L244" t="str">
        <f t="shared" si="3"/>
        <v>Below Average</v>
      </c>
      <c r="M244">
        <f>RANK(H244,H:H,0)</f>
        <v>2885</v>
      </c>
    </row>
    <row r="245" spans="1:13">
      <c r="A245" t="s">
        <v>22</v>
      </c>
      <c r="B245" t="s">
        <v>15</v>
      </c>
      <c r="C245" t="s">
        <v>65</v>
      </c>
      <c r="D245" s="3" t="s">
        <v>21</v>
      </c>
      <c r="E245" s="5" t="str">
        <f>TEXT(D245,"dd/mm/yyyy")</f>
        <v>25/01/2022</v>
      </c>
      <c r="F245" s="5" t="str" cm="1">
        <f t="array" ref="F245">RIGHT(_xlfn.ANCHORARRAY(E245),4)</f>
        <v>2022</v>
      </c>
      <c r="G245" s="5" t="str">
        <f>TEXT(E245,"mm")</f>
        <v>25/01/2022</v>
      </c>
      <c r="H245" s="6">
        <v>3752</v>
      </c>
      <c r="I245">
        <v>424</v>
      </c>
      <c r="L245" t="str">
        <f t="shared" si="3"/>
        <v>Below Average</v>
      </c>
      <c r="M245">
        <f>RANK(H245,H:H,0)</f>
        <v>2052</v>
      </c>
    </row>
    <row r="246" spans="1:13">
      <c r="A246" t="s">
        <v>55</v>
      </c>
      <c r="B246" t="s">
        <v>25</v>
      </c>
      <c r="C246" t="s">
        <v>50</v>
      </c>
      <c r="D246" s="4">
        <v>44568</v>
      </c>
      <c r="E246" s="5" t="str">
        <f>TEXT(D246,"dd/mm/yyyy")</f>
        <v>07/01/2022</v>
      </c>
      <c r="F246" s="5" t="str" cm="1">
        <f t="array" ref="F246">RIGHT(_xlfn.ANCHORARRAY(E246),4)</f>
        <v>2022</v>
      </c>
      <c r="G246" s="5" t="str">
        <f>TEXT(E246,"mm")</f>
        <v>07</v>
      </c>
      <c r="H246" s="6">
        <v>7728</v>
      </c>
      <c r="I246">
        <v>37</v>
      </c>
      <c r="L246" t="str">
        <f t="shared" si="3"/>
        <v>Above Average</v>
      </c>
      <c r="M246">
        <f>RANK(H246,H:H,0)</f>
        <v>1004</v>
      </c>
    </row>
    <row r="247" spans="1:13">
      <c r="A247" t="s">
        <v>12</v>
      </c>
      <c r="B247" t="s">
        <v>32</v>
      </c>
      <c r="C247" t="s">
        <v>26</v>
      </c>
      <c r="D247" s="3" t="s">
        <v>121</v>
      </c>
      <c r="E247" s="5" t="str">
        <f>TEXT(D247,"dd/mm/yyyy")</f>
        <v>13/04/2022</v>
      </c>
      <c r="F247" s="5" t="str" cm="1">
        <f t="array" ref="F247">RIGHT(_xlfn.ANCHORARRAY(E247),4)</f>
        <v>2022</v>
      </c>
      <c r="G247" s="5" t="str">
        <f>TEXT(E247,"mm")</f>
        <v>13/04/2022</v>
      </c>
      <c r="H247" s="6">
        <v>2296</v>
      </c>
      <c r="I247">
        <v>59</v>
      </c>
      <c r="L247" t="str">
        <f t="shared" si="3"/>
        <v>Below Average</v>
      </c>
      <c r="M247">
        <f>RANK(H247,H:H,0)</f>
        <v>2554</v>
      </c>
    </row>
    <row r="248" spans="1:13">
      <c r="A248" t="s">
        <v>41</v>
      </c>
      <c r="B248" t="s">
        <v>7</v>
      </c>
      <c r="C248" t="s">
        <v>18</v>
      </c>
      <c r="D248" s="4">
        <v>44656</v>
      </c>
      <c r="E248" s="5" t="str">
        <f>TEXT(D248,"dd/mm/yyyy")</f>
        <v>05/04/2022</v>
      </c>
      <c r="F248" s="5" t="str" cm="1">
        <f t="array" ref="F248">RIGHT(_xlfn.ANCHORARRAY(E248),4)</f>
        <v>2022</v>
      </c>
      <c r="G248" s="5" t="str">
        <f>TEXT(E248,"mm")</f>
        <v>05</v>
      </c>
      <c r="H248" s="6">
        <v>4403</v>
      </c>
      <c r="I248">
        <v>76</v>
      </c>
      <c r="L248" t="str">
        <f t="shared" si="3"/>
        <v>Below Average</v>
      </c>
      <c r="M248">
        <f>RANK(H248,H:H,0)</f>
        <v>1873</v>
      </c>
    </row>
    <row r="249" spans="1:13">
      <c r="A249" t="s">
        <v>41</v>
      </c>
      <c r="B249" t="s">
        <v>15</v>
      </c>
      <c r="C249" t="s">
        <v>87</v>
      </c>
      <c r="D249" s="4">
        <v>44659</v>
      </c>
      <c r="E249" s="5" t="str">
        <f>TEXT(D249,"dd/mm/yyyy")</f>
        <v>08/04/2022</v>
      </c>
      <c r="F249" s="5" t="str" cm="1">
        <f t="array" ref="F249">RIGHT(_xlfn.ANCHORARRAY(E249),4)</f>
        <v>2022</v>
      </c>
      <c r="G249" s="5" t="str">
        <f>TEXT(E249,"mm")</f>
        <v>08</v>
      </c>
      <c r="H249" s="6">
        <v>3192</v>
      </c>
      <c r="I249">
        <v>109</v>
      </c>
      <c r="L249" t="str">
        <f t="shared" si="3"/>
        <v>Below Average</v>
      </c>
      <c r="M249">
        <f>RANK(H249,H:H,0)</f>
        <v>2235</v>
      </c>
    </row>
    <row r="250" spans="1:13">
      <c r="A250" t="s">
        <v>41</v>
      </c>
      <c r="B250" t="s">
        <v>10</v>
      </c>
      <c r="C250" t="s">
        <v>100</v>
      </c>
      <c r="D250" s="4">
        <v>44567</v>
      </c>
      <c r="E250" s="5" t="str">
        <f>TEXT(D250,"dd/mm/yyyy")</f>
        <v>06/01/2022</v>
      </c>
      <c r="F250" s="5" t="str" cm="1">
        <f t="array" ref="F250">RIGHT(_xlfn.ANCHORARRAY(E250),4)</f>
        <v>2022</v>
      </c>
      <c r="G250" s="5" t="str">
        <f>TEXT(E250,"mm")</f>
        <v>06</v>
      </c>
      <c r="H250" s="6">
        <v>448</v>
      </c>
      <c r="I250">
        <v>146</v>
      </c>
      <c r="L250" t="str">
        <f t="shared" si="3"/>
        <v>Below Average</v>
      </c>
      <c r="M250">
        <f>RANK(H250,H:H,0)</f>
        <v>3152</v>
      </c>
    </row>
    <row r="251" spans="1:13">
      <c r="A251" t="s">
        <v>6</v>
      </c>
      <c r="B251" t="s">
        <v>7</v>
      </c>
      <c r="C251" t="s">
        <v>75</v>
      </c>
      <c r="D251" s="3" t="s">
        <v>134</v>
      </c>
      <c r="E251" s="5" t="str">
        <f>TEXT(D251,"dd/mm/yyyy")</f>
        <v>22/04/2022</v>
      </c>
      <c r="F251" s="5" t="str" cm="1">
        <f t="array" ref="F251">RIGHT(_xlfn.ANCHORARRAY(E251),4)</f>
        <v>2022</v>
      </c>
      <c r="G251" s="5" t="str">
        <f>TEXT(E251,"mm")</f>
        <v>22/04/2022</v>
      </c>
      <c r="H251" s="6">
        <v>4270</v>
      </c>
      <c r="I251">
        <v>185</v>
      </c>
      <c r="L251" t="str">
        <f t="shared" si="3"/>
        <v>Below Average</v>
      </c>
      <c r="M251">
        <f>RANK(H251,H:H,0)</f>
        <v>1908</v>
      </c>
    </row>
    <row r="252" spans="1:13">
      <c r="A252" t="s">
        <v>55</v>
      </c>
      <c r="B252" t="s">
        <v>32</v>
      </c>
      <c r="C252" t="s">
        <v>26</v>
      </c>
      <c r="D252" s="4">
        <v>44628</v>
      </c>
      <c r="E252" s="5" t="str">
        <f>TEXT(D252,"dd/mm/yyyy")</f>
        <v>08/03/2022</v>
      </c>
      <c r="F252" s="5" t="str" cm="1">
        <f t="array" ref="F252">RIGHT(_xlfn.ANCHORARRAY(E252),4)</f>
        <v>2022</v>
      </c>
      <c r="G252" s="5" t="str">
        <f>TEXT(E252,"mm")</f>
        <v>08</v>
      </c>
      <c r="H252" s="6">
        <v>70</v>
      </c>
      <c r="I252">
        <v>27</v>
      </c>
      <c r="L252" t="str">
        <f t="shared" si="3"/>
        <v>Below Average</v>
      </c>
      <c r="M252">
        <f>RANK(H252,H:H,0)</f>
        <v>3260</v>
      </c>
    </row>
    <row r="253" spans="1:13">
      <c r="A253" t="s">
        <v>83</v>
      </c>
      <c r="B253" t="s">
        <v>32</v>
      </c>
      <c r="C253" t="s">
        <v>33</v>
      </c>
      <c r="D253" s="4">
        <v>44840</v>
      </c>
      <c r="E253" s="5" t="str">
        <f>TEXT(D253,"dd/mm/yyyy")</f>
        <v>06/10/2022</v>
      </c>
      <c r="F253" s="5" t="str" cm="1">
        <f t="array" ref="F253">RIGHT(_xlfn.ANCHORARRAY(E253),4)</f>
        <v>2022</v>
      </c>
      <c r="G253" s="5" t="str">
        <f>TEXT(E253,"mm")</f>
        <v>06</v>
      </c>
      <c r="H253" s="6">
        <v>1743</v>
      </c>
      <c r="I253">
        <v>69</v>
      </c>
      <c r="L253" t="str">
        <f t="shared" si="3"/>
        <v>Below Average</v>
      </c>
      <c r="M253">
        <f>RANK(H253,H:H,0)</f>
        <v>2716</v>
      </c>
    </row>
    <row r="254" spans="1:13">
      <c r="A254" t="s">
        <v>22</v>
      </c>
      <c r="B254" t="s">
        <v>7</v>
      </c>
      <c r="C254" t="s">
        <v>60</v>
      </c>
      <c r="D254" s="3" t="s">
        <v>49</v>
      </c>
      <c r="E254" s="5" t="str">
        <f>TEXT(D254,"dd/mm/yyyy")</f>
        <v>27/06/2022</v>
      </c>
      <c r="F254" s="5" t="str" cm="1">
        <f t="array" ref="F254">RIGHT(_xlfn.ANCHORARRAY(E254),4)</f>
        <v>2022</v>
      </c>
      <c r="G254" s="5" t="str">
        <f>TEXT(E254,"mm")</f>
        <v>27/06/2022</v>
      </c>
      <c r="H254" s="6">
        <v>6762</v>
      </c>
      <c r="I254">
        <v>46</v>
      </c>
      <c r="L254" t="str">
        <f t="shared" si="3"/>
        <v>Above Average</v>
      </c>
      <c r="M254">
        <f>RANK(H254,H:H,0)</f>
        <v>1251</v>
      </c>
    </row>
    <row r="255" spans="1:13">
      <c r="A255" t="s">
        <v>40</v>
      </c>
      <c r="B255" t="s">
        <v>15</v>
      </c>
      <c r="C255" t="s">
        <v>18</v>
      </c>
      <c r="D255" s="4">
        <v>44621</v>
      </c>
      <c r="E255" s="5" t="str">
        <f>TEXT(D255,"dd/mm/yyyy")</f>
        <v>01/03/2022</v>
      </c>
      <c r="F255" s="5" t="str" cm="1">
        <f t="array" ref="F255">RIGHT(_xlfn.ANCHORARRAY(E255),4)</f>
        <v>2022</v>
      </c>
      <c r="G255" s="5" t="str">
        <f>TEXT(E255,"mm")</f>
        <v>01</v>
      </c>
      <c r="H255" s="6">
        <v>3745</v>
      </c>
      <c r="I255">
        <v>170</v>
      </c>
      <c r="L255" t="str">
        <f t="shared" si="3"/>
        <v>Below Average</v>
      </c>
      <c r="M255">
        <f>RANK(H255,H:H,0)</f>
        <v>2056</v>
      </c>
    </row>
    <row r="256" spans="1:13">
      <c r="A256" t="s">
        <v>40</v>
      </c>
      <c r="B256" t="s">
        <v>10</v>
      </c>
      <c r="C256" t="s">
        <v>23</v>
      </c>
      <c r="D256" s="4">
        <v>44872</v>
      </c>
      <c r="E256" s="5" t="str">
        <f>TEXT(D256,"dd/mm/yyyy")</f>
        <v>07/11/2022</v>
      </c>
      <c r="F256" s="5" t="str" cm="1">
        <f t="array" ref="F256">RIGHT(_xlfn.ANCHORARRAY(E256),4)</f>
        <v>2022</v>
      </c>
      <c r="G256" s="5" t="str">
        <f>TEXT(E256,"mm")</f>
        <v>07</v>
      </c>
      <c r="H256" s="6">
        <v>2639</v>
      </c>
      <c r="I256">
        <v>179</v>
      </c>
      <c r="L256" t="str">
        <f t="shared" si="3"/>
        <v>Below Average</v>
      </c>
      <c r="M256">
        <f>RANK(H256,H:H,0)</f>
        <v>2426</v>
      </c>
    </row>
    <row r="257" spans="1:13">
      <c r="A257" t="s">
        <v>83</v>
      </c>
      <c r="B257" t="s">
        <v>25</v>
      </c>
      <c r="C257" t="s">
        <v>46</v>
      </c>
      <c r="D257" s="3" t="s">
        <v>135</v>
      </c>
      <c r="E257" s="5" t="str">
        <f>TEXT(D257,"dd/mm/yyyy")</f>
        <v>17/08/2022</v>
      </c>
      <c r="F257" s="5" t="str" cm="1">
        <f t="array" ref="F257">RIGHT(_xlfn.ANCHORARRAY(E257),4)</f>
        <v>2022</v>
      </c>
      <c r="G257" s="5" t="str">
        <f>TEXT(E257,"mm")</f>
        <v>17/08/2022</v>
      </c>
      <c r="H257" s="6">
        <v>4389</v>
      </c>
      <c r="I257">
        <v>126</v>
      </c>
      <c r="L257" t="str">
        <f t="shared" si="3"/>
        <v>Below Average</v>
      </c>
      <c r="M257">
        <f>RANK(H257,H:H,0)</f>
        <v>1878</v>
      </c>
    </row>
    <row r="258" spans="1:13">
      <c r="A258" t="s">
        <v>29</v>
      </c>
      <c r="B258" t="s">
        <v>32</v>
      </c>
      <c r="C258" t="s">
        <v>57</v>
      </c>
      <c r="D258" s="3" t="s">
        <v>115</v>
      </c>
      <c r="E258" s="5" t="str">
        <f>TEXT(D258,"dd/mm/yyyy")</f>
        <v>18/01/2022</v>
      </c>
      <c r="F258" s="5" t="str" cm="1">
        <f t="array" ref="F258">RIGHT(_xlfn.ANCHORARRAY(E258),4)</f>
        <v>2022</v>
      </c>
      <c r="G258" s="5" t="str">
        <f>TEXT(E258,"mm")</f>
        <v>18/01/2022</v>
      </c>
      <c r="H258" s="6">
        <v>2604</v>
      </c>
      <c r="I258">
        <v>65</v>
      </c>
      <c r="L258" t="str">
        <f t="shared" si="3"/>
        <v>Below Average</v>
      </c>
      <c r="M258">
        <f>RANK(H258,H:H,0)</f>
        <v>2439</v>
      </c>
    </row>
    <row r="259" spans="1:13">
      <c r="A259" t="s">
        <v>83</v>
      </c>
      <c r="B259" t="s">
        <v>10</v>
      </c>
      <c r="C259" t="s">
        <v>42</v>
      </c>
      <c r="D259" s="4">
        <v>44776</v>
      </c>
      <c r="E259" s="5" t="str">
        <f>TEXT(D259,"dd/mm/yyyy")</f>
        <v>03/08/2022</v>
      </c>
      <c r="F259" s="5" t="str" cm="1">
        <f t="array" ref="F259">RIGHT(_xlfn.ANCHORARRAY(E259),4)</f>
        <v>2022</v>
      </c>
      <c r="G259" s="5" t="str">
        <f>TEXT(E259,"mm")</f>
        <v>03</v>
      </c>
      <c r="H259" s="6">
        <v>16569</v>
      </c>
      <c r="I259">
        <v>99</v>
      </c>
      <c r="L259" t="str">
        <f t="shared" ref="L259:L322" si="4">IF(H259&gt;6030.34,"Above Average","Below Average")</f>
        <v>Above Average</v>
      </c>
      <c r="M259">
        <f>RANK(H259,H:H,0)</f>
        <v>81</v>
      </c>
    </row>
    <row r="260" spans="1:13">
      <c r="A260" t="s">
        <v>34</v>
      </c>
      <c r="B260" t="s">
        <v>15</v>
      </c>
      <c r="C260" t="s">
        <v>33</v>
      </c>
      <c r="D260" s="4">
        <v>44745</v>
      </c>
      <c r="E260" s="5" t="str">
        <f>TEXT(D260,"dd/mm/yyyy")</f>
        <v>03/07/2022</v>
      </c>
      <c r="F260" s="5" t="str" cm="1">
        <f t="array" ref="F260">RIGHT(_xlfn.ANCHORARRAY(E260),4)</f>
        <v>2022</v>
      </c>
      <c r="G260" s="5" t="str">
        <f>TEXT(E260,"mm")</f>
        <v>03</v>
      </c>
      <c r="H260" s="6">
        <v>14658</v>
      </c>
      <c r="I260">
        <v>275</v>
      </c>
      <c r="L260" t="str">
        <f t="shared" si="4"/>
        <v>Above Average</v>
      </c>
      <c r="M260">
        <f>RANK(H260,H:H,0)</f>
        <v>167</v>
      </c>
    </row>
    <row r="261" spans="1:13">
      <c r="A261" t="s">
        <v>53</v>
      </c>
      <c r="B261" t="s">
        <v>10</v>
      </c>
      <c r="C261" t="s">
        <v>100</v>
      </c>
      <c r="D261" s="4">
        <v>44809</v>
      </c>
      <c r="E261" s="5" t="str">
        <f>TEXT(D261,"dd/mm/yyyy")</f>
        <v>05/09/2022</v>
      </c>
      <c r="F261" s="5" t="str" cm="1">
        <f t="array" ref="F261">RIGHT(_xlfn.ANCHORARRAY(E261),4)</f>
        <v>2022</v>
      </c>
      <c r="G261" s="5" t="str">
        <f>TEXT(E261,"mm")</f>
        <v>05</v>
      </c>
      <c r="H261" s="6">
        <v>6454</v>
      </c>
      <c r="I261">
        <v>157</v>
      </c>
      <c r="L261" t="str">
        <f t="shared" si="4"/>
        <v>Above Average</v>
      </c>
      <c r="M261">
        <f>RANK(H261,H:H,0)</f>
        <v>1317</v>
      </c>
    </row>
    <row r="262" spans="1:13">
      <c r="A262" t="s">
        <v>31</v>
      </c>
      <c r="B262" t="s">
        <v>25</v>
      </c>
      <c r="C262" t="s">
        <v>11</v>
      </c>
      <c r="D262" s="3" t="s">
        <v>136</v>
      </c>
      <c r="E262" s="5" t="str">
        <f>TEXT(D262,"dd/mm/yyyy")</f>
        <v>23/05/2022</v>
      </c>
      <c r="F262" s="5" t="str" cm="1">
        <f t="array" ref="F262">RIGHT(_xlfn.ANCHORARRAY(E262),4)</f>
        <v>2022</v>
      </c>
      <c r="G262" s="5" t="str">
        <f>TEXT(E262,"mm")</f>
        <v>23/05/2022</v>
      </c>
      <c r="H262" s="6">
        <v>2100</v>
      </c>
      <c r="I262">
        <v>157</v>
      </c>
      <c r="L262" t="str">
        <f t="shared" si="4"/>
        <v>Below Average</v>
      </c>
      <c r="M262">
        <f>RANK(H262,H:H,0)</f>
        <v>2601</v>
      </c>
    </row>
    <row r="263" spans="1:13">
      <c r="A263" t="s">
        <v>77</v>
      </c>
      <c r="B263" t="s">
        <v>7</v>
      </c>
      <c r="C263" t="s">
        <v>90</v>
      </c>
      <c r="D263" s="3" t="s">
        <v>74</v>
      </c>
      <c r="E263" s="5" t="str">
        <f>TEXT(D263,"dd/mm/yyyy")</f>
        <v>15/04/2022</v>
      </c>
      <c r="F263" s="5" t="str" cm="1">
        <f t="array" ref="F263">RIGHT(_xlfn.ANCHORARRAY(E263),4)</f>
        <v>2022</v>
      </c>
      <c r="G263" s="5" t="str">
        <f>TEXT(E263,"mm")</f>
        <v>15/04/2022</v>
      </c>
      <c r="H263" s="6">
        <v>161</v>
      </c>
      <c r="I263">
        <v>145</v>
      </c>
      <c r="L263" t="str">
        <f t="shared" si="4"/>
        <v>Below Average</v>
      </c>
      <c r="M263">
        <f>RANK(H263,H:H,0)</f>
        <v>3228</v>
      </c>
    </row>
    <row r="264" spans="1:13">
      <c r="A264" t="s">
        <v>12</v>
      </c>
      <c r="B264" t="s">
        <v>15</v>
      </c>
      <c r="C264" t="s">
        <v>38</v>
      </c>
      <c r="D264" s="3" t="s">
        <v>129</v>
      </c>
      <c r="E264" s="5" t="str">
        <f>TEXT(D264,"dd/mm/yyyy")</f>
        <v>27/07/2022</v>
      </c>
      <c r="F264" s="5" t="str" cm="1">
        <f t="array" ref="F264">RIGHT(_xlfn.ANCHORARRAY(E264),4)</f>
        <v>2022</v>
      </c>
      <c r="G264" s="5" t="str">
        <f>TEXT(E264,"mm")</f>
        <v>27/07/2022</v>
      </c>
      <c r="H264" s="6">
        <v>2807</v>
      </c>
      <c r="I264">
        <v>139</v>
      </c>
      <c r="L264" t="str">
        <f t="shared" si="4"/>
        <v>Below Average</v>
      </c>
      <c r="M264">
        <f>RANK(H264,H:H,0)</f>
        <v>2369</v>
      </c>
    </row>
    <row r="265" spans="1:13">
      <c r="A265" t="s">
        <v>40</v>
      </c>
      <c r="B265" t="s">
        <v>35</v>
      </c>
      <c r="C265" t="s">
        <v>75</v>
      </c>
      <c r="D265" s="3" t="s">
        <v>78</v>
      </c>
      <c r="E265" s="5" t="str">
        <f>TEXT(D265,"dd/mm/yyyy")</f>
        <v>22/08/2022</v>
      </c>
      <c r="F265" s="5" t="str" cm="1">
        <f t="array" ref="F265">RIGHT(_xlfn.ANCHORARRAY(E265),4)</f>
        <v>2022</v>
      </c>
      <c r="G265" s="5" t="str">
        <f>TEXT(E265,"mm")</f>
        <v>22/08/2022</v>
      </c>
      <c r="H265" s="6">
        <v>2639</v>
      </c>
      <c r="I265">
        <v>406</v>
      </c>
      <c r="L265" t="str">
        <f t="shared" si="4"/>
        <v>Below Average</v>
      </c>
      <c r="M265">
        <f>RANK(H265,H:H,0)</f>
        <v>2426</v>
      </c>
    </row>
    <row r="266" spans="1:13">
      <c r="A266" t="s">
        <v>83</v>
      </c>
      <c r="B266" t="s">
        <v>32</v>
      </c>
      <c r="C266" t="s">
        <v>100</v>
      </c>
      <c r="D266" s="4">
        <v>44870</v>
      </c>
      <c r="E266" s="5" t="str">
        <f>TEXT(D266,"dd/mm/yyyy")</f>
        <v>05/11/2022</v>
      </c>
      <c r="F266" s="5" t="str" cm="1">
        <f t="array" ref="F266">RIGHT(_xlfn.ANCHORARRAY(E266),4)</f>
        <v>2022</v>
      </c>
      <c r="G266" s="5" t="str">
        <f>TEXT(E266,"mm")</f>
        <v>05</v>
      </c>
      <c r="H266" s="6">
        <v>4571</v>
      </c>
      <c r="I266">
        <v>122</v>
      </c>
      <c r="L266" t="str">
        <f t="shared" si="4"/>
        <v>Below Average</v>
      </c>
      <c r="M266">
        <f>RANK(H266,H:H,0)</f>
        <v>1828</v>
      </c>
    </row>
    <row r="267" spans="1:13">
      <c r="A267" t="s">
        <v>77</v>
      </c>
      <c r="B267" t="s">
        <v>10</v>
      </c>
      <c r="C267" t="s">
        <v>42</v>
      </c>
      <c r="D267" s="3" t="s">
        <v>43</v>
      </c>
      <c r="E267" s="5" t="str">
        <f>TEXT(D267,"dd/mm/yyyy")</f>
        <v>26/01/2022</v>
      </c>
      <c r="F267" s="5" t="str" cm="1">
        <f t="array" ref="F267">RIGHT(_xlfn.ANCHORARRAY(E267),4)</f>
        <v>2022</v>
      </c>
      <c r="G267" s="5" t="str">
        <f>TEXT(E267,"mm")</f>
        <v>26/01/2022</v>
      </c>
      <c r="H267" s="6">
        <v>4781</v>
      </c>
      <c r="I267">
        <v>38</v>
      </c>
      <c r="L267" t="str">
        <f t="shared" si="4"/>
        <v>Below Average</v>
      </c>
      <c r="M267">
        <f>RANK(H267,H:H,0)</f>
        <v>1773</v>
      </c>
    </row>
    <row r="268" spans="1:13">
      <c r="A268" t="s">
        <v>31</v>
      </c>
      <c r="B268" t="s">
        <v>32</v>
      </c>
      <c r="C268" t="s">
        <v>26</v>
      </c>
      <c r="D268" s="3" t="s">
        <v>91</v>
      </c>
      <c r="E268" s="5" t="str">
        <f>TEXT(D268,"dd/mm/yyyy")</f>
        <v>14/04/2022</v>
      </c>
      <c r="F268" s="5" t="str" cm="1">
        <f t="array" ref="F268">RIGHT(_xlfn.ANCHORARRAY(E268),4)</f>
        <v>2022</v>
      </c>
      <c r="G268" s="5" t="str">
        <f>TEXT(E268,"mm")</f>
        <v>14/04/2022</v>
      </c>
      <c r="H268" s="6">
        <v>13034</v>
      </c>
      <c r="I268">
        <v>117</v>
      </c>
      <c r="L268" t="str">
        <f t="shared" si="4"/>
        <v>Above Average</v>
      </c>
      <c r="M268">
        <f>RANK(H268,H:H,0)</f>
        <v>266</v>
      </c>
    </row>
    <row r="269" spans="1:13">
      <c r="A269" t="s">
        <v>58</v>
      </c>
      <c r="B269" t="s">
        <v>25</v>
      </c>
      <c r="C269" t="s">
        <v>8</v>
      </c>
      <c r="D269" s="4">
        <v>44685</v>
      </c>
      <c r="E269" s="5" t="str">
        <f>TEXT(D269,"dd/mm/yyyy")</f>
        <v>04/05/2022</v>
      </c>
      <c r="F269" s="5" t="str" cm="1">
        <f t="array" ref="F269">RIGHT(_xlfn.ANCHORARRAY(E269),4)</f>
        <v>2022</v>
      </c>
      <c r="G269" s="5" t="str">
        <f>TEXT(E269,"mm")</f>
        <v>04</v>
      </c>
      <c r="H269" s="6">
        <v>6454</v>
      </c>
      <c r="I269">
        <v>417</v>
      </c>
      <c r="L269" t="str">
        <f t="shared" si="4"/>
        <v>Above Average</v>
      </c>
      <c r="M269">
        <f>RANK(H269,H:H,0)</f>
        <v>1317</v>
      </c>
    </row>
    <row r="270" spans="1:13">
      <c r="A270" t="s">
        <v>40</v>
      </c>
      <c r="B270" t="s">
        <v>25</v>
      </c>
      <c r="C270" t="s">
        <v>18</v>
      </c>
      <c r="D270" s="3" t="s">
        <v>127</v>
      </c>
      <c r="E270" s="5" t="str">
        <f>TEXT(D270,"dd/mm/yyyy")</f>
        <v>14/06/2022</v>
      </c>
      <c r="F270" s="5" t="str" cm="1">
        <f t="array" ref="F270">RIGHT(_xlfn.ANCHORARRAY(E270),4)</f>
        <v>2022</v>
      </c>
      <c r="G270" s="5" t="str">
        <f>TEXT(E270,"mm")</f>
        <v>14/06/2022</v>
      </c>
      <c r="H270" s="6">
        <v>8484</v>
      </c>
      <c r="I270">
        <v>57</v>
      </c>
      <c r="L270" t="str">
        <f t="shared" si="4"/>
        <v>Above Average</v>
      </c>
      <c r="M270">
        <f>RANK(H270,H:H,0)</f>
        <v>840</v>
      </c>
    </row>
    <row r="271" spans="1:13">
      <c r="A271" t="s">
        <v>28</v>
      </c>
      <c r="B271" t="s">
        <v>35</v>
      </c>
      <c r="C271" t="s">
        <v>65</v>
      </c>
      <c r="D271" s="3" t="s">
        <v>121</v>
      </c>
      <c r="E271" s="5" t="str">
        <f>TEXT(D271,"dd/mm/yyyy")</f>
        <v>13/04/2022</v>
      </c>
      <c r="F271" s="5" t="str" cm="1">
        <f t="array" ref="F271">RIGHT(_xlfn.ANCHORARRAY(E271),4)</f>
        <v>2022</v>
      </c>
      <c r="G271" s="5" t="str">
        <f>TEXT(E271,"mm")</f>
        <v>13/04/2022</v>
      </c>
      <c r="H271" s="6">
        <v>4781</v>
      </c>
      <c r="I271">
        <v>125</v>
      </c>
      <c r="L271" t="str">
        <f t="shared" si="4"/>
        <v>Below Average</v>
      </c>
      <c r="M271">
        <f>RANK(H271,H:H,0)</f>
        <v>1773</v>
      </c>
    </row>
    <row r="272" spans="1:13">
      <c r="A272" t="s">
        <v>41</v>
      </c>
      <c r="B272" t="s">
        <v>15</v>
      </c>
      <c r="C272" t="s">
        <v>59</v>
      </c>
      <c r="D272" s="3" t="s">
        <v>49</v>
      </c>
      <c r="E272" s="5" t="str">
        <f>TEXT(D272,"dd/mm/yyyy")</f>
        <v>27/06/2022</v>
      </c>
      <c r="F272" s="5" t="str" cm="1">
        <f t="array" ref="F272">RIGHT(_xlfn.ANCHORARRAY(E272),4)</f>
        <v>2022</v>
      </c>
      <c r="G272" s="5" t="str">
        <f>TEXT(E272,"mm")</f>
        <v>27/06/2022</v>
      </c>
      <c r="H272" s="6">
        <v>2240</v>
      </c>
      <c r="I272">
        <v>166</v>
      </c>
      <c r="L272" t="str">
        <f t="shared" si="4"/>
        <v>Below Average</v>
      </c>
      <c r="M272">
        <f>RANK(H272,H:H,0)</f>
        <v>2569</v>
      </c>
    </row>
    <row r="273" spans="1:13">
      <c r="A273" t="s">
        <v>79</v>
      </c>
      <c r="B273" t="s">
        <v>15</v>
      </c>
      <c r="C273" t="s">
        <v>36</v>
      </c>
      <c r="D273" s="3" t="s">
        <v>43</v>
      </c>
      <c r="E273" s="5" t="str">
        <f>TEXT(D273,"dd/mm/yyyy")</f>
        <v>26/01/2022</v>
      </c>
      <c r="F273" s="5" t="str" cm="1">
        <f t="array" ref="F273">RIGHT(_xlfn.ANCHORARRAY(E273),4)</f>
        <v>2022</v>
      </c>
      <c r="G273" s="5" t="str">
        <f>TEXT(E273,"mm")</f>
        <v>26/01/2022</v>
      </c>
      <c r="H273" s="6">
        <v>6979</v>
      </c>
      <c r="I273">
        <v>3</v>
      </c>
      <c r="L273" t="str">
        <f t="shared" si="4"/>
        <v>Above Average</v>
      </c>
      <c r="M273">
        <f>RANK(H273,H:H,0)</f>
        <v>1189</v>
      </c>
    </row>
    <row r="274" spans="1:13">
      <c r="A274" t="s">
        <v>31</v>
      </c>
      <c r="B274" t="s">
        <v>7</v>
      </c>
      <c r="C274" t="s">
        <v>59</v>
      </c>
      <c r="D274" s="4">
        <v>44688</v>
      </c>
      <c r="E274" s="5" t="str">
        <f>TEXT(D274,"dd/mm/yyyy")</f>
        <v>07/05/2022</v>
      </c>
      <c r="F274" s="5" t="str" cm="1">
        <f t="array" ref="F274">RIGHT(_xlfn.ANCHORARRAY(E274),4)</f>
        <v>2022</v>
      </c>
      <c r="G274" s="5" t="str">
        <f>TEXT(E274,"mm")</f>
        <v>07</v>
      </c>
      <c r="H274" s="6">
        <v>1652</v>
      </c>
      <c r="I274">
        <v>72</v>
      </c>
      <c r="L274" t="str">
        <f t="shared" si="4"/>
        <v>Below Average</v>
      </c>
      <c r="M274">
        <f>RANK(H274,H:H,0)</f>
        <v>2750</v>
      </c>
    </row>
    <row r="275" spans="1:13">
      <c r="A275" t="s">
        <v>41</v>
      </c>
      <c r="B275" t="s">
        <v>35</v>
      </c>
      <c r="C275" t="s">
        <v>87</v>
      </c>
      <c r="D275" s="4">
        <v>44866</v>
      </c>
      <c r="E275" s="5" t="str">
        <f>TEXT(D275,"dd/mm/yyyy")</f>
        <v>01/11/2022</v>
      </c>
      <c r="F275" s="5" t="str" cm="1">
        <f t="array" ref="F275">RIGHT(_xlfn.ANCHORARRAY(E275),4)</f>
        <v>2022</v>
      </c>
      <c r="G275" s="5" t="str">
        <f>TEXT(E275,"mm")</f>
        <v>01</v>
      </c>
      <c r="H275" s="6">
        <v>13447</v>
      </c>
      <c r="I275">
        <v>95</v>
      </c>
      <c r="L275" t="str">
        <f t="shared" si="4"/>
        <v>Above Average</v>
      </c>
      <c r="M275">
        <f>RANK(H275,H:H,0)</f>
        <v>238</v>
      </c>
    </row>
    <row r="276" spans="1:13">
      <c r="A276" t="s">
        <v>70</v>
      </c>
      <c r="B276" t="s">
        <v>32</v>
      </c>
      <c r="C276" t="s">
        <v>59</v>
      </c>
      <c r="D276" s="4">
        <v>44745</v>
      </c>
      <c r="E276" s="5" t="str">
        <f>TEXT(D276,"dd/mm/yyyy")</f>
        <v>03/07/2022</v>
      </c>
      <c r="F276" s="5" t="str" cm="1">
        <f t="array" ref="F276">RIGHT(_xlfn.ANCHORARRAY(E276),4)</f>
        <v>2022</v>
      </c>
      <c r="G276" s="5" t="str">
        <f>TEXT(E276,"mm")</f>
        <v>03</v>
      </c>
      <c r="H276" s="6">
        <v>9422</v>
      </c>
      <c r="I276">
        <v>22</v>
      </c>
      <c r="L276" t="str">
        <f t="shared" si="4"/>
        <v>Above Average</v>
      </c>
      <c r="M276">
        <f>RANK(H276,H:H,0)</f>
        <v>670</v>
      </c>
    </row>
    <row r="277" spans="1:13">
      <c r="A277" t="s">
        <v>55</v>
      </c>
      <c r="B277" t="s">
        <v>35</v>
      </c>
      <c r="C277" t="s">
        <v>26</v>
      </c>
      <c r="D277" s="4">
        <v>44654</v>
      </c>
      <c r="E277" s="5" t="str">
        <f>TEXT(D277,"dd/mm/yyyy")</f>
        <v>03/04/2022</v>
      </c>
      <c r="F277" s="5" t="str" cm="1">
        <f t="array" ref="F277">RIGHT(_xlfn.ANCHORARRAY(E277),4)</f>
        <v>2022</v>
      </c>
      <c r="G277" s="5" t="str">
        <f>TEXT(E277,"mm")</f>
        <v>03</v>
      </c>
      <c r="H277" s="6">
        <v>8687</v>
      </c>
      <c r="I277">
        <v>100</v>
      </c>
      <c r="L277" t="str">
        <f t="shared" si="4"/>
        <v>Above Average</v>
      </c>
      <c r="M277">
        <f>RANK(H277,H:H,0)</f>
        <v>800</v>
      </c>
    </row>
    <row r="278" spans="1:13">
      <c r="A278" t="s">
        <v>37</v>
      </c>
      <c r="B278" t="s">
        <v>35</v>
      </c>
      <c r="C278" t="s">
        <v>42</v>
      </c>
      <c r="D278" s="3" t="s">
        <v>82</v>
      </c>
      <c r="E278" s="5" t="str">
        <f>TEXT(D278,"dd/mm/yyyy")</f>
        <v>15/07/2022</v>
      </c>
      <c r="F278" s="5" t="str" cm="1">
        <f t="array" ref="F278">RIGHT(_xlfn.ANCHORARRAY(E278),4)</f>
        <v>2022</v>
      </c>
      <c r="G278" s="5" t="str">
        <f>TEXT(E278,"mm")</f>
        <v>15/07/2022</v>
      </c>
      <c r="H278" s="6">
        <v>2415</v>
      </c>
      <c r="I278">
        <v>312</v>
      </c>
      <c r="L278" t="str">
        <f t="shared" si="4"/>
        <v>Below Average</v>
      </c>
      <c r="M278">
        <f>RANK(H278,H:H,0)</f>
        <v>2509</v>
      </c>
    </row>
    <row r="279" spans="1:13">
      <c r="A279" t="s">
        <v>55</v>
      </c>
      <c r="B279" t="s">
        <v>7</v>
      </c>
      <c r="C279" t="s">
        <v>13</v>
      </c>
      <c r="D279" s="4">
        <v>44870</v>
      </c>
      <c r="E279" s="5" t="str">
        <f>TEXT(D279,"dd/mm/yyyy")</f>
        <v>05/11/2022</v>
      </c>
      <c r="F279" s="5" t="str" cm="1">
        <f t="array" ref="F279">RIGHT(_xlfn.ANCHORARRAY(E279),4)</f>
        <v>2022</v>
      </c>
      <c r="G279" s="5" t="str">
        <f>TEXT(E279,"mm")</f>
        <v>05</v>
      </c>
      <c r="H279" s="6">
        <v>6272</v>
      </c>
      <c r="I279">
        <v>86</v>
      </c>
      <c r="L279" t="str">
        <f t="shared" si="4"/>
        <v>Above Average</v>
      </c>
      <c r="M279">
        <f>RANK(H279,H:H,0)</f>
        <v>1365</v>
      </c>
    </row>
    <row r="280" spans="1:13">
      <c r="A280" t="s">
        <v>37</v>
      </c>
      <c r="B280" t="s">
        <v>32</v>
      </c>
      <c r="C280" t="s">
        <v>46</v>
      </c>
      <c r="D280" s="3" t="s">
        <v>95</v>
      </c>
      <c r="E280" s="5" t="str">
        <f>TEXT(D280,"dd/mm/yyyy")</f>
        <v>27/01/2022</v>
      </c>
      <c r="F280" s="5" t="str" cm="1">
        <f t="array" ref="F280">RIGHT(_xlfn.ANCHORARRAY(E280),4)</f>
        <v>2022</v>
      </c>
      <c r="G280" s="5" t="str">
        <f>TEXT(E280,"mm")</f>
        <v>27/01/2022</v>
      </c>
      <c r="H280" s="6">
        <v>4389</v>
      </c>
      <c r="I280">
        <v>7</v>
      </c>
      <c r="L280" t="str">
        <f t="shared" si="4"/>
        <v>Below Average</v>
      </c>
      <c r="M280">
        <f>RANK(H280,H:H,0)</f>
        <v>1878</v>
      </c>
    </row>
    <row r="281" spans="1:13">
      <c r="A281" t="s">
        <v>37</v>
      </c>
      <c r="B281" t="s">
        <v>10</v>
      </c>
      <c r="C281" t="s">
        <v>33</v>
      </c>
      <c r="D281" s="3" t="s">
        <v>49</v>
      </c>
      <c r="E281" s="5" t="str">
        <f>TEXT(D281,"dd/mm/yyyy")</f>
        <v>27/06/2022</v>
      </c>
      <c r="F281" s="5" t="str" cm="1">
        <f t="array" ref="F281">RIGHT(_xlfn.ANCHORARRAY(E281),4)</f>
        <v>2022</v>
      </c>
      <c r="G281" s="5" t="str">
        <f>TEXT(E281,"mm")</f>
        <v>27/06/2022</v>
      </c>
      <c r="H281" s="6">
        <v>3122</v>
      </c>
      <c r="I281">
        <v>149</v>
      </c>
      <c r="L281" t="str">
        <f t="shared" si="4"/>
        <v>Below Average</v>
      </c>
      <c r="M281">
        <f>RANK(H281,H:H,0)</f>
        <v>2261</v>
      </c>
    </row>
    <row r="282" spans="1:13">
      <c r="A282" t="s">
        <v>83</v>
      </c>
      <c r="B282" t="s">
        <v>10</v>
      </c>
      <c r="C282" t="s">
        <v>18</v>
      </c>
      <c r="D282" s="4">
        <v>44628</v>
      </c>
      <c r="E282" s="5" t="str">
        <f>TEXT(D282,"dd/mm/yyyy")</f>
        <v>08/03/2022</v>
      </c>
      <c r="F282" s="5" t="str" cm="1">
        <f t="array" ref="F282">RIGHT(_xlfn.ANCHORARRAY(E282),4)</f>
        <v>2022</v>
      </c>
      <c r="G282" s="5" t="str">
        <f>TEXT(E282,"mm")</f>
        <v>08</v>
      </c>
      <c r="H282" s="6">
        <v>8043</v>
      </c>
      <c r="I282">
        <v>18</v>
      </c>
      <c r="L282" t="str">
        <f t="shared" si="4"/>
        <v>Above Average</v>
      </c>
      <c r="M282">
        <f>RANK(H282,H:H,0)</f>
        <v>930</v>
      </c>
    </row>
    <row r="283" spans="1:13">
      <c r="A283" t="s">
        <v>64</v>
      </c>
      <c r="B283" t="s">
        <v>25</v>
      </c>
      <c r="C283" t="s">
        <v>8</v>
      </c>
      <c r="D283" s="3" t="s">
        <v>137</v>
      </c>
      <c r="E283" s="5" t="str">
        <f>TEXT(D283,"dd/mm/yyyy")</f>
        <v>19/08/2022</v>
      </c>
      <c r="F283" s="5" t="str" cm="1">
        <f t="array" ref="F283">RIGHT(_xlfn.ANCHORARRAY(E283),4)</f>
        <v>2022</v>
      </c>
      <c r="G283" s="5" t="str">
        <f>TEXT(E283,"mm")</f>
        <v>19/08/2022</v>
      </c>
      <c r="H283" s="6">
        <v>11662</v>
      </c>
      <c r="I283">
        <v>242</v>
      </c>
      <c r="L283" t="str">
        <f t="shared" si="4"/>
        <v>Above Average</v>
      </c>
      <c r="M283">
        <f>RANK(H283,H:H,0)</f>
        <v>380</v>
      </c>
    </row>
    <row r="284" spans="1:13">
      <c r="A284" t="s">
        <v>64</v>
      </c>
      <c r="B284" t="s">
        <v>15</v>
      </c>
      <c r="C284" t="s">
        <v>57</v>
      </c>
      <c r="D284" s="3" t="s">
        <v>61</v>
      </c>
      <c r="E284" s="5" t="str">
        <f>TEXT(D284,"dd/mm/yyyy")</f>
        <v>15/06/2022</v>
      </c>
      <c r="F284" s="5" t="str" cm="1">
        <f t="array" ref="F284">RIGHT(_xlfn.ANCHORARRAY(E284),4)</f>
        <v>2022</v>
      </c>
      <c r="G284" s="5" t="str">
        <f>TEXT(E284,"mm")</f>
        <v>15/06/2022</v>
      </c>
      <c r="H284" s="6">
        <v>392</v>
      </c>
      <c r="I284">
        <v>102</v>
      </c>
      <c r="L284" t="str">
        <f t="shared" si="4"/>
        <v>Below Average</v>
      </c>
      <c r="M284">
        <f>RANK(H284,H:H,0)</f>
        <v>3165</v>
      </c>
    </row>
    <row r="285" spans="1:13">
      <c r="A285" t="s">
        <v>58</v>
      </c>
      <c r="B285" t="s">
        <v>7</v>
      </c>
      <c r="C285" t="s">
        <v>13</v>
      </c>
      <c r="D285" s="4">
        <v>44744</v>
      </c>
      <c r="E285" s="5" t="str">
        <f>TEXT(D285,"dd/mm/yyyy")</f>
        <v>02/07/2022</v>
      </c>
      <c r="F285" s="5" t="str" cm="1">
        <f t="array" ref="F285">RIGHT(_xlfn.ANCHORARRAY(E285),4)</f>
        <v>2022</v>
      </c>
      <c r="G285" s="5" t="str">
        <f>TEXT(E285,"mm")</f>
        <v>02</v>
      </c>
      <c r="H285" s="6">
        <v>8925</v>
      </c>
      <c r="I285">
        <v>158</v>
      </c>
      <c r="L285" t="str">
        <f t="shared" si="4"/>
        <v>Above Average</v>
      </c>
      <c r="M285">
        <f>RANK(H285,H:H,0)</f>
        <v>754</v>
      </c>
    </row>
    <row r="286" spans="1:13">
      <c r="A286" t="s">
        <v>37</v>
      </c>
      <c r="B286" t="s">
        <v>15</v>
      </c>
      <c r="C286" t="s">
        <v>65</v>
      </c>
      <c r="D286" s="4">
        <v>44780</v>
      </c>
      <c r="E286" s="5" t="str">
        <f>TEXT(D286,"dd/mm/yyyy")</f>
        <v>07/08/2022</v>
      </c>
      <c r="F286" s="5" t="str" cm="1">
        <f t="array" ref="F286">RIGHT(_xlfn.ANCHORARRAY(E286),4)</f>
        <v>2022</v>
      </c>
      <c r="G286" s="5" t="str">
        <f>TEXT(E286,"mm")</f>
        <v>07</v>
      </c>
      <c r="H286" s="6">
        <v>7294</v>
      </c>
      <c r="I286">
        <v>128</v>
      </c>
      <c r="L286" t="str">
        <f t="shared" si="4"/>
        <v>Above Average</v>
      </c>
      <c r="M286">
        <f>RANK(H286,H:H,0)</f>
        <v>1112</v>
      </c>
    </row>
    <row r="287" spans="1:13">
      <c r="A287" t="s">
        <v>58</v>
      </c>
      <c r="B287" t="s">
        <v>10</v>
      </c>
      <c r="C287" t="s">
        <v>46</v>
      </c>
      <c r="D287" s="3" t="s">
        <v>138</v>
      </c>
      <c r="E287" s="5" t="str">
        <f>TEXT(D287,"dd/mm/yyyy")</f>
        <v>21/04/2022</v>
      </c>
      <c r="F287" s="5" t="str" cm="1">
        <f t="array" ref="F287">RIGHT(_xlfn.ANCHORARRAY(E287),4)</f>
        <v>2022</v>
      </c>
      <c r="G287" s="5" t="str">
        <f>TEXT(E287,"mm")</f>
        <v>21/04/2022</v>
      </c>
      <c r="H287" s="6">
        <v>1526</v>
      </c>
      <c r="I287">
        <v>96</v>
      </c>
      <c r="L287" t="str">
        <f t="shared" si="4"/>
        <v>Below Average</v>
      </c>
      <c r="M287">
        <f>RANK(H287,H:H,0)</f>
        <v>2799</v>
      </c>
    </row>
    <row r="288" spans="1:13">
      <c r="A288" t="s">
        <v>83</v>
      </c>
      <c r="B288" t="s">
        <v>7</v>
      </c>
      <c r="C288" t="s">
        <v>8</v>
      </c>
      <c r="D288" s="4">
        <v>44777</v>
      </c>
      <c r="E288" s="5" t="str">
        <f>TEXT(D288,"dd/mm/yyyy")</f>
        <v>04/08/2022</v>
      </c>
      <c r="F288" s="5" t="str" cm="1">
        <f t="array" ref="F288">RIGHT(_xlfn.ANCHORARRAY(E288),4)</f>
        <v>2022</v>
      </c>
      <c r="G288" s="5" t="str">
        <f>TEXT(E288,"mm")</f>
        <v>04</v>
      </c>
      <c r="H288" s="6">
        <v>2688</v>
      </c>
      <c r="I288">
        <v>209</v>
      </c>
      <c r="L288" t="str">
        <f t="shared" si="4"/>
        <v>Below Average</v>
      </c>
      <c r="M288">
        <f>RANK(H288,H:H,0)</f>
        <v>2408</v>
      </c>
    </row>
    <row r="289" spans="1:13">
      <c r="A289" t="s">
        <v>53</v>
      </c>
      <c r="B289" t="s">
        <v>15</v>
      </c>
      <c r="C289" t="s">
        <v>26</v>
      </c>
      <c r="D289" s="3" t="s">
        <v>137</v>
      </c>
      <c r="E289" s="5" t="str">
        <f>TEXT(D289,"dd/mm/yyyy")</f>
        <v>19/08/2022</v>
      </c>
      <c r="F289" s="5" t="str" cm="1">
        <f t="array" ref="F289">RIGHT(_xlfn.ANCHORARRAY(E289),4)</f>
        <v>2022</v>
      </c>
      <c r="G289" s="5" t="str">
        <f>TEXT(E289,"mm")</f>
        <v>19/08/2022</v>
      </c>
      <c r="H289" s="6">
        <v>14889</v>
      </c>
      <c r="I289">
        <v>52</v>
      </c>
      <c r="L289" t="str">
        <f t="shared" si="4"/>
        <v>Above Average</v>
      </c>
      <c r="M289">
        <f>RANK(H289,H:H,0)</f>
        <v>154</v>
      </c>
    </row>
    <row r="290" spans="1:13">
      <c r="A290" t="s">
        <v>14</v>
      </c>
      <c r="B290" t="s">
        <v>10</v>
      </c>
      <c r="C290" t="s">
        <v>57</v>
      </c>
      <c r="D290" s="4">
        <v>44656</v>
      </c>
      <c r="E290" s="5" t="str">
        <f>TEXT(D290,"dd/mm/yyyy")</f>
        <v>05/04/2022</v>
      </c>
      <c r="F290" s="5" t="str" cm="1">
        <f t="array" ref="F290">RIGHT(_xlfn.ANCHORARRAY(E290),4)</f>
        <v>2022</v>
      </c>
      <c r="G290" s="5" t="str">
        <f>TEXT(E290,"mm")</f>
        <v>05</v>
      </c>
      <c r="H290" s="6">
        <v>2912</v>
      </c>
      <c r="I290">
        <v>55</v>
      </c>
      <c r="L290" t="str">
        <f t="shared" si="4"/>
        <v>Below Average</v>
      </c>
      <c r="M290">
        <f>RANK(H290,H:H,0)</f>
        <v>2341</v>
      </c>
    </row>
    <row r="291" spans="1:13">
      <c r="A291" t="s">
        <v>34</v>
      </c>
      <c r="B291" t="s">
        <v>32</v>
      </c>
      <c r="C291" t="s">
        <v>11</v>
      </c>
      <c r="D291" s="4">
        <v>44870</v>
      </c>
      <c r="E291" s="5" t="str">
        <f>TEXT(D291,"dd/mm/yyyy")</f>
        <v>05/11/2022</v>
      </c>
      <c r="F291" s="5" t="str" cm="1">
        <f t="array" ref="F291">RIGHT(_xlfn.ANCHORARRAY(E291),4)</f>
        <v>2022</v>
      </c>
      <c r="G291" s="5" t="str">
        <f>TEXT(E291,"mm")</f>
        <v>05</v>
      </c>
      <c r="H291" s="6">
        <v>2632</v>
      </c>
      <c r="I291">
        <v>108</v>
      </c>
      <c r="L291" t="str">
        <f t="shared" si="4"/>
        <v>Below Average</v>
      </c>
      <c r="M291">
        <f>RANK(H291,H:H,0)</f>
        <v>2431</v>
      </c>
    </row>
    <row r="292" spans="1:13">
      <c r="A292" t="s">
        <v>34</v>
      </c>
      <c r="B292" t="s">
        <v>32</v>
      </c>
      <c r="C292" t="s">
        <v>36</v>
      </c>
      <c r="D292" s="3" t="s">
        <v>139</v>
      </c>
      <c r="E292" s="5" t="str">
        <f>TEXT(D292,"dd/mm/yyyy")</f>
        <v>22/03/2022</v>
      </c>
      <c r="F292" s="5" t="str" cm="1">
        <f t="array" ref="F292">RIGHT(_xlfn.ANCHORARRAY(E292),4)</f>
        <v>2022</v>
      </c>
      <c r="G292" s="5" t="str">
        <f>TEXT(E292,"mm")</f>
        <v>22/03/2022</v>
      </c>
      <c r="H292" s="6">
        <v>6328</v>
      </c>
      <c r="I292">
        <v>51</v>
      </c>
      <c r="L292" t="str">
        <f t="shared" si="4"/>
        <v>Above Average</v>
      </c>
      <c r="M292">
        <f>RANK(H292,H:H,0)</f>
        <v>1345</v>
      </c>
    </row>
    <row r="293" spans="1:13">
      <c r="A293" t="s">
        <v>58</v>
      </c>
      <c r="B293" t="s">
        <v>35</v>
      </c>
      <c r="C293" t="s">
        <v>50</v>
      </c>
      <c r="D293" s="4">
        <v>44842</v>
      </c>
      <c r="E293" s="5" t="str">
        <f>TEXT(D293,"dd/mm/yyyy")</f>
        <v>08/10/2022</v>
      </c>
      <c r="F293" s="5" t="str" cm="1">
        <f t="array" ref="F293">RIGHT(_xlfn.ANCHORARRAY(E293),4)</f>
        <v>2022</v>
      </c>
      <c r="G293" s="5" t="str">
        <f>TEXT(E293,"mm")</f>
        <v>08</v>
      </c>
      <c r="H293" s="6">
        <v>2527</v>
      </c>
      <c r="I293">
        <v>216</v>
      </c>
      <c r="L293" t="str">
        <f t="shared" si="4"/>
        <v>Below Average</v>
      </c>
      <c r="M293">
        <f>RANK(H293,H:H,0)</f>
        <v>2460</v>
      </c>
    </row>
    <row r="294" spans="1:13">
      <c r="A294" t="s">
        <v>58</v>
      </c>
      <c r="B294" t="s">
        <v>32</v>
      </c>
      <c r="C294" t="s">
        <v>57</v>
      </c>
      <c r="D294" s="4">
        <v>44656</v>
      </c>
      <c r="E294" s="5" t="str">
        <f>TEXT(D294,"dd/mm/yyyy")</f>
        <v>05/04/2022</v>
      </c>
      <c r="F294" s="5" t="str" cm="1">
        <f t="array" ref="F294">RIGHT(_xlfn.ANCHORARRAY(E294),4)</f>
        <v>2022</v>
      </c>
      <c r="G294" s="5" t="str">
        <f>TEXT(E294,"mm")</f>
        <v>05</v>
      </c>
      <c r="H294" s="6">
        <v>1414</v>
      </c>
      <c r="I294">
        <v>318</v>
      </c>
      <c r="L294" t="str">
        <f t="shared" si="4"/>
        <v>Below Average</v>
      </c>
      <c r="M294">
        <f>RANK(H294,H:H,0)</f>
        <v>2834</v>
      </c>
    </row>
    <row r="295" spans="1:13">
      <c r="A295" t="s">
        <v>70</v>
      </c>
      <c r="B295" t="s">
        <v>32</v>
      </c>
      <c r="C295" t="s">
        <v>20</v>
      </c>
      <c r="D295" s="3" t="s">
        <v>97</v>
      </c>
      <c r="E295" s="5" t="str">
        <f>TEXT(D295,"dd/mm/yyyy")</f>
        <v>18/08/2022</v>
      </c>
      <c r="F295" s="5" t="str" cm="1">
        <f t="array" ref="F295">RIGHT(_xlfn.ANCHORARRAY(E295),4)</f>
        <v>2022</v>
      </c>
      <c r="G295" s="5" t="str">
        <f>TEXT(E295,"mm")</f>
        <v>18/08/2022</v>
      </c>
      <c r="H295" s="6">
        <v>7714</v>
      </c>
      <c r="I295">
        <v>238</v>
      </c>
      <c r="L295" t="str">
        <f t="shared" si="4"/>
        <v>Above Average</v>
      </c>
      <c r="M295">
        <f>RANK(H295,H:H,0)</f>
        <v>1010</v>
      </c>
    </row>
    <row r="296" spans="1:13">
      <c r="A296" t="s">
        <v>79</v>
      </c>
      <c r="B296" t="s">
        <v>35</v>
      </c>
      <c r="C296" t="s">
        <v>73</v>
      </c>
      <c r="D296" s="4">
        <v>44628</v>
      </c>
      <c r="E296" s="5" t="str">
        <f>TEXT(D296,"dd/mm/yyyy")</f>
        <v>08/03/2022</v>
      </c>
      <c r="F296" s="5" t="str" cm="1">
        <f t="array" ref="F296">RIGHT(_xlfn.ANCHORARRAY(E296),4)</f>
        <v>2022</v>
      </c>
      <c r="G296" s="5" t="str">
        <f>TEXT(E296,"mm")</f>
        <v>08</v>
      </c>
      <c r="H296" s="6">
        <v>4347</v>
      </c>
      <c r="I296">
        <v>238</v>
      </c>
      <c r="L296" t="str">
        <f t="shared" si="4"/>
        <v>Below Average</v>
      </c>
      <c r="M296">
        <f>RANK(H296,H:H,0)</f>
        <v>1893</v>
      </c>
    </row>
    <row r="297" spans="1:13">
      <c r="A297" t="s">
        <v>40</v>
      </c>
      <c r="B297" t="s">
        <v>25</v>
      </c>
      <c r="C297" t="s">
        <v>46</v>
      </c>
      <c r="D297" s="3" t="s">
        <v>122</v>
      </c>
      <c r="E297" s="5" t="str">
        <f>TEXT(D297,"dd/mm/yyyy")</f>
        <v>14/01/2022</v>
      </c>
      <c r="F297" s="5" t="str" cm="1">
        <f t="array" ref="F297">RIGHT(_xlfn.ANCHORARRAY(E297),4)</f>
        <v>2022</v>
      </c>
      <c r="G297" s="5" t="str">
        <f>TEXT(E297,"mm")</f>
        <v>14/01/2022</v>
      </c>
      <c r="H297" s="6">
        <v>7490</v>
      </c>
      <c r="I297">
        <v>315</v>
      </c>
      <c r="L297" t="str">
        <f t="shared" si="4"/>
        <v>Above Average</v>
      </c>
      <c r="M297">
        <f>RANK(H297,H:H,0)</f>
        <v>1064</v>
      </c>
    </row>
    <row r="298" spans="1:13">
      <c r="A298" t="s">
        <v>77</v>
      </c>
      <c r="B298" t="s">
        <v>15</v>
      </c>
      <c r="C298" t="s">
        <v>75</v>
      </c>
      <c r="D298" s="4">
        <v>44777</v>
      </c>
      <c r="E298" s="5" t="str">
        <f>TEXT(D298,"dd/mm/yyyy")</f>
        <v>04/08/2022</v>
      </c>
      <c r="F298" s="5" t="str" cm="1">
        <f t="array" ref="F298">RIGHT(_xlfn.ANCHORARRAY(E298),4)</f>
        <v>2022</v>
      </c>
      <c r="G298" s="5" t="str">
        <f>TEXT(E298,"mm")</f>
        <v>04</v>
      </c>
      <c r="H298" s="6">
        <v>2058</v>
      </c>
      <c r="I298">
        <v>72</v>
      </c>
      <c r="L298" t="str">
        <f t="shared" si="4"/>
        <v>Below Average</v>
      </c>
      <c r="M298">
        <f>RANK(H298,H:H,0)</f>
        <v>2613</v>
      </c>
    </row>
    <row r="299" spans="1:13">
      <c r="A299" t="s">
        <v>70</v>
      </c>
      <c r="B299" t="s">
        <v>7</v>
      </c>
      <c r="C299" t="s">
        <v>33</v>
      </c>
      <c r="D299" s="4">
        <v>44569</v>
      </c>
      <c r="E299" s="5" t="str">
        <f>TEXT(D299,"dd/mm/yyyy")</f>
        <v>08/01/2022</v>
      </c>
      <c r="F299" s="5" t="str" cm="1">
        <f t="array" ref="F299">RIGHT(_xlfn.ANCHORARRAY(E299),4)</f>
        <v>2022</v>
      </c>
      <c r="G299" s="5" t="str">
        <f>TEXT(E299,"mm")</f>
        <v>08</v>
      </c>
      <c r="H299" s="6">
        <v>3640</v>
      </c>
      <c r="I299">
        <v>3</v>
      </c>
      <c r="L299" t="str">
        <f t="shared" si="4"/>
        <v>Below Average</v>
      </c>
      <c r="M299">
        <f>RANK(H299,H:H,0)</f>
        <v>2091</v>
      </c>
    </row>
    <row r="300" spans="1:13">
      <c r="A300" t="s">
        <v>58</v>
      </c>
      <c r="B300" t="s">
        <v>35</v>
      </c>
      <c r="C300" t="s">
        <v>36</v>
      </c>
      <c r="D300" s="3" t="s">
        <v>131</v>
      </c>
      <c r="E300" s="5" t="str">
        <f>TEXT(D300,"dd/mm/yyyy")</f>
        <v>15/03/2022</v>
      </c>
      <c r="F300" s="5" t="str" cm="1">
        <f t="array" ref="F300">RIGHT(_xlfn.ANCHORARRAY(E300),4)</f>
        <v>2022</v>
      </c>
      <c r="G300" s="5" t="str">
        <f>TEXT(E300,"mm")</f>
        <v>15/03/2022</v>
      </c>
      <c r="H300" s="6">
        <v>455</v>
      </c>
      <c r="I300">
        <v>45</v>
      </c>
      <c r="L300" t="str">
        <f t="shared" si="4"/>
        <v>Below Average</v>
      </c>
      <c r="M300">
        <f>RANK(H300,H:H,0)</f>
        <v>3149</v>
      </c>
    </row>
    <row r="301" spans="1:13">
      <c r="A301" t="s">
        <v>37</v>
      </c>
      <c r="B301" t="s">
        <v>10</v>
      </c>
      <c r="C301" t="s">
        <v>8</v>
      </c>
      <c r="D301" s="3" t="s">
        <v>82</v>
      </c>
      <c r="E301" s="5" t="str">
        <f>TEXT(D301,"dd/mm/yyyy")</f>
        <v>15/07/2022</v>
      </c>
      <c r="F301" s="5" t="str" cm="1">
        <f t="array" ref="F301">RIGHT(_xlfn.ANCHORARRAY(E301),4)</f>
        <v>2022</v>
      </c>
      <c r="G301" s="5" t="str">
        <f>TEXT(E301,"mm")</f>
        <v>15/07/2022</v>
      </c>
      <c r="H301" s="6">
        <v>10990</v>
      </c>
      <c r="I301">
        <v>184</v>
      </c>
      <c r="L301" t="str">
        <f t="shared" si="4"/>
        <v>Above Average</v>
      </c>
      <c r="M301">
        <f>RANK(H301,H:H,0)</f>
        <v>440</v>
      </c>
    </row>
    <row r="302" spans="1:13">
      <c r="A302" t="s">
        <v>31</v>
      </c>
      <c r="B302" t="s">
        <v>25</v>
      </c>
      <c r="C302" t="s">
        <v>65</v>
      </c>
      <c r="D302" s="3" t="s">
        <v>30</v>
      </c>
      <c r="E302" s="5" t="str">
        <f>TEXT(D302,"dd/mm/yyyy")</f>
        <v>13/01/2022</v>
      </c>
      <c r="F302" s="5" t="str" cm="1">
        <f t="array" ref="F302">RIGHT(_xlfn.ANCHORARRAY(E302),4)</f>
        <v>2022</v>
      </c>
      <c r="G302" s="5" t="str">
        <f>TEXT(E302,"mm")</f>
        <v>13/01/2022</v>
      </c>
      <c r="H302" s="6">
        <v>5558</v>
      </c>
      <c r="I302">
        <v>127</v>
      </c>
      <c r="L302" t="str">
        <f t="shared" si="4"/>
        <v>Below Average</v>
      </c>
      <c r="M302">
        <f>RANK(H302,H:H,0)</f>
        <v>1554</v>
      </c>
    </row>
    <row r="303" spans="1:13">
      <c r="A303" t="s">
        <v>34</v>
      </c>
      <c r="B303" t="s">
        <v>15</v>
      </c>
      <c r="C303" t="s">
        <v>11</v>
      </c>
      <c r="D303" s="3" t="s">
        <v>93</v>
      </c>
      <c r="E303" s="5" t="str">
        <f>TEXT(D303,"dd/mm/yyyy")</f>
        <v>26/08/2022</v>
      </c>
      <c r="F303" s="5" t="str" cm="1">
        <f t="array" ref="F303">RIGHT(_xlfn.ANCHORARRAY(E303),4)</f>
        <v>2022</v>
      </c>
      <c r="G303" s="5" t="str">
        <f>TEXT(E303,"mm")</f>
        <v>26/08/2022</v>
      </c>
      <c r="H303" s="6">
        <v>2541</v>
      </c>
      <c r="I303">
        <v>53</v>
      </c>
      <c r="L303" t="str">
        <f t="shared" si="4"/>
        <v>Below Average</v>
      </c>
      <c r="M303">
        <f>RANK(H303,H:H,0)</f>
        <v>2454</v>
      </c>
    </row>
    <row r="304" spans="1:13">
      <c r="A304" t="s">
        <v>83</v>
      </c>
      <c r="B304" t="s">
        <v>35</v>
      </c>
      <c r="C304" t="s">
        <v>36</v>
      </c>
      <c r="D304" s="4">
        <v>44835</v>
      </c>
      <c r="E304" s="5" t="str">
        <f>TEXT(D304,"dd/mm/yyyy")</f>
        <v>01/10/2022</v>
      </c>
      <c r="F304" s="5" t="str" cm="1">
        <f t="array" ref="F304">RIGHT(_xlfn.ANCHORARRAY(E304),4)</f>
        <v>2022</v>
      </c>
      <c r="G304" s="5" t="str">
        <f>TEXT(E304,"mm")</f>
        <v>01</v>
      </c>
      <c r="H304" s="6">
        <v>1876</v>
      </c>
      <c r="I304">
        <v>172</v>
      </c>
      <c r="L304" t="str">
        <f t="shared" si="4"/>
        <v>Below Average</v>
      </c>
      <c r="M304">
        <f>RANK(H304,H:H,0)</f>
        <v>2672</v>
      </c>
    </row>
    <row r="305" spans="1:13">
      <c r="A305" t="s">
        <v>12</v>
      </c>
      <c r="B305" t="s">
        <v>15</v>
      </c>
      <c r="C305" t="s">
        <v>59</v>
      </c>
      <c r="D305" s="4">
        <v>44870</v>
      </c>
      <c r="E305" s="5" t="str">
        <f>TEXT(D305,"dd/mm/yyyy")</f>
        <v>05/11/2022</v>
      </c>
      <c r="F305" s="5" t="str" cm="1">
        <f t="array" ref="F305">RIGHT(_xlfn.ANCHORARRAY(E305),4)</f>
        <v>2022</v>
      </c>
      <c r="G305" s="5" t="str">
        <f>TEXT(E305,"mm")</f>
        <v>05</v>
      </c>
      <c r="H305" s="6">
        <v>5523</v>
      </c>
      <c r="I305">
        <v>87</v>
      </c>
      <c r="L305" t="str">
        <f t="shared" si="4"/>
        <v>Below Average</v>
      </c>
      <c r="M305">
        <f>RANK(H305,H:H,0)</f>
        <v>1560</v>
      </c>
    </row>
    <row r="306" spans="1:13">
      <c r="A306" t="s">
        <v>41</v>
      </c>
      <c r="B306" t="s">
        <v>25</v>
      </c>
      <c r="C306" t="s">
        <v>11</v>
      </c>
      <c r="D306" s="3" t="s">
        <v>140</v>
      </c>
      <c r="E306" s="5" t="str">
        <f>TEXT(D306,"dd/mm/yyyy")</f>
        <v>30/08/2022</v>
      </c>
      <c r="F306" s="5" t="str" cm="1">
        <f t="array" ref="F306">RIGHT(_xlfn.ANCHORARRAY(E306),4)</f>
        <v>2022</v>
      </c>
      <c r="G306" s="5" t="str">
        <f>TEXT(E306,"mm")</f>
        <v>30/08/2022</v>
      </c>
      <c r="H306" s="6">
        <v>11200</v>
      </c>
      <c r="I306">
        <v>22</v>
      </c>
      <c r="L306" t="str">
        <f t="shared" si="4"/>
        <v>Above Average</v>
      </c>
      <c r="M306">
        <f>RANK(H306,H:H,0)</f>
        <v>426</v>
      </c>
    </row>
    <row r="307" spans="1:13">
      <c r="A307" t="s">
        <v>55</v>
      </c>
      <c r="B307" t="s">
        <v>32</v>
      </c>
      <c r="C307" t="s">
        <v>90</v>
      </c>
      <c r="D307" s="3" t="s">
        <v>141</v>
      </c>
      <c r="E307" s="5" t="str">
        <f>TEXT(D307,"dd/mm/yyyy")</f>
        <v>21/07/2022</v>
      </c>
      <c r="F307" s="5" t="str" cm="1">
        <f t="array" ref="F307">RIGHT(_xlfn.ANCHORARRAY(E307),4)</f>
        <v>2022</v>
      </c>
      <c r="G307" s="5" t="str">
        <f>TEXT(E307,"mm")</f>
        <v>21/07/2022</v>
      </c>
      <c r="H307" s="6">
        <v>5593</v>
      </c>
      <c r="I307">
        <v>122</v>
      </c>
      <c r="L307" t="str">
        <f t="shared" si="4"/>
        <v>Below Average</v>
      </c>
      <c r="M307">
        <f>RANK(H307,H:H,0)</f>
        <v>1547</v>
      </c>
    </row>
    <row r="308" spans="1:13">
      <c r="A308" t="s">
        <v>34</v>
      </c>
      <c r="B308" t="s">
        <v>15</v>
      </c>
      <c r="C308" t="s">
        <v>65</v>
      </c>
      <c r="D308" s="4">
        <v>44569</v>
      </c>
      <c r="E308" s="5" t="str">
        <f>TEXT(D308,"dd/mm/yyyy")</f>
        <v>08/01/2022</v>
      </c>
      <c r="F308" s="5" t="str" cm="1">
        <f t="array" ref="F308">RIGHT(_xlfn.ANCHORARRAY(E308),4)</f>
        <v>2022</v>
      </c>
      <c r="G308" s="5" t="str">
        <f>TEXT(E308,"mm")</f>
        <v>08</v>
      </c>
      <c r="H308" s="6">
        <v>7882</v>
      </c>
      <c r="I308">
        <v>125</v>
      </c>
      <c r="L308" t="str">
        <f t="shared" si="4"/>
        <v>Above Average</v>
      </c>
      <c r="M308">
        <f>RANK(H308,H:H,0)</f>
        <v>977</v>
      </c>
    </row>
    <row r="309" spans="1:13">
      <c r="A309" t="s">
        <v>28</v>
      </c>
      <c r="B309" t="s">
        <v>35</v>
      </c>
      <c r="C309" t="s">
        <v>11</v>
      </c>
      <c r="D309" s="3" t="s">
        <v>51</v>
      </c>
      <c r="E309" s="5" t="str">
        <f>TEXT(D309,"dd/mm/yyyy")</f>
        <v>17/02/2022</v>
      </c>
      <c r="F309" s="5" t="str" cm="1">
        <f t="array" ref="F309">RIGHT(_xlfn.ANCHORARRAY(E309),4)</f>
        <v>2022</v>
      </c>
      <c r="G309" s="5" t="str">
        <f>TEXT(E309,"mm")</f>
        <v>17/02/2022</v>
      </c>
      <c r="H309" s="6">
        <v>10241</v>
      </c>
      <c r="I309">
        <v>259</v>
      </c>
      <c r="L309" t="str">
        <f t="shared" si="4"/>
        <v>Above Average</v>
      </c>
      <c r="M309">
        <f>RANK(H309,H:H,0)</f>
        <v>545</v>
      </c>
    </row>
    <row r="310" spans="1:13">
      <c r="A310" t="s">
        <v>28</v>
      </c>
      <c r="B310" t="s">
        <v>15</v>
      </c>
      <c r="C310" t="s">
        <v>38</v>
      </c>
      <c r="D310" s="3" t="s">
        <v>129</v>
      </c>
      <c r="E310" s="5" t="str">
        <f>TEXT(D310,"dd/mm/yyyy")</f>
        <v>27/07/2022</v>
      </c>
      <c r="F310" s="5" t="str" cm="1">
        <f t="array" ref="F310">RIGHT(_xlfn.ANCHORARRAY(E310),4)</f>
        <v>2022</v>
      </c>
      <c r="G310" s="5" t="str">
        <f>TEXT(E310,"mm")</f>
        <v>27/07/2022</v>
      </c>
      <c r="H310" s="6">
        <v>6832</v>
      </c>
      <c r="I310">
        <v>156</v>
      </c>
      <c r="L310" t="str">
        <f t="shared" si="4"/>
        <v>Above Average</v>
      </c>
      <c r="M310">
        <f>RANK(H310,H:H,0)</f>
        <v>1225</v>
      </c>
    </row>
    <row r="311" spans="1:13">
      <c r="A311" t="s">
        <v>79</v>
      </c>
      <c r="B311" t="s">
        <v>32</v>
      </c>
      <c r="C311" t="s">
        <v>33</v>
      </c>
      <c r="D311" s="3" t="s">
        <v>76</v>
      </c>
      <c r="E311" s="5" t="str">
        <f>TEXT(D311,"dd/mm/yyyy")</f>
        <v>23/02/2022</v>
      </c>
      <c r="F311" s="5" t="str" cm="1">
        <f t="array" ref="F311">RIGHT(_xlfn.ANCHORARRAY(E311),4)</f>
        <v>2022</v>
      </c>
      <c r="G311" s="5" t="str">
        <f>TEXT(E311,"mm")</f>
        <v>23/02/2022</v>
      </c>
      <c r="H311" s="6">
        <v>1379</v>
      </c>
      <c r="I311">
        <v>107</v>
      </c>
      <c r="L311" t="str">
        <f t="shared" si="4"/>
        <v>Below Average</v>
      </c>
      <c r="M311">
        <f>RANK(H311,H:H,0)</f>
        <v>2846</v>
      </c>
    </row>
    <row r="312" spans="1:13">
      <c r="A312" t="s">
        <v>29</v>
      </c>
      <c r="B312" t="s">
        <v>15</v>
      </c>
      <c r="C312" t="s">
        <v>26</v>
      </c>
      <c r="D312" s="3" t="s">
        <v>139</v>
      </c>
      <c r="E312" s="5" t="str">
        <f>TEXT(D312,"dd/mm/yyyy")</f>
        <v>22/03/2022</v>
      </c>
      <c r="F312" s="5" t="str" cm="1">
        <f t="array" ref="F312">RIGHT(_xlfn.ANCHORARRAY(E312),4)</f>
        <v>2022</v>
      </c>
      <c r="G312" s="5" t="str">
        <f>TEXT(E312,"mm")</f>
        <v>22/03/2022</v>
      </c>
      <c r="H312" s="6">
        <v>3010</v>
      </c>
      <c r="I312">
        <v>40</v>
      </c>
      <c r="L312" t="str">
        <f t="shared" si="4"/>
        <v>Below Average</v>
      </c>
      <c r="M312">
        <f>RANK(H312,H:H,0)</f>
        <v>2304</v>
      </c>
    </row>
    <row r="313" spans="1:13">
      <c r="A313" t="s">
        <v>58</v>
      </c>
      <c r="B313" t="s">
        <v>10</v>
      </c>
      <c r="C313" t="s">
        <v>20</v>
      </c>
      <c r="D313" s="3" t="s">
        <v>142</v>
      </c>
      <c r="E313" s="5" t="str">
        <f>TEXT(D313,"dd/mm/yyyy")</f>
        <v>23/06/2022</v>
      </c>
      <c r="F313" s="5" t="str" cm="1">
        <f t="array" ref="F313">RIGHT(_xlfn.ANCHORARRAY(E313),4)</f>
        <v>2022</v>
      </c>
      <c r="G313" s="5" t="str">
        <f>TEXT(E313,"mm")</f>
        <v>23/06/2022</v>
      </c>
      <c r="H313" s="6">
        <v>6888</v>
      </c>
      <c r="I313">
        <v>311</v>
      </c>
      <c r="L313" t="str">
        <f t="shared" si="4"/>
        <v>Above Average</v>
      </c>
      <c r="M313">
        <f>RANK(H313,H:H,0)</f>
        <v>1207</v>
      </c>
    </row>
    <row r="314" spans="1:13">
      <c r="A314" t="s">
        <v>48</v>
      </c>
      <c r="B314" t="s">
        <v>7</v>
      </c>
      <c r="C314" t="s">
        <v>59</v>
      </c>
      <c r="D314" s="4">
        <v>44563</v>
      </c>
      <c r="E314" s="5" t="str">
        <f>TEXT(D314,"dd/mm/yyyy")</f>
        <v>02/01/2022</v>
      </c>
      <c r="F314" s="5" t="str" cm="1">
        <f t="array" ref="F314">RIGHT(_xlfn.ANCHORARRAY(E314),4)</f>
        <v>2022</v>
      </c>
      <c r="G314" s="5" t="str">
        <f>TEXT(E314,"mm")</f>
        <v>02</v>
      </c>
      <c r="H314" s="6">
        <v>1540</v>
      </c>
      <c r="I314">
        <v>73</v>
      </c>
      <c r="L314" t="str">
        <f t="shared" si="4"/>
        <v>Below Average</v>
      </c>
      <c r="M314">
        <f>RANK(H314,H:H,0)</f>
        <v>2793</v>
      </c>
    </row>
    <row r="315" spans="1:13">
      <c r="A315" t="s">
        <v>70</v>
      </c>
      <c r="B315" t="s">
        <v>15</v>
      </c>
      <c r="C315" t="s">
        <v>23</v>
      </c>
      <c r="D315" s="4">
        <v>44595</v>
      </c>
      <c r="E315" s="5" t="str">
        <f>TEXT(D315,"dd/mm/yyyy")</f>
        <v>03/02/2022</v>
      </c>
      <c r="F315" s="5" t="str" cm="1">
        <f t="array" ref="F315">RIGHT(_xlfn.ANCHORARRAY(E315),4)</f>
        <v>2022</v>
      </c>
      <c r="G315" s="5" t="str">
        <f>TEXT(E315,"mm")</f>
        <v>03</v>
      </c>
      <c r="H315" s="6">
        <v>6916</v>
      </c>
      <c r="I315">
        <v>288</v>
      </c>
      <c r="L315" t="str">
        <f t="shared" si="4"/>
        <v>Above Average</v>
      </c>
      <c r="M315">
        <f>RANK(H315,H:H,0)</f>
        <v>1201</v>
      </c>
    </row>
    <row r="316" spans="1:13">
      <c r="A316" t="s">
        <v>12</v>
      </c>
      <c r="B316" t="s">
        <v>7</v>
      </c>
      <c r="C316" t="s">
        <v>57</v>
      </c>
      <c r="D316" s="4">
        <v>44716</v>
      </c>
      <c r="E316" s="5" t="str">
        <f>TEXT(D316,"dd/mm/yyyy")</f>
        <v>04/06/2022</v>
      </c>
      <c r="F316" s="5" t="str" cm="1">
        <f t="array" ref="F316">RIGHT(_xlfn.ANCHORARRAY(E316),4)</f>
        <v>2022</v>
      </c>
      <c r="G316" s="5" t="str">
        <f>TEXT(E316,"mm")</f>
        <v>04</v>
      </c>
      <c r="H316" s="6">
        <v>1232</v>
      </c>
      <c r="I316">
        <v>86</v>
      </c>
      <c r="L316" t="str">
        <f t="shared" si="4"/>
        <v>Below Average</v>
      </c>
      <c r="M316">
        <f>RANK(H316,H:H,0)</f>
        <v>2895</v>
      </c>
    </row>
    <row r="317" spans="1:13">
      <c r="A317" t="s">
        <v>22</v>
      </c>
      <c r="B317" t="s">
        <v>15</v>
      </c>
      <c r="C317" t="s">
        <v>73</v>
      </c>
      <c r="D317" s="3" t="s">
        <v>123</v>
      </c>
      <c r="E317" s="5" t="str">
        <f>TEXT(D317,"dd/mm/yyyy")</f>
        <v>17/03/2022</v>
      </c>
      <c r="F317" s="5" t="str" cm="1">
        <f t="array" ref="F317">RIGHT(_xlfn.ANCHORARRAY(E317),4)</f>
        <v>2022</v>
      </c>
      <c r="G317" s="5" t="str">
        <f>TEXT(E317,"mm")</f>
        <v>17/03/2022</v>
      </c>
      <c r="H317" s="6">
        <v>602</v>
      </c>
      <c r="I317">
        <v>72</v>
      </c>
      <c r="L317" t="str">
        <f t="shared" si="4"/>
        <v>Below Average</v>
      </c>
      <c r="M317">
        <f>RANK(H317,H:H,0)</f>
        <v>3098</v>
      </c>
    </row>
    <row r="318" spans="1:13">
      <c r="A318" t="s">
        <v>48</v>
      </c>
      <c r="B318" t="s">
        <v>7</v>
      </c>
      <c r="C318" t="s">
        <v>57</v>
      </c>
      <c r="D318" s="3" t="s">
        <v>143</v>
      </c>
      <c r="E318" s="5" t="str">
        <f>TEXT(D318,"dd/mm/yyyy")</f>
        <v>24/06/2022</v>
      </c>
      <c r="F318" s="5" t="str" cm="1">
        <f t="array" ref="F318">RIGHT(_xlfn.ANCHORARRAY(E318),4)</f>
        <v>2022</v>
      </c>
      <c r="G318" s="5" t="str">
        <f>TEXT(E318,"mm")</f>
        <v>24/06/2022</v>
      </c>
      <c r="H318" s="6">
        <v>10927</v>
      </c>
      <c r="I318">
        <v>136</v>
      </c>
      <c r="L318" t="str">
        <f t="shared" si="4"/>
        <v>Above Average</v>
      </c>
      <c r="M318">
        <f>RANK(H318,H:H,0)</f>
        <v>450</v>
      </c>
    </row>
    <row r="319" spans="1:13">
      <c r="A319" t="s">
        <v>31</v>
      </c>
      <c r="B319" t="s">
        <v>35</v>
      </c>
      <c r="C319" t="s">
        <v>26</v>
      </c>
      <c r="D319" s="3" t="s">
        <v>80</v>
      </c>
      <c r="E319" s="5" t="str">
        <f>TEXT(D319,"dd/mm/yyyy")</f>
        <v>19/07/2022</v>
      </c>
      <c r="F319" s="5" t="str" cm="1">
        <f t="array" ref="F319">RIGHT(_xlfn.ANCHORARRAY(E319),4)</f>
        <v>2022</v>
      </c>
      <c r="G319" s="5" t="str">
        <f>TEXT(E319,"mm")</f>
        <v>19/07/2022</v>
      </c>
      <c r="H319" s="6">
        <v>10185</v>
      </c>
      <c r="I319">
        <v>303</v>
      </c>
      <c r="L319" t="str">
        <f t="shared" si="4"/>
        <v>Above Average</v>
      </c>
      <c r="M319">
        <f>RANK(H319,H:H,0)</f>
        <v>555</v>
      </c>
    </row>
    <row r="320" spans="1:13">
      <c r="A320" t="s">
        <v>48</v>
      </c>
      <c r="B320" t="s">
        <v>32</v>
      </c>
      <c r="C320" t="s">
        <v>50</v>
      </c>
      <c r="D320" s="4">
        <v>44872</v>
      </c>
      <c r="E320" s="5" t="str">
        <f>TEXT(D320,"dd/mm/yyyy")</f>
        <v>07/11/2022</v>
      </c>
      <c r="F320" s="5" t="str" cm="1">
        <f t="array" ref="F320">RIGHT(_xlfn.ANCHORARRAY(E320),4)</f>
        <v>2022</v>
      </c>
      <c r="G320" s="5" t="str">
        <f>TEXT(E320,"mm")</f>
        <v>07</v>
      </c>
      <c r="H320" s="6">
        <v>1603</v>
      </c>
      <c r="I320">
        <v>264</v>
      </c>
      <c r="L320" t="str">
        <f t="shared" si="4"/>
        <v>Below Average</v>
      </c>
      <c r="M320">
        <f>RANK(H320,H:H,0)</f>
        <v>2770</v>
      </c>
    </row>
    <row r="321" spans="1:13">
      <c r="A321" t="s">
        <v>28</v>
      </c>
      <c r="B321" t="s">
        <v>10</v>
      </c>
      <c r="C321" t="s">
        <v>65</v>
      </c>
      <c r="D321" s="3" t="s">
        <v>30</v>
      </c>
      <c r="E321" s="5" t="str">
        <f>TEXT(D321,"dd/mm/yyyy")</f>
        <v>13/01/2022</v>
      </c>
      <c r="F321" s="5" t="str" cm="1">
        <f t="array" ref="F321">RIGHT(_xlfn.ANCHORARRAY(E321),4)</f>
        <v>2022</v>
      </c>
      <c r="G321" s="5" t="str">
        <f>TEXT(E321,"mm")</f>
        <v>13/01/2022</v>
      </c>
      <c r="H321" s="6">
        <v>2170</v>
      </c>
      <c r="I321">
        <v>218</v>
      </c>
      <c r="L321" t="str">
        <f t="shared" si="4"/>
        <v>Below Average</v>
      </c>
      <c r="M321">
        <f>RANK(H321,H:H,0)</f>
        <v>2586</v>
      </c>
    </row>
    <row r="322" spans="1:13">
      <c r="A322" t="s">
        <v>19</v>
      </c>
      <c r="B322" t="s">
        <v>25</v>
      </c>
      <c r="C322" t="s">
        <v>18</v>
      </c>
      <c r="D322" s="4">
        <v>44749</v>
      </c>
      <c r="E322" s="5" t="str">
        <f>TEXT(D322,"dd/mm/yyyy")</f>
        <v>07/07/2022</v>
      </c>
      <c r="F322" s="5" t="str" cm="1">
        <f t="array" ref="F322">RIGHT(_xlfn.ANCHORARRAY(E322),4)</f>
        <v>2022</v>
      </c>
      <c r="G322" s="5" t="str">
        <f>TEXT(E322,"mm")</f>
        <v>07</v>
      </c>
      <c r="H322" s="6">
        <v>8673</v>
      </c>
      <c r="I322">
        <v>60</v>
      </c>
      <c r="L322" t="str">
        <f t="shared" si="4"/>
        <v>Above Average</v>
      </c>
      <c r="M322">
        <f>RANK(H322,H:H,0)</f>
        <v>803</v>
      </c>
    </row>
    <row r="323" spans="1:13">
      <c r="A323" t="s">
        <v>14</v>
      </c>
      <c r="B323" t="s">
        <v>10</v>
      </c>
      <c r="C323" t="s">
        <v>11</v>
      </c>
      <c r="D323" s="3" t="s">
        <v>99</v>
      </c>
      <c r="E323" s="5" t="str">
        <f>TEXT(D323,"dd/mm/yyyy")</f>
        <v>25/05/2022</v>
      </c>
      <c r="F323" s="5" t="str" cm="1">
        <f t="array" ref="F323">RIGHT(_xlfn.ANCHORARRAY(E323),4)</f>
        <v>2022</v>
      </c>
      <c r="G323" s="5" t="str">
        <f>TEXT(E323,"mm")</f>
        <v>25/05/2022</v>
      </c>
      <c r="H323" s="6">
        <v>4760</v>
      </c>
      <c r="I323">
        <v>418</v>
      </c>
      <c r="L323" t="str">
        <f t="shared" ref="L323:L386" si="5">IF(H323&gt;6030.34,"Above Average","Below Average")</f>
        <v>Below Average</v>
      </c>
      <c r="M323">
        <f>RANK(H323,H:H,0)</f>
        <v>1780</v>
      </c>
    </row>
    <row r="324" spans="1:13">
      <c r="A324" t="s">
        <v>40</v>
      </c>
      <c r="B324" t="s">
        <v>10</v>
      </c>
      <c r="C324" t="s">
        <v>57</v>
      </c>
      <c r="D324" s="3" t="s">
        <v>121</v>
      </c>
      <c r="E324" s="5" t="str">
        <f>TEXT(D324,"dd/mm/yyyy")</f>
        <v>13/04/2022</v>
      </c>
      <c r="F324" s="5" t="str" cm="1">
        <f t="array" ref="F324">RIGHT(_xlfn.ANCHORARRAY(E324),4)</f>
        <v>2022</v>
      </c>
      <c r="G324" s="5" t="str">
        <f>TEXT(E324,"mm")</f>
        <v>13/04/2022</v>
      </c>
      <c r="H324" s="6">
        <v>4753</v>
      </c>
      <c r="I324">
        <v>151</v>
      </c>
      <c r="L324" t="str">
        <f t="shared" si="5"/>
        <v>Below Average</v>
      </c>
      <c r="M324">
        <f>RANK(H324,H:H,0)</f>
        <v>1783</v>
      </c>
    </row>
    <row r="325" spans="1:13">
      <c r="A325" t="s">
        <v>67</v>
      </c>
      <c r="B325" t="s">
        <v>25</v>
      </c>
      <c r="C325" t="s">
        <v>26</v>
      </c>
      <c r="D325" s="4">
        <v>44595</v>
      </c>
      <c r="E325" s="5" t="str">
        <f>TEXT(D325,"dd/mm/yyyy")</f>
        <v>03/02/2022</v>
      </c>
      <c r="F325" s="5" t="str" cm="1">
        <f t="array" ref="F325">RIGHT(_xlfn.ANCHORARRAY(E325),4)</f>
        <v>2022</v>
      </c>
      <c r="G325" s="5" t="str">
        <f>TEXT(E325,"mm")</f>
        <v>03</v>
      </c>
      <c r="H325" s="6">
        <v>3374</v>
      </c>
      <c r="I325">
        <v>202</v>
      </c>
      <c r="L325" t="str">
        <f t="shared" si="5"/>
        <v>Below Average</v>
      </c>
      <c r="M325">
        <f>RANK(H325,H:H,0)</f>
        <v>2188</v>
      </c>
    </row>
    <row r="326" spans="1:13">
      <c r="A326" t="s">
        <v>22</v>
      </c>
      <c r="B326" t="s">
        <v>35</v>
      </c>
      <c r="C326" t="s">
        <v>73</v>
      </c>
      <c r="D326" s="3" t="s">
        <v>142</v>
      </c>
      <c r="E326" s="5" t="str">
        <f>TEXT(D326,"dd/mm/yyyy")</f>
        <v>23/06/2022</v>
      </c>
      <c r="F326" s="5" t="str" cm="1">
        <f t="array" ref="F326">RIGHT(_xlfn.ANCHORARRAY(E326),4)</f>
        <v>2022</v>
      </c>
      <c r="G326" s="5" t="str">
        <f>TEXT(E326,"mm")</f>
        <v>23/06/2022</v>
      </c>
      <c r="H326" s="6">
        <v>2058</v>
      </c>
      <c r="I326">
        <v>126</v>
      </c>
      <c r="L326" t="str">
        <f t="shared" si="5"/>
        <v>Below Average</v>
      </c>
      <c r="M326">
        <f>RANK(H326,H:H,0)</f>
        <v>2613</v>
      </c>
    </row>
    <row r="327" spans="1:13">
      <c r="A327" t="s">
        <v>70</v>
      </c>
      <c r="B327" t="s">
        <v>32</v>
      </c>
      <c r="C327" t="s">
        <v>38</v>
      </c>
      <c r="D327" s="3" t="s">
        <v>101</v>
      </c>
      <c r="E327" s="5" t="str">
        <f>TEXT(D327,"dd/mm/yyyy")</f>
        <v>26/07/2022</v>
      </c>
      <c r="F327" s="5" t="str" cm="1">
        <f t="array" ref="F327">RIGHT(_xlfn.ANCHORARRAY(E327),4)</f>
        <v>2022</v>
      </c>
      <c r="G327" s="5" t="str">
        <f>TEXT(E327,"mm")</f>
        <v>26/07/2022</v>
      </c>
      <c r="H327" s="6">
        <v>6454</v>
      </c>
      <c r="I327">
        <v>160</v>
      </c>
      <c r="L327" t="str">
        <f t="shared" si="5"/>
        <v>Above Average</v>
      </c>
      <c r="M327">
        <f>RANK(H327,H:H,0)</f>
        <v>1317</v>
      </c>
    </row>
    <row r="328" spans="1:13">
      <c r="A328" t="s">
        <v>9</v>
      </c>
      <c r="B328" t="s">
        <v>35</v>
      </c>
      <c r="C328" t="s">
        <v>59</v>
      </c>
      <c r="D328" s="3" t="s">
        <v>139</v>
      </c>
      <c r="E328" s="5" t="str">
        <f>TEXT(D328,"dd/mm/yyyy")</f>
        <v>22/03/2022</v>
      </c>
      <c r="F328" s="5" t="str" cm="1">
        <f t="array" ref="F328">RIGHT(_xlfn.ANCHORARRAY(E328),4)</f>
        <v>2022</v>
      </c>
      <c r="G328" s="5" t="str">
        <f>TEXT(E328,"mm")</f>
        <v>22/03/2022</v>
      </c>
      <c r="H328" s="6">
        <v>420</v>
      </c>
      <c r="I328">
        <v>3</v>
      </c>
      <c r="L328" t="str">
        <f t="shared" si="5"/>
        <v>Below Average</v>
      </c>
      <c r="M328">
        <f>RANK(H328,H:H,0)</f>
        <v>3160</v>
      </c>
    </row>
    <row r="329" spans="1:13">
      <c r="A329" t="s">
        <v>29</v>
      </c>
      <c r="B329" t="s">
        <v>32</v>
      </c>
      <c r="C329" t="s">
        <v>87</v>
      </c>
      <c r="D329" s="4">
        <v>44810</v>
      </c>
      <c r="E329" s="5" t="str">
        <f>TEXT(D329,"dd/mm/yyyy")</f>
        <v>06/09/2022</v>
      </c>
      <c r="F329" s="5" t="str" cm="1">
        <f t="array" ref="F329">RIGHT(_xlfn.ANCHORARRAY(E329),4)</f>
        <v>2022</v>
      </c>
      <c r="G329" s="5" t="str">
        <f>TEXT(E329,"mm")</f>
        <v>06</v>
      </c>
      <c r="H329" s="6">
        <v>2863</v>
      </c>
      <c r="I329">
        <v>58</v>
      </c>
      <c r="L329" t="str">
        <f t="shared" si="5"/>
        <v>Below Average</v>
      </c>
      <c r="M329">
        <f>RANK(H329,H:H,0)</f>
        <v>2352</v>
      </c>
    </row>
    <row r="330" spans="1:13">
      <c r="A330" t="s">
        <v>9</v>
      </c>
      <c r="B330" t="s">
        <v>15</v>
      </c>
      <c r="C330" t="s">
        <v>90</v>
      </c>
      <c r="D330" s="3" t="s">
        <v>144</v>
      </c>
      <c r="E330" s="5" t="str">
        <f>TEXT(D330,"dd/mm/yyyy")</f>
        <v>17/05/2022</v>
      </c>
      <c r="F330" s="5" t="str" cm="1">
        <f t="array" ref="F330">RIGHT(_xlfn.ANCHORARRAY(E330),4)</f>
        <v>2022</v>
      </c>
      <c r="G330" s="5" t="str">
        <f>TEXT(E330,"mm")</f>
        <v>17/05/2022</v>
      </c>
      <c r="H330" s="6">
        <v>5936</v>
      </c>
      <c r="I330">
        <v>59</v>
      </c>
      <c r="L330" t="str">
        <f t="shared" si="5"/>
        <v>Below Average</v>
      </c>
      <c r="M330">
        <f>RANK(H330,H:H,0)</f>
        <v>1445</v>
      </c>
    </row>
    <row r="331" spans="1:13">
      <c r="A331" t="s">
        <v>83</v>
      </c>
      <c r="B331" t="s">
        <v>25</v>
      </c>
      <c r="C331" t="s">
        <v>13</v>
      </c>
      <c r="D331" s="4">
        <v>44654</v>
      </c>
      <c r="E331" s="5" t="str">
        <f>TEXT(D331,"dd/mm/yyyy")</f>
        <v>03/04/2022</v>
      </c>
      <c r="F331" s="5" t="str" cm="1">
        <f t="array" ref="F331">RIGHT(_xlfn.ANCHORARRAY(E331),4)</f>
        <v>2022</v>
      </c>
      <c r="G331" s="5" t="str">
        <f>TEXT(E331,"mm")</f>
        <v>03</v>
      </c>
      <c r="H331" s="6">
        <v>889</v>
      </c>
      <c r="I331">
        <v>273</v>
      </c>
      <c r="L331" t="str">
        <f t="shared" si="5"/>
        <v>Below Average</v>
      </c>
      <c r="M331">
        <f>RANK(H331,H:H,0)</f>
        <v>3006</v>
      </c>
    </row>
    <row r="332" spans="1:13">
      <c r="A332" t="s">
        <v>70</v>
      </c>
      <c r="B332" t="s">
        <v>35</v>
      </c>
      <c r="C332" t="s">
        <v>46</v>
      </c>
      <c r="D332" s="4">
        <v>44749</v>
      </c>
      <c r="E332" s="5" t="str">
        <f>TEXT(D332,"dd/mm/yyyy")</f>
        <v>07/07/2022</v>
      </c>
      <c r="F332" s="5" t="str" cm="1">
        <f t="array" ref="F332">RIGHT(_xlfn.ANCHORARRAY(E332),4)</f>
        <v>2022</v>
      </c>
      <c r="G332" s="5" t="str">
        <f>TEXT(E332,"mm")</f>
        <v>07</v>
      </c>
      <c r="H332" s="6">
        <v>16016</v>
      </c>
      <c r="I332">
        <v>28</v>
      </c>
      <c r="L332" t="str">
        <f t="shared" si="5"/>
        <v>Above Average</v>
      </c>
      <c r="M332">
        <f>RANK(H332,H:H,0)</f>
        <v>100</v>
      </c>
    </row>
    <row r="333" spans="1:13">
      <c r="A333" t="s">
        <v>58</v>
      </c>
      <c r="B333" t="s">
        <v>35</v>
      </c>
      <c r="C333" t="s">
        <v>75</v>
      </c>
      <c r="D333" s="3" t="s">
        <v>30</v>
      </c>
      <c r="E333" s="5" t="str">
        <f>TEXT(D333,"dd/mm/yyyy")</f>
        <v>13/01/2022</v>
      </c>
      <c r="F333" s="5" t="str" cm="1">
        <f t="array" ref="F333">RIGHT(_xlfn.ANCHORARRAY(E333),4)</f>
        <v>2022</v>
      </c>
      <c r="G333" s="5" t="str">
        <f>TEXT(E333,"mm")</f>
        <v>13/01/2022</v>
      </c>
      <c r="H333" s="6">
        <v>10479</v>
      </c>
      <c r="I333">
        <v>118</v>
      </c>
      <c r="L333" t="str">
        <f t="shared" si="5"/>
        <v>Above Average</v>
      </c>
      <c r="M333">
        <f>RANK(H333,H:H,0)</f>
        <v>512</v>
      </c>
    </row>
    <row r="334" spans="1:13">
      <c r="A334" t="s">
        <v>48</v>
      </c>
      <c r="B334" t="s">
        <v>15</v>
      </c>
      <c r="C334" t="s">
        <v>65</v>
      </c>
      <c r="D334" s="3" t="s">
        <v>94</v>
      </c>
      <c r="E334" s="5" t="str">
        <f>TEXT(D334,"dd/mm/yyyy")</f>
        <v>13/07/2022</v>
      </c>
      <c r="F334" s="5" t="str" cm="1">
        <f t="array" ref="F334">RIGHT(_xlfn.ANCHORARRAY(E334),4)</f>
        <v>2022</v>
      </c>
      <c r="G334" s="5" t="str">
        <f>TEXT(E334,"mm")</f>
        <v>13/07/2022</v>
      </c>
      <c r="H334" s="6">
        <v>2912</v>
      </c>
      <c r="I334">
        <v>75</v>
      </c>
      <c r="L334" t="str">
        <f t="shared" si="5"/>
        <v>Below Average</v>
      </c>
      <c r="M334">
        <f>RANK(H334,H:H,0)</f>
        <v>2341</v>
      </c>
    </row>
    <row r="335" spans="1:13">
      <c r="A335" t="s">
        <v>77</v>
      </c>
      <c r="B335" t="s">
        <v>15</v>
      </c>
      <c r="C335" t="s">
        <v>11</v>
      </c>
      <c r="D335" s="3" t="s">
        <v>111</v>
      </c>
      <c r="E335" s="5" t="str">
        <f>TEXT(D335,"dd/mm/yyyy")</f>
        <v>16/06/2022</v>
      </c>
      <c r="F335" s="5" t="str" cm="1">
        <f t="array" ref="F335">RIGHT(_xlfn.ANCHORARRAY(E335),4)</f>
        <v>2022</v>
      </c>
      <c r="G335" s="5" t="str">
        <f>TEXT(E335,"mm")</f>
        <v>16/06/2022</v>
      </c>
      <c r="H335" s="6">
        <v>1575</v>
      </c>
      <c r="I335">
        <v>329</v>
      </c>
      <c r="L335" t="str">
        <f t="shared" si="5"/>
        <v>Below Average</v>
      </c>
      <c r="M335">
        <f>RANK(H335,H:H,0)</f>
        <v>2781</v>
      </c>
    </row>
    <row r="336" spans="1:13">
      <c r="A336" t="s">
        <v>12</v>
      </c>
      <c r="B336" t="s">
        <v>7</v>
      </c>
      <c r="C336" t="s">
        <v>26</v>
      </c>
      <c r="D336" s="3" t="s">
        <v>145</v>
      </c>
      <c r="E336" s="5" t="str">
        <f>TEXT(D336,"dd/mm/yyyy")</f>
        <v>18/07/2022</v>
      </c>
      <c r="F336" s="5" t="str" cm="1">
        <f t="array" ref="F336">RIGHT(_xlfn.ANCHORARRAY(E336),4)</f>
        <v>2022</v>
      </c>
      <c r="G336" s="5" t="str">
        <f>TEXT(E336,"mm")</f>
        <v>18/07/2022</v>
      </c>
      <c r="H336" s="6">
        <v>8197</v>
      </c>
      <c r="I336">
        <v>69</v>
      </c>
      <c r="L336" t="str">
        <f t="shared" si="5"/>
        <v>Above Average</v>
      </c>
      <c r="M336">
        <f>RANK(H336,H:H,0)</f>
        <v>893</v>
      </c>
    </row>
    <row r="337" spans="1:13">
      <c r="A337" t="s">
        <v>83</v>
      </c>
      <c r="B337" t="s">
        <v>7</v>
      </c>
      <c r="C337" t="s">
        <v>60</v>
      </c>
      <c r="D337" s="3" t="s">
        <v>52</v>
      </c>
      <c r="E337" s="5" t="str">
        <f>TEXT(D337,"dd/mm/yyyy")</f>
        <v>30/05/2022</v>
      </c>
      <c r="F337" s="5" t="str" cm="1">
        <f t="array" ref="F337">RIGHT(_xlfn.ANCHORARRAY(E337),4)</f>
        <v>2022</v>
      </c>
      <c r="G337" s="5" t="str">
        <f>TEXT(E337,"mm")</f>
        <v>30/05/2022</v>
      </c>
      <c r="H337" s="6">
        <v>4221</v>
      </c>
      <c r="I337">
        <v>395</v>
      </c>
      <c r="L337" t="str">
        <f t="shared" si="5"/>
        <v>Below Average</v>
      </c>
      <c r="M337">
        <f>RANK(H337,H:H,0)</f>
        <v>1921</v>
      </c>
    </row>
    <row r="338" spans="1:13">
      <c r="A338" t="s">
        <v>12</v>
      </c>
      <c r="B338" t="s">
        <v>7</v>
      </c>
      <c r="C338" t="s">
        <v>100</v>
      </c>
      <c r="D338" s="3" t="s">
        <v>146</v>
      </c>
      <c r="E338" s="5" t="str">
        <f>TEXT(D338,"dd/mm/yyyy")</f>
        <v>21/06/2022</v>
      </c>
      <c r="F338" s="5" t="str" cm="1">
        <f t="array" ref="F338">RIGHT(_xlfn.ANCHORARRAY(E338),4)</f>
        <v>2022</v>
      </c>
      <c r="G338" s="5" t="str">
        <f>TEXT(E338,"mm")</f>
        <v>21/06/2022</v>
      </c>
      <c r="H338" s="6">
        <v>840</v>
      </c>
      <c r="I338">
        <v>81</v>
      </c>
      <c r="L338" t="str">
        <f t="shared" si="5"/>
        <v>Below Average</v>
      </c>
      <c r="M338">
        <f>RANK(H338,H:H,0)</f>
        <v>3020</v>
      </c>
    </row>
    <row r="339" spans="1:13">
      <c r="A339" t="s">
        <v>6</v>
      </c>
      <c r="B339" t="s">
        <v>15</v>
      </c>
      <c r="C339" t="s">
        <v>13</v>
      </c>
      <c r="D339" s="3" t="s">
        <v>143</v>
      </c>
      <c r="E339" s="5" t="str">
        <f>TEXT(D339,"dd/mm/yyyy")</f>
        <v>24/06/2022</v>
      </c>
      <c r="F339" s="5" t="str" cm="1">
        <f t="array" ref="F339">RIGHT(_xlfn.ANCHORARRAY(E339),4)</f>
        <v>2022</v>
      </c>
      <c r="G339" s="5" t="str">
        <f>TEXT(E339,"mm")</f>
        <v>24/06/2022</v>
      </c>
      <c r="H339" s="6">
        <v>5691</v>
      </c>
      <c r="I339">
        <v>38</v>
      </c>
      <c r="L339" t="str">
        <f t="shared" si="5"/>
        <v>Below Average</v>
      </c>
      <c r="M339">
        <f>RANK(H339,H:H,0)</f>
        <v>1518</v>
      </c>
    </row>
    <row r="340" spans="1:13">
      <c r="A340" t="s">
        <v>40</v>
      </c>
      <c r="B340" t="s">
        <v>10</v>
      </c>
      <c r="C340" t="s">
        <v>36</v>
      </c>
      <c r="D340" s="3" t="s">
        <v>30</v>
      </c>
      <c r="E340" s="5" t="str">
        <f>TEXT(D340,"dd/mm/yyyy")</f>
        <v>13/01/2022</v>
      </c>
      <c r="F340" s="5" t="str" cm="1">
        <f t="array" ref="F340">RIGHT(_xlfn.ANCHORARRAY(E340),4)</f>
        <v>2022</v>
      </c>
      <c r="G340" s="5" t="str">
        <f>TEXT(E340,"mm")</f>
        <v>13/01/2022</v>
      </c>
      <c r="H340" s="6">
        <v>3472</v>
      </c>
      <c r="I340">
        <v>96</v>
      </c>
      <c r="L340" t="str">
        <f t="shared" si="5"/>
        <v>Below Average</v>
      </c>
      <c r="M340">
        <f>RANK(H340,H:H,0)</f>
        <v>2146</v>
      </c>
    </row>
    <row r="341" spans="1:13">
      <c r="A341" t="s">
        <v>48</v>
      </c>
      <c r="B341" t="s">
        <v>35</v>
      </c>
      <c r="C341" t="s">
        <v>57</v>
      </c>
      <c r="D341" s="4">
        <v>44655</v>
      </c>
      <c r="E341" s="5" t="str">
        <f>TEXT(D341,"dd/mm/yyyy")</f>
        <v>04/04/2022</v>
      </c>
      <c r="F341" s="5" t="str" cm="1">
        <f t="array" ref="F341">RIGHT(_xlfn.ANCHORARRAY(E341),4)</f>
        <v>2022</v>
      </c>
      <c r="G341" s="5" t="str">
        <f>TEXT(E341,"mm")</f>
        <v>04</v>
      </c>
      <c r="H341" s="6">
        <v>4193</v>
      </c>
      <c r="I341">
        <v>195</v>
      </c>
      <c r="L341" t="str">
        <f t="shared" si="5"/>
        <v>Below Average</v>
      </c>
      <c r="M341">
        <f>RANK(H341,H:H,0)</f>
        <v>1931</v>
      </c>
    </row>
    <row r="342" spans="1:13">
      <c r="A342" t="s">
        <v>55</v>
      </c>
      <c r="B342" t="s">
        <v>7</v>
      </c>
      <c r="C342" t="s">
        <v>18</v>
      </c>
      <c r="D342" s="4">
        <v>44779</v>
      </c>
      <c r="E342" s="5" t="str">
        <f>TEXT(D342,"dd/mm/yyyy")</f>
        <v>06/08/2022</v>
      </c>
      <c r="F342" s="5" t="str" cm="1">
        <f t="array" ref="F342">RIGHT(_xlfn.ANCHORARRAY(E342),4)</f>
        <v>2022</v>
      </c>
      <c r="G342" s="5" t="str">
        <f>TEXT(E342,"mm")</f>
        <v>06</v>
      </c>
      <c r="H342" s="6">
        <v>9016</v>
      </c>
      <c r="I342">
        <v>554</v>
      </c>
      <c r="L342" t="str">
        <f t="shared" si="5"/>
        <v>Above Average</v>
      </c>
      <c r="M342">
        <f>RANK(H342,H:H,0)</f>
        <v>735</v>
      </c>
    </row>
    <row r="343" spans="1:13">
      <c r="A343" t="s">
        <v>37</v>
      </c>
      <c r="B343" t="s">
        <v>35</v>
      </c>
      <c r="C343" t="s">
        <v>50</v>
      </c>
      <c r="D343" s="4">
        <v>44600</v>
      </c>
      <c r="E343" s="5" t="str">
        <f>TEXT(D343,"dd/mm/yyyy")</f>
        <v>08/02/2022</v>
      </c>
      <c r="F343" s="5" t="str" cm="1">
        <f t="array" ref="F343">RIGHT(_xlfn.ANCHORARRAY(E343),4)</f>
        <v>2022</v>
      </c>
      <c r="G343" s="5" t="str">
        <f>TEXT(E343,"mm")</f>
        <v>08</v>
      </c>
      <c r="H343" s="6">
        <v>6328</v>
      </c>
      <c r="I343">
        <v>47</v>
      </c>
      <c r="L343" t="str">
        <f t="shared" si="5"/>
        <v>Above Average</v>
      </c>
      <c r="M343">
        <f>RANK(H343,H:H,0)</f>
        <v>1345</v>
      </c>
    </row>
    <row r="344" spans="1:13">
      <c r="A344" t="s">
        <v>70</v>
      </c>
      <c r="B344" t="s">
        <v>32</v>
      </c>
      <c r="C344" t="s">
        <v>42</v>
      </c>
      <c r="D344" s="3" t="s">
        <v>141</v>
      </c>
      <c r="E344" s="5" t="str">
        <f>TEXT(D344,"dd/mm/yyyy")</f>
        <v>21/07/2022</v>
      </c>
      <c r="F344" s="5" t="str" cm="1">
        <f t="array" ref="F344">RIGHT(_xlfn.ANCHORARRAY(E344),4)</f>
        <v>2022</v>
      </c>
      <c r="G344" s="5" t="str">
        <f>TEXT(E344,"mm")</f>
        <v>21/07/2022</v>
      </c>
      <c r="H344" s="6">
        <v>9870</v>
      </c>
      <c r="I344">
        <v>152</v>
      </c>
      <c r="L344" t="str">
        <f t="shared" si="5"/>
        <v>Above Average</v>
      </c>
      <c r="M344">
        <f>RANK(H344,H:H,0)</f>
        <v>600</v>
      </c>
    </row>
    <row r="345" spans="1:13">
      <c r="A345" t="s">
        <v>48</v>
      </c>
      <c r="B345" t="s">
        <v>10</v>
      </c>
      <c r="C345" t="s">
        <v>50</v>
      </c>
      <c r="D345" s="3" t="s">
        <v>92</v>
      </c>
      <c r="E345" s="5" t="str">
        <f>TEXT(D345,"dd/mm/yyyy")</f>
        <v>20/06/2022</v>
      </c>
      <c r="F345" s="5" t="str" cm="1">
        <f t="array" ref="F345">RIGHT(_xlfn.ANCHORARRAY(E345),4)</f>
        <v>2022</v>
      </c>
      <c r="G345" s="5" t="str">
        <f>TEXT(E345,"mm")</f>
        <v>20/06/2022</v>
      </c>
      <c r="H345" s="6">
        <v>161</v>
      </c>
      <c r="I345">
        <v>134</v>
      </c>
      <c r="L345" t="str">
        <f t="shared" si="5"/>
        <v>Below Average</v>
      </c>
      <c r="M345">
        <f>RANK(H345,H:H,0)</f>
        <v>3228</v>
      </c>
    </row>
    <row r="346" spans="1:13">
      <c r="A346" t="s">
        <v>45</v>
      </c>
      <c r="B346" t="s">
        <v>10</v>
      </c>
      <c r="C346" t="s">
        <v>23</v>
      </c>
      <c r="D346" s="3" t="s">
        <v>147</v>
      </c>
      <c r="E346" s="5" t="str">
        <f>TEXT(D346,"dd/mm/yyyy")</f>
        <v>22/06/2022</v>
      </c>
      <c r="F346" s="5" t="str" cm="1">
        <f t="array" ref="F346">RIGHT(_xlfn.ANCHORARRAY(E346),4)</f>
        <v>2022</v>
      </c>
      <c r="G346" s="5" t="str">
        <f>TEXT(E346,"mm")</f>
        <v>22/06/2022</v>
      </c>
      <c r="H346" s="6">
        <v>2576</v>
      </c>
      <c r="I346">
        <v>112</v>
      </c>
      <c r="L346" t="str">
        <f t="shared" si="5"/>
        <v>Below Average</v>
      </c>
      <c r="M346">
        <f>RANK(H346,H:H,0)</f>
        <v>2448</v>
      </c>
    </row>
    <row r="347" spans="1:13">
      <c r="A347" t="s">
        <v>71</v>
      </c>
      <c r="B347" t="s">
        <v>15</v>
      </c>
      <c r="C347" t="s">
        <v>90</v>
      </c>
      <c r="D347" s="4">
        <v>44597</v>
      </c>
      <c r="E347" s="5" t="str">
        <f>TEXT(D347,"dd/mm/yyyy")</f>
        <v>05/02/2022</v>
      </c>
      <c r="F347" s="5" t="str" cm="1">
        <f t="array" ref="F347">RIGHT(_xlfn.ANCHORARRAY(E347),4)</f>
        <v>2022</v>
      </c>
      <c r="G347" s="5" t="str">
        <f>TEXT(E347,"mm")</f>
        <v>05</v>
      </c>
      <c r="H347" s="6">
        <v>3178</v>
      </c>
      <c r="I347">
        <v>16</v>
      </c>
      <c r="L347" t="str">
        <f t="shared" si="5"/>
        <v>Below Average</v>
      </c>
      <c r="M347">
        <f>RANK(H347,H:H,0)</f>
        <v>2239</v>
      </c>
    </row>
    <row r="348" spans="1:13">
      <c r="A348" t="s">
        <v>48</v>
      </c>
      <c r="B348" t="s">
        <v>15</v>
      </c>
      <c r="C348" t="s">
        <v>20</v>
      </c>
      <c r="D348" s="4">
        <v>44743</v>
      </c>
      <c r="E348" s="5" t="str">
        <f>TEXT(D348,"dd/mm/yyyy")</f>
        <v>01/07/2022</v>
      </c>
      <c r="F348" s="5" t="str" cm="1">
        <f t="array" ref="F348">RIGHT(_xlfn.ANCHORARRAY(E348),4)</f>
        <v>2022</v>
      </c>
      <c r="G348" s="5" t="str">
        <f>TEXT(E348,"mm")</f>
        <v>01</v>
      </c>
      <c r="H348" s="6">
        <v>4676</v>
      </c>
      <c r="I348">
        <v>84</v>
      </c>
      <c r="L348" t="str">
        <f t="shared" si="5"/>
        <v>Below Average</v>
      </c>
      <c r="M348">
        <f>RANK(H348,H:H,0)</f>
        <v>1805</v>
      </c>
    </row>
    <row r="349" spans="1:13">
      <c r="A349" t="s">
        <v>34</v>
      </c>
      <c r="B349" t="s">
        <v>7</v>
      </c>
      <c r="C349" t="s">
        <v>26</v>
      </c>
      <c r="D349" s="3" t="s">
        <v>109</v>
      </c>
      <c r="E349" s="5" t="str">
        <f>TEXT(D349,"dd/mm/yyyy")</f>
        <v>21/02/2022</v>
      </c>
      <c r="F349" s="5" t="str" cm="1">
        <f t="array" ref="F349">RIGHT(_xlfn.ANCHORARRAY(E349),4)</f>
        <v>2022</v>
      </c>
      <c r="G349" s="5" t="str">
        <f>TEXT(E349,"mm")</f>
        <v>21/02/2022</v>
      </c>
      <c r="H349" s="6">
        <v>5502</v>
      </c>
      <c r="I349">
        <v>99</v>
      </c>
      <c r="L349" t="str">
        <f t="shared" si="5"/>
        <v>Below Average</v>
      </c>
      <c r="M349">
        <f>RANK(H349,H:H,0)</f>
        <v>1567</v>
      </c>
    </row>
    <row r="350" spans="1:13">
      <c r="A350" t="s">
        <v>83</v>
      </c>
      <c r="B350" t="s">
        <v>35</v>
      </c>
      <c r="C350" t="s">
        <v>87</v>
      </c>
      <c r="D350" s="3" t="s">
        <v>148</v>
      </c>
      <c r="E350" s="5" t="str">
        <f>TEXT(D350,"dd/mm/yyyy")</f>
        <v>21/03/2022</v>
      </c>
      <c r="F350" s="5" t="str" cm="1">
        <f t="array" ref="F350">RIGHT(_xlfn.ANCHORARRAY(E350),4)</f>
        <v>2022</v>
      </c>
      <c r="G350" s="5" t="str">
        <f>TEXT(E350,"mm")</f>
        <v>21/03/2022</v>
      </c>
      <c r="H350" s="6">
        <v>7462</v>
      </c>
      <c r="I350">
        <v>371</v>
      </c>
      <c r="L350" t="str">
        <f t="shared" si="5"/>
        <v>Above Average</v>
      </c>
      <c r="M350">
        <f>RANK(H350,H:H,0)</f>
        <v>1075</v>
      </c>
    </row>
    <row r="351" spans="1:13">
      <c r="A351" t="s">
        <v>9</v>
      </c>
      <c r="B351" t="s">
        <v>7</v>
      </c>
      <c r="C351" t="s">
        <v>38</v>
      </c>
      <c r="D351" s="4">
        <v>44655</v>
      </c>
      <c r="E351" s="5" t="str">
        <f>TEXT(D351,"dd/mm/yyyy")</f>
        <v>04/04/2022</v>
      </c>
      <c r="F351" s="5" t="str" cm="1">
        <f t="array" ref="F351">RIGHT(_xlfn.ANCHORARRAY(E351),4)</f>
        <v>2022</v>
      </c>
      <c r="G351" s="5" t="str">
        <f>TEXT(E351,"mm")</f>
        <v>04</v>
      </c>
      <c r="H351" s="6">
        <v>5803</v>
      </c>
      <c r="I351">
        <v>136</v>
      </c>
      <c r="L351" t="str">
        <f t="shared" si="5"/>
        <v>Below Average</v>
      </c>
      <c r="M351">
        <f>RANK(H351,H:H,0)</f>
        <v>1486</v>
      </c>
    </row>
    <row r="352" spans="1:13">
      <c r="A352" t="s">
        <v>22</v>
      </c>
      <c r="B352" t="s">
        <v>35</v>
      </c>
      <c r="C352" t="s">
        <v>57</v>
      </c>
      <c r="D352" s="3" t="s">
        <v>24</v>
      </c>
      <c r="E352" s="5" t="str">
        <f>TEXT(D352,"dd/mm/yyyy")</f>
        <v>24/03/2022</v>
      </c>
      <c r="F352" s="5" t="str" cm="1">
        <f t="array" ref="F352">RIGHT(_xlfn.ANCHORARRAY(E352),4)</f>
        <v>2022</v>
      </c>
      <c r="G352" s="5" t="str">
        <f>TEXT(E352,"mm")</f>
        <v>24/03/2022</v>
      </c>
      <c r="H352" s="6">
        <v>13888</v>
      </c>
      <c r="I352">
        <v>203</v>
      </c>
      <c r="L352" t="str">
        <f t="shared" si="5"/>
        <v>Above Average</v>
      </c>
      <c r="M352">
        <f>RANK(H352,H:H,0)</f>
        <v>214</v>
      </c>
    </row>
    <row r="353" spans="1:13">
      <c r="A353" t="s">
        <v>22</v>
      </c>
      <c r="B353" t="s">
        <v>25</v>
      </c>
      <c r="C353" t="s">
        <v>50</v>
      </c>
      <c r="D353" s="3" t="s">
        <v>85</v>
      </c>
      <c r="E353" s="5" t="str">
        <f>TEXT(D353,"dd/mm/yyyy")</f>
        <v>28/06/2022</v>
      </c>
      <c r="F353" s="5" t="str" cm="1">
        <f t="array" ref="F353">RIGHT(_xlfn.ANCHORARRAY(E353),4)</f>
        <v>2022</v>
      </c>
      <c r="G353" s="5" t="str">
        <f>TEXT(E353,"mm")</f>
        <v>28/06/2022</v>
      </c>
      <c r="H353" s="6">
        <v>6867</v>
      </c>
      <c r="I353">
        <v>183</v>
      </c>
      <c r="L353" t="str">
        <f t="shared" si="5"/>
        <v>Above Average</v>
      </c>
      <c r="M353">
        <f>RANK(H353,H:H,0)</f>
        <v>1217</v>
      </c>
    </row>
    <row r="354" spans="1:13">
      <c r="A354" t="s">
        <v>22</v>
      </c>
      <c r="B354" t="s">
        <v>15</v>
      </c>
      <c r="C354" t="s">
        <v>38</v>
      </c>
      <c r="D354" s="3" t="s">
        <v>122</v>
      </c>
      <c r="E354" s="5" t="str">
        <f>TEXT(D354,"dd/mm/yyyy")</f>
        <v>14/01/2022</v>
      </c>
      <c r="F354" s="5" t="str" cm="1">
        <f t="array" ref="F354">RIGHT(_xlfn.ANCHORARRAY(E354),4)</f>
        <v>2022</v>
      </c>
      <c r="G354" s="5" t="str">
        <f>TEXT(E354,"mm")</f>
        <v>14/01/2022</v>
      </c>
      <c r="H354" s="6">
        <v>2317</v>
      </c>
      <c r="I354">
        <v>195</v>
      </c>
      <c r="L354" t="str">
        <f t="shared" si="5"/>
        <v>Below Average</v>
      </c>
      <c r="M354">
        <f>RANK(H354,H:H,0)</f>
        <v>2542</v>
      </c>
    </row>
    <row r="355" spans="1:13">
      <c r="A355" t="s">
        <v>37</v>
      </c>
      <c r="B355" t="s">
        <v>25</v>
      </c>
      <c r="C355" t="s">
        <v>57</v>
      </c>
      <c r="D355" s="4">
        <v>44744</v>
      </c>
      <c r="E355" s="5" t="str">
        <f>TEXT(D355,"dd/mm/yyyy")</f>
        <v>02/07/2022</v>
      </c>
      <c r="F355" s="5" t="str" cm="1">
        <f t="array" ref="F355">RIGHT(_xlfn.ANCHORARRAY(E355),4)</f>
        <v>2022</v>
      </c>
      <c r="G355" s="5" t="str">
        <f>TEXT(E355,"mm")</f>
        <v>02</v>
      </c>
      <c r="H355" s="6">
        <v>1218</v>
      </c>
      <c r="I355">
        <v>135</v>
      </c>
      <c r="L355" t="str">
        <f t="shared" si="5"/>
        <v>Below Average</v>
      </c>
      <c r="M355">
        <f>RANK(H355,H:H,0)</f>
        <v>2901</v>
      </c>
    </row>
    <row r="356" spans="1:13">
      <c r="A356" t="s">
        <v>58</v>
      </c>
      <c r="B356" t="s">
        <v>25</v>
      </c>
      <c r="C356" t="s">
        <v>38</v>
      </c>
      <c r="D356" s="4">
        <v>44866</v>
      </c>
      <c r="E356" s="5" t="str">
        <f>TEXT(D356,"dd/mm/yyyy")</f>
        <v>01/11/2022</v>
      </c>
      <c r="F356" s="5" t="str" cm="1">
        <f t="array" ref="F356">RIGHT(_xlfn.ANCHORARRAY(E356),4)</f>
        <v>2022</v>
      </c>
      <c r="G356" s="5" t="str">
        <f>TEXT(E356,"mm")</f>
        <v>01</v>
      </c>
      <c r="H356" s="6">
        <v>4109</v>
      </c>
      <c r="I356">
        <v>197</v>
      </c>
      <c r="L356" t="str">
        <f t="shared" si="5"/>
        <v>Below Average</v>
      </c>
      <c r="M356">
        <f>RANK(H356,H:H,0)</f>
        <v>1956</v>
      </c>
    </row>
    <row r="357" spans="1:13">
      <c r="A357" t="s">
        <v>6</v>
      </c>
      <c r="B357" t="s">
        <v>10</v>
      </c>
      <c r="C357" t="s">
        <v>20</v>
      </c>
      <c r="D357" s="3" t="s">
        <v>104</v>
      </c>
      <c r="E357" s="5" t="str">
        <f>TEXT(D357,"dd/mm/yyyy")</f>
        <v>25/02/2022</v>
      </c>
      <c r="F357" s="5" t="str" cm="1">
        <f t="array" ref="F357">RIGHT(_xlfn.ANCHORARRAY(E357),4)</f>
        <v>2022</v>
      </c>
      <c r="G357" s="5" t="str">
        <f>TEXT(E357,"mm")</f>
        <v>25/02/2022</v>
      </c>
      <c r="H357" s="6">
        <v>1953</v>
      </c>
      <c r="I357">
        <v>242</v>
      </c>
      <c r="L357" t="str">
        <f t="shared" si="5"/>
        <v>Below Average</v>
      </c>
      <c r="M357">
        <f>RANK(H357,H:H,0)</f>
        <v>2648</v>
      </c>
    </row>
    <row r="358" spans="1:13">
      <c r="A358" t="s">
        <v>79</v>
      </c>
      <c r="B358" t="s">
        <v>15</v>
      </c>
      <c r="C358" t="s">
        <v>8</v>
      </c>
      <c r="D358" s="4">
        <v>44569</v>
      </c>
      <c r="E358" s="5" t="str">
        <f>TEXT(D358,"dd/mm/yyyy")</f>
        <v>08/01/2022</v>
      </c>
      <c r="F358" s="5" t="str" cm="1">
        <f t="array" ref="F358">RIGHT(_xlfn.ANCHORARRAY(E358),4)</f>
        <v>2022</v>
      </c>
      <c r="G358" s="5" t="str">
        <f>TEXT(E358,"mm")</f>
        <v>08</v>
      </c>
      <c r="H358" s="6">
        <v>6790</v>
      </c>
      <c r="I358">
        <v>25</v>
      </c>
      <c r="L358" t="str">
        <f t="shared" si="5"/>
        <v>Above Average</v>
      </c>
      <c r="M358">
        <f>RANK(H358,H:H,0)</f>
        <v>1241</v>
      </c>
    </row>
    <row r="359" spans="1:13">
      <c r="A359" t="s">
        <v>45</v>
      </c>
      <c r="B359" t="s">
        <v>15</v>
      </c>
      <c r="C359" t="s">
        <v>8</v>
      </c>
      <c r="D359" s="4">
        <v>44686</v>
      </c>
      <c r="E359" s="5" t="str">
        <f>TEXT(D359,"dd/mm/yyyy")</f>
        <v>05/05/2022</v>
      </c>
      <c r="F359" s="5" t="str" cm="1">
        <f t="array" ref="F359">RIGHT(_xlfn.ANCHORARRAY(E359),4)</f>
        <v>2022</v>
      </c>
      <c r="G359" s="5" t="str">
        <f>TEXT(E359,"mm")</f>
        <v>05</v>
      </c>
      <c r="H359" s="6">
        <v>6797</v>
      </c>
      <c r="I359">
        <v>252</v>
      </c>
      <c r="L359" t="str">
        <f t="shared" si="5"/>
        <v>Above Average</v>
      </c>
      <c r="M359">
        <f>RANK(H359,H:H,0)</f>
        <v>1238</v>
      </c>
    </row>
    <row r="360" spans="1:13">
      <c r="A360" t="s">
        <v>77</v>
      </c>
      <c r="B360" t="s">
        <v>25</v>
      </c>
      <c r="C360" t="s">
        <v>73</v>
      </c>
      <c r="D360" s="3" t="s">
        <v>84</v>
      </c>
      <c r="E360" s="5" t="str">
        <f>TEXT(D360,"dd/mm/yyyy")</f>
        <v>18/05/2022</v>
      </c>
      <c r="F360" s="5" t="str" cm="1">
        <f t="array" ref="F360">RIGHT(_xlfn.ANCHORARRAY(E360),4)</f>
        <v>2022</v>
      </c>
      <c r="G360" s="5" t="str">
        <f>TEXT(E360,"mm")</f>
        <v>18/05/2022</v>
      </c>
      <c r="H360" s="6">
        <v>9226</v>
      </c>
      <c r="I360">
        <v>415</v>
      </c>
      <c r="L360" t="str">
        <f t="shared" si="5"/>
        <v>Above Average</v>
      </c>
      <c r="M360">
        <f>RANK(H360,H:H,0)</f>
        <v>700</v>
      </c>
    </row>
    <row r="361" spans="1:13">
      <c r="A361" t="s">
        <v>79</v>
      </c>
      <c r="B361" t="s">
        <v>25</v>
      </c>
      <c r="C361" t="s">
        <v>75</v>
      </c>
      <c r="D361" s="4">
        <v>44652</v>
      </c>
      <c r="E361" s="5" t="str">
        <f>TEXT(D361,"dd/mm/yyyy")</f>
        <v>01/04/2022</v>
      </c>
      <c r="F361" s="5" t="str" cm="1">
        <f t="array" ref="F361">RIGHT(_xlfn.ANCHORARRAY(E361),4)</f>
        <v>2022</v>
      </c>
      <c r="G361" s="5" t="str">
        <f>TEXT(E361,"mm")</f>
        <v>01</v>
      </c>
      <c r="H361" s="6">
        <v>5733</v>
      </c>
      <c r="I361">
        <v>348</v>
      </c>
      <c r="L361" t="str">
        <f t="shared" si="5"/>
        <v>Below Average</v>
      </c>
      <c r="M361">
        <f>RANK(H361,H:H,0)</f>
        <v>1510</v>
      </c>
    </row>
    <row r="362" spans="1:13">
      <c r="A362" t="s">
        <v>45</v>
      </c>
      <c r="B362" t="s">
        <v>25</v>
      </c>
      <c r="C362" t="s">
        <v>26</v>
      </c>
      <c r="D362" s="4">
        <v>44809</v>
      </c>
      <c r="E362" s="5" t="str">
        <f>TEXT(D362,"dd/mm/yyyy")</f>
        <v>05/09/2022</v>
      </c>
      <c r="F362" s="5" t="str" cm="1">
        <f t="array" ref="F362">RIGHT(_xlfn.ANCHORARRAY(E362),4)</f>
        <v>2022</v>
      </c>
      <c r="G362" s="5" t="str">
        <f>TEXT(E362,"mm")</f>
        <v>05</v>
      </c>
      <c r="H362" s="6">
        <v>4312</v>
      </c>
      <c r="I362">
        <v>211</v>
      </c>
      <c r="L362" t="str">
        <f t="shared" si="5"/>
        <v>Below Average</v>
      </c>
      <c r="M362">
        <f>RANK(H362,H:H,0)</f>
        <v>1902</v>
      </c>
    </row>
    <row r="363" spans="1:13">
      <c r="A363" t="s">
        <v>29</v>
      </c>
      <c r="B363" t="s">
        <v>10</v>
      </c>
      <c r="C363" t="s">
        <v>18</v>
      </c>
      <c r="D363" s="4">
        <v>44717</v>
      </c>
      <c r="E363" s="5" t="str">
        <f>TEXT(D363,"dd/mm/yyyy")</f>
        <v>05/06/2022</v>
      </c>
      <c r="F363" s="5" t="str" cm="1">
        <f t="array" ref="F363">RIGHT(_xlfn.ANCHORARRAY(E363),4)</f>
        <v>2022</v>
      </c>
      <c r="G363" s="5" t="str">
        <f>TEXT(E363,"mm")</f>
        <v>05</v>
      </c>
      <c r="H363" s="6">
        <v>1638</v>
      </c>
      <c r="I363">
        <v>81</v>
      </c>
      <c r="L363" t="str">
        <f t="shared" si="5"/>
        <v>Below Average</v>
      </c>
      <c r="M363">
        <f>RANK(H363,H:H,0)</f>
        <v>2758</v>
      </c>
    </row>
    <row r="364" spans="1:13">
      <c r="A364" t="s">
        <v>53</v>
      </c>
      <c r="B364" t="s">
        <v>7</v>
      </c>
      <c r="C364" t="s">
        <v>59</v>
      </c>
      <c r="D364" s="3" t="s">
        <v>30</v>
      </c>
      <c r="E364" s="5" t="str">
        <f>TEXT(D364,"dd/mm/yyyy")</f>
        <v>13/01/2022</v>
      </c>
      <c r="F364" s="5" t="str" cm="1">
        <f t="array" ref="F364">RIGHT(_xlfn.ANCHORARRAY(E364),4)</f>
        <v>2022</v>
      </c>
      <c r="G364" s="5" t="str">
        <f>TEXT(E364,"mm")</f>
        <v>13/01/2022</v>
      </c>
      <c r="H364" s="6">
        <v>10815</v>
      </c>
      <c r="I364">
        <v>145</v>
      </c>
      <c r="L364" t="str">
        <f t="shared" si="5"/>
        <v>Above Average</v>
      </c>
      <c r="M364">
        <f>RANK(H364,H:H,0)</f>
        <v>470</v>
      </c>
    </row>
    <row r="365" spans="1:13">
      <c r="A365" t="s">
        <v>45</v>
      </c>
      <c r="B365" t="s">
        <v>15</v>
      </c>
      <c r="C365" t="s">
        <v>65</v>
      </c>
      <c r="D365" s="3" t="s">
        <v>143</v>
      </c>
      <c r="E365" s="5" t="str">
        <f>TEXT(D365,"dd/mm/yyyy")</f>
        <v>24/06/2022</v>
      </c>
      <c r="F365" s="5" t="str" cm="1">
        <f t="array" ref="F365">RIGHT(_xlfn.ANCHORARRAY(E365),4)</f>
        <v>2022</v>
      </c>
      <c r="G365" s="5" t="str">
        <f>TEXT(E365,"mm")</f>
        <v>24/06/2022</v>
      </c>
      <c r="H365" s="6">
        <v>4466</v>
      </c>
      <c r="I365">
        <v>74</v>
      </c>
      <c r="L365" t="str">
        <f t="shared" si="5"/>
        <v>Below Average</v>
      </c>
      <c r="M365">
        <f>RANK(H365,H:H,0)</f>
        <v>1861</v>
      </c>
    </row>
    <row r="366" spans="1:13">
      <c r="A366" t="s">
        <v>9</v>
      </c>
      <c r="B366" t="s">
        <v>32</v>
      </c>
      <c r="C366" t="s">
        <v>90</v>
      </c>
      <c r="D366" s="3" t="s">
        <v>44</v>
      </c>
      <c r="E366" s="5" t="str">
        <f>TEXT(D366,"dd/mm/yyyy")</f>
        <v>14/02/2022</v>
      </c>
      <c r="F366" s="5" t="str" cm="1">
        <f t="array" ref="F366">RIGHT(_xlfn.ANCHORARRAY(E366),4)</f>
        <v>2022</v>
      </c>
      <c r="G366" s="5" t="str">
        <f>TEXT(E366,"mm")</f>
        <v>14/02/2022</v>
      </c>
      <c r="H366" s="6">
        <v>987</v>
      </c>
      <c r="I366">
        <v>21</v>
      </c>
      <c r="L366" t="str">
        <f t="shared" si="5"/>
        <v>Below Average</v>
      </c>
      <c r="M366">
        <f>RANK(H366,H:H,0)</f>
        <v>2978</v>
      </c>
    </row>
    <row r="367" spans="1:13">
      <c r="A367" t="s">
        <v>71</v>
      </c>
      <c r="B367" t="s">
        <v>15</v>
      </c>
      <c r="C367" t="s">
        <v>20</v>
      </c>
      <c r="D367" s="3" t="s">
        <v>115</v>
      </c>
      <c r="E367" s="5" t="str">
        <f>TEXT(D367,"dd/mm/yyyy")</f>
        <v>18/01/2022</v>
      </c>
      <c r="F367" s="5" t="str" cm="1">
        <f t="array" ref="F367">RIGHT(_xlfn.ANCHORARRAY(E367),4)</f>
        <v>2022</v>
      </c>
      <c r="G367" s="5" t="str">
        <f>TEXT(E367,"mm")</f>
        <v>18/01/2022</v>
      </c>
      <c r="H367" s="6">
        <v>4669</v>
      </c>
      <c r="I367">
        <v>101</v>
      </c>
      <c r="L367" t="str">
        <f t="shared" si="5"/>
        <v>Below Average</v>
      </c>
      <c r="M367">
        <f>RANK(H367,H:H,0)</f>
        <v>1808</v>
      </c>
    </row>
    <row r="368" spans="1:13">
      <c r="A368" t="s">
        <v>55</v>
      </c>
      <c r="B368" t="s">
        <v>10</v>
      </c>
      <c r="C368" t="s">
        <v>46</v>
      </c>
      <c r="D368" s="4">
        <v>44597</v>
      </c>
      <c r="E368" s="5" t="str">
        <f>TEXT(D368,"dd/mm/yyyy")</f>
        <v>05/02/2022</v>
      </c>
      <c r="F368" s="5" t="str" cm="1">
        <f t="array" ref="F368">RIGHT(_xlfn.ANCHORARRAY(E368),4)</f>
        <v>2022</v>
      </c>
      <c r="G368" s="5" t="str">
        <f>TEXT(E368,"mm")</f>
        <v>05</v>
      </c>
      <c r="H368" s="6">
        <v>2905</v>
      </c>
      <c r="I368">
        <v>91</v>
      </c>
      <c r="L368" t="str">
        <f t="shared" si="5"/>
        <v>Below Average</v>
      </c>
      <c r="M368">
        <f>RANK(H368,H:H,0)</f>
        <v>2344</v>
      </c>
    </row>
    <row r="369" spans="1:13">
      <c r="A369" t="s">
        <v>83</v>
      </c>
      <c r="B369" t="s">
        <v>15</v>
      </c>
      <c r="C369" t="s">
        <v>18</v>
      </c>
      <c r="D369" s="3" t="s">
        <v>86</v>
      </c>
      <c r="E369" s="5" t="str">
        <f>TEXT(D369,"dd/mm/yyyy")</f>
        <v>16/05/2022</v>
      </c>
      <c r="F369" s="5" t="str" cm="1">
        <f t="array" ref="F369">RIGHT(_xlfn.ANCHORARRAY(E369),4)</f>
        <v>2022</v>
      </c>
      <c r="G369" s="5" t="str">
        <f>TEXT(E369,"mm")</f>
        <v>16/05/2022</v>
      </c>
      <c r="H369" s="6">
        <v>7490</v>
      </c>
      <c r="I369">
        <v>54</v>
      </c>
      <c r="L369" t="str">
        <f t="shared" si="5"/>
        <v>Above Average</v>
      </c>
      <c r="M369">
        <f>RANK(H369,H:H,0)</f>
        <v>1064</v>
      </c>
    </row>
    <row r="370" spans="1:13">
      <c r="A370" t="s">
        <v>34</v>
      </c>
      <c r="B370" t="s">
        <v>32</v>
      </c>
      <c r="C370" t="s">
        <v>65</v>
      </c>
      <c r="D370" s="3" t="s">
        <v>107</v>
      </c>
      <c r="E370" s="5" t="str">
        <f>TEXT(D370,"dd/mm/yyyy")</f>
        <v>28/01/2022</v>
      </c>
      <c r="F370" s="5" t="str" cm="1">
        <f t="array" ref="F370">RIGHT(_xlfn.ANCHORARRAY(E370),4)</f>
        <v>2022</v>
      </c>
      <c r="G370" s="5" t="str">
        <f>TEXT(E370,"mm")</f>
        <v>28/01/2022</v>
      </c>
      <c r="H370" s="6">
        <v>6986</v>
      </c>
      <c r="I370">
        <v>368</v>
      </c>
      <c r="L370" t="str">
        <f t="shared" si="5"/>
        <v>Above Average</v>
      </c>
      <c r="M370">
        <f>RANK(H370,H:H,0)</f>
        <v>1184</v>
      </c>
    </row>
    <row r="371" spans="1:13">
      <c r="A371" t="s">
        <v>55</v>
      </c>
      <c r="B371" t="s">
        <v>35</v>
      </c>
      <c r="C371" t="s">
        <v>20</v>
      </c>
      <c r="D371" s="3" t="s">
        <v>143</v>
      </c>
      <c r="E371" s="5" t="str">
        <f>TEXT(D371,"dd/mm/yyyy")</f>
        <v>24/06/2022</v>
      </c>
      <c r="F371" s="5" t="str" cm="1">
        <f t="array" ref="F371">RIGHT(_xlfn.ANCHORARRAY(E371),4)</f>
        <v>2022</v>
      </c>
      <c r="G371" s="5" t="str">
        <f>TEXT(E371,"mm")</f>
        <v>24/06/2022</v>
      </c>
      <c r="H371" s="6">
        <v>1288</v>
      </c>
      <c r="I371">
        <v>409</v>
      </c>
      <c r="L371" t="str">
        <f t="shared" si="5"/>
        <v>Below Average</v>
      </c>
      <c r="M371">
        <f>RANK(H371,H:H,0)</f>
        <v>2878</v>
      </c>
    </row>
    <row r="372" spans="1:13">
      <c r="A372" t="s">
        <v>19</v>
      </c>
      <c r="B372" t="s">
        <v>7</v>
      </c>
      <c r="C372" t="s">
        <v>23</v>
      </c>
      <c r="D372" s="3" t="s">
        <v>145</v>
      </c>
      <c r="E372" s="5" t="str">
        <f>TEXT(D372,"dd/mm/yyyy")</f>
        <v>18/07/2022</v>
      </c>
      <c r="F372" s="5" t="str" cm="1">
        <f t="array" ref="F372">RIGHT(_xlfn.ANCHORARRAY(E372),4)</f>
        <v>2022</v>
      </c>
      <c r="G372" s="5" t="str">
        <f>TEXT(E372,"mm")</f>
        <v>18/07/2022</v>
      </c>
      <c r="H372" s="6">
        <v>2345</v>
      </c>
      <c r="I372">
        <v>104</v>
      </c>
      <c r="L372" t="str">
        <f t="shared" si="5"/>
        <v>Below Average</v>
      </c>
      <c r="M372">
        <f>RANK(H372,H:H,0)</f>
        <v>2532</v>
      </c>
    </row>
    <row r="373" spans="1:13">
      <c r="A373" t="s">
        <v>22</v>
      </c>
      <c r="B373" t="s">
        <v>7</v>
      </c>
      <c r="C373" t="s">
        <v>36</v>
      </c>
      <c r="D373" s="3" t="s">
        <v>121</v>
      </c>
      <c r="E373" s="5" t="str">
        <f>TEXT(D373,"dd/mm/yyyy")</f>
        <v>13/04/2022</v>
      </c>
      <c r="F373" s="5" t="str" cm="1">
        <f t="array" ref="F373">RIGHT(_xlfn.ANCHORARRAY(E373),4)</f>
        <v>2022</v>
      </c>
      <c r="G373" s="5" t="str">
        <f>TEXT(E373,"mm")</f>
        <v>13/04/2022</v>
      </c>
      <c r="H373" s="6">
        <v>3619</v>
      </c>
      <c r="I373">
        <v>164</v>
      </c>
      <c r="L373" t="str">
        <f t="shared" si="5"/>
        <v>Below Average</v>
      </c>
      <c r="M373">
        <f>RANK(H373,H:H,0)</f>
        <v>2098</v>
      </c>
    </row>
    <row r="374" spans="1:13">
      <c r="A374" t="s">
        <v>79</v>
      </c>
      <c r="B374" t="s">
        <v>32</v>
      </c>
      <c r="C374" t="s">
        <v>90</v>
      </c>
      <c r="D374" s="3" t="s">
        <v>74</v>
      </c>
      <c r="E374" s="5" t="str">
        <f>TEXT(D374,"dd/mm/yyyy")</f>
        <v>15/04/2022</v>
      </c>
      <c r="F374" s="5" t="str" cm="1">
        <f t="array" ref="F374">RIGHT(_xlfn.ANCHORARRAY(E374),4)</f>
        <v>2022</v>
      </c>
      <c r="G374" s="5" t="str">
        <f>TEXT(E374,"mm")</f>
        <v>15/04/2022</v>
      </c>
      <c r="H374" s="6">
        <v>16982</v>
      </c>
      <c r="I374">
        <v>76</v>
      </c>
      <c r="L374" t="str">
        <f t="shared" si="5"/>
        <v>Above Average</v>
      </c>
      <c r="M374">
        <f>RANK(H374,H:H,0)</f>
        <v>69</v>
      </c>
    </row>
    <row r="375" spans="1:13">
      <c r="A375" t="s">
        <v>14</v>
      </c>
      <c r="B375" t="s">
        <v>10</v>
      </c>
      <c r="C375" t="s">
        <v>13</v>
      </c>
      <c r="D375" s="4">
        <v>44652</v>
      </c>
      <c r="E375" s="5" t="str">
        <f>TEXT(D375,"dd/mm/yyyy")</f>
        <v>01/04/2022</v>
      </c>
      <c r="F375" s="5" t="str" cm="1">
        <f t="array" ref="F375">RIGHT(_xlfn.ANCHORARRAY(E375),4)</f>
        <v>2022</v>
      </c>
      <c r="G375" s="5" t="str">
        <f>TEXT(E375,"mm")</f>
        <v>01</v>
      </c>
      <c r="H375" s="6">
        <v>8092</v>
      </c>
      <c r="I375">
        <v>178</v>
      </c>
      <c r="L375" t="str">
        <f t="shared" si="5"/>
        <v>Above Average</v>
      </c>
      <c r="M375">
        <f>RANK(H375,H:H,0)</f>
        <v>919</v>
      </c>
    </row>
    <row r="376" spans="1:13">
      <c r="A376" t="s">
        <v>53</v>
      </c>
      <c r="B376" t="s">
        <v>15</v>
      </c>
      <c r="C376" t="s">
        <v>36</v>
      </c>
      <c r="D376" s="4">
        <v>44658</v>
      </c>
      <c r="E376" s="5" t="str">
        <f>TEXT(D376,"dd/mm/yyyy")</f>
        <v>07/04/2022</v>
      </c>
      <c r="F376" s="5" t="str" cm="1">
        <f t="array" ref="F376">RIGHT(_xlfn.ANCHORARRAY(E376),4)</f>
        <v>2022</v>
      </c>
      <c r="G376" s="5" t="str">
        <f>TEXT(E376,"mm")</f>
        <v>07</v>
      </c>
      <c r="H376" s="6">
        <v>6993</v>
      </c>
      <c r="I376">
        <v>31</v>
      </c>
      <c r="L376" t="str">
        <f t="shared" si="5"/>
        <v>Above Average</v>
      </c>
      <c r="M376">
        <f>RANK(H376,H:H,0)</f>
        <v>1182</v>
      </c>
    </row>
    <row r="377" spans="1:13">
      <c r="A377" t="s">
        <v>41</v>
      </c>
      <c r="B377" t="s">
        <v>32</v>
      </c>
      <c r="C377" t="s">
        <v>18</v>
      </c>
      <c r="D377" s="3" t="s">
        <v>24</v>
      </c>
      <c r="E377" s="5" t="str">
        <f>TEXT(D377,"dd/mm/yyyy")</f>
        <v>24/03/2022</v>
      </c>
      <c r="F377" s="5" t="str" cm="1">
        <f t="array" ref="F377">RIGHT(_xlfn.ANCHORARRAY(E377),4)</f>
        <v>2022</v>
      </c>
      <c r="G377" s="5" t="str">
        <f>TEXT(E377,"mm")</f>
        <v>24/03/2022</v>
      </c>
      <c r="H377" s="6">
        <v>2317</v>
      </c>
      <c r="I377">
        <v>352</v>
      </c>
      <c r="L377" t="str">
        <f t="shared" si="5"/>
        <v>Below Average</v>
      </c>
      <c r="M377">
        <f>RANK(H377,H:H,0)</f>
        <v>2542</v>
      </c>
    </row>
    <row r="378" spans="1:13">
      <c r="A378" t="s">
        <v>71</v>
      </c>
      <c r="B378" t="s">
        <v>15</v>
      </c>
      <c r="C378" t="s">
        <v>60</v>
      </c>
      <c r="D378" s="3" t="s">
        <v>123</v>
      </c>
      <c r="E378" s="5" t="str">
        <f>TEXT(D378,"dd/mm/yyyy")</f>
        <v>17/03/2022</v>
      </c>
      <c r="F378" s="5" t="str" cm="1">
        <f t="array" ref="F378">RIGHT(_xlfn.ANCHORARRAY(E378),4)</f>
        <v>2022</v>
      </c>
      <c r="G378" s="5" t="str">
        <f>TEXT(E378,"mm")</f>
        <v>17/03/2022</v>
      </c>
      <c r="H378" s="6">
        <v>637</v>
      </c>
      <c r="I378">
        <v>169</v>
      </c>
      <c r="L378" t="str">
        <f t="shared" si="5"/>
        <v>Below Average</v>
      </c>
      <c r="M378">
        <f>RANK(H378,H:H,0)</f>
        <v>3087</v>
      </c>
    </row>
    <row r="379" spans="1:13">
      <c r="A379" t="s">
        <v>19</v>
      </c>
      <c r="B379" t="s">
        <v>15</v>
      </c>
      <c r="C379" t="s">
        <v>65</v>
      </c>
      <c r="D379" s="3" t="s">
        <v>149</v>
      </c>
      <c r="E379" s="5" t="str">
        <f>TEXT(D379,"dd/mm/yyyy")</f>
        <v>15/02/2022</v>
      </c>
      <c r="F379" s="5" t="str" cm="1">
        <f t="array" ref="F379">RIGHT(_xlfn.ANCHORARRAY(E379),4)</f>
        <v>2022</v>
      </c>
      <c r="G379" s="5" t="str">
        <f>TEXT(E379,"mm")</f>
        <v>15/02/2022</v>
      </c>
      <c r="H379" s="6">
        <v>6034</v>
      </c>
      <c r="I379">
        <v>223</v>
      </c>
      <c r="L379" t="str">
        <f t="shared" si="5"/>
        <v>Above Average</v>
      </c>
      <c r="M379">
        <f>RANK(H379,H:H,0)</f>
        <v>1426</v>
      </c>
    </row>
    <row r="380" spans="1:13">
      <c r="A380" t="s">
        <v>14</v>
      </c>
      <c r="B380" t="s">
        <v>32</v>
      </c>
      <c r="C380" t="s">
        <v>33</v>
      </c>
      <c r="D380" s="3" t="s">
        <v>63</v>
      </c>
      <c r="E380" s="5" t="str">
        <f>TEXT(D380,"dd/mm/yyyy")</f>
        <v>29/06/2022</v>
      </c>
      <c r="F380" s="5" t="str" cm="1">
        <f t="array" ref="F380">RIGHT(_xlfn.ANCHORARRAY(E380),4)</f>
        <v>2022</v>
      </c>
      <c r="G380" s="5" t="str">
        <f>TEXT(E380,"mm")</f>
        <v>29/06/2022</v>
      </c>
      <c r="H380" s="6">
        <v>980</v>
      </c>
      <c r="I380">
        <v>146</v>
      </c>
      <c r="L380" t="str">
        <f t="shared" si="5"/>
        <v>Below Average</v>
      </c>
      <c r="M380">
        <f>RANK(H380,H:H,0)</f>
        <v>2979</v>
      </c>
    </row>
    <row r="381" spans="1:13">
      <c r="A381" t="s">
        <v>12</v>
      </c>
      <c r="B381" t="s">
        <v>32</v>
      </c>
      <c r="C381" t="s">
        <v>57</v>
      </c>
      <c r="D381" s="3" t="s">
        <v>62</v>
      </c>
      <c r="E381" s="5" t="str">
        <f>TEXT(D381,"dd/mm/yyyy")</f>
        <v>24/05/2022</v>
      </c>
      <c r="F381" s="5" t="str" cm="1">
        <f t="array" ref="F381">RIGHT(_xlfn.ANCHORARRAY(E381),4)</f>
        <v>2022</v>
      </c>
      <c r="G381" s="5" t="str">
        <f>TEXT(E381,"mm")</f>
        <v>24/05/2022</v>
      </c>
      <c r="H381" s="6">
        <v>2821</v>
      </c>
      <c r="I381">
        <v>112</v>
      </c>
      <c r="L381" t="str">
        <f t="shared" si="5"/>
        <v>Below Average</v>
      </c>
      <c r="M381">
        <f>RANK(H381,H:H,0)</f>
        <v>2363</v>
      </c>
    </row>
    <row r="382" spans="1:13">
      <c r="A382" t="s">
        <v>34</v>
      </c>
      <c r="B382" t="s">
        <v>7</v>
      </c>
      <c r="C382" t="s">
        <v>46</v>
      </c>
      <c r="D382" s="4">
        <v>44835</v>
      </c>
      <c r="E382" s="5" t="str">
        <f>TEXT(D382,"dd/mm/yyyy")</f>
        <v>01/10/2022</v>
      </c>
      <c r="F382" s="5" t="str" cm="1">
        <f t="array" ref="F382">RIGHT(_xlfn.ANCHORARRAY(E382),4)</f>
        <v>2022</v>
      </c>
      <c r="G382" s="5" t="str">
        <f>TEXT(E382,"mm")</f>
        <v>01</v>
      </c>
      <c r="H382" s="6">
        <v>3563</v>
      </c>
      <c r="I382">
        <v>284</v>
      </c>
      <c r="L382" t="str">
        <f t="shared" si="5"/>
        <v>Below Average</v>
      </c>
      <c r="M382">
        <f>RANK(H382,H:H,0)</f>
        <v>2121</v>
      </c>
    </row>
    <row r="383" spans="1:13">
      <c r="A383" t="s">
        <v>48</v>
      </c>
      <c r="B383" t="s">
        <v>32</v>
      </c>
      <c r="C383" t="s">
        <v>73</v>
      </c>
      <c r="D383" s="3" t="s">
        <v>131</v>
      </c>
      <c r="E383" s="5" t="str">
        <f>TEXT(D383,"dd/mm/yyyy")</f>
        <v>15/03/2022</v>
      </c>
      <c r="F383" s="5" t="str" cm="1">
        <f t="array" ref="F383">RIGHT(_xlfn.ANCHORARRAY(E383),4)</f>
        <v>2022</v>
      </c>
      <c r="G383" s="5" t="str">
        <f>TEXT(E383,"mm")</f>
        <v>15/03/2022</v>
      </c>
      <c r="H383" s="6">
        <v>2996</v>
      </c>
      <c r="I383">
        <v>139</v>
      </c>
      <c r="L383" t="str">
        <f t="shared" si="5"/>
        <v>Below Average</v>
      </c>
      <c r="M383">
        <f>RANK(H383,H:H,0)</f>
        <v>2310</v>
      </c>
    </row>
    <row r="384" spans="1:13">
      <c r="A384" t="s">
        <v>40</v>
      </c>
      <c r="B384" t="s">
        <v>35</v>
      </c>
      <c r="C384" t="s">
        <v>46</v>
      </c>
      <c r="D384" s="4">
        <v>44775</v>
      </c>
      <c r="E384" s="5" t="str">
        <f>TEXT(D384,"dd/mm/yyyy")</f>
        <v>02/08/2022</v>
      </c>
      <c r="F384" s="5" t="str" cm="1">
        <f t="array" ref="F384">RIGHT(_xlfn.ANCHORARRAY(E384),4)</f>
        <v>2022</v>
      </c>
      <c r="G384" s="5" t="str">
        <f>TEXT(E384,"mm")</f>
        <v>02</v>
      </c>
      <c r="H384" s="6">
        <v>2436</v>
      </c>
      <c r="I384">
        <v>309</v>
      </c>
      <c r="L384" t="str">
        <f t="shared" si="5"/>
        <v>Below Average</v>
      </c>
      <c r="M384">
        <f>RANK(H384,H:H,0)</f>
        <v>2505</v>
      </c>
    </row>
    <row r="385" spans="1:13">
      <c r="A385" t="s">
        <v>28</v>
      </c>
      <c r="B385" t="s">
        <v>10</v>
      </c>
      <c r="C385" t="s">
        <v>90</v>
      </c>
      <c r="D385" s="3" t="s">
        <v>104</v>
      </c>
      <c r="E385" s="5" t="str">
        <f>TEXT(D385,"dd/mm/yyyy")</f>
        <v>25/02/2022</v>
      </c>
      <c r="F385" s="5" t="str" cm="1">
        <f t="array" ref="F385">RIGHT(_xlfn.ANCHORARRAY(E385),4)</f>
        <v>2022</v>
      </c>
      <c r="G385" s="5" t="str">
        <f>TEXT(E385,"mm")</f>
        <v>25/02/2022</v>
      </c>
      <c r="H385" s="6">
        <v>1540</v>
      </c>
      <c r="I385">
        <v>100</v>
      </c>
      <c r="L385" t="str">
        <f t="shared" si="5"/>
        <v>Below Average</v>
      </c>
      <c r="M385">
        <f>RANK(H385,H:H,0)</f>
        <v>2793</v>
      </c>
    </row>
    <row r="386" spans="1:13">
      <c r="A386" t="s">
        <v>22</v>
      </c>
      <c r="B386" t="s">
        <v>32</v>
      </c>
      <c r="C386" t="s">
        <v>36</v>
      </c>
      <c r="D386" s="4">
        <v>44625</v>
      </c>
      <c r="E386" s="5" t="str">
        <f>TEXT(D386,"dd/mm/yyyy")</f>
        <v>05/03/2022</v>
      </c>
      <c r="F386" s="5" t="str" cm="1">
        <f t="array" ref="F386">RIGHT(_xlfn.ANCHORARRAY(E386),4)</f>
        <v>2022</v>
      </c>
      <c r="G386" s="5" t="str">
        <f>TEXT(E386,"mm")</f>
        <v>05</v>
      </c>
      <c r="H386" s="6">
        <v>6916</v>
      </c>
      <c r="I386">
        <v>42</v>
      </c>
      <c r="L386" t="str">
        <f t="shared" si="5"/>
        <v>Above Average</v>
      </c>
      <c r="M386">
        <f>RANK(H386,H:H,0)</f>
        <v>1201</v>
      </c>
    </row>
    <row r="387" spans="1:13">
      <c r="A387" t="s">
        <v>45</v>
      </c>
      <c r="B387" t="s">
        <v>32</v>
      </c>
      <c r="C387" t="s">
        <v>57</v>
      </c>
      <c r="D387" s="3" t="s">
        <v>127</v>
      </c>
      <c r="E387" s="5" t="str">
        <f>TEXT(D387,"dd/mm/yyyy")</f>
        <v>14/06/2022</v>
      </c>
      <c r="F387" s="5" t="str" cm="1">
        <f t="array" ref="F387">RIGHT(_xlfn.ANCHORARRAY(E387),4)</f>
        <v>2022</v>
      </c>
      <c r="G387" s="5" t="str">
        <f>TEXT(E387,"mm")</f>
        <v>14/06/2022</v>
      </c>
      <c r="H387" s="6">
        <v>5509</v>
      </c>
      <c r="I387">
        <v>24</v>
      </c>
      <c r="L387" t="str">
        <f t="shared" ref="L387:L450" si="6">IF(H387&gt;6030.34,"Above Average","Below Average")</f>
        <v>Below Average</v>
      </c>
      <c r="M387">
        <f>RANK(H387,H:H,0)</f>
        <v>1565</v>
      </c>
    </row>
    <row r="388" spans="1:13">
      <c r="A388" t="s">
        <v>22</v>
      </c>
      <c r="B388" t="s">
        <v>10</v>
      </c>
      <c r="C388" t="s">
        <v>26</v>
      </c>
      <c r="D388" s="4">
        <v>44812</v>
      </c>
      <c r="E388" s="5" t="str">
        <f>TEXT(D388,"dd/mm/yyyy")</f>
        <v>08/09/2022</v>
      </c>
      <c r="F388" s="5" t="str" cm="1">
        <f t="array" ref="F388">RIGHT(_xlfn.ANCHORARRAY(E388),4)</f>
        <v>2022</v>
      </c>
      <c r="G388" s="5" t="str">
        <f>TEXT(E388,"mm")</f>
        <v>08</v>
      </c>
      <c r="H388" s="6">
        <v>12992</v>
      </c>
      <c r="I388">
        <v>83</v>
      </c>
      <c r="L388" t="str">
        <f t="shared" si="6"/>
        <v>Above Average</v>
      </c>
      <c r="M388">
        <f>RANK(H388,H:H,0)</f>
        <v>270</v>
      </c>
    </row>
    <row r="389" spans="1:13">
      <c r="A389" t="s">
        <v>64</v>
      </c>
      <c r="B389" t="s">
        <v>25</v>
      </c>
      <c r="C389" t="s">
        <v>60</v>
      </c>
      <c r="D389" s="4">
        <v>44872</v>
      </c>
      <c r="E389" s="5" t="str">
        <f>TEXT(D389,"dd/mm/yyyy")</f>
        <v>07/11/2022</v>
      </c>
      <c r="F389" s="5" t="str" cm="1">
        <f t="array" ref="F389">RIGHT(_xlfn.ANCHORARRAY(E389),4)</f>
        <v>2022</v>
      </c>
      <c r="G389" s="5" t="str">
        <f>TEXT(E389,"mm")</f>
        <v>07</v>
      </c>
      <c r="H389" s="6">
        <v>3724</v>
      </c>
      <c r="I389">
        <v>234</v>
      </c>
      <c r="L389" t="str">
        <f t="shared" si="6"/>
        <v>Below Average</v>
      </c>
      <c r="M389">
        <f>RANK(H389,H:H,0)</f>
        <v>2064</v>
      </c>
    </row>
    <row r="390" spans="1:13">
      <c r="A390" t="s">
        <v>55</v>
      </c>
      <c r="B390" t="s">
        <v>7</v>
      </c>
      <c r="C390" t="s">
        <v>60</v>
      </c>
      <c r="D390" s="3" t="s">
        <v>122</v>
      </c>
      <c r="E390" s="5" t="str">
        <f>TEXT(D390,"dd/mm/yyyy")</f>
        <v>14/01/2022</v>
      </c>
      <c r="F390" s="5" t="str" cm="1">
        <f t="array" ref="F390">RIGHT(_xlfn.ANCHORARRAY(E390),4)</f>
        <v>2022</v>
      </c>
      <c r="G390" s="5" t="str">
        <f>TEXT(E390,"mm")</f>
        <v>14/01/2022</v>
      </c>
      <c r="H390" s="6">
        <v>7133</v>
      </c>
      <c r="I390">
        <v>118</v>
      </c>
      <c r="L390" t="str">
        <f t="shared" si="6"/>
        <v>Above Average</v>
      </c>
      <c r="M390">
        <f>RANK(H390,H:H,0)</f>
        <v>1151</v>
      </c>
    </row>
    <row r="391" spans="1:13">
      <c r="A391" t="s">
        <v>9</v>
      </c>
      <c r="B391" t="s">
        <v>35</v>
      </c>
      <c r="C391" t="s">
        <v>60</v>
      </c>
      <c r="D391" s="3" t="s">
        <v>17</v>
      </c>
      <c r="E391" s="5" t="str">
        <f>TEXT(D391,"dd/mm/yyyy")</f>
        <v>24/02/2022</v>
      </c>
      <c r="F391" s="5" t="str" cm="1">
        <f t="array" ref="F391">RIGHT(_xlfn.ANCHORARRAY(E391),4)</f>
        <v>2022</v>
      </c>
      <c r="G391" s="5" t="str">
        <f>TEXT(E391,"mm")</f>
        <v>24/02/2022</v>
      </c>
      <c r="H391" s="6">
        <v>8617</v>
      </c>
      <c r="I391">
        <v>46</v>
      </c>
      <c r="L391" t="str">
        <f t="shared" si="6"/>
        <v>Above Average</v>
      </c>
      <c r="M391">
        <f>RANK(H391,H:H,0)</f>
        <v>811</v>
      </c>
    </row>
    <row r="392" spans="1:13">
      <c r="A392" t="s">
        <v>64</v>
      </c>
      <c r="B392" t="s">
        <v>25</v>
      </c>
      <c r="C392" t="s">
        <v>65</v>
      </c>
      <c r="D392" s="3" t="s">
        <v>131</v>
      </c>
      <c r="E392" s="5" t="str">
        <f>TEXT(D392,"dd/mm/yyyy")</f>
        <v>15/03/2022</v>
      </c>
      <c r="F392" s="5" t="str" cm="1">
        <f t="array" ref="F392">RIGHT(_xlfn.ANCHORARRAY(E392),4)</f>
        <v>2022</v>
      </c>
      <c r="G392" s="5" t="str">
        <f>TEXT(E392,"mm")</f>
        <v>15/03/2022</v>
      </c>
      <c r="H392" s="6">
        <v>9198</v>
      </c>
      <c r="I392">
        <v>144</v>
      </c>
      <c r="L392" t="str">
        <f t="shared" si="6"/>
        <v>Above Average</v>
      </c>
      <c r="M392">
        <f>RANK(H392,H:H,0)</f>
        <v>704</v>
      </c>
    </row>
    <row r="393" spans="1:13">
      <c r="A393" t="s">
        <v>19</v>
      </c>
      <c r="B393" t="s">
        <v>25</v>
      </c>
      <c r="C393" t="s">
        <v>87</v>
      </c>
      <c r="D393" s="3" t="s">
        <v>114</v>
      </c>
      <c r="E393" s="5" t="str">
        <f>TEXT(D393,"dd/mm/yyyy")</f>
        <v>25/04/2022</v>
      </c>
      <c r="F393" s="5" t="str" cm="1">
        <f t="array" ref="F393">RIGHT(_xlfn.ANCHORARRAY(E393),4)</f>
        <v>2022</v>
      </c>
      <c r="G393" s="5" t="str">
        <f>TEXT(E393,"mm")</f>
        <v>25/04/2022</v>
      </c>
      <c r="H393" s="6">
        <v>11823</v>
      </c>
      <c r="I393">
        <v>47</v>
      </c>
      <c r="L393" t="str">
        <f t="shared" si="6"/>
        <v>Above Average</v>
      </c>
      <c r="M393">
        <f>RANK(H393,H:H,0)</f>
        <v>358</v>
      </c>
    </row>
    <row r="394" spans="1:13">
      <c r="A394" t="s">
        <v>58</v>
      </c>
      <c r="B394" t="s">
        <v>15</v>
      </c>
      <c r="C394" t="s">
        <v>42</v>
      </c>
      <c r="D394" s="4">
        <v>44839</v>
      </c>
      <c r="E394" s="5" t="str">
        <f>TEXT(D394,"dd/mm/yyyy")</f>
        <v>05/10/2022</v>
      </c>
      <c r="F394" s="5" t="str" cm="1">
        <f t="array" ref="F394">RIGHT(_xlfn.ANCHORARRAY(E394),4)</f>
        <v>2022</v>
      </c>
      <c r="G394" s="5" t="str">
        <f>TEXT(E394,"mm")</f>
        <v>05</v>
      </c>
      <c r="H394" s="6">
        <v>5775</v>
      </c>
      <c r="I394">
        <v>41</v>
      </c>
      <c r="L394" t="str">
        <f t="shared" si="6"/>
        <v>Below Average</v>
      </c>
      <c r="M394">
        <f>RANK(H394,H:H,0)</f>
        <v>1494</v>
      </c>
    </row>
    <row r="395" spans="1:13">
      <c r="A395" t="s">
        <v>40</v>
      </c>
      <c r="B395" t="s">
        <v>15</v>
      </c>
      <c r="C395" t="s">
        <v>50</v>
      </c>
      <c r="D395" s="3" t="s">
        <v>142</v>
      </c>
      <c r="E395" s="5" t="str">
        <f>TEXT(D395,"dd/mm/yyyy")</f>
        <v>23/06/2022</v>
      </c>
      <c r="F395" s="5" t="str" cm="1">
        <f t="array" ref="F395">RIGHT(_xlfn.ANCHORARRAY(E395),4)</f>
        <v>2022</v>
      </c>
      <c r="G395" s="5" t="str">
        <f>TEXT(E395,"mm")</f>
        <v>23/06/2022</v>
      </c>
      <c r="H395" s="6">
        <v>13125</v>
      </c>
      <c r="I395">
        <v>275</v>
      </c>
      <c r="L395" t="str">
        <f t="shared" si="6"/>
        <v>Above Average</v>
      </c>
      <c r="M395">
        <f>RANK(H395,H:H,0)</f>
        <v>257</v>
      </c>
    </row>
    <row r="396" spans="1:13">
      <c r="A396" t="s">
        <v>41</v>
      </c>
      <c r="B396" t="s">
        <v>35</v>
      </c>
      <c r="C396" t="s">
        <v>18</v>
      </c>
      <c r="D396" s="3" t="s">
        <v>56</v>
      </c>
      <c r="E396" s="5" t="str">
        <f>TEXT(D396,"dd/mm/yyyy")</f>
        <v>28/02/2022</v>
      </c>
      <c r="F396" s="5" t="str" cm="1">
        <f t="array" ref="F396">RIGHT(_xlfn.ANCHORARRAY(E396),4)</f>
        <v>2022</v>
      </c>
      <c r="G396" s="5" t="str">
        <f>TEXT(E396,"mm")</f>
        <v>28/02/2022</v>
      </c>
      <c r="H396" s="6">
        <v>14287</v>
      </c>
      <c r="I396">
        <v>370</v>
      </c>
      <c r="L396" t="str">
        <f t="shared" si="6"/>
        <v>Above Average</v>
      </c>
      <c r="M396">
        <f>RANK(H396,H:H,0)</f>
        <v>193</v>
      </c>
    </row>
    <row r="397" spans="1:13">
      <c r="A397" t="s">
        <v>28</v>
      </c>
      <c r="B397" t="s">
        <v>32</v>
      </c>
      <c r="C397" t="s">
        <v>42</v>
      </c>
      <c r="D397" s="3" t="s">
        <v>99</v>
      </c>
      <c r="E397" s="5" t="str">
        <f>TEXT(D397,"dd/mm/yyyy")</f>
        <v>25/05/2022</v>
      </c>
      <c r="F397" s="5" t="str" cm="1">
        <f t="array" ref="F397">RIGHT(_xlfn.ANCHORARRAY(E397),4)</f>
        <v>2022</v>
      </c>
      <c r="G397" s="5" t="str">
        <f>TEXT(E397,"mm")</f>
        <v>25/05/2022</v>
      </c>
      <c r="H397" s="6">
        <v>16233</v>
      </c>
      <c r="I397">
        <v>138</v>
      </c>
      <c r="L397" t="str">
        <f t="shared" si="6"/>
        <v>Above Average</v>
      </c>
      <c r="M397">
        <f>RANK(H397,H:H,0)</f>
        <v>94</v>
      </c>
    </row>
    <row r="398" spans="1:13">
      <c r="A398" t="s">
        <v>45</v>
      </c>
      <c r="B398" t="s">
        <v>25</v>
      </c>
      <c r="C398" t="s">
        <v>87</v>
      </c>
      <c r="D398" s="3" t="s">
        <v>125</v>
      </c>
      <c r="E398" s="5" t="str">
        <f>TEXT(D398,"dd/mm/yyyy")</f>
        <v>22/02/2022</v>
      </c>
      <c r="F398" s="5" t="str" cm="1">
        <f t="array" ref="F398">RIGHT(_xlfn.ANCHORARRAY(E398),4)</f>
        <v>2022</v>
      </c>
      <c r="G398" s="5" t="str">
        <f>TEXT(E398,"mm")</f>
        <v>22/02/2022</v>
      </c>
      <c r="H398" s="6">
        <v>5313</v>
      </c>
      <c r="I398">
        <v>215</v>
      </c>
      <c r="L398" t="str">
        <f t="shared" si="6"/>
        <v>Below Average</v>
      </c>
      <c r="M398">
        <f>RANK(H398,H:H,0)</f>
        <v>1612</v>
      </c>
    </row>
    <row r="399" spans="1:13">
      <c r="A399" t="s">
        <v>9</v>
      </c>
      <c r="B399" t="s">
        <v>7</v>
      </c>
      <c r="C399" t="s">
        <v>11</v>
      </c>
      <c r="D399" s="4">
        <v>44872</v>
      </c>
      <c r="E399" s="5" t="str">
        <f>TEXT(D399,"dd/mm/yyyy")</f>
        <v>07/11/2022</v>
      </c>
      <c r="F399" s="5" t="str" cm="1">
        <f t="array" ref="F399">RIGHT(_xlfn.ANCHORARRAY(E399),4)</f>
        <v>2022</v>
      </c>
      <c r="G399" s="5" t="str">
        <f>TEXT(E399,"mm")</f>
        <v>07</v>
      </c>
      <c r="H399" s="6">
        <v>3577</v>
      </c>
      <c r="I399">
        <v>134</v>
      </c>
      <c r="L399" t="str">
        <f t="shared" si="6"/>
        <v>Below Average</v>
      </c>
      <c r="M399">
        <f>RANK(H399,H:H,0)</f>
        <v>2112</v>
      </c>
    </row>
    <row r="400" spans="1:13">
      <c r="A400" t="s">
        <v>40</v>
      </c>
      <c r="B400" t="s">
        <v>35</v>
      </c>
      <c r="C400" t="s">
        <v>50</v>
      </c>
      <c r="D400" s="4">
        <v>44621</v>
      </c>
      <c r="E400" s="5" t="str">
        <f>TEXT(D400,"dd/mm/yyyy")</f>
        <v>01/03/2022</v>
      </c>
      <c r="F400" s="5" t="str" cm="1">
        <f t="array" ref="F400">RIGHT(_xlfn.ANCHORARRAY(E400),4)</f>
        <v>2022</v>
      </c>
      <c r="G400" s="5" t="str">
        <f>TEXT(E400,"mm")</f>
        <v>01</v>
      </c>
      <c r="H400" s="6">
        <v>3528</v>
      </c>
      <c r="I400">
        <v>336</v>
      </c>
      <c r="L400" t="str">
        <f t="shared" si="6"/>
        <v>Below Average</v>
      </c>
      <c r="M400">
        <f>RANK(H400,H:H,0)</f>
        <v>2132</v>
      </c>
    </row>
    <row r="401" spans="1:13">
      <c r="A401" t="s">
        <v>29</v>
      </c>
      <c r="B401" t="s">
        <v>25</v>
      </c>
      <c r="C401" t="s">
        <v>100</v>
      </c>
      <c r="D401" s="3" t="s">
        <v>69</v>
      </c>
      <c r="E401" s="5" t="str">
        <f>TEXT(D401,"dd/mm/yyyy")</f>
        <v>24/08/2022</v>
      </c>
      <c r="F401" s="5" t="str" cm="1">
        <f t="array" ref="F401">RIGHT(_xlfn.ANCHORARRAY(E401),4)</f>
        <v>2022</v>
      </c>
      <c r="G401" s="5" t="str">
        <f>TEXT(E401,"mm")</f>
        <v>24/08/2022</v>
      </c>
      <c r="H401" s="6">
        <v>679</v>
      </c>
      <c r="I401">
        <v>280</v>
      </c>
      <c r="L401" t="str">
        <f t="shared" si="6"/>
        <v>Below Average</v>
      </c>
      <c r="M401">
        <f>RANK(H401,H:H,0)</f>
        <v>3073</v>
      </c>
    </row>
    <row r="402" spans="1:13">
      <c r="A402" t="s">
        <v>41</v>
      </c>
      <c r="B402" t="s">
        <v>32</v>
      </c>
      <c r="C402" t="s">
        <v>26</v>
      </c>
      <c r="D402" s="3" t="s">
        <v>39</v>
      </c>
      <c r="E402" s="5" t="str">
        <f>TEXT(D402,"dd/mm/yyyy")</f>
        <v>28/07/2022</v>
      </c>
      <c r="F402" s="5" t="str" cm="1">
        <f t="array" ref="F402">RIGHT(_xlfn.ANCHORARRAY(E402),4)</f>
        <v>2022</v>
      </c>
      <c r="G402" s="5" t="str">
        <f>TEXT(E402,"mm")</f>
        <v>28/07/2022</v>
      </c>
      <c r="H402" s="6">
        <v>2450</v>
      </c>
      <c r="I402">
        <v>352</v>
      </c>
      <c r="L402" t="str">
        <f t="shared" si="6"/>
        <v>Below Average</v>
      </c>
      <c r="M402">
        <f>RANK(H402,H:H,0)</f>
        <v>2496</v>
      </c>
    </row>
    <row r="403" spans="1:13">
      <c r="A403" t="s">
        <v>28</v>
      </c>
      <c r="B403" t="s">
        <v>32</v>
      </c>
      <c r="C403" t="s">
        <v>8</v>
      </c>
      <c r="D403" s="3" t="s">
        <v>99</v>
      </c>
      <c r="E403" s="5" t="str">
        <f>TEXT(D403,"dd/mm/yyyy")</f>
        <v>25/05/2022</v>
      </c>
      <c r="F403" s="5" t="str" cm="1">
        <f t="array" ref="F403">RIGHT(_xlfn.ANCHORARRAY(E403),4)</f>
        <v>2022</v>
      </c>
      <c r="G403" s="5" t="str">
        <f>TEXT(E403,"mm")</f>
        <v>25/05/2022</v>
      </c>
      <c r="H403" s="6">
        <v>10577</v>
      </c>
      <c r="I403">
        <v>150</v>
      </c>
      <c r="L403" t="str">
        <f t="shared" si="6"/>
        <v>Above Average</v>
      </c>
      <c r="M403">
        <f>RANK(H403,H:H,0)</f>
        <v>503</v>
      </c>
    </row>
    <row r="404" spans="1:13">
      <c r="A404" t="s">
        <v>37</v>
      </c>
      <c r="B404" t="s">
        <v>25</v>
      </c>
      <c r="C404" t="s">
        <v>36</v>
      </c>
      <c r="D404" s="4">
        <v>44717</v>
      </c>
      <c r="E404" s="5" t="str">
        <f>TEXT(D404,"dd/mm/yyyy")</f>
        <v>05/06/2022</v>
      </c>
      <c r="F404" s="5" t="str" cm="1">
        <f t="array" ref="F404">RIGHT(_xlfn.ANCHORARRAY(E404),4)</f>
        <v>2022</v>
      </c>
      <c r="G404" s="5" t="str">
        <f>TEXT(E404,"mm")</f>
        <v>05</v>
      </c>
      <c r="H404" s="6">
        <v>2597</v>
      </c>
      <c r="I404">
        <v>177</v>
      </c>
      <c r="L404" t="str">
        <f t="shared" si="6"/>
        <v>Below Average</v>
      </c>
      <c r="M404">
        <f>RANK(H404,H:H,0)</f>
        <v>2440</v>
      </c>
    </row>
    <row r="405" spans="1:13">
      <c r="A405" t="s">
        <v>31</v>
      </c>
      <c r="B405" t="s">
        <v>10</v>
      </c>
      <c r="C405" t="s">
        <v>38</v>
      </c>
      <c r="D405" s="3" t="s">
        <v>107</v>
      </c>
      <c r="E405" s="5" t="str">
        <f>TEXT(D405,"dd/mm/yyyy")</f>
        <v>28/01/2022</v>
      </c>
      <c r="F405" s="5" t="str" cm="1">
        <f t="array" ref="F405">RIGHT(_xlfn.ANCHORARRAY(E405),4)</f>
        <v>2022</v>
      </c>
      <c r="G405" s="5" t="str">
        <f>TEXT(E405,"mm")</f>
        <v>28/01/2022</v>
      </c>
      <c r="H405" s="6">
        <v>2219</v>
      </c>
      <c r="I405">
        <v>142</v>
      </c>
      <c r="L405" t="str">
        <f t="shared" si="6"/>
        <v>Below Average</v>
      </c>
      <c r="M405">
        <f>RANK(H405,H:H,0)</f>
        <v>2574</v>
      </c>
    </row>
    <row r="406" spans="1:13">
      <c r="A406" t="s">
        <v>40</v>
      </c>
      <c r="B406" t="s">
        <v>7</v>
      </c>
      <c r="C406" t="s">
        <v>33</v>
      </c>
      <c r="D406" s="4">
        <v>44718</v>
      </c>
      <c r="E406" s="5" t="str">
        <f>TEXT(D406,"dd/mm/yyyy")</f>
        <v>06/06/2022</v>
      </c>
      <c r="F406" s="5" t="str" cm="1">
        <f t="array" ref="F406">RIGHT(_xlfn.ANCHORARRAY(E406),4)</f>
        <v>2022</v>
      </c>
      <c r="G406" s="5" t="str">
        <f>TEXT(E406,"mm")</f>
        <v>06</v>
      </c>
      <c r="H406" s="6">
        <v>11319</v>
      </c>
      <c r="I406">
        <v>12</v>
      </c>
      <c r="L406" t="str">
        <f t="shared" si="6"/>
        <v>Above Average</v>
      </c>
      <c r="M406">
        <f>RANK(H406,H:H,0)</f>
        <v>412</v>
      </c>
    </row>
    <row r="407" spans="1:13">
      <c r="A407" t="s">
        <v>28</v>
      </c>
      <c r="B407" t="s">
        <v>25</v>
      </c>
      <c r="C407" t="s">
        <v>87</v>
      </c>
      <c r="D407" s="4">
        <v>44902</v>
      </c>
      <c r="E407" s="5" t="str">
        <f>TEXT(D407,"dd/mm/yyyy")</f>
        <v>07/12/2022</v>
      </c>
      <c r="F407" s="5" t="str" cm="1">
        <f t="array" ref="F407">RIGHT(_xlfn.ANCHORARRAY(E407),4)</f>
        <v>2022</v>
      </c>
      <c r="G407" s="5" t="str">
        <f>TEXT(E407,"mm")</f>
        <v>07</v>
      </c>
      <c r="H407" s="6">
        <v>5978</v>
      </c>
      <c r="I407">
        <v>24</v>
      </c>
      <c r="L407" t="str">
        <f t="shared" si="6"/>
        <v>Below Average</v>
      </c>
      <c r="M407">
        <f>RANK(H407,H:H,0)</f>
        <v>1437</v>
      </c>
    </row>
    <row r="408" spans="1:13">
      <c r="A408" t="s">
        <v>83</v>
      </c>
      <c r="B408" t="s">
        <v>35</v>
      </c>
      <c r="C408" t="s">
        <v>50</v>
      </c>
      <c r="D408" s="4">
        <v>44689</v>
      </c>
      <c r="E408" s="5" t="str">
        <f>TEXT(D408,"dd/mm/yyyy")</f>
        <v>08/05/2022</v>
      </c>
      <c r="F408" s="5" t="str" cm="1">
        <f t="array" ref="F408">RIGHT(_xlfn.ANCHORARRAY(E408),4)</f>
        <v>2022</v>
      </c>
      <c r="G408" s="5" t="str">
        <f>TEXT(E408,"mm")</f>
        <v>08</v>
      </c>
      <c r="H408" s="6">
        <v>5327</v>
      </c>
      <c r="I408">
        <v>183</v>
      </c>
      <c r="L408" t="str">
        <f t="shared" si="6"/>
        <v>Below Average</v>
      </c>
      <c r="M408">
        <f>RANK(H408,H:H,0)</f>
        <v>1608</v>
      </c>
    </row>
    <row r="409" spans="1:13">
      <c r="A409" t="s">
        <v>28</v>
      </c>
      <c r="B409" t="s">
        <v>32</v>
      </c>
      <c r="C409" t="s">
        <v>33</v>
      </c>
      <c r="D409" s="3" t="s">
        <v>107</v>
      </c>
      <c r="E409" s="5" t="str">
        <f>TEXT(D409,"dd/mm/yyyy")</f>
        <v>28/01/2022</v>
      </c>
      <c r="F409" s="5" t="str" cm="1">
        <f t="array" ref="F409">RIGHT(_xlfn.ANCHORARRAY(E409),4)</f>
        <v>2022</v>
      </c>
      <c r="G409" s="5" t="str">
        <f>TEXT(E409,"mm")</f>
        <v>28/01/2022</v>
      </c>
      <c r="H409" s="6">
        <v>6020</v>
      </c>
      <c r="I409">
        <v>147</v>
      </c>
      <c r="L409" t="str">
        <f t="shared" si="6"/>
        <v>Below Average</v>
      </c>
      <c r="M409">
        <f>RANK(H409,H:H,0)</f>
        <v>1430</v>
      </c>
    </row>
    <row r="410" spans="1:13">
      <c r="A410" t="s">
        <v>55</v>
      </c>
      <c r="B410" t="s">
        <v>10</v>
      </c>
      <c r="C410" t="s">
        <v>50</v>
      </c>
      <c r="D410" s="3" t="s">
        <v>150</v>
      </c>
      <c r="E410" s="5" t="str">
        <f>TEXT(D410,"dd/mm/yyyy")</f>
        <v>31/08/2022</v>
      </c>
      <c r="F410" s="5" t="str" cm="1">
        <f t="array" ref="F410">RIGHT(_xlfn.ANCHORARRAY(E410),4)</f>
        <v>2022</v>
      </c>
      <c r="G410" s="5" t="str">
        <f>TEXT(E410,"mm")</f>
        <v>31/08/2022</v>
      </c>
      <c r="H410" s="6">
        <v>5614</v>
      </c>
      <c r="I410">
        <v>137</v>
      </c>
      <c r="L410" t="str">
        <f t="shared" si="6"/>
        <v>Below Average</v>
      </c>
      <c r="M410">
        <f>RANK(H410,H:H,0)</f>
        <v>1538</v>
      </c>
    </row>
    <row r="411" spans="1:13">
      <c r="A411" t="s">
        <v>34</v>
      </c>
      <c r="B411" t="s">
        <v>32</v>
      </c>
      <c r="C411" t="s">
        <v>26</v>
      </c>
      <c r="D411" s="3" t="s">
        <v>81</v>
      </c>
      <c r="E411" s="5" t="str">
        <f>TEXT(D411,"dd/mm/yyyy")</f>
        <v>19/04/2022</v>
      </c>
      <c r="F411" s="5" t="str" cm="1">
        <f t="array" ref="F411">RIGHT(_xlfn.ANCHORARRAY(E411),4)</f>
        <v>2022</v>
      </c>
      <c r="G411" s="5" t="str">
        <f>TEXT(E411,"mm")</f>
        <v>19/04/2022</v>
      </c>
      <c r="H411" s="6">
        <v>1736</v>
      </c>
      <c r="I411">
        <v>13</v>
      </c>
      <c r="L411" t="str">
        <f t="shared" si="6"/>
        <v>Below Average</v>
      </c>
      <c r="M411">
        <f>RANK(H411,H:H,0)</f>
        <v>2720</v>
      </c>
    </row>
    <row r="412" spans="1:13">
      <c r="A412" t="s">
        <v>34</v>
      </c>
      <c r="B412" t="s">
        <v>7</v>
      </c>
      <c r="C412" t="s">
        <v>8</v>
      </c>
      <c r="D412" s="3" t="s">
        <v>63</v>
      </c>
      <c r="E412" s="5" t="str">
        <f>TEXT(D412,"dd/mm/yyyy")</f>
        <v>29/06/2022</v>
      </c>
      <c r="F412" s="5" t="str" cm="1">
        <f t="array" ref="F412">RIGHT(_xlfn.ANCHORARRAY(E412),4)</f>
        <v>2022</v>
      </c>
      <c r="G412" s="5" t="str">
        <f>TEXT(E412,"mm")</f>
        <v>29/06/2022</v>
      </c>
      <c r="H412" s="6">
        <v>6384</v>
      </c>
      <c r="I412">
        <v>2</v>
      </c>
      <c r="L412" t="str">
        <f t="shared" si="6"/>
        <v>Above Average</v>
      </c>
      <c r="M412">
        <f>RANK(H412,H:H,0)</f>
        <v>1336</v>
      </c>
    </row>
    <row r="413" spans="1:13">
      <c r="A413" t="s">
        <v>41</v>
      </c>
      <c r="B413" t="s">
        <v>10</v>
      </c>
      <c r="C413" t="s">
        <v>75</v>
      </c>
      <c r="D413" s="3" t="s">
        <v>17</v>
      </c>
      <c r="E413" s="5" t="str">
        <f>TEXT(D413,"dd/mm/yyyy")</f>
        <v>24/02/2022</v>
      </c>
      <c r="F413" s="5" t="str" cm="1">
        <f t="array" ref="F413">RIGHT(_xlfn.ANCHORARRAY(E413),4)</f>
        <v>2022</v>
      </c>
      <c r="G413" s="5" t="str">
        <f>TEXT(E413,"mm")</f>
        <v>24/02/2022</v>
      </c>
      <c r="H413" s="6">
        <v>3577</v>
      </c>
      <c r="I413">
        <v>261</v>
      </c>
      <c r="L413" t="str">
        <f t="shared" si="6"/>
        <v>Below Average</v>
      </c>
      <c r="M413">
        <f>RANK(H413,H:H,0)</f>
        <v>2112</v>
      </c>
    </row>
    <row r="414" spans="1:13">
      <c r="A414" t="s">
        <v>77</v>
      </c>
      <c r="B414" t="s">
        <v>7</v>
      </c>
      <c r="C414" t="s">
        <v>18</v>
      </c>
      <c r="D414" s="4">
        <v>44654</v>
      </c>
      <c r="E414" s="5" t="str">
        <f>TEXT(D414,"dd/mm/yyyy")</f>
        <v>03/04/2022</v>
      </c>
      <c r="F414" s="5" t="str" cm="1">
        <f t="array" ref="F414">RIGHT(_xlfn.ANCHORARRAY(E414),4)</f>
        <v>2022</v>
      </c>
      <c r="G414" s="5" t="str">
        <f>TEXT(E414,"mm")</f>
        <v>03</v>
      </c>
      <c r="H414" s="6">
        <v>14539</v>
      </c>
      <c r="I414">
        <v>84</v>
      </c>
      <c r="L414" t="str">
        <f t="shared" si="6"/>
        <v>Above Average</v>
      </c>
      <c r="M414">
        <f>RANK(H414,H:H,0)</f>
        <v>177</v>
      </c>
    </row>
    <row r="415" spans="1:13">
      <c r="A415" t="s">
        <v>12</v>
      </c>
      <c r="B415" t="s">
        <v>10</v>
      </c>
      <c r="C415" t="s">
        <v>36</v>
      </c>
      <c r="D415" s="3" t="s">
        <v>146</v>
      </c>
      <c r="E415" s="5" t="str">
        <f>TEXT(D415,"dd/mm/yyyy")</f>
        <v>21/06/2022</v>
      </c>
      <c r="F415" s="5" t="str" cm="1">
        <f t="array" ref="F415">RIGHT(_xlfn.ANCHORARRAY(E415),4)</f>
        <v>2022</v>
      </c>
      <c r="G415" s="5" t="str">
        <f>TEXT(E415,"mm")</f>
        <v>21/06/2022</v>
      </c>
      <c r="H415" s="6">
        <v>3493</v>
      </c>
      <c r="I415">
        <v>68</v>
      </c>
      <c r="L415" t="str">
        <f t="shared" si="6"/>
        <v>Below Average</v>
      </c>
      <c r="M415">
        <f>RANK(H415,H:H,0)</f>
        <v>2140</v>
      </c>
    </row>
    <row r="416" spans="1:13">
      <c r="A416" t="s">
        <v>29</v>
      </c>
      <c r="B416" t="s">
        <v>15</v>
      </c>
      <c r="C416" t="s">
        <v>42</v>
      </c>
      <c r="D416" s="3" t="s">
        <v>43</v>
      </c>
      <c r="E416" s="5" t="str">
        <f>TEXT(D416,"dd/mm/yyyy")</f>
        <v>26/01/2022</v>
      </c>
      <c r="F416" s="5" t="str" cm="1">
        <f t="array" ref="F416">RIGHT(_xlfn.ANCHORARRAY(E416),4)</f>
        <v>2022</v>
      </c>
      <c r="G416" s="5" t="str">
        <f>TEXT(E416,"mm")</f>
        <v>26/01/2022</v>
      </c>
      <c r="H416" s="6">
        <v>994</v>
      </c>
      <c r="I416">
        <v>105</v>
      </c>
      <c r="L416" t="str">
        <f t="shared" si="6"/>
        <v>Below Average</v>
      </c>
      <c r="M416">
        <f>RANK(H416,H:H,0)</f>
        <v>2974</v>
      </c>
    </row>
    <row r="417" spans="1:13">
      <c r="A417" t="s">
        <v>19</v>
      </c>
      <c r="B417" t="s">
        <v>25</v>
      </c>
      <c r="C417" t="s">
        <v>59</v>
      </c>
      <c r="D417" s="4">
        <v>44840</v>
      </c>
      <c r="E417" s="5" t="str">
        <f>TEXT(D417,"dd/mm/yyyy")</f>
        <v>06/10/2022</v>
      </c>
      <c r="F417" s="5" t="str" cm="1">
        <f t="array" ref="F417">RIGHT(_xlfn.ANCHORARRAY(E417),4)</f>
        <v>2022</v>
      </c>
      <c r="G417" s="5" t="str">
        <f>TEXT(E417,"mm")</f>
        <v>06</v>
      </c>
      <c r="H417" s="6">
        <v>4361</v>
      </c>
      <c r="I417">
        <v>40</v>
      </c>
      <c r="L417" t="str">
        <f t="shared" si="6"/>
        <v>Below Average</v>
      </c>
      <c r="M417">
        <f>RANK(H417,H:H,0)</f>
        <v>1887</v>
      </c>
    </row>
    <row r="418" spans="1:13">
      <c r="A418" t="s">
        <v>67</v>
      </c>
      <c r="B418" t="s">
        <v>7</v>
      </c>
      <c r="C418" t="s">
        <v>38</v>
      </c>
      <c r="D418" s="3" t="s">
        <v>136</v>
      </c>
      <c r="E418" s="5" t="str">
        <f>TEXT(D418,"dd/mm/yyyy")</f>
        <v>23/05/2022</v>
      </c>
      <c r="F418" s="5" t="str" cm="1">
        <f t="array" ref="F418">RIGHT(_xlfn.ANCHORARRAY(E418),4)</f>
        <v>2022</v>
      </c>
      <c r="G418" s="5" t="str">
        <f>TEXT(E418,"mm")</f>
        <v>23/05/2022</v>
      </c>
      <c r="H418" s="6">
        <v>1554</v>
      </c>
      <c r="I418">
        <v>65</v>
      </c>
      <c r="L418" t="str">
        <f t="shared" si="6"/>
        <v>Below Average</v>
      </c>
      <c r="M418">
        <f>RANK(H418,H:H,0)</f>
        <v>2786</v>
      </c>
    </row>
    <row r="419" spans="1:13">
      <c r="A419" t="s">
        <v>70</v>
      </c>
      <c r="B419" t="s">
        <v>10</v>
      </c>
      <c r="C419" t="s">
        <v>46</v>
      </c>
      <c r="D419" s="3" t="s">
        <v>74</v>
      </c>
      <c r="E419" s="5" t="str">
        <f>TEXT(D419,"dd/mm/yyyy")</f>
        <v>15/04/2022</v>
      </c>
      <c r="F419" s="5" t="str" cm="1">
        <f t="array" ref="F419">RIGHT(_xlfn.ANCHORARRAY(E419),4)</f>
        <v>2022</v>
      </c>
      <c r="G419" s="5" t="str">
        <f>TEXT(E419,"mm")</f>
        <v>15/04/2022</v>
      </c>
      <c r="H419" s="6">
        <v>966</v>
      </c>
      <c r="I419">
        <v>107</v>
      </c>
      <c r="L419" t="str">
        <f t="shared" si="6"/>
        <v>Below Average</v>
      </c>
      <c r="M419">
        <f>RANK(H419,H:H,0)</f>
        <v>2984</v>
      </c>
    </row>
    <row r="420" spans="1:13">
      <c r="A420" t="s">
        <v>37</v>
      </c>
      <c r="B420" t="s">
        <v>25</v>
      </c>
      <c r="C420" t="s">
        <v>90</v>
      </c>
      <c r="D420" s="3" t="s">
        <v>96</v>
      </c>
      <c r="E420" s="5" t="str">
        <f>TEXT(D420,"dd/mm/yyyy")</f>
        <v>31/01/2022</v>
      </c>
      <c r="F420" s="5" t="str" cm="1">
        <f t="array" ref="F420">RIGHT(_xlfn.ANCHORARRAY(E420),4)</f>
        <v>2022</v>
      </c>
      <c r="G420" s="5" t="str">
        <f>TEXT(E420,"mm")</f>
        <v>31/01/2022</v>
      </c>
      <c r="H420" s="6">
        <v>5334</v>
      </c>
      <c r="I420">
        <v>227</v>
      </c>
      <c r="L420" t="str">
        <f t="shared" si="6"/>
        <v>Below Average</v>
      </c>
      <c r="M420">
        <f>RANK(H420,H:H,0)</f>
        <v>1605</v>
      </c>
    </row>
    <row r="421" spans="1:13">
      <c r="A421" t="s">
        <v>67</v>
      </c>
      <c r="B421" t="s">
        <v>25</v>
      </c>
      <c r="C421" t="s">
        <v>42</v>
      </c>
      <c r="D421" s="4">
        <v>44654</v>
      </c>
      <c r="E421" s="5" t="str">
        <f>TEXT(D421,"dd/mm/yyyy")</f>
        <v>03/04/2022</v>
      </c>
      <c r="F421" s="5" t="str" cm="1">
        <f t="array" ref="F421">RIGHT(_xlfn.ANCHORARRAY(E421),4)</f>
        <v>2022</v>
      </c>
      <c r="G421" s="5" t="str">
        <f>TEXT(E421,"mm")</f>
        <v>03</v>
      </c>
      <c r="H421" s="6">
        <v>4935</v>
      </c>
      <c r="I421">
        <v>39</v>
      </c>
      <c r="L421" t="str">
        <f t="shared" si="6"/>
        <v>Below Average</v>
      </c>
      <c r="M421">
        <f>RANK(H421,H:H,0)</f>
        <v>1719</v>
      </c>
    </row>
    <row r="422" spans="1:13">
      <c r="A422" t="s">
        <v>31</v>
      </c>
      <c r="B422" t="s">
        <v>25</v>
      </c>
      <c r="C422" t="s">
        <v>23</v>
      </c>
      <c r="D422" s="3" t="s">
        <v>81</v>
      </c>
      <c r="E422" s="5" t="str">
        <f>TEXT(D422,"dd/mm/yyyy")</f>
        <v>19/04/2022</v>
      </c>
      <c r="F422" s="5" t="str" cm="1">
        <f t="array" ref="F422">RIGHT(_xlfn.ANCHORARRAY(E422),4)</f>
        <v>2022</v>
      </c>
      <c r="G422" s="5" t="str">
        <f>TEXT(E422,"mm")</f>
        <v>19/04/2022</v>
      </c>
      <c r="H422" s="6">
        <v>10024</v>
      </c>
      <c r="I422">
        <v>84</v>
      </c>
      <c r="L422" t="str">
        <f t="shared" si="6"/>
        <v>Above Average</v>
      </c>
      <c r="M422">
        <f>RANK(H422,H:H,0)</f>
        <v>577</v>
      </c>
    </row>
    <row r="423" spans="1:13">
      <c r="A423" t="s">
        <v>41</v>
      </c>
      <c r="B423" t="s">
        <v>7</v>
      </c>
      <c r="C423" t="s">
        <v>65</v>
      </c>
      <c r="D423" s="3" t="s">
        <v>86</v>
      </c>
      <c r="E423" s="5" t="str">
        <f>TEXT(D423,"dd/mm/yyyy")</f>
        <v>16/05/2022</v>
      </c>
      <c r="F423" s="5" t="str" cm="1">
        <f t="array" ref="F423">RIGHT(_xlfn.ANCHORARRAY(E423),4)</f>
        <v>2022</v>
      </c>
      <c r="G423" s="5" t="str">
        <f>TEXT(E423,"mm")</f>
        <v>16/05/2022</v>
      </c>
      <c r="H423" s="6">
        <v>2506</v>
      </c>
      <c r="I423">
        <v>100</v>
      </c>
      <c r="L423" t="str">
        <f t="shared" si="6"/>
        <v>Below Average</v>
      </c>
      <c r="M423">
        <f>RANK(H423,H:H,0)</f>
        <v>2469</v>
      </c>
    </row>
    <row r="424" spans="1:13">
      <c r="A424" t="s">
        <v>19</v>
      </c>
      <c r="B424" t="s">
        <v>15</v>
      </c>
      <c r="C424" t="s">
        <v>73</v>
      </c>
      <c r="D424" s="3" t="s">
        <v>51</v>
      </c>
      <c r="E424" s="5" t="str">
        <f>TEXT(D424,"dd/mm/yyyy")</f>
        <v>17/02/2022</v>
      </c>
      <c r="F424" s="5" t="str" cm="1">
        <f t="array" ref="F424">RIGHT(_xlfn.ANCHORARRAY(E424),4)</f>
        <v>2022</v>
      </c>
      <c r="G424" s="5" t="str">
        <f>TEXT(E424,"mm")</f>
        <v>17/02/2022</v>
      </c>
      <c r="H424" s="6">
        <v>1043</v>
      </c>
      <c r="I424">
        <v>120</v>
      </c>
      <c r="L424" t="str">
        <f t="shared" si="6"/>
        <v>Below Average</v>
      </c>
      <c r="M424">
        <f>RANK(H424,H:H,0)</f>
        <v>2958</v>
      </c>
    </row>
    <row r="425" spans="1:13">
      <c r="A425" t="s">
        <v>58</v>
      </c>
      <c r="B425" t="s">
        <v>32</v>
      </c>
      <c r="C425" t="s">
        <v>73</v>
      </c>
      <c r="D425" s="3" t="s">
        <v>115</v>
      </c>
      <c r="E425" s="5" t="str">
        <f>TEXT(D425,"dd/mm/yyyy")</f>
        <v>18/01/2022</v>
      </c>
      <c r="F425" s="5" t="str" cm="1">
        <f t="array" ref="F425">RIGHT(_xlfn.ANCHORARRAY(E425),4)</f>
        <v>2022</v>
      </c>
      <c r="G425" s="5" t="str">
        <f>TEXT(E425,"mm")</f>
        <v>18/01/2022</v>
      </c>
      <c r="H425" s="6">
        <v>6524</v>
      </c>
      <c r="I425">
        <v>257</v>
      </c>
      <c r="L425" t="str">
        <f t="shared" si="6"/>
        <v>Above Average</v>
      </c>
      <c r="M425">
        <f>RANK(H425,H:H,0)</f>
        <v>1302</v>
      </c>
    </row>
    <row r="426" spans="1:13">
      <c r="A426" t="s">
        <v>45</v>
      </c>
      <c r="B426" t="s">
        <v>35</v>
      </c>
      <c r="C426" t="s">
        <v>33</v>
      </c>
      <c r="D426" s="4">
        <v>44806</v>
      </c>
      <c r="E426" s="5" t="str">
        <f>TEXT(D426,"dd/mm/yyyy")</f>
        <v>02/09/2022</v>
      </c>
      <c r="F426" s="5" t="str" cm="1">
        <f t="array" ref="F426">RIGHT(_xlfn.ANCHORARRAY(E426),4)</f>
        <v>2022</v>
      </c>
      <c r="G426" s="5" t="str">
        <f>TEXT(E426,"mm")</f>
        <v>02</v>
      </c>
      <c r="H426" s="6">
        <v>8148</v>
      </c>
      <c r="I426">
        <v>85</v>
      </c>
      <c r="L426" t="str">
        <f t="shared" si="6"/>
        <v>Above Average</v>
      </c>
      <c r="M426">
        <f>RANK(H426,H:H,0)</f>
        <v>904</v>
      </c>
    </row>
    <row r="427" spans="1:13">
      <c r="A427" t="s">
        <v>34</v>
      </c>
      <c r="B427" t="s">
        <v>35</v>
      </c>
      <c r="C427" t="s">
        <v>33</v>
      </c>
      <c r="D427" s="3" t="s">
        <v>110</v>
      </c>
      <c r="E427" s="5" t="str">
        <f>TEXT(D427,"dd/mm/yyyy")</f>
        <v>23/03/2022</v>
      </c>
      <c r="F427" s="5" t="str" cm="1">
        <f t="array" ref="F427">RIGHT(_xlfn.ANCHORARRAY(E427),4)</f>
        <v>2022</v>
      </c>
      <c r="G427" s="5" t="str">
        <f>TEXT(E427,"mm")</f>
        <v>23/03/2022</v>
      </c>
      <c r="H427" s="6">
        <v>3577</v>
      </c>
      <c r="I427">
        <v>178</v>
      </c>
      <c r="L427" t="str">
        <f t="shared" si="6"/>
        <v>Below Average</v>
      </c>
      <c r="M427">
        <f>RANK(H427,H:H,0)</f>
        <v>2112</v>
      </c>
    </row>
    <row r="428" spans="1:13">
      <c r="A428" t="s">
        <v>77</v>
      </c>
      <c r="B428" t="s">
        <v>25</v>
      </c>
      <c r="C428" t="s">
        <v>90</v>
      </c>
      <c r="D428" s="4">
        <v>44563</v>
      </c>
      <c r="E428" s="5" t="str">
        <f>TEXT(D428,"dd/mm/yyyy")</f>
        <v>02/01/2022</v>
      </c>
      <c r="F428" s="5" t="str" cm="1">
        <f t="array" ref="F428">RIGHT(_xlfn.ANCHORARRAY(E428),4)</f>
        <v>2022</v>
      </c>
      <c r="G428" s="5" t="str">
        <f>TEXT(E428,"mm")</f>
        <v>02</v>
      </c>
      <c r="H428" s="6">
        <v>3374</v>
      </c>
      <c r="I428">
        <v>151</v>
      </c>
      <c r="L428" t="str">
        <f t="shared" si="6"/>
        <v>Below Average</v>
      </c>
      <c r="M428">
        <f>RANK(H428,H:H,0)</f>
        <v>2188</v>
      </c>
    </row>
    <row r="429" spans="1:13">
      <c r="A429" t="s">
        <v>34</v>
      </c>
      <c r="B429" t="s">
        <v>10</v>
      </c>
      <c r="C429" t="s">
        <v>38</v>
      </c>
      <c r="D429" s="4">
        <v>44745</v>
      </c>
      <c r="E429" s="5" t="str">
        <f>TEXT(D429,"dd/mm/yyyy")</f>
        <v>03/07/2022</v>
      </c>
      <c r="F429" s="5" t="str" cm="1">
        <f t="array" ref="F429">RIGHT(_xlfn.ANCHORARRAY(E429),4)</f>
        <v>2022</v>
      </c>
      <c r="G429" s="5" t="str">
        <f>TEXT(E429,"mm")</f>
        <v>03</v>
      </c>
      <c r="H429" s="6">
        <v>3948</v>
      </c>
      <c r="I429">
        <v>142</v>
      </c>
      <c r="L429" t="str">
        <f t="shared" si="6"/>
        <v>Below Average</v>
      </c>
      <c r="M429">
        <f>RANK(H429,H:H,0)</f>
        <v>2001</v>
      </c>
    </row>
    <row r="430" spans="1:13">
      <c r="A430" t="s">
        <v>83</v>
      </c>
      <c r="B430" t="s">
        <v>7</v>
      </c>
      <c r="C430" t="s">
        <v>59</v>
      </c>
      <c r="D430" s="4">
        <v>44621</v>
      </c>
      <c r="E430" s="5" t="str">
        <f>TEXT(D430,"dd/mm/yyyy")</f>
        <v>01/03/2022</v>
      </c>
      <c r="F430" s="5" t="str" cm="1">
        <f t="array" ref="F430">RIGHT(_xlfn.ANCHORARRAY(E430),4)</f>
        <v>2022</v>
      </c>
      <c r="G430" s="5" t="str">
        <f>TEXT(E430,"mm")</f>
        <v>01</v>
      </c>
      <c r="H430" s="6">
        <v>3269</v>
      </c>
      <c r="I430">
        <v>226</v>
      </c>
      <c r="L430" t="str">
        <f t="shared" si="6"/>
        <v>Below Average</v>
      </c>
      <c r="M430">
        <f>RANK(H430,H:H,0)</f>
        <v>2220</v>
      </c>
    </row>
    <row r="431" spans="1:13">
      <c r="A431" t="s">
        <v>83</v>
      </c>
      <c r="B431" t="s">
        <v>32</v>
      </c>
      <c r="C431" t="s">
        <v>59</v>
      </c>
      <c r="D431" s="4">
        <v>44867</v>
      </c>
      <c r="E431" s="5" t="str">
        <f>TEXT(D431,"dd/mm/yyyy")</f>
        <v>02/11/2022</v>
      </c>
      <c r="F431" s="5" t="str" cm="1">
        <f t="array" ref="F431">RIGHT(_xlfn.ANCHORARRAY(E431),4)</f>
        <v>2022</v>
      </c>
      <c r="G431" s="5" t="str">
        <f>TEXT(E431,"mm")</f>
        <v>02</v>
      </c>
      <c r="H431" s="6">
        <v>5271</v>
      </c>
      <c r="I431">
        <v>341</v>
      </c>
      <c r="L431" t="str">
        <f t="shared" si="6"/>
        <v>Below Average</v>
      </c>
      <c r="M431">
        <f>RANK(H431,H:H,0)</f>
        <v>1625</v>
      </c>
    </row>
    <row r="432" spans="1:13">
      <c r="A432" t="s">
        <v>58</v>
      </c>
      <c r="B432" t="s">
        <v>25</v>
      </c>
      <c r="C432" t="s">
        <v>33</v>
      </c>
      <c r="D432" s="3" t="s">
        <v>108</v>
      </c>
      <c r="E432" s="5" t="str">
        <f>TEXT(D432,"dd/mm/yyyy")</f>
        <v>16/03/2022</v>
      </c>
      <c r="F432" s="5" t="str" cm="1">
        <f t="array" ref="F432">RIGHT(_xlfn.ANCHORARRAY(E432),4)</f>
        <v>2022</v>
      </c>
      <c r="G432" s="5" t="str">
        <f>TEXT(E432,"mm")</f>
        <v>16/03/2022</v>
      </c>
      <c r="H432" s="6">
        <v>4571</v>
      </c>
      <c r="I432">
        <v>140</v>
      </c>
      <c r="L432" t="str">
        <f t="shared" si="6"/>
        <v>Below Average</v>
      </c>
      <c r="M432">
        <f>RANK(H432,H:H,0)</f>
        <v>1828</v>
      </c>
    </row>
    <row r="433" spans="1:13">
      <c r="A433" t="s">
        <v>79</v>
      </c>
      <c r="B433" t="s">
        <v>10</v>
      </c>
      <c r="C433" t="s">
        <v>59</v>
      </c>
      <c r="D433" s="3" t="s">
        <v>112</v>
      </c>
      <c r="E433" s="5" t="str">
        <f>TEXT(D433,"dd/mm/yyyy")</f>
        <v>15/08/2022</v>
      </c>
      <c r="F433" s="5" t="str" cm="1">
        <f t="array" ref="F433">RIGHT(_xlfn.ANCHORARRAY(E433),4)</f>
        <v>2022</v>
      </c>
      <c r="G433" s="5" t="str">
        <f>TEXT(E433,"mm")</f>
        <v>15/08/2022</v>
      </c>
      <c r="H433" s="6">
        <v>12327</v>
      </c>
      <c r="I433">
        <v>330</v>
      </c>
      <c r="L433" t="str">
        <f t="shared" si="6"/>
        <v>Above Average</v>
      </c>
      <c r="M433">
        <f>RANK(H433,H:H,0)</f>
        <v>316</v>
      </c>
    </row>
    <row r="434" spans="1:13">
      <c r="A434" t="s">
        <v>12</v>
      </c>
      <c r="B434" t="s">
        <v>10</v>
      </c>
      <c r="C434" t="s">
        <v>60</v>
      </c>
      <c r="D434" s="4">
        <v>44900</v>
      </c>
      <c r="E434" s="5" t="str">
        <f>TEXT(D434,"dd/mm/yyyy")</f>
        <v>05/12/2022</v>
      </c>
      <c r="F434" s="5" t="str" cm="1">
        <f t="array" ref="F434">RIGHT(_xlfn.ANCHORARRAY(E434),4)</f>
        <v>2022</v>
      </c>
      <c r="G434" s="5" t="str">
        <f>TEXT(E434,"mm")</f>
        <v>05</v>
      </c>
      <c r="H434" s="6">
        <v>4935</v>
      </c>
      <c r="I434">
        <v>73</v>
      </c>
      <c r="L434" t="str">
        <f t="shared" si="6"/>
        <v>Below Average</v>
      </c>
      <c r="M434">
        <f>RANK(H434,H:H,0)</f>
        <v>1719</v>
      </c>
    </row>
    <row r="435" spans="1:13">
      <c r="A435" t="s">
        <v>9</v>
      </c>
      <c r="B435" t="s">
        <v>10</v>
      </c>
      <c r="C435" t="s">
        <v>50</v>
      </c>
      <c r="D435" s="4">
        <v>44869</v>
      </c>
      <c r="E435" s="5" t="str">
        <f>TEXT(D435,"dd/mm/yyyy")</f>
        <v>04/11/2022</v>
      </c>
      <c r="F435" s="5" t="str" cm="1">
        <f t="array" ref="F435">RIGHT(_xlfn.ANCHORARRAY(E435),4)</f>
        <v>2022</v>
      </c>
      <c r="G435" s="5" t="str">
        <f>TEXT(E435,"mm")</f>
        <v>04</v>
      </c>
      <c r="H435" s="6">
        <v>6167</v>
      </c>
      <c r="I435">
        <v>4</v>
      </c>
      <c r="L435" t="str">
        <f t="shared" si="6"/>
        <v>Above Average</v>
      </c>
      <c r="M435">
        <f>RANK(H435,H:H,0)</f>
        <v>1390</v>
      </c>
    </row>
    <row r="436" spans="1:13">
      <c r="A436" t="s">
        <v>14</v>
      </c>
      <c r="B436" t="s">
        <v>25</v>
      </c>
      <c r="C436" t="s">
        <v>8</v>
      </c>
      <c r="D436" s="3" t="s">
        <v>66</v>
      </c>
      <c r="E436" s="5" t="str">
        <f>TEXT(D436,"dd/mm/yyyy")</f>
        <v>30/06/2022</v>
      </c>
      <c r="F436" s="5" t="str" cm="1">
        <f t="array" ref="F436">RIGHT(_xlfn.ANCHORARRAY(E436),4)</f>
        <v>2022</v>
      </c>
      <c r="G436" s="5" t="str">
        <f>TEXT(E436,"mm")</f>
        <v>30/06/2022</v>
      </c>
      <c r="H436" s="6">
        <v>18340</v>
      </c>
      <c r="I436">
        <v>285</v>
      </c>
      <c r="L436" t="str">
        <f t="shared" si="6"/>
        <v>Above Average</v>
      </c>
      <c r="M436">
        <f>RANK(H436,H:H,0)</f>
        <v>39</v>
      </c>
    </row>
    <row r="437" spans="1:13">
      <c r="A437" t="s">
        <v>79</v>
      </c>
      <c r="B437" t="s">
        <v>25</v>
      </c>
      <c r="C437" t="s">
        <v>59</v>
      </c>
      <c r="D437" s="3" t="s">
        <v>61</v>
      </c>
      <c r="E437" s="5" t="str">
        <f>TEXT(D437,"dd/mm/yyyy")</f>
        <v>15/06/2022</v>
      </c>
      <c r="F437" s="5" t="str" cm="1">
        <f t="array" ref="F437">RIGHT(_xlfn.ANCHORARRAY(E437),4)</f>
        <v>2022</v>
      </c>
      <c r="G437" s="5" t="str">
        <f>TEXT(E437,"mm")</f>
        <v>15/06/2022</v>
      </c>
      <c r="H437" s="6">
        <v>7014</v>
      </c>
      <c r="I437">
        <v>60</v>
      </c>
      <c r="L437" t="str">
        <f t="shared" si="6"/>
        <v>Above Average</v>
      </c>
      <c r="M437">
        <f>RANK(H437,H:H,0)</f>
        <v>1175</v>
      </c>
    </row>
    <row r="438" spans="1:13">
      <c r="A438" t="s">
        <v>29</v>
      </c>
      <c r="B438" t="s">
        <v>35</v>
      </c>
      <c r="C438" t="s">
        <v>90</v>
      </c>
      <c r="D438" s="4">
        <v>44569</v>
      </c>
      <c r="E438" s="5" t="str">
        <f>TEXT(D438,"dd/mm/yyyy")</f>
        <v>08/01/2022</v>
      </c>
      <c r="F438" s="5" t="str" cm="1">
        <f t="array" ref="F438">RIGHT(_xlfn.ANCHORARRAY(E438),4)</f>
        <v>2022</v>
      </c>
      <c r="G438" s="5" t="str">
        <f>TEXT(E438,"mm")</f>
        <v>08</v>
      </c>
      <c r="H438" s="6">
        <v>7119</v>
      </c>
      <c r="I438">
        <v>101</v>
      </c>
      <c r="L438" t="str">
        <f t="shared" si="6"/>
        <v>Above Average</v>
      </c>
      <c r="M438">
        <f>RANK(H438,H:H,0)</f>
        <v>1154</v>
      </c>
    </row>
    <row r="439" spans="1:13">
      <c r="A439" t="s">
        <v>55</v>
      </c>
      <c r="B439" t="s">
        <v>32</v>
      </c>
      <c r="C439" t="s">
        <v>46</v>
      </c>
      <c r="D439" s="3" t="s">
        <v>61</v>
      </c>
      <c r="E439" s="5" t="str">
        <f>TEXT(D439,"dd/mm/yyyy")</f>
        <v>15/06/2022</v>
      </c>
      <c r="F439" s="5" t="str" cm="1">
        <f t="array" ref="F439">RIGHT(_xlfn.ANCHORARRAY(E439),4)</f>
        <v>2022</v>
      </c>
      <c r="G439" s="5" t="str">
        <f>TEXT(E439,"mm")</f>
        <v>15/06/2022</v>
      </c>
      <c r="H439" s="6">
        <v>15491</v>
      </c>
      <c r="I439">
        <v>58</v>
      </c>
      <c r="L439" t="str">
        <f t="shared" si="6"/>
        <v>Above Average</v>
      </c>
      <c r="M439">
        <f>RANK(H439,H:H,0)</f>
        <v>127</v>
      </c>
    </row>
    <row r="440" spans="1:13">
      <c r="A440" t="s">
        <v>28</v>
      </c>
      <c r="B440" t="s">
        <v>10</v>
      </c>
      <c r="C440" t="s">
        <v>23</v>
      </c>
      <c r="D440" s="3" t="s">
        <v>111</v>
      </c>
      <c r="E440" s="5" t="str">
        <f>TEXT(D440,"dd/mm/yyyy")</f>
        <v>16/06/2022</v>
      </c>
      <c r="F440" s="5" t="str" cm="1">
        <f t="array" ref="F440">RIGHT(_xlfn.ANCHORARRAY(E440),4)</f>
        <v>2022</v>
      </c>
      <c r="G440" s="5" t="str">
        <f>TEXT(E440,"mm")</f>
        <v>16/06/2022</v>
      </c>
      <c r="H440" s="6">
        <v>5747</v>
      </c>
      <c r="I440">
        <v>45</v>
      </c>
      <c r="L440" t="str">
        <f t="shared" si="6"/>
        <v>Below Average</v>
      </c>
      <c r="M440">
        <f>RANK(H440,H:H,0)</f>
        <v>1507</v>
      </c>
    </row>
    <row r="441" spans="1:13">
      <c r="A441" t="s">
        <v>19</v>
      </c>
      <c r="B441" t="s">
        <v>25</v>
      </c>
      <c r="C441" t="s">
        <v>73</v>
      </c>
      <c r="D441" s="3" t="s">
        <v>130</v>
      </c>
      <c r="E441" s="5" t="str">
        <f>TEXT(D441,"dd/mm/yyyy")</f>
        <v>13/05/2022</v>
      </c>
      <c r="F441" s="5" t="str" cm="1">
        <f t="array" ref="F441">RIGHT(_xlfn.ANCHORARRAY(E441),4)</f>
        <v>2022</v>
      </c>
      <c r="G441" s="5" t="str">
        <f>TEXT(E441,"mm")</f>
        <v>13/05/2022</v>
      </c>
      <c r="H441" s="6">
        <v>4550</v>
      </c>
      <c r="I441">
        <v>281</v>
      </c>
      <c r="L441" t="str">
        <f t="shared" si="6"/>
        <v>Below Average</v>
      </c>
      <c r="M441">
        <f>RANK(H441,H:H,0)</f>
        <v>1838</v>
      </c>
    </row>
    <row r="442" spans="1:13">
      <c r="A442" t="s">
        <v>58</v>
      </c>
      <c r="B442" t="s">
        <v>32</v>
      </c>
      <c r="C442" t="s">
        <v>38</v>
      </c>
      <c r="D442" s="4">
        <v>44839</v>
      </c>
      <c r="E442" s="5" t="str">
        <f>TEXT(D442,"dd/mm/yyyy")</f>
        <v>05/10/2022</v>
      </c>
      <c r="F442" s="5" t="str" cm="1">
        <f t="array" ref="F442">RIGHT(_xlfn.ANCHORARRAY(E442),4)</f>
        <v>2022</v>
      </c>
      <c r="G442" s="5" t="str">
        <f>TEXT(E442,"mm")</f>
        <v>05</v>
      </c>
      <c r="H442" s="6">
        <v>2191</v>
      </c>
      <c r="I442">
        <v>138</v>
      </c>
      <c r="L442" t="str">
        <f t="shared" si="6"/>
        <v>Below Average</v>
      </c>
      <c r="M442">
        <f>RANK(H442,H:H,0)</f>
        <v>2581</v>
      </c>
    </row>
    <row r="443" spans="1:13">
      <c r="A443" t="s">
        <v>19</v>
      </c>
      <c r="B443" t="s">
        <v>10</v>
      </c>
      <c r="C443" t="s">
        <v>36</v>
      </c>
      <c r="D443" s="3" t="s">
        <v>103</v>
      </c>
      <c r="E443" s="5" t="str">
        <f>TEXT(D443,"dd/mm/yyyy")</f>
        <v>25/08/2022</v>
      </c>
      <c r="F443" s="5" t="str" cm="1">
        <f t="array" ref="F443">RIGHT(_xlfn.ANCHORARRAY(E443),4)</f>
        <v>2022</v>
      </c>
      <c r="G443" s="5" t="str">
        <f>TEXT(E443,"mm")</f>
        <v>25/08/2022</v>
      </c>
      <c r="H443" s="6">
        <v>5663</v>
      </c>
      <c r="I443">
        <v>322</v>
      </c>
      <c r="L443" t="str">
        <f t="shared" si="6"/>
        <v>Below Average</v>
      </c>
      <c r="M443">
        <f>RANK(H443,H:H,0)</f>
        <v>1528</v>
      </c>
    </row>
    <row r="444" spans="1:13">
      <c r="A444" t="s">
        <v>83</v>
      </c>
      <c r="B444" t="s">
        <v>25</v>
      </c>
      <c r="C444" t="s">
        <v>42</v>
      </c>
      <c r="D444" s="3" t="s">
        <v>82</v>
      </c>
      <c r="E444" s="5" t="str">
        <f>TEXT(D444,"dd/mm/yyyy")</f>
        <v>15/07/2022</v>
      </c>
      <c r="F444" s="5" t="str" cm="1">
        <f t="array" ref="F444">RIGHT(_xlfn.ANCHORARRAY(E444),4)</f>
        <v>2022</v>
      </c>
      <c r="G444" s="5" t="str">
        <f>TEXT(E444,"mm")</f>
        <v>15/07/2022</v>
      </c>
      <c r="H444" s="6">
        <v>7623</v>
      </c>
      <c r="I444">
        <v>85</v>
      </c>
      <c r="L444" t="str">
        <f t="shared" si="6"/>
        <v>Above Average</v>
      </c>
      <c r="M444">
        <f>RANK(H444,H:H,0)</f>
        <v>1036</v>
      </c>
    </row>
    <row r="445" spans="1:13">
      <c r="A445" t="s">
        <v>12</v>
      </c>
      <c r="B445" t="s">
        <v>7</v>
      </c>
      <c r="C445" t="s">
        <v>87</v>
      </c>
      <c r="D445" s="3" t="s">
        <v>86</v>
      </c>
      <c r="E445" s="5" t="str">
        <f>TEXT(D445,"dd/mm/yyyy")</f>
        <v>16/05/2022</v>
      </c>
      <c r="F445" s="5" t="str" cm="1">
        <f t="array" ref="F445">RIGHT(_xlfn.ANCHORARRAY(E445),4)</f>
        <v>2022</v>
      </c>
      <c r="G445" s="5" t="str">
        <f>TEXT(E445,"mm")</f>
        <v>16/05/2022</v>
      </c>
      <c r="H445" s="6">
        <v>9023</v>
      </c>
      <c r="I445">
        <v>409</v>
      </c>
      <c r="L445" t="str">
        <f t="shared" si="6"/>
        <v>Above Average</v>
      </c>
      <c r="M445">
        <f>RANK(H445,H:H,0)</f>
        <v>732</v>
      </c>
    </row>
    <row r="446" spans="1:13">
      <c r="A446" t="s">
        <v>14</v>
      </c>
      <c r="B446" t="s">
        <v>15</v>
      </c>
      <c r="C446" t="s">
        <v>26</v>
      </c>
      <c r="D446" s="3" t="s">
        <v>127</v>
      </c>
      <c r="E446" s="5" t="str">
        <f>TEXT(D446,"dd/mm/yyyy")</f>
        <v>14/06/2022</v>
      </c>
      <c r="F446" s="5" t="str" cm="1">
        <f t="array" ref="F446">RIGHT(_xlfn.ANCHORARRAY(E446),4)</f>
        <v>2022</v>
      </c>
      <c r="G446" s="5" t="str">
        <f>TEXT(E446,"mm")</f>
        <v>14/06/2022</v>
      </c>
      <c r="H446" s="6">
        <v>3402</v>
      </c>
      <c r="I446">
        <v>182</v>
      </c>
      <c r="L446" t="str">
        <f t="shared" si="6"/>
        <v>Below Average</v>
      </c>
      <c r="M446">
        <f>RANK(H446,H:H,0)</f>
        <v>2171</v>
      </c>
    </row>
    <row r="447" spans="1:13">
      <c r="A447" t="s">
        <v>41</v>
      </c>
      <c r="B447" t="s">
        <v>15</v>
      </c>
      <c r="C447" t="s">
        <v>18</v>
      </c>
      <c r="D447" s="3" t="s">
        <v>21</v>
      </c>
      <c r="E447" s="5" t="str">
        <f>TEXT(D447,"dd/mm/yyyy")</f>
        <v>25/01/2022</v>
      </c>
      <c r="F447" s="5" t="str" cm="1">
        <f t="array" ref="F447">RIGHT(_xlfn.ANCHORARRAY(E447),4)</f>
        <v>2022</v>
      </c>
      <c r="G447" s="5" t="str">
        <f>TEXT(E447,"mm")</f>
        <v>25/01/2022</v>
      </c>
      <c r="H447" s="6">
        <v>10507</v>
      </c>
      <c r="I447">
        <v>467</v>
      </c>
      <c r="L447" t="str">
        <f t="shared" si="6"/>
        <v>Above Average</v>
      </c>
      <c r="M447">
        <f>RANK(H447,H:H,0)</f>
        <v>509</v>
      </c>
    </row>
    <row r="448" spans="1:13">
      <c r="A448" t="s">
        <v>83</v>
      </c>
      <c r="B448" t="s">
        <v>32</v>
      </c>
      <c r="C448" t="s">
        <v>42</v>
      </c>
      <c r="D448" s="3" t="s">
        <v>39</v>
      </c>
      <c r="E448" s="5" t="str">
        <f>TEXT(D448,"dd/mm/yyyy")</f>
        <v>28/07/2022</v>
      </c>
      <c r="F448" s="5" t="str" cm="1">
        <f t="array" ref="F448">RIGHT(_xlfn.ANCHORARRAY(E448),4)</f>
        <v>2022</v>
      </c>
      <c r="G448" s="5" t="str">
        <f>TEXT(E448,"mm")</f>
        <v>28/07/2022</v>
      </c>
      <c r="H448" s="6">
        <v>7721</v>
      </c>
      <c r="I448">
        <v>14</v>
      </c>
      <c r="L448" t="str">
        <f t="shared" si="6"/>
        <v>Above Average</v>
      </c>
      <c r="M448">
        <f>RANK(H448,H:H,0)</f>
        <v>1008</v>
      </c>
    </row>
    <row r="449" spans="1:13">
      <c r="A449" t="s">
        <v>28</v>
      </c>
      <c r="B449" t="s">
        <v>35</v>
      </c>
      <c r="C449" t="s">
        <v>8</v>
      </c>
      <c r="D449" s="3" t="s">
        <v>107</v>
      </c>
      <c r="E449" s="5" t="str">
        <f>TEXT(D449,"dd/mm/yyyy")</f>
        <v>28/01/2022</v>
      </c>
      <c r="F449" s="5" t="str" cm="1">
        <f t="array" ref="F449">RIGHT(_xlfn.ANCHORARRAY(E449),4)</f>
        <v>2022</v>
      </c>
      <c r="G449" s="5" t="str">
        <f>TEXT(E449,"mm")</f>
        <v>28/01/2022</v>
      </c>
      <c r="H449" s="6">
        <v>5033</v>
      </c>
      <c r="I449">
        <v>178</v>
      </c>
      <c r="L449" t="str">
        <f t="shared" si="6"/>
        <v>Below Average</v>
      </c>
      <c r="M449">
        <f>RANK(H449,H:H,0)</f>
        <v>1694</v>
      </c>
    </row>
    <row r="450" spans="1:13">
      <c r="A450" t="s">
        <v>55</v>
      </c>
      <c r="B450" t="s">
        <v>7</v>
      </c>
      <c r="C450" t="s">
        <v>33</v>
      </c>
      <c r="D450" s="3" t="s">
        <v>63</v>
      </c>
      <c r="E450" s="5" t="str">
        <f>TEXT(D450,"dd/mm/yyyy")</f>
        <v>29/06/2022</v>
      </c>
      <c r="F450" s="5" t="str" cm="1">
        <f t="array" ref="F450">RIGHT(_xlfn.ANCHORARRAY(E450),4)</f>
        <v>2022</v>
      </c>
      <c r="G450" s="5" t="str">
        <f>TEXT(E450,"mm")</f>
        <v>29/06/2022</v>
      </c>
      <c r="H450" s="6">
        <v>1960</v>
      </c>
      <c r="I450">
        <v>191</v>
      </c>
      <c r="L450" t="str">
        <f t="shared" si="6"/>
        <v>Below Average</v>
      </c>
      <c r="M450">
        <f>RANK(H450,H:H,0)</f>
        <v>2645</v>
      </c>
    </row>
    <row r="451" spans="1:13">
      <c r="A451" t="s">
        <v>37</v>
      </c>
      <c r="B451" t="s">
        <v>15</v>
      </c>
      <c r="C451" t="s">
        <v>100</v>
      </c>
      <c r="D451" s="3" t="s">
        <v>143</v>
      </c>
      <c r="E451" s="5" t="str">
        <f>TEXT(D451,"dd/mm/yyyy")</f>
        <v>24/06/2022</v>
      </c>
      <c r="F451" s="5" t="str" cm="1">
        <f t="array" ref="F451">RIGHT(_xlfn.ANCHORARRAY(E451),4)</f>
        <v>2022</v>
      </c>
      <c r="G451" s="5" t="str">
        <f>TEXT(E451,"mm")</f>
        <v>24/06/2022</v>
      </c>
      <c r="H451" s="6">
        <v>238</v>
      </c>
      <c r="I451">
        <v>317</v>
      </c>
      <c r="L451" t="str">
        <f t="shared" ref="L451:L514" si="7">IF(H451&gt;6030.34,"Above Average","Below Average")</f>
        <v>Below Average</v>
      </c>
      <c r="M451">
        <f>RANK(H451,H:H,0)</f>
        <v>3210</v>
      </c>
    </row>
    <row r="452" spans="1:13">
      <c r="A452" t="s">
        <v>22</v>
      </c>
      <c r="B452" t="s">
        <v>35</v>
      </c>
      <c r="C452" t="s">
        <v>8</v>
      </c>
      <c r="D452" s="4">
        <v>44568</v>
      </c>
      <c r="E452" s="5" t="str">
        <f>TEXT(D452,"dd/mm/yyyy")</f>
        <v>07/01/2022</v>
      </c>
      <c r="F452" s="5" t="str" cm="1">
        <f t="array" ref="F452">RIGHT(_xlfn.ANCHORARRAY(E452),4)</f>
        <v>2022</v>
      </c>
      <c r="G452" s="5" t="str">
        <f>TEXT(E452,"mm")</f>
        <v>07</v>
      </c>
      <c r="H452" s="6">
        <v>7756</v>
      </c>
      <c r="I452">
        <v>410</v>
      </c>
      <c r="L452" t="str">
        <f t="shared" si="7"/>
        <v>Above Average</v>
      </c>
      <c r="M452">
        <f>RANK(H452,H:H,0)</f>
        <v>997</v>
      </c>
    </row>
    <row r="453" spans="1:13">
      <c r="A453" t="s">
        <v>45</v>
      </c>
      <c r="B453" t="s">
        <v>32</v>
      </c>
      <c r="C453" t="s">
        <v>13</v>
      </c>
      <c r="D453" s="3" t="s">
        <v>104</v>
      </c>
      <c r="E453" s="5" t="str">
        <f>TEXT(D453,"dd/mm/yyyy")</f>
        <v>25/02/2022</v>
      </c>
      <c r="F453" s="5" t="str" cm="1">
        <f t="array" ref="F453">RIGHT(_xlfn.ANCHORARRAY(E453),4)</f>
        <v>2022</v>
      </c>
      <c r="G453" s="5" t="str">
        <f>TEXT(E453,"mm")</f>
        <v>25/02/2022</v>
      </c>
      <c r="H453" s="6">
        <v>1736</v>
      </c>
      <c r="I453">
        <v>137</v>
      </c>
      <c r="L453" t="str">
        <f t="shared" si="7"/>
        <v>Below Average</v>
      </c>
      <c r="M453">
        <f>RANK(H453,H:H,0)</f>
        <v>2720</v>
      </c>
    </row>
    <row r="454" spans="1:13">
      <c r="A454" t="s">
        <v>48</v>
      </c>
      <c r="B454" t="s">
        <v>35</v>
      </c>
      <c r="C454" t="s">
        <v>18</v>
      </c>
      <c r="D454" s="4">
        <v>44569</v>
      </c>
      <c r="E454" s="5" t="str">
        <f>TEXT(D454,"dd/mm/yyyy")</f>
        <v>08/01/2022</v>
      </c>
      <c r="F454" s="5" t="str" cm="1">
        <f t="array" ref="F454">RIGHT(_xlfn.ANCHORARRAY(E454),4)</f>
        <v>2022</v>
      </c>
      <c r="G454" s="5" t="str">
        <f>TEXT(E454,"mm")</f>
        <v>08</v>
      </c>
      <c r="H454" s="6">
        <v>2660</v>
      </c>
      <c r="I454">
        <v>12</v>
      </c>
      <c r="L454" t="str">
        <f t="shared" si="7"/>
        <v>Below Average</v>
      </c>
      <c r="M454">
        <f>RANK(H454,H:H,0)</f>
        <v>2418</v>
      </c>
    </row>
    <row r="455" spans="1:13">
      <c r="A455" t="s">
        <v>19</v>
      </c>
      <c r="B455" t="s">
        <v>15</v>
      </c>
      <c r="C455" t="s">
        <v>46</v>
      </c>
      <c r="D455" s="3" t="s">
        <v>146</v>
      </c>
      <c r="E455" s="5" t="str">
        <f>TEXT(D455,"dd/mm/yyyy")</f>
        <v>21/06/2022</v>
      </c>
      <c r="F455" s="5" t="str" cm="1">
        <f t="array" ref="F455">RIGHT(_xlfn.ANCHORARRAY(E455),4)</f>
        <v>2022</v>
      </c>
      <c r="G455" s="5" t="str">
        <f>TEXT(E455,"mm")</f>
        <v>21/06/2022</v>
      </c>
      <c r="H455" s="6">
        <v>7672</v>
      </c>
      <c r="I455">
        <v>254</v>
      </c>
      <c r="L455" t="str">
        <f t="shared" si="7"/>
        <v>Above Average</v>
      </c>
      <c r="M455">
        <f>RANK(H455,H:H,0)</f>
        <v>1023</v>
      </c>
    </row>
    <row r="456" spans="1:13">
      <c r="A456" t="s">
        <v>71</v>
      </c>
      <c r="B456" t="s">
        <v>25</v>
      </c>
      <c r="C456" t="s">
        <v>50</v>
      </c>
      <c r="D456" s="3" t="s">
        <v>21</v>
      </c>
      <c r="E456" s="5" t="str">
        <f>TEXT(D456,"dd/mm/yyyy")</f>
        <v>25/01/2022</v>
      </c>
      <c r="F456" s="5" t="str" cm="1">
        <f t="array" ref="F456">RIGHT(_xlfn.ANCHORARRAY(E456),4)</f>
        <v>2022</v>
      </c>
      <c r="G456" s="5" t="str">
        <f>TEXT(E456,"mm")</f>
        <v>25/01/2022</v>
      </c>
      <c r="H456" s="6">
        <v>11564</v>
      </c>
      <c r="I456">
        <v>24</v>
      </c>
      <c r="L456" t="str">
        <f t="shared" si="7"/>
        <v>Above Average</v>
      </c>
      <c r="M456">
        <f>RANK(H456,H:H,0)</f>
        <v>390</v>
      </c>
    </row>
    <row r="457" spans="1:13">
      <c r="A457" t="s">
        <v>12</v>
      </c>
      <c r="B457" t="s">
        <v>7</v>
      </c>
      <c r="C457" t="s">
        <v>46</v>
      </c>
      <c r="D457" s="3" t="s">
        <v>144</v>
      </c>
      <c r="E457" s="5" t="str">
        <f>TEXT(D457,"dd/mm/yyyy")</f>
        <v>17/05/2022</v>
      </c>
      <c r="F457" s="5" t="str" cm="1">
        <f t="array" ref="F457">RIGHT(_xlfn.ANCHORARRAY(E457),4)</f>
        <v>2022</v>
      </c>
      <c r="G457" s="5" t="str">
        <f>TEXT(E457,"mm")</f>
        <v>17/05/2022</v>
      </c>
      <c r="H457" s="6">
        <v>1365</v>
      </c>
      <c r="I457">
        <v>232</v>
      </c>
      <c r="L457" t="str">
        <f t="shared" si="7"/>
        <v>Below Average</v>
      </c>
      <c r="M457">
        <f>RANK(H457,H:H,0)</f>
        <v>2857</v>
      </c>
    </row>
    <row r="458" spans="1:13">
      <c r="A458" t="s">
        <v>67</v>
      </c>
      <c r="B458" t="s">
        <v>15</v>
      </c>
      <c r="C458" t="s">
        <v>11</v>
      </c>
      <c r="D458" s="3" t="s">
        <v>98</v>
      </c>
      <c r="E458" s="5" t="str">
        <f>TEXT(D458,"dd/mm/yyyy")</f>
        <v>23/08/2022</v>
      </c>
      <c r="F458" s="5" t="str" cm="1">
        <f t="array" ref="F458">RIGHT(_xlfn.ANCHORARRAY(E458),4)</f>
        <v>2022</v>
      </c>
      <c r="G458" s="5" t="str">
        <f>TEXT(E458,"mm")</f>
        <v>23/08/2022</v>
      </c>
      <c r="H458" s="6">
        <v>4186</v>
      </c>
      <c r="I458">
        <v>233</v>
      </c>
      <c r="L458" t="str">
        <f t="shared" si="7"/>
        <v>Below Average</v>
      </c>
      <c r="M458">
        <f>RANK(H458,H:H,0)</f>
        <v>1933</v>
      </c>
    </row>
    <row r="459" spans="1:13">
      <c r="A459" t="s">
        <v>71</v>
      </c>
      <c r="B459" t="s">
        <v>15</v>
      </c>
      <c r="C459" t="s">
        <v>18</v>
      </c>
      <c r="D459" s="4">
        <v>44623</v>
      </c>
      <c r="E459" s="5" t="str">
        <f>TEXT(D459,"dd/mm/yyyy")</f>
        <v>03/03/2022</v>
      </c>
      <c r="F459" s="5" t="str" cm="1">
        <f t="array" ref="F459">RIGHT(_xlfn.ANCHORARRAY(E459),4)</f>
        <v>2022</v>
      </c>
      <c r="G459" s="5" t="str">
        <f>TEXT(E459,"mm")</f>
        <v>03</v>
      </c>
      <c r="H459" s="6">
        <v>7406</v>
      </c>
      <c r="I459">
        <v>118</v>
      </c>
      <c r="L459" t="str">
        <f t="shared" si="7"/>
        <v>Above Average</v>
      </c>
      <c r="M459">
        <f>RANK(H459,H:H,0)</f>
        <v>1088</v>
      </c>
    </row>
    <row r="460" spans="1:13">
      <c r="A460" t="s">
        <v>45</v>
      </c>
      <c r="B460" t="s">
        <v>10</v>
      </c>
      <c r="C460" t="s">
        <v>90</v>
      </c>
      <c r="D460" s="3" t="s">
        <v>52</v>
      </c>
      <c r="E460" s="5" t="str">
        <f>TEXT(D460,"dd/mm/yyyy")</f>
        <v>30/05/2022</v>
      </c>
      <c r="F460" s="5" t="str" cm="1">
        <f t="array" ref="F460">RIGHT(_xlfn.ANCHORARRAY(E460),4)</f>
        <v>2022</v>
      </c>
      <c r="G460" s="5" t="str">
        <f>TEXT(E460,"mm")</f>
        <v>30/05/2022</v>
      </c>
      <c r="H460" s="6">
        <v>8911</v>
      </c>
      <c r="I460">
        <v>543</v>
      </c>
      <c r="L460" t="str">
        <f t="shared" si="7"/>
        <v>Above Average</v>
      </c>
      <c r="M460">
        <f>RANK(H460,H:H,0)</f>
        <v>755</v>
      </c>
    </row>
    <row r="461" spans="1:13">
      <c r="A461" t="s">
        <v>37</v>
      </c>
      <c r="B461" t="s">
        <v>32</v>
      </c>
      <c r="C461" t="s">
        <v>38</v>
      </c>
      <c r="D461" s="3" t="s">
        <v>63</v>
      </c>
      <c r="E461" s="5" t="str">
        <f>TEXT(D461,"dd/mm/yyyy")</f>
        <v>29/06/2022</v>
      </c>
      <c r="F461" s="5" t="str" cm="1">
        <f t="array" ref="F461">RIGHT(_xlfn.ANCHORARRAY(E461),4)</f>
        <v>2022</v>
      </c>
      <c r="G461" s="5" t="str">
        <f>TEXT(E461,"mm")</f>
        <v>29/06/2022</v>
      </c>
      <c r="H461" s="6">
        <v>112</v>
      </c>
      <c r="I461">
        <v>223</v>
      </c>
      <c r="L461" t="str">
        <f t="shared" si="7"/>
        <v>Below Average</v>
      </c>
      <c r="M461">
        <f>RANK(H461,H:H,0)</f>
        <v>3240</v>
      </c>
    </row>
    <row r="462" spans="1:13">
      <c r="A462" t="s">
        <v>67</v>
      </c>
      <c r="B462" t="s">
        <v>35</v>
      </c>
      <c r="C462" t="s">
        <v>42</v>
      </c>
      <c r="D462" s="4">
        <v>44652</v>
      </c>
      <c r="E462" s="5" t="str">
        <f>TEXT(D462,"dd/mm/yyyy")</f>
        <v>01/04/2022</v>
      </c>
      <c r="F462" s="5" t="str" cm="1">
        <f t="array" ref="F462">RIGHT(_xlfn.ANCHORARRAY(E462),4)</f>
        <v>2022</v>
      </c>
      <c r="G462" s="5" t="str">
        <f>TEXT(E462,"mm")</f>
        <v>01</v>
      </c>
      <c r="H462" s="6">
        <v>8204</v>
      </c>
      <c r="I462">
        <v>204</v>
      </c>
      <c r="L462" t="str">
        <f t="shared" si="7"/>
        <v>Above Average</v>
      </c>
      <c r="M462">
        <f>RANK(H462,H:H,0)</f>
        <v>891</v>
      </c>
    </row>
    <row r="463" spans="1:13">
      <c r="A463" t="s">
        <v>6</v>
      </c>
      <c r="B463" t="s">
        <v>15</v>
      </c>
      <c r="C463" t="s">
        <v>38</v>
      </c>
      <c r="D463" s="3" t="s">
        <v>122</v>
      </c>
      <c r="E463" s="5" t="str">
        <f>TEXT(D463,"dd/mm/yyyy")</f>
        <v>14/01/2022</v>
      </c>
      <c r="F463" s="5" t="str" cm="1">
        <f t="array" ref="F463">RIGHT(_xlfn.ANCHORARRAY(E463),4)</f>
        <v>2022</v>
      </c>
      <c r="G463" s="5" t="str">
        <f>TEXT(E463,"mm")</f>
        <v>14/01/2022</v>
      </c>
      <c r="H463" s="6">
        <v>2611</v>
      </c>
      <c r="I463">
        <v>65</v>
      </c>
      <c r="L463" t="str">
        <f t="shared" si="7"/>
        <v>Below Average</v>
      </c>
      <c r="M463">
        <f>RANK(H463,H:H,0)</f>
        <v>2437</v>
      </c>
    </row>
    <row r="464" spans="1:13">
      <c r="A464" t="s">
        <v>37</v>
      </c>
      <c r="B464" t="s">
        <v>32</v>
      </c>
      <c r="C464" t="s">
        <v>8</v>
      </c>
      <c r="D464" s="3" t="s">
        <v>149</v>
      </c>
      <c r="E464" s="5" t="str">
        <f>TEXT(D464,"dd/mm/yyyy")</f>
        <v>15/02/2022</v>
      </c>
      <c r="F464" s="5" t="str" cm="1">
        <f t="array" ref="F464">RIGHT(_xlfn.ANCHORARRAY(E464),4)</f>
        <v>2022</v>
      </c>
      <c r="G464" s="5" t="str">
        <f>TEXT(E464,"mm")</f>
        <v>15/02/2022</v>
      </c>
      <c r="H464" s="6">
        <v>15652</v>
      </c>
      <c r="I464">
        <v>53</v>
      </c>
      <c r="L464" t="str">
        <f t="shared" si="7"/>
        <v>Above Average</v>
      </c>
      <c r="M464">
        <f>RANK(H464,H:H,0)</f>
        <v>115</v>
      </c>
    </row>
    <row r="465" spans="1:13">
      <c r="A465" t="s">
        <v>48</v>
      </c>
      <c r="B465" t="s">
        <v>25</v>
      </c>
      <c r="C465" t="s">
        <v>50</v>
      </c>
      <c r="D465" s="4">
        <v>44835</v>
      </c>
      <c r="E465" s="5" t="str">
        <f>TEXT(D465,"dd/mm/yyyy")</f>
        <v>01/10/2022</v>
      </c>
      <c r="F465" s="5" t="str" cm="1">
        <f t="array" ref="F465">RIGHT(_xlfn.ANCHORARRAY(E465),4)</f>
        <v>2022</v>
      </c>
      <c r="G465" s="5" t="str">
        <f>TEXT(E465,"mm")</f>
        <v>01</v>
      </c>
      <c r="H465" s="6">
        <v>4074</v>
      </c>
      <c r="I465">
        <v>469</v>
      </c>
      <c r="L465" t="str">
        <f t="shared" si="7"/>
        <v>Below Average</v>
      </c>
      <c r="M465">
        <f>RANK(H465,H:H,0)</f>
        <v>1960</v>
      </c>
    </row>
    <row r="466" spans="1:13">
      <c r="A466" t="s">
        <v>77</v>
      </c>
      <c r="B466" t="s">
        <v>32</v>
      </c>
      <c r="C466" t="s">
        <v>59</v>
      </c>
      <c r="D466" s="4">
        <v>44656</v>
      </c>
      <c r="E466" s="5" t="str">
        <f>TEXT(D466,"dd/mm/yyyy")</f>
        <v>05/04/2022</v>
      </c>
      <c r="F466" s="5" t="str" cm="1">
        <f t="array" ref="F466">RIGHT(_xlfn.ANCHORARRAY(E466),4)</f>
        <v>2022</v>
      </c>
      <c r="G466" s="5" t="str">
        <f>TEXT(E466,"mm")</f>
        <v>05</v>
      </c>
      <c r="H466" s="6">
        <v>12250</v>
      </c>
      <c r="I466">
        <v>213</v>
      </c>
      <c r="L466" t="str">
        <f t="shared" si="7"/>
        <v>Above Average</v>
      </c>
      <c r="M466">
        <f>RANK(H466,H:H,0)</f>
        <v>324</v>
      </c>
    </row>
    <row r="467" spans="1:13">
      <c r="A467" t="s">
        <v>67</v>
      </c>
      <c r="B467" t="s">
        <v>32</v>
      </c>
      <c r="C467" t="s">
        <v>50</v>
      </c>
      <c r="D467" s="3" t="s">
        <v>136</v>
      </c>
      <c r="E467" s="5" t="str">
        <f>TEXT(D467,"dd/mm/yyyy")</f>
        <v>23/05/2022</v>
      </c>
      <c r="F467" s="5" t="str" cm="1">
        <f t="array" ref="F467">RIGHT(_xlfn.ANCHORARRAY(E467),4)</f>
        <v>2022</v>
      </c>
      <c r="G467" s="5" t="str">
        <f>TEXT(E467,"mm")</f>
        <v>23/05/2022</v>
      </c>
      <c r="H467" s="6">
        <v>2366</v>
      </c>
      <c r="I467">
        <v>5</v>
      </c>
      <c r="L467" t="str">
        <f t="shared" si="7"/>
        <v>Below Average</v>
      </c>
      <c r="M467">
        <f>RANK(H467,H:H,0)</f>
        <v>2526</v>
      </c>
    </row>
    <row r="468" spans="1:13">
      <c r="A468" t="s">
        <v>31</v>
      </c>
      <c r="B468" t="s">
        <v>25</v>
      </c>
      <c r="C468" t="s">
        <v>57</v>
      </c>
      <c r="D468" s="3" t="s">
        <v>151</v>
      </c>
      <c r="E468" s="5" t="str">
        <f>TEXT(D468,"dd/mm/yyyy")</f>
        <v>26/04/2022</v>
      </c>
      <c r="F468" s="5" t="str" cm="1">
        <f t="array" ref="F468">RIGHT(_xlfn.ANCHORARRAY(E468),4)</f>
        <v>2022</v>
      </c>
      <c r="G468" s="5" t="str">
        <f>TEXT(E468,"mm")</f>
        <v>26/04/2022</v>
      </c>
      <c r="H468" s="6">
        <v>1687</v>
      </c>
      <c r="I468">
        <v>147</v>
      </c>
      <c r="L468" t="str">
        <f t="shared" si="7"/>
        <v>Below Average</v>
      </c>
      <c r="M468">
        <f>RANK(H468,H:H,0)</f>
        <v>2734</v>
      </c>
    </row>
    <row r="469" spans="1:13">
      <c r="A469" t="s">
        <v>19</v>
      </c>
      <c r="B469" t="s">
        <v>35</v>
      </c>
      <c r="C469" t="s">
        <v>42</v>
      </c>
      <c r="D469" s="4">
        <v>44688</v>
      </c>
      <c r="E469" s="5" t="str">
        <f>TEXT(D469,"dd/mm/yyyy")</f>
        <v>07/05/2022</v>
      </c>
      <c r="F469" s="5" t="str" cm="1">
        <f t="array" ref="F469">RIGHT(_xlfn.ANCHORARRAY(E469),4)</f>
        <v>2022</v>
      </c>
      <c r="G469" s="5" t="str">
        <f>TEXT(E469,"mm")</f>
        <v>07</v>
      </c>
      <c r="H469" s="6">
        <v>1232</v>
      </c>
      <c r="I469">
        <v>74</v>
      </c>
      <c r="L469" t="str">
        <f t="shared" si="7"/>
        <v>Below Average</v>
      </c>
      <c r="M469">
        <f>RANK(H469,H:H,0)</f>
        <v>2895</v>
      </c>
    </row>
    <row r="470" spans="1:13">
      <c r="A470" t="s">
        <v>77</v>
      </c>
      <c r="B470" t="s">
        <v>7</v>
      </c>
      <c r="C470" t="s">
        <v>42</v>
      </c>
      <c r="D470" s="3" t="s">
        <v>141</v>
      </c>
      <c r="E470" s="5" t="str">
        <f>TEXT(D470,"dd/mm/yyyy")</f>
        <v>21/07/2022</v>
      </c>
      <c r="F470" s="5" t="str" cm="1">
        <f t="array" ref="F470">RIGHT(_xlfn.ANCHORARRAY(E470),4)</f>
        <v>2022</v>
      </c>
      <c r="G470" s="5" t="str">
        <f>TEXT(E470,"mm")</f>
        <v>21/07/2022</v>
      </c>
      <c r="H470" s="6">
        <v>6965</v>
      </c>
      <c r="I470">
        <v>163</v>
      </c>
      <c r="L470" t="str">
        <f t="shared" si="7"/>
        <v>Above Average</v>
      </c>
      <c r="M470">
        <f>RANK(H470,H:H,0)</f>
        <v>1194</v>
      </c>
    </row>
    <row r="471" spans="1:13">
      <c r="A471" t="s">
        <v>79</v>
      </c>
      <c r="B471" t="s">
        <v>32</v>
      </c>
      <c r="C471" t="s">
        <v>8</v>
      </c>
      <c r="D471" s="3" t="s">
        <v>109</v>
      </c>
      <c r="E471" s="5" t="str">
        <f>TEXT(D471,"dd/mm/yyyy")</f>
        <v>21/02/2022</v>
      </c>
      <c r="F471" s="5" t="str" cm="1">
        <f t="array" ref="F471">RIGHT(_xlfn.ANCHORARRAY(E471),4)</f>
        <v>2022</v>
      </c>
      <c r="G471" s="5" t="str">
        <f>TEXT(E471,"mm")</f>
        <v>21/02/2022</v>
      </c>
      <c r="H471" s="6">
        <v>5292</v>
      </c>
      <c r="I471">
        <v>248</v>
      </c>
      <c r="L471" t="str">
        <f t="shared" si="7"/>
        <v>Below Average</v>
      </c>
      <c r="M471">
        <f>RANK(H471,H:H,0)</f>
        <v>1620</v>
      </c>
    </row>
    <row r="472" spans="1:13">
      <c r="A472" t="s">
        <v>70</v>
      </c>
      <c r="B472" t="s">
        <v>32</v>
      </c>
      <c r="C472" t="s">
        <v>33</v>
      </c>
      <c r="D472" s="4">
        <v>44622</v>
      </c>
      <c r="E472" s="5" t="str">
        <f>TEXT(D472,"dd/mm/yyyy")</f>
        <v>02/03/2022</v>
      </c>
      <c r="F472" s="5" t="str" cm="1">
        <f t="array" ref="F472">RIGHT(_xlfn.ANCHORARRAY(E472),4)</f>
        <v>2022</v>
      </c>
      <c r="G472" s="5" t="str">
        <f>TEXT(E472,"mm")</f>
        <v>02</v>
      </c>
      <c r="H472" s="6">
        <v>1379</v>
      </c>
      <c r="I472">
        <v>138</v>
      </c>
      <c r="L472" t="str">
        <f t="shared" si="7"/>
        <v>Below Average</v>
      </c>
      <c r="M472">
        <f>RANK(H472,H:H,0)</f>
        <v>2846</v>
      </c>
    </row>
    <row r="473" spans="1:13">
      <c r="A473" t="s">
        <v>12</v>
      </c>
      <c r="B473" t="s">
        <v>15</v>
      </c>
      <c r="C473" t="s">
        <v>90</v>
      </c>
      <c r="D473" s="4">
        <v>44780</v>
      </c>
      <c r="E473" s="5" t="str">
        <f>TEXT(D473,"dd/mm/yyyy")</f>
        <v>07/08/2022</v>
      </c>
      <c r="F473" s="5" t="str" cm="1">
        <f t="array" ref="F473">RIGHT(_xlfn.ANCHORARRAY(E473),4)</f>
        <v>2022</v>
      </c>
      <c r="G473" s="5" t="str">
        <f>TEXT(E473,"mm")</f>
        <v>07</v>
      </c>
      <c r="H473" s="6">
        <v>8001</v>
      </c>
      <c r="I473">
        <v>151</v>
      </c>
      <c r="L473" t="str">
        <f t="shared" si="7"/>
        <v>Above Average</v>
      </c>
      <c r="M473">
        <f>RANK(H473,H:H,0)</f>
        <v>936</v>
      </c>
    </row>
    <row r="474" spans="1:13">
      <c r="A474" t="s">
        <v>34</v>
      </c>
      <c r="B474" t="s">
        <v>10</v>
      </c>
      <c r="C474" t="s">
        <v>26</v>
      </c>
      <c r="D474" s="3" t="s">
        <v>126</v>
      </c>
      <c r="E474" s="5" t="str">
        <f>TEXT(D474,"dd/mm/yyyy")</f>
        <v>31/05/2022</v>
      </c>
      <c r="F474" s="5" t="str" cm="1">
        <f t="array" ref="F474">RIGHT(_xlfn.ANCHORARRAY(E474),4)</f>
        <v>2022</v>
      </c>
      <c r="G474" s="5" t="str">
        <f>TEXT(E474,"mm")</f>
        <v>31/05/2022</v>
      </c>
      <c r="H474" s="6">
        <v>588</v>
      </c>
      <c r="I474">
        <v>139</v>
      </c>
      <c r="L474" t="str">
        <f t="shared" si="7"/>
        <v>Below Average</v>
      </c>
      <c r="M474">
        <f>RANK(H474,H:H,0)</f>
        <v>3102</v>
      </c>
    </row>
    <row r="475" spans="1:13">
      <c r="A475" t="s">
        <v>9</v>
      </c>
      <c r="B475" t="s">
        <v>25</v>
      </c>
      <c r="C475" t="s">
        <v>8</v>
      </c>
      <c r="D475" s="3" t="s">
        <v>49</v>
      </c>
      <c r="E475" s="5" t="str">
        <f>TEXT(D475,"dd/mm/yyyy")</f>
        <v>27/06/2022</v>
      </c>
      <c r="F475" s="5" t="str" cm="1">
        <f t="array" ref="F475">RIGHT(_xlfn.ANCHORARRAY(E475),4)</f>
        <v>2022</v>
      </c>
      <c r="G475" s="5" t="str">
        <f>TEXT(E475,"mm")</f>
        <v>27/06/2022</v>
      </c>
      <c r="H475" s="6">
        <v>4046</v>
      </c>
      <c r="I475">
        <v>103</v>
      </c>
      <c r="L475" t="str">
        <f t="shared" si="7"/>
        <v>Below Average</v>
      </c>
      <c r="M475">
        <f>RANK(H475,H:H,0)</f>
        <v>1971</v>
      </c>
    </row>
    <row r="476" spans="1:13">
      <c r="A476" t="s">
        <v>9</v>
      </c>
      <c r="B476" t="s">
        <v>10</v>
      </c>
      <c r="C476" t="s">
        <v>26</v>
      </c>
      <c r="D476" s="3" t="s">
        <v>130</v>
      </c>
      <c r="E476" s="5" t="str">
        <f>TEXT(D476,"dd/mm/yyyy")</f>
        <v>13/05/2022</v>
      </c>
      <c r="F476" s="5" t="str" cm="1">
        <f t="array" ref="F476">RIGHT(_xlfn.ANCHORARRAY(E476),4)</f>
        <v>2022</v>
      </c>
      <c r="G476" s="5" t="str">
        <f>TEXT(E476,"mm")</f>
        <v>13/05/2022</v>
      </c>
      <c r="H476" s="6">
        <v>5103</v>
      </c>
      <c r="I476">
        <v>129</v>
      </c>
      <c r="L476" t="str">
        <f t="shared" si="7"/>
        <v>Below Average</v>
      </c>
      <c r="M476">
        <f>RANK(H476,H:H,0)</f>
        <v>1669</v>
      </c>
    </row>
    <row r="477" spans="1:13">
      <c r="A477" t="s">
        <v>9</v>
      </c>
      <c r="B477" t="s">
        <v>32</v>
      </c>
      <c r="C477" t="s">
        <v>60</v>
      </c>
      <c r="D477" s="3" t="s">
        <v>126</v>
      </c>
      <c r="E477" s="5" t="str">
        <f>TEXT(D477,"dd/mm/yyyy")</f>
        <v>31/05/2022</v>
      </c>
      <c r="F477" s="5" t="str" cm="1">
        <f t="array" ref="F477">RIGHT(_xlfn.ANCHORARRAY(E477),4)</f>
        <v>2022</v>
      </c>
      <c r="G477" s="5" t="str">
        <f>TEXT(E477,"mm")</f>
        <v>31/05/2022</v>
      </c>
      <c r="H477" s="6">
        <v>2317</v>
      </c>
      <c r="I477">
        <v>102</v>
      </c>
      <c r="L477" t="str">
        <f t="shared" si="7"/>
        <v>Below Average</v>
      </c>
      <c r="M477">
        <f>RANK(H477,H:H,0)</f>
        <v>2542</v>
      </c>
    </row>
    <row r="478" spans="1:13">
      <c r="A478" t="s">
        <v>64</v>
      </c>
      <c r="B478" t="s">
        <v>32</v>
      </c>
      <c r="C478" t="s">
        <v>33</v>
      </c>
      <c r="D478" s="3" t="s">
        <v>56</v>
      </c>
      <c r="E478" s="5" t="str">
        <f>TEXT(D478,"dd/mm/yyyy")</f>
        <v>28/02/2022</v>
      </c>
      <c r="F478" s="5" t="str" cm="1">
        <f t="array" ref="F478">RIGHT(_xlfn.ANCHORARRAY(E478),4)</f>
        <v>2022</v>
      </c>
      <c r="G478" s="5" t="str">
        <f>TEXT(E478,"mm")</f>
        <v>28/02/2022</v>
      </c>
      <c r="H478" s="6">
        <v>7042</v>
      </c>
      <c r="I478">
        <v>37</v>
      </c>
      <c r="L478" t="str">
        <f t="shared" si="7"/>
        <v>Above Average</v>
      </c>
      <c r="M478">
        <f>RANK(H478,H:H,0)</f>
        <v>1169</v>
      </c>
    </row>
    <row r="479" spans="1:13">
      <c r="A479" t="s">
        <v>31</v>
      </c>
      <c r="B479" t="s">
        <v>25</v>
      </c>
      <c r="C479" t="s">
        <v>36</v>
      </c>
      <c r="D479" s="3" t="s">
        <v>102</v>
      </c>
      <c r="E479" s="5" t="str">
        <f>TEXT(D479,"dd/mm/yyyy")</f>
        <v>28/03/2022</v>
      </c>
      <c r="F479" s="5" t="str" cm="1">
        <f t="array" ref="F479">RIGHT(_xlfn.ANCHORARRAY(E479),4)</f>
        <v>2022</v>
      </c>
      <c r="G479" s="5" t="str">
        <f>TEXT(E479,"mm")</f>
        <v>28/03/2022</v>
      </c>
      <c r="H479" s="6">
        <v>6713</v>
      </c>
      <c r="I479">
        <v>31</v>
      </c>
      <c r="L479" t="str">
        <f t="shared" si="7"/>
        <v>Above Average</v>
      </c>
      <c r="M479">
        <f>RANK(H479,H:H,0)</f>
        <v>1257</v>
      </c>
    </row>
    <row r="480" spans="1:13">
      <c r="A480" t="s">
        <v>12</v>
      </c>
      <c r="B480" t="s">
        <v>32</v>
      </c>
      <c r="C480" t="s">
        <v>23</v>
      </c>
      <c r="D480" s="3" t="s">
        <v>122</v>
      </c>
      <c r="E480" s="5" t="str">
        <f>TEXT(D480,"dd/mm/yyyy")</f>
        <v>14/01/2022</v>
      </c>
      <c r="F480" s="5" t="str" cm="1">
        <f t="array" ref="F480">RIGHT(_xlfn.ANCHORARRAY(E480),4)</f>
        <v>2022</v>
      </c>
      <c r="G480" s="5" t="str">
        <f>TEXT(E480,"mm")</f>
        <v>14/01/2022</v>
      </c>
      <c r="H480" s="6">
        <v>1848</v>
      </c>
      <c r="I480">
        <v>227</v>
      </c>
      <c r="L480" t="str">
        <f t="shared" si="7"/>
        <v>Below Average</v>
      </c>
      <c r="M480">
        <f>RANK(H480,H:H,0)</f>
        <v>2685</v>
      </c>
    </row>
    <row r="481" spans="1:13">
      <c r="A481" t="s">
        <v>31</v>
      </c>
      <c r="B481" t="s">
        <v>25</v>
      </c>
      <c r="C481" t="s">
        <v>8</v>
      </c>
      <c r="D481" s="3" t="s">
        <v>109</v>
      </c>
      <c r="E481" s="5" t="str">
        <f>TEXT(D481,"dd/mm/yyyy")</f>
        <v>21/02/2022</v>
      </c>
      <c r="F481" s="5" t="str" cm="1">
        <f t="array" ref="F481">RIGHT(_xlfn.ANCHORARRAY(E481),4)</f>
        <v>2022</v>
      </c>
      <c r="G481" s="5" t="str">
        <f>TEXT(E481,"mm")</f>
        <v>21/02/2022</v>
      </c>
      <c r="H481" s="6">
        <v>6440</v>
      </c>
      <c r="I481">
        <v>145</v>
      </c>
      <c r="L481" t="str">
        <f t="shared" si="7"/>
        <v>Above Average</v>
      </c>
      <c r="M481">
        <f>RANK(H481,H:H,0)</f>
        <v>1322</v>
      </c>
    </row>
    <row r="482" spans="1:13">
      <c r="A482" t="s">
        <v>58</v>
      </c>
      <c r="B482" t="s">
        <v>35</v>
      </c>
      <c r="C482" t="s">
        <v>11</v>
      </c>
      <c r="D482" s="4">
        <v>44569</v>
      </c>
      <c r="E482" s="5" t="str">
        <f>TEXT(D482,"dd/mm/yyyy")</f>
        <v>08/01/2022</v>
      </c>
      <c r="F482" s="5" t="str" cm="1">
        <f t="array" ref="F482">RIGHT(_xlfn.ANCHORARRAY(E482),4)</f>
        <v>2022</v>
      </c>
      <c r="G482" s="5" t="str">
        <f>TEXT(E482,"mm")</f>
        <v>08</v>
      </c>
      <c r="H482" s="6">
        <v>10885</v>
      </c>
      <c r="I482">
        <v>90</v>
      </c>
      <c r="L482" t="str">
        <f t="shared" si="7"/>
        <v>Above Average</v>
      </c>
      <c r="M482">
        <f>RANK(H482,H:H,0)</f>
        <v>458</v>
      </c>
    </row>
    <row r="483" spans="1:13">
      <c r="A483" t="s">
        <v>41</v>
      </c>
      <c r="B483" t="s">
        <v>25</v>
      </c>
      <c r="C483" t="s">
        <v>18</v>
      </c>
      <c r="D483" s="3" t="s">
        <v>72</v>
      </c>
      <c r="E483" s="5" t="str">
        <f>TEXT(D483,"dd/mm/yyyy")</f>
        <v>19/05/2022</v>
      </c>
      <c r="F483" s="5" t="str" cm="1">
        <f t="array" ref="F483">RIGHT(_xlfn.ANCHORARRAY(E483),4)</f>
        <v>2022</v>
      </c>
      <c r="G483" s="5" t="str">
        <f>TEXT(E483,"mm")</f>
        <v>19/05/2022</v>
      </c>
      <c r="H483" s="6">
        <v>2387</v>
      </c>
      <c r="I483">
        <v>59</v>
      </c>
      <c r="L483" t="str">
        <f t="shared" si="7"/>
        <v>Below Average</v>
      </c>
      <c r="M483">
        <f>RANK(H483,H:H,0)</f>
        <v>2519</v>
      </c>
    </row>
    <row r="484" spans="1:13">
      <c r="A484" t="s">
        <v>53</v>
      </c>
      <c r="B484" t="s">
        <v>32</v>
      </c>
      <c r="C484" t="s">
        <v>59</v>
      </c>
      <c r="D484" s="3" t="s">
        <v>94</v>
      </c>
      <c r="E484" s="5" t="str">
        <f>TEXT(D484,"dd/mm/yyyy")</f>
        <v>13/07/2022</v>
      </c>
      <c r="F484" s="5" t="str" cm="1">
        <f t="array" ref="F484">RIGHT(_xlfn.ANCHORARRAY(E484),4)</f>
        <v>2022</v>
      </c>
      <c r="G484" s="5" t="str">
        <f>TEXT(E484,"mm")</f>
        <v>13/07/2022</v>
      </c>
      <c r="H484" s="6">
        <v>2030</v>
      </c>
      <c r="I484">
        <v>60</v>
      </c>
      <c r="L484" t="str">
        <f t="shared" si="7"/>
        <v>Below Average</v>
      </c>
      <c r="M484">
        <f>RANK(H484,H:H,0)</f>
        <v>2626</v>
      </c>
    </row>
    <row r="485" spans="1:13">
      <c r="A485" t="s">
        <v>67</v>
      </c>
      <c r="B485" t="s">
        <v>15</v>
      </c>
      <c r="C485" t="s">
        <v>13</v>
      </c>
      <c r="D485" s="3" t="s">
        <v>27</v>
      </c>
      <c r="E485" s="5" t="str">
        <f>TEXT(D485,"dd/mm/yyyy")</f>
        <v>20/04/2022</v>
      </c>
      <c r="F485" s="5" t="str" cm="1">
        <f t="array" ref="F485">RIGHT(_xlfn.ANCHORARRAY(E485),4)</f>
        <v>2022</v>
      </c>
      <c r="G485" s="5" t="str">
        <f>TEXT(E485,"mm")</f>
        <v>20/04/2022</v>
      </c>
      <c r="H485" s="6">
        <v>6678</v>
      </c>
      <c r="I485">
        <v>148</v>
      </c>
      <c r="L485" t="str">
        <f t="shared" si="7"/>
        <v>Above Average</v>
      </c>
      <c r="M485">
        <f>RANK(H485,H:H,0)</f>
        <v>1264</v>
      </c>
    </row>
    <row r="486" spans="1:13">
      <c r="A486" t="s">
        <v>58</v>
      </c>
      <c r="B486" t="s">
        <v>10</v>
      </c>
      <c r="C486" t="s">
        <v>11</v>
      </c>
      <c r="D486" s="3" t="s">
        <v>66</v>
      </c>
      <c r="E486" s="5" t="str">
        <f>TEXT(D486,"dd/mm/yyyy")</f>
        <v>30/06/2022</v>
      </c>
      <c r="F486" s="5" t="str" cm="1">
        <f t="array" ref="F486">RIGHT(_xlfn.ANCHORARRAY(E486),4)</f>
        <v>2022</v>
      </c>
      <c r="G486" s="5" t="str">
        <f>TEXT(E486,"mm")</f>
        <v>30/06/2022</v>
      </c>
      <c r="H486" s="6">
        <v>4515</v>
      </c>
      <c r="I486">
        <v>22</v>
      </c>
      <c r="L486" t="str">
        <f t="shared" si="7"/>
        <v>Below Average</v>
      </c>
      <c r="M486">
        <f>RANK(H486,H:H,0)</f>
        <v>1843</v>
      </c>
    </row>
    <row r="487" spans="1:13">
      <c r="A487" t="s">
        <v>48</v>
      </c>
      <c r="B487" t="s">
        <v>7</v>
      </c>
      <c r="C487" t="s">
        <v>26</v>
      </c>
      <c r="D487" s="4">
        <v>44776</v>
      </c>
      <c r="E487" s="5" t="str">
        <f>TEXT(D487,"dd/mm/yyyy")</f>
        <v>03/08/2022</v>
      </c>
      <c r="F487" s="5" t="str" cm="1">
        <f t="array" ref="F487">RIGHT(_xlfn.ANCHORARRAY(E487),4)</f>
        <v>2022</v>
      </c>
      <c r="G487" s="5" t="str">
        <f>TEXT(E487,"mm")</f>
        <v>03</v>
      </c>
      <c r="H487" s="6">
        <v>3374</v>
      </c>
      <c r="I487">
        <v>142</v>
      </c>
      <c r="L487" t="str">
        <f t="shared" si="7"/>
        <v>Below Average</v>
      </c>
      <c r="M487">
        <f>RANK(H487,H:H,0)</f>
        <v>2188</v>
      </c>
    </row>
    <row r="488" spans="1:13">
      <c r="A488" t="s">
        <v>22</v>
      </c>
      <c r="B488" t="s">
        <v>32</v>
      </c>
      <c r="C488" t="s">
        <v>57</v>
      </c>
      <c r="D488" s="4">
        <v>44807</v>
      </c>
      <c r="E488" s="5" t="str">
        <f>TEXT(D488,"dd/mm/yyyy")</f>
        <v>03/09/2022</v>
      </c>
      <c r="F488" s="5" t="str" cm="1">
        <f t="array" ref="F488">RIGHT(_xlfn.ANCHORARRAY(E488),4)</f>
        <v>2022</v>
      </c>
      <c r="G488" s="5" t="str">
        <f>TEXT(E488,"mm")</f>
        <v>03</v>
      </c>
      <c r="H488" s="6">
        <v>5852</v>
      </c>
      <c r="I488">
        <v>93</v>
      </c>
      <c r="L488" t="str">
        <f t="shared" si="7"/>
        <v>Below Average</v>
      </c>
      <c r="M488">
        <f>RANK(H488,H:H,0)</f>
        <v>1473</v>
      </c>
    </row>
    <row r="489" spans="1:13">
      <c r="A489" t="s">
        <v>19</v>
      </c>
      <c r="B489" t="s">
        <v>35</v>
      </c>
      <c r="C489" t="s">
        <v>73</v>
      </c>
      <c r="D489" s="3" t="s">
        <v>111</v>
      </c>
      <c r="E489" s="5" t="str">
        <f>TEXT(D489,"dd/mm/yyyy")</f>
        <v>16/06/2022</v>
      </c>
      <c r="F489" s="5" t="str" cm="1">
        <f t="array" ref="F489">RIGHT(_xlfn.ANCHORARRAY(E489),4)</f>
        <v>2022</v>
      </c>
      <c r="G489" s="5" t="str">
        <f>TEXT(E489,"mm")</f>
        <v>16/06/2022</v>
      </c>
      <c r="H489" s="6">
        <v>1750</v>
      </c>
      <c r="I489">
        <v>208</v>
      </c>
      <c r="L489" t="str">
        <f t="shared" si="7"/>
        <v>Below Average</v>
      </c>
      <c r="M489">
        <f>RANK(H489,H:H,0)</f>
        <v>2711</v>
      </c>
    </row>
    <row r="490" spans="1:13">
      <c r="A490" t="s">
        <v>12</v>
      </c>
      <c r="B490" t="s">
        <v>7</v>
      </c>
      <c r="C490" t="s">
        <v>38</v>
      </c>
      <c r="D490" s="3" t="s">
        <v>66</v>
      </c>
      <c r="E490" s="5" t="str">
        <f>TEXT(D490,"dd/mm/yyyy")</f>
        <v>30/06/2022</v>
      </c>
      <c r="F490" s="5" t="str" cm="1">
        <f t="array" ref="F490">RIGHT(_xlfn.ANCHORARRAY(E490),4)</f>
        <v>2022</v>
      </c>
      <c r="G490" s="5" t="str">
        <f>TEXT(E490,"mm")</f>
        <v>30/06/2022</v>
      </c>
      <c r="H490" s="6">
        <v>5782</v>
      </c>
      <c r="I490">
        <v>42</v>
      </c>
      <c r="L490" t="str">
        <f t="shared" si="7"/>
        <v>Below Average</v>
      </c>
      <c r="M490">
        <f>RANK(H490,H:H,0)</f>
        <v>1491</v>
      </c>
    </row>
    <row r="491" spans="1:13">
      <c r="A491" t="s">
        <v>70</v>
      </c>
      <c r="B491" t="s">
        <v>10</v>
      </c>
      <c r="C491" t="s">
        <v>8</v>
      </c>
      <c r="D491" s="3" t="s">
        <v>39</v>
      </c>
      <c r="E491" s="5" t="str">
        <f>TEXT(D491,"dd/mm/yyyy")</f>
        <v>28/07/2022</v>
      </c>
      <c r="F491" s="5" t="str" cm="1">
        <f t="array" ref="F491">RIGHT(_xlfn.ANCHORARRAY(E491),4)</f>
        <v>2022</v>
      </c>
      <c r="G491" s="5" t="str">
        <f>TEXT(E491,"mm")</f>
        <v>28/07/2022</v>
      </c>
      <c r="H491" s="6">
        <v>2870</v>
      </c>
      <c r="I491">
        <v>120</v>
      </c>
      <c r="L491" t="str">
        <f t="shared" si="7"/>
        <v>Below Average</v>
      </c>
      <c r="M491">
        <f>RANK(H491,H:H,0)</f>
        <v>2351</v>
      </c>
    </row>
    <row r="492" spans="1:13">
      <c r="A492" t="s">
        <v>37</v>
      </c>
      <c r="B492" t="s">
        <v>35</v>
      </c>
      <c r="C492" t="s">
        <v>13</v>
      </c>
      <c r="D492" s="4">
        <v>44903</v>
      </c>
      <c r="E492" s="5" t="str">
        <f>TEXT(D492,"dd/mm/yyyy")</f>
        <v>08/12/2022</v>
      </c>
      <c r="F492" s="5" t="str" cm="1">
        <f t="array" ref="F492">RIGHT(_xlfn.ANCHORARRAY(E492),4)</f>
        <v>2022</v>
      </c>
      <c r="G492" s="5" t="str">
        <f>TEXT(E492,"mm")</f>
        <v>08</v>
      </c>
      <c r="H492" s="6">
        <v>3094</v>
      </c>
      <c r="I492">
        <v>159</v>
      </c>
      <c r="L492" t="str">
        <f t="shared" si="7"/>
        <v>Below Average</v>
      </c>
      <c r="M492">
        <f>RANK(H492,H:H,0)</f>
        <v>2271</v>
      </c>
    </row>
    <row r="493" spans="1:13">
      <c r="A493" t="s">
        <v>31</v>
      </c>
      <c r="B493" t="s">
        <v>7</v>
      </c>
      <c r="C493" t="s">
        <v>8</v>
      </c>
      <c r="D493" s="4">
        <v>44749</v>
      </c>
      <c r="E493" s="5" t="str">
        <f>TEXT(D493,"dd/mm/yyyy")</f>
        <v>07/07/2022</v>
      </c>
      <c r="F493" s="5" t="str" cm="1">
        <f t="array" ref="F493">RIGHT(_xlfn.ANCHORARRAY(E493),4)</f>
        <v>2022</v>
      </c>
      <c r="G493" s="5" t="str">
        <f>TEXT(E493,"mm")</f>
        <v>07</v>
      </c>
      <c r="H493" s="6">
        <v>3724</v>
      </c>
      <c r="I493">
        <v>316</v>
      </c>
      <c r="L493" t="str">
        <f t="shared" si="7"/>
        <v>Below Average</v>
      </c>
      <c r="M493">
        <f>RANK(H493,H:H,0)</f>
        <v>2064</v>
      </c>
    </row>
    <row r="494" spans="1:13">
      <c r="A494" t="s">
        <v>31</v>
      </c>
      <c r="B494" t="s">
        <v>32</v>
      </c>
      <c r="C494" t="s">
        <v>11</v>
      </c>
      <c r="D494" s="3" t="s">
        <v>103</v>
      </c>
      <c r="E494" s="5" t="str">
        <f>TEXT(D494,"dd/mm/yyyy")</f>
        <v>25/08/2022</v>
      </c>
      <c r="F494" s="5" t="str" cm="1">
        <f t="array" ref="F494">RIGHT(_xlfn.ANCHORARRAY(E494),4)</f>
        <v>2022</v>
      </c>
      <c r="G494" s="5" t="str">
        <f>TEXT(E494,"mm")</f>
        <v>25/08/2022</v>
      </c>
      <c r="H494" s="6">
        <v>12761</v>
      </c>
      <c r="I494">
        <v>47</v>
      </c>
      <c r="L494" t="str">
        <f t="shared" si="7"/>
        <v>Above Average</v>
      </c>
      <c r="M494">
        <f>RANK(H494,H:H,0)</f>
        <v>280</v>
      </c>
    </row>
    <row r="495" spans="1:13">
      <c r="A495" t="s">
        <v>53</v>
      </c>
      <c r="B495" t="s">
        <v>35</v>
      </c>
      <c r="C495" t="s">
        <v>36</v>
      </c>
      <c r="D495" s="3" t="s">
        <v>152</v>
      </c>
      <c r="E495" s="5" t="str">
        <f>TEXT(D495,"dd/mm/yyyy")</f>
        <v>17/01/2022</v>
      </c>
      <c r="F495" s="5" t="str" cm="1">
        <f t="array" ref="F495">RIGHT(_xlfn.ANCHORARRAY(E495),4)</f>
        <v>2022</v>
      </c>
      <c r="G495" s="5" t="str">
        <f>TEXT(E495,"mm")</f>
        <v>17/01/2022</v>
      </c>
      <c r="H495" s="6">
        <v>3696</v>
      </c>
      <c r="I495">
        <v>233</v>
      </c>
      <c r="L495" t="str">
        <f t="shared" si="7"/>
        <v>Below Average</v>
      </c>
      <c r="M495">
        <f>RANK(H495,H:H,0)</f>
        <v>2075</v>
      </c>
    </row>
    <row r="496" spans="1:13">
      <c r="A496" t="s">
        <v>14</v>
      </c>
      <c r="B496" t="s">
        <v>15</v>
      </c>
      <c r="C496" t="s">
        <v>100</v>
      </c>
      <c r="D496" s="4">
        <v>44654</v>
      </c>
      <c r="E496" s="5" t="str">
        <f>TEXT(D496,"dd/mm/yyyy")</f>
        <v>03/04/2022</v>
      </c>
      <c r="F496" s="5" t="str" cm="1">
        <f t="array" ref="F496">RIGHT(_xlfn.ANCHORARRAY(E496),4)</f>
        <v>2022</v>
      </c>
      <c r="G496" s="5" t="str">
        <f>TEXT(E496,"mm")</f>
        <v>03</v>
      </c>
      <c r="H496" s="6">
        <v>5222</v>
      </c>
      <c r="I496">
        <v>384</v>
      </c>
      <c r="L496" t="str">
        <f t="shared" si="7"/>
        <v>Below Average</v>
      </c>
      <c r="M496">
        <f>RANK(H496,H:H,0)</f>
        <v>1642</v>
      </c>
    </row>
    <row r="497" spans="1:13">
      <c r="A497" t="s">
        <v>40</v>
      </c>
      <c r="B497" t="s">
        <v>25</v>
      </c>
      <c r="C497" t="s">
        <v>57</v>
      </c>
      <c r="D497" s="3" t="s">
        <v>103</v>
      </c>
      <c r="E497" s="5" t="str">
        <f>TEXT(D497,"dd/mm/yyyy")</f>
        <v>25/08/2022</v>
      </c>
      <c r="F497" s="5" t="str" cm="1">
        <f t="array" ref="F497">RIGHT(_xlfn.ANCHORARRAY(E497),4)</f>
        <v>2022</v>
      </c>
      <c r="G497" s="5" t="str">
        <f>TEXT(E497,"mm")</f>
        <v>25/08/2022</v>
      </c>
      <c r="H497" s="6">
        <v>8939</v>
      </c>
      <c r="I497">
        <v>4</v>
      </c>
      <c r="L497" t="str">
        <f t="shared" si="7"/>
        <v>Above Average</v>
      </c>
      <c r="M497">
        <f>RANK(H497,H:H,0)</f>
        <v>748</v>
      </c>
    </row>
    <row r="498" spans="1:13">
      <c r="A498" t="s">
        <v>83</v>
      </c>
      <c r="B498" t="s">
        <v>7</v>
      </c>
      <c r="C498" t="s">
        <v>13</v>
      </c>
      <c r="D498" s="3" t="s">
        <v>74</v>
      </c>
      <c r="E498" s="5" t="str">
        <f>TEXT(D498,"dd/mm/yyyy")</f>
        <v>15/04/2022</v>
      </c>
      <c r="F498" s="5" t="str" cm="1">
        <f t="array" ref="F498">RIGHT(_xlfn.ANCHORARRAY(E498),4)</f>
        <v>2022</v>
      </c>
      <c r="G498" s="5" t="str">
        <f>TEXT(E498,"mm")</f>
        <v>15/04/2022</v>
      </c>
      <c r="H498" s="6">
        <v>2156</v>
      </c>
      <c r="I498">
        <v>260</v>
      </c>
      <c r="L498" t="str">
        <f t="shared" si="7"/>
        <v>Below Average</v>
      </c>
      <c r="M498">
        <f>RANK(H498,H:H,0)</f>
        <v>2589</v>
      </c>
    </row>
    <row r="499" spans="1:13">
      <c r="A499" t="s">
        <v>55</v>
      </c>
      <c r="B499" t="s">
        <v>32</v>
      </c>
      <c r="C499" t="s">
        <v>42</v>
      </c>
      <c r="D499" s="4">
        <v>44868</v>
      </c>
      <c r="E499" s="5" t="str">
        <f>TEXT(D499,"dd/mm/yyyy")</f>
        <v>03/11/2022</v>
      </c>
      <c r="F499" s="5" t="str" cm="1">
        <f t="array" ref="F499">RIGHT(_xlfn.ANCHORARRAY(E499),4)</f>
        <v>2022</v>
      </c>
      <c r="G499" s="5" t="str">
        <f>TEXT(E499,"mm")</f>
        <v>03</v>
      </c>
      <c r="H499" s="6">
        <v>2380</v>
      </c>
      <c r="I499">
        <v>22</v>
      </c>
      <c r="L499" t="str">
        <f t="shared" si="7"/>
        <v>Below Average</v>
      </c>
      <c r="M499">
        <f>RANK(H499,H:H,0)</f>
        <v>2521</v>
      </c>
    </row>
    <row r="500" spans="1:13">
      <c r="A500" t="s">
        <v>71</v>
      </c>
      <c r="B500" t="s">
        <v>32</v>
      </c>
      <c r="C500" t="s">
        <v>73</v>
      </c>
      <c r="D500" s="3" t="s">
        <v>119</v>
      </c>
      <c r="E500" s="5" t="str">
        <f>TEXT(D500,"dd/mm/yyyy")</f>
        <v>20/05/2022</v>
      </c>
      <c r="F500" s="5" t="str" cm="1">
        <f t="array" ref="F500">RIGHT(_xlfn.ANCHORARRAY(E500),4)</f>
        <v>2022</v>
      </c>
      <c r="G500" s="5" t="str">
        <f>TEXT(E500,"mm")</f>
        <v>20/05/2022</v>
      </c>
      <c r="H500" s="6">
        <v>3339</v>
      </c>
      <c r="I500">
        <v>18</v>
      </c>
      <c r="L500" t="str">
        <f t="shared" si="7"/>
        <v>Below Average</v>
      </c>
      <c r="M500">
        <f>RANK(H500,H:H,0)</f>
        <v>2202</v>
      </c>
    </row>
    <row r="501" spans="1:13">
      <c r="A501" t="s">
        <v>28</v>
      </c>
      <c r="B501" t="s">
        <v>25</v>
      </c>
      <c r="C501" t="s">
        <v>60</v>
      </c>
      <c r="D501" s="3" t="s">
        <v>127</v>
      </c>
      <c r="E501" s="5" t="str">
        <f>TEXT(D501,"dd/mm/yyyy")</f>
        <v>14/06/2022</v>
      </c>
      <c r="F501" s="5" t="str" cm="1">
        <f t="array" ref="F501">RIGHT(_xlfn.ANCHORARRAY(E501),4)</f>
        <v>2022</v>
      </c>
      <c r="G501" s="5" t="str">
        <f>TEXT(E501,"mm")</f>
        <v>14/06/2022</v>
      </c>
      <c r="H501" s="6">
        <v>14980</v>
      </c>
      <c r="I501">
        <v>42</v>
      </c>
      <c r="L501" t="str">
        <f t="shared" si="7"/>
        <v>Above Average</v>
      </c>
      <c r="M501">
        <f>RANK(H501,H:H,0)</f>
        <v>147</v>
      </c>
    </row>
    <row r="502" spans="1:13">
      <c r="A502" t="s">
        <v>6</v>
      </c>
      <c r="B502" t="s">
        <v>25</v>
      </c>
      <c r="C502" t="s">
        <v>23</v>
      </c>
      <c r="D502" s="3" t="s">
        <v>91</v>
      </c>
      <c r="E502" s="5" t="str">
        <f>TEXT(D502,"dd/mm/yyyy")</f>
        <v>14/04/2022</v>
      </c>
      <c r="F502" s="5" t="str" cm="1">
        <f t="array" ref="F502">RIGHT(_xlfn.ANCHORARRAY(E502),4)</f>
        <v>2022</v>
      </c>
      <c r="G502" s="5" t="str">
        <f>TEXT(E502,"mm")</f>
        <v>14/04/2022</v>
      </c>
      <c r="H502" s="6">
        <v>1512</v>
      </c>
      <c r="I502">
        <v>73</v>
      </c>
      <c r="L502" t="str">
        <f t="shared" si="7"/>
        <v>Below Average</v>
      </c>
      <c r="M502">
        <f>RANK(H502,H:H,0)</f>
        <v>2804</v>
      </c>
    </row>
    <row r="503" spans="1:13">
      <c r="A503" t="s">
        <v>6</v>
      </c>
      <c r="B503" t="s">
        <v>32</v>
      </c>
      <c r="C503" t="s">
        <v>18</v>
      </c>
      <c r="D503" s="4">
        <v>44749</v>
      </c>
      <c r="E503" s="5" t="str">
        <f>TEXT(D503,"dd/mm/yyyy")</f>
        <v>07/07/2022</v>
      </c>
      <c r="F503" s="5" t="str" cm="1">
        <f t="array" ref="F503">RIGHT(_xlfn.ANCHORARRAY(E503),4)</f>
        <v>2022</v>
      </c>
      <c r="G503" s="5" t="str">
        <f>TEXT(E503,"mm")</f>
        <v>07</v>
      </c>
      <c r="H503" s="6">
        <v>6657</v>
      </c>
      <c r="I503">
        <v>154</v>
      </c>
      <c r="L503" t="str">
        <f t="shared" si="7"/>
        <v>Above Average</v>
      </c>
      <c r="M503">
        <f>RANK(H503,H:H,0)</f>
        <v>1271</v>
      </c>
    </row>
    <row r="504" spans="1:13">
      <c r="A504" t="s">
        <v>77</v>
      </c>
      <c r="B504" t="s">
        <v>10</v>
      </c>
      <c r="C504" t="s">
        <v>8</v>
      </c>
      <c r="D504" s="3" t="s">
        <v>69</v>
      </c>
      <c r="E504" s="5" t="str">
        <f>TEXT(D504,"dd/mm/yyyy")</f>
        <v>24/08/2022</v>
      </c>
      <c r="F504" s="5" t="str" cm="1">
        <f t="array" ref="F504">RIGHT(_xlfn.ANCHORARRAY(E504),4)</f>
        <v>2022</v>
      </c>
      <c r="G504" s="5" t="str">
        <f>TEXT(E504,"mm")</f>
        <v>24/08/2022</v>
      </c>
      <c r="H504" s="6">
        <v>3836</v>
      </c>
      <c r="I504">
        <v>71</v>
      </c>
      <c r="L504" t="str">
        <f t="shared" si="7"/>
        <v>Below Average</v>
      </c>
      <c r="M504">
        <f>RANK(H504,H:H,0)</f>
        <v>2029</v>
      </c>
    </row>
    <row r="505" spans="1:13">
      <c r="A505" t="s">
        <v>6</v>
      </c>
      <c r="B505" t="s">
        <v>10</v>
      </c>
      <c r="C505" t="s">
        <v>36</v>
      </c>
      <c r="D505" s="3" t="s">
        <v>17</v>
      </c>
      <c r="E505" s="5" t="str">
        <f>TEXT(D505,"dd/mm/yyyy")</f>
        <v>24/02/2022</v>
      </c>
      <c r="F505" s="5" t="str" cm="1">
        <f t="array" ref="F505">RIGHT(_xlfn.ANCHORARRAY(E505),4)</f>
        <v>2022</v>
      </c>
      <c r="G505" s="5" t="str">
        <f>TEXT(E505,"mm")</f>
        <v>24/02/2022</v>
      </c>
      <c r="H505" s="6">
        <v>8771</v>
      </c>
      <c r="I505">
        <v>127</v>
      </c>
      <c r="L505" t="str">
        <f t="shared" si="7"/>
        <v>Above Average</v>
      </c>
      <c r="M505">
        <f>RANK(H505,H:H,0)</f>
        <v>784</v>
      </c>
    </row>
    <row r="506" spans="1:13">
      <c r="A506" t="s">
        <v>37</v>
      </c>
      <c r="B506" t="s">
        <v>35</v>
      </c>
      <c r="C506" t="s">
        <v>73</v>
      </c>
      <c r="D506" s="4">
        <v>44809</v>
      </c>
      <c r="E506" s="5" t="str">
        <f>TEXT(D506,"dd/mm/yyyy")</f>
        <v>05/09/2022</v>
      </c>
      <c r="F506" s="5" t="str" cm="1">
        <f t="array" ref="F506">RIGHT(_xlfn.ANCHORARRAY(E506),4)</f>
        <v>2022</v>
      </c>
      <c r="G506" s="5" t="str">
        <f>TEXT(E506,"mm")</f>
        <v>05</v>
      </c>
      <c r="H506" s="6">
        <v>651</v>
      </c>
      <c r="I506">
        <v>224</v>
      </c>
      <c r="L506" t="str">
        <f t="shared" si="7"/>
        <v>Below Average</v>
      </c>
      <c r="M506">
        <f>RANK(H506,H:H,0)</f>
        <v>3084</v>
      </c>
    </row>
    <row r="507" spans="1:13">
      <c r="A507" t="s">
        <v>55</v>
      </c>
      <c r="B507" t="s">
        <v>15</v>
      </c>
      <c r="C507" t="s">
        <v>100</v>
      </c>
      <c r="D507" s="4">
        <v>44775</v>
      </c>
      <c r="E507" s="5" t="str">
        <f>TEXT(D507,"dd/mm/yyyy")</f>
        <v>02/08/2022</v>
      </c>
      <c r="F507" s="5" t="str" cm="1">
        <f t="array" ref="F507">RIGHT(_xlfn.ANCHORARRAY(E507),4)</f>
        <v>2022</v>
      </c>
      <c r="G507" s="5" t="str">
        <f>TEXT(E507,"mm")</f>
        <v>02</v>
      </c>
      <c r="H507" s="6">
        <v>6706</v>
      </c>
      <c r="I507">
        <v>223</v>
      </c>
      <c r="L507" t="str">
        <f t="shared" si="7"/>
        <v>Above Average</v>
      </c>
      <c r="M507">
        <f>RANK(H507,H:H,0)</f>
        <v>1261</v>
      </c>
    </row>
    <row r="508" spans="1:13">
      <c r="A508" t="s">
        <v>45</v>
      </c>
      <c r="B508" t="s">
        <v>7</v>
      </c>
      <c r="C508" t="s">
        <v>100</v>
      </c>
      <c r="D508" s="3" t="s">
        <v>24</v>
      </c>
      <c r="E508" s="5" t="str">
        <f>TEXT(D508,"dd/mm/yyyy")</f>
        <v>24/03/2022</v>
      </c>
      <c r="F508" s="5" t="str" cm="1">
        <f t="array" ref="F508">RIGHT(_xlfn.ANCHORARRAY(E508),4)</f>
        <v>2022</v>
      </c>
      <c r="G508" s="5" t="str">
        <f>TEXT(E508,"mm")</f>
        <v>24/03/2022</v>
      </c>
      <c r="H508" s="6">
        <v>1421</v>
      </c>
      <c r="I508">
        <v>284</v>
      </c>
      <c r="L508" t="str">
        <f t="shared" si="7"/>
        <v>Below Average</v>
      </c>
      <c r="M508">
        <f>RANK(H508,H:H,0)</f>
        <v>2831</v>
      </c>
    </row>
    <row r="509" spans="1:13">
      <c r="A509" t="s">
        <v>29</v>
      </c>
      <c r="B509" t="s">
        <v>32</v>
      </c>
      <c r="C509" t="s">
        <v>38</v>
      </c>
      <c r="D509" s="3" t="s">
        <v>92</v>
      </c>
      <c r="E509" s="5" t="str">
        <f>TEXT(D509,"dd/mm/yyyy")</f>
        <v>20/06/2022</v>
      </c>
      <c r="F509" s="5" t="str" cm="1">
        <f t="array" ref="F509">RIGHT(_xlfn.ANCHORARRAY(E509),4)</f>
        <v>2022</v>
      </c>
      <c r="G509" s="5" t="str">
        <f>TEXT(E509,"mm")</f>
        <v>20/06/2022</v>
      </c>
      <c r="H509" s="6">
        <v>8526</v>
      </c>
      <c r="I509">
        <v>73</v>
      </c>
      <c r="L509" t="str">
        <f t="shared" si="7"/>
        <v>Above Average</v>
      </c>
      <c r="M509">
        <f>RANK(H509,H:H,0)</f>
        <v>826</v>
      </c>
    </row>
    <row r="510" spans="1:13">
      <c r="A510" t="s">
        <v>34</v>
      </c>
      <c r="B510" t="s">
        <v>35</v>
      </c>
      <c r="C510" t="s">
        <v>60</v>
      </c>
      <c r="D510" s="4">
        <v>44745</v>
      </c>
      <c r="E510" s="5" t="str">
        <f>TEXT(D510,"dd/mm/yyyy")</f>
        <v>03/07/2022</v>
      </c>
      <c r="F510" s="5" t="str" cm="1">
        <f t="array" ref="F510">RIGHT(_xlfn.ANCHORARRAY(E510),4)</f>
        <v>2022</v>
      </c>
      <c r="G510" s="5" t="str">
        <f>TEXT(E510,"mm")</f>
        <v>03</v>
      </c>
      <c r="H510" s="6">
        <v>1435</v>
      </c>
      <c r="I510">
        <v>112</v>
      </c>
      <c r="L510" t="str">
        <f t="shared" si="7"/>
        <v>Below Average</v>
      </c>
      <c r="M510">
        <f>RANK(H510,H:H,0)</f>
        <v>2827</v>
      </c>
    </row>
    <row r="511" spans="1:13">
      <c r="A511" t="s">
        <v>55</v>
      </c>
      <c r="B511" t="s">
        <v>15</v>
      </c>
      <c r="C511" t="s">
        <v>57</v>
      </c>
      <c r="D511" s="3" t="s">
        <v>92</v>
      </c>
      <c r="E511" s="5" t="str">
        <f>TEXT(D511,"dd/mm/yyyy")</f>
        <v>20/06/2022</v>
      </c>
      <c r="F511" s="5" t="str" cm="1">
        <f t="array" ref="F511">RIGHT(_xlfn.ANCHORARRAY(E511),4)</f>
        <v>2022</v>
      </c>
      <c r="G511" s="5" t="str">
        <f>TEXT(E511,"mm")</f>
        <v>20/06/2022</v>
      </c>
      <c r="H511" s="6">
        <v>7434</v>
      </c>
      <c r="I511">
        <v>85</v>
      </c>
      <c r="L511" t="str">
        <f t="shared" si="7"/>
        <v>Above Average</v>
      </c>
      <c r="M511">
        <f>RANK(H511,H:H,0)</f>
        <v>1082</v>
      </c>
    </row>
    <row r="512" spans="1:13">
      <c r="A512" t="s">
        <v>19</v>
      </c>
      <c r="B512" t="s">
        <v>25</v>
      </c>
      <c r="C512" t="s">
        <v>42</v>
      </c>
      <c r="D512" s="3" t="s">
        <v>51</v>
      </c>
      <c r="E512" s="5" t="str">
        <f>TEXT(D512,"dd/mm/yyyy")</f>
        <v>17/02/2022</v>
      </c>
      <c r="F512" s="5" t="str" cm="1">
        <f t="array" ref="F512">RIGHT(_xlfn.ANCHORARRAY(E512),4)</f>
        <v>2022</v>
      </c>
      <c r="G512" s="5" t="str">
        <f>TEXT(E512,"mm")</f>
        <v>17/02/2022</v>
      </c>
      <c r="H512" s="6">
        <v>15316</v>
      </c>
      <c r="I512">
        <v>270</v>
      </c>
      <c r="L512" t="str">
        <f t="shared" si="7"/>
        <v>Above Average</v>
      </c>
      <c r="M512">
        <f>RANK(H512,H:H,0)</f>
        <v>137</v>
      </c>
    </row>
    <row r="513" spans="1:13">
      <c r="A513" t="s">
        <v>77</v>
      </c>
      <c r="B513" t="s">
        <v>7</v>
      </c>
      <c r="C513" t="s">
        <v>20</v>
      </c>
      <c r="D513" s="3" t="s">
        <v>43</v>
      </c>
      <c r="E513" s="5" t="str">
        <f>TEXT(D513,"dd/mm/yyyy")</f>
        <v>26/01/2022</v>
      </c>
      <c r="F513" s="5" t="str" cm="1">
        <f t="array" ref="F513">RIGHT(_xlfn.ANCHORARRAY(E513),4)</f>
        <v>2022</v>
      </c>
      <c r="G513" s="5" t="str">
        <f>TEXT(E513,"mm")</f>
        <v>26/01/2022</v>
      </c>
      <c r="H513" s="6">
        <v>10479</v>
      </c>
      <c r="I513">
        <v>45</v>
      </c>
      <c r="L513" t="str">
        <f t="shared" si="7"/>
        <v>Above Average</v>
      </c>
      <c r="M513">
        <f>RANK(H513,H:H,0)</f>
        <v>512</v>
      </c>
    </row>
    <row r="514" spans="1:13">
      <c r="A514" t="s">
        <v>77</v>
      </c>
      <c r="B514" t="s">
        <v>15</v>
      </c>
      <c r="C514" t="s">
        <v>8</v>
      </c>
      <c r="D514" s="4">
        <v>44597</v>
      </c>
      <c r="E514" s="5" t="str">
        <f>TEXT(D514,"dd/mm/yyyy")</f>
        <v>05/02/2022</v>
      </c>
      <c r="F514" s="5" t="str" cm="1">
        <f t="array" ref="F514">RIGHT(_xlfn.ANCHORARRAY(E514),4)</f>
        <v>2022</v>
      </c>
      <c r="G514" s="5" t="str">
        <f>TEXT(E514,"mm")</f>
        <v>05</v>
      </c>
      <c r="H514" s="6">
        <v>2751</v>
      </c>
      <c r="I514">
        <v>153</v>
      </c>
      <c r="L514" t="str">
        <f t="shared" si="7"/>
        <v>Below Average</v>
      </c>
      <c r="M514">
        <f>RANK(H514,H:H,0)</f>
        <v>2392</v>
      </c>
    </row>
    <row r="515" spans="1:13">
      <c r="A515" t="s">
        <v>48</v>
      </c>
      <c r="B515" t="s">
        <v>35</v>
      </c>
      <c r="C515" t="s">
        <v>20</v>
      </c>
      <c r="D515" s="4">
        <v>44749</v>
      </c>
      <c r="E515" s="5" t="str">
        <f>TEXT(D515,"dd/mm/yyyy")</f>
        <v>07/07/2022</v>
      </c>
      <c r="F515" s="5" t="str" cm="1">
        <f t="array" ref="F515">RIGHT(_xlfn.ANCHORARRAY(E515),4)</f>
        <v>2022</v>
      </c>
      <c r="G515" s="5" t="str">
        <f>TEXT(E515,"mm")</f>
        <v>07</v>
      </c>
      <c r="H515" s="6">
        <v>12586</v>
      </c>
      <c r="I515">
        <v>7</v>
      </c>
      <c r="L515" t="str">
        <f t="shared" ref="L515:L578" si="8">IF(H515&gt;6030.34,"Above Average","Below Average")</f>
        <v>Above Average</v>
      </c>
      <c r="M515">
        <f>RANK(H515,H:H,0)</f>
        <v>290</v>
      </c>
    </row>
    <row r="516" spans="1:13">
      <c r="A516" t="s">
        <v>29</v>
      </c>
      <c r="B516" t="s">
        <v>15</v>
      </c>
      <c r="C516" t="s">
        <v>87</v>
      </c>
      <c r="D516" s="3" t="s">
        <v>78</v>
      </c>
      <c r="E516" s="5" t="str">
        <f>TEXT(D516,"dd/mm/yyyy")</f>
        <v>22/08/2022</v>
      </c>
      <c r="F516" s="5" t="str" cm="1">
        <f t="array" ref="F516">RIGHT(_xlfn.ANCHORARRAY(E516),4)</f>
        <v>2022</v>
      </c>
      <c r="G516" s="5" t="str">
        <f>TEXT(E516,"mm")</f>
        <v>22/08/2022</v>
      </c>
      <c r="H516" s="6">
        <v>2786</v>
      </c>
      <c r="I516">
        <v>51</v>
      </c>
      <c r="L516" t="str">
        <f t="shared" si="8"/>
        <v>Below Average</v>
      </c>
      <c r="M516">
        <f>RANK(H516,H:H,0)</f>
        <v>2380</v>
      </c>
    </row>
    <row r="517" spans="1:13">
      <c r="A517" t="s">
        <v>37</v>
      </c>
      <c r="B517" t="s">
        <v>15</v>
      </c>
      <c r="C517" t="s">
        <v>23</v>
      </c>
      <c r="D517" s="4">
        <v>44873</v>
      </c>
      <c r="E517" s="5" t="str">
        <f>TEXT(D517,"dd/mm/yyyy")</f>
        <v>08/11/2022</v>
      </c>
      <c r="F517" s="5" t="str" cm="1">
        <f t="array" ref="F517">RIGHT(_xlfn.ANCHORARRAY(E517),4)</f>
        <v>2022</v>
      </c>
      <c r="G517" s="5" t="str">
        <f>TEXT(E517,"mm")</f>
        <v>08</v>
      </c>
      <c r="H517" s="6">
        <v>2303</v>
      </c>
      <c r="I517">
        <v>67</v>
      </c>
      <c r="L517" t="str">
        <f t="shared" si="8"/>
        <v>Below Average</v>
      </c>
      <c r="M517">
        <f>RANK(H517,H:H,0)</f>
        <v>2550</v>
      </c>
    </row>
    <row r="518" spans="1:13">
      <c r="A518" t="s">
        <v>40</v>
      </c>
      <c r="B518" t="s">
        <v>7</v>
      </c>
      <c r="C518" t="s">
        <v>20</v>
      </c>
      <c r="D518" s="3" t="s">
        <v>30</v>
      </c>
      <c r="E518" s="5" t="str">
        <f>TEXT(D518,"dd/mm/yyyy")</f>
        <v>13/01/2022</v>
      </c>
      <c r="F518" s="5" t="str" cm="1">
        <f t="array" ref="F518">RIGHT(_xlfn.ANCHORARRAY(E518),4)</f>
        <v>2022</v>
      </c>
      <c r="G518" s="5" t="str">
        <f>TEXT(E518,"mm")</f>
        <v>13/01/2022</v>
      </c>
      <c r="H518" s="6">
        <v>8113</v>
      </c>
      <c r="I518">
        <v>194</v>
      </c>
      <c r="L518" t="str">
        <f t="shared" si="8"/>
        <v>Above Average</v>
      </c>
      <c r="M518">
        <f>RANK(H518,H:H,0)</f>
        <v>910</v>
      </c>
    </row>
    <row r="519" spans="1:13">
      <c r="A519" t="s">
        <v>22</v>
      </c>
      <c r="B519" t="s">
        <v>15</v>
      </c>
      <c r="C519" t="s">
        <v>26</v>
      </c>
      <c r="D519" s="4">
        <v>44595</v>
      </c>
      <c r="E519" s="5" t="str">
        <f>TEXT(D519,"dd/mm/yyyy")</f>
        <v>03/02/2022</v>
      </c>
      <c r="F519" s="5" t="str" cm="1">
        <f t="array" ref="F519">RIGHT(_xlfn.ANCHORARRAY(E519),4)</f>
        <v>2022</v>
      </c>
      <c r="G519" s="5" t="str">
        <f>TEXT(E519,"mm")</f>
        <v>03</v>
      </c>
      <c r="H519" s="6">
        <v>12271</v>
      </c>
      <c r="I519">
        <v>116</v>
      </c>
      <c r="L519" t="str">
        <f t="shared" si="8"/>
        <v>Above Average</v>
      </c>
      <c r="M519">
        <f>RANK(H519,H:H,0)</f>
        <v>321</v>
      </c>
    </row>
    <row r="520" spans="1:13">
      <c r="A520" t="s">
        <v>40</v>
      </c>
      <c r="B520" t="s">
        <v>15</v>
      </c>
      <c r="C520" t="s">
        <v>75</v>
      </c>
      <c r="D520" s="3" t="s">
        <v>129</v>
      </c>
      <c r="E520" s="5" t="str">
        <f>TEXT(D520,"dd/mm/yyyy")</f>
        <v>27/07/2022</v>
      </c>
      <c r="F520" s="5" t="str" cm="1">
        <f t="array" ref="F520">RIGHT(_xlfn.ANCHORARRAY(E520),4)</f>
        <v>2022</v>
      </c>
      <c r="G520" s="5" t="str">
        <f>TEXT(E520,"mm")</f>
        <v>27/07/2022</v>
      </c>
      <c r="H520" s="6">
        <v>11298</v>
      </c>
      <c r="I520">
        <v>41</v>
      </c>
      <c r="L520" t="str">
        <f t="shared" si="8"/>
        <v>Above Average</v>
      </c>
      <c r="M520">
        <f>RANK(H520,H:H,0)</f>
        <v>415</v>
      </c>
    </row>
    <row r="521" spans="1:13">
      <c r="A521" t="s">
        <v>70</v>
      </c>
      <c r="B521" t="s">
        <v>25</v>
      </c>
      <c r="C521" t="s">
        <v>38</v>
      </c>
      <c r="D521" s="4">
        <v>44837</v>
      </c>
      <c r="E521" s="5" t="str">
        <f>TEXT(D521,"dd/mm/yyyy")</f>
        <v>03/10/2022</v>
      </c>
      <c r="F521" s="5" t="str" cm="1">
        <f t="array" ref="F521">RIGHT(_xlfn.ANCHORARRAY(E521),4)</f>
        <v>2022</v>
      </c>
      <c r="G521" s="5" t="str">
        <f>TEXT(E521,"mm")</f>
        <v>03</v>
      </c>
      <c r="H521" s="6">
        <v>15855</v>
      </c>
      <c r="I521">
        <v>111</v>
      </c>
      <c r="L521" t="str">
        <f t="shared" si="8"/>
        <v>Above Average</v>
      </c>
      <c r="M521">
        <f>RANK(H521,H:H,0)</f>
        <v>106</v>
      </c>
    </row>
    <row r="522" spans="1:13">
      <c r="A522" t="s">
        <v>41</v>
      </c>
      <c r="B522" t="s">
        <v>32</v>
      </c>
      <c r="C522" t="s">
        <v>11</v>
      </c>
      <c r="D522" s="3" t="s">
        <v>98</v>
      </c>
      <c r="E522" s="5" t="str">
        <f>TEXT(D522,"dd/mm/yyyy")</f>
        <v>23/08/2022</v>
      </c>
      <c r="F522" s="5" t="str" cm="1">
        <f t="array" ref="F522">RIGHT(_xlfn.ANCHORARRAY(E522),4)</f>
        <v>2022</v>
      </c>
      <c r="G522" s="5" t="str">
        <f>TEXT(E522,"mm")</f>
        <v>23/08/2022</v>
      </c>
      <c r="H522" s="6">
        <v>12404</v>
      </c>
      <c r="I522">
        <v>334</v>
      </c>
      <c r="L522" t="str">
        <f t="shared" si="8"/>
        <v>Above Average</v>
      </c>
      <c r="M522">
        <f>RANK(H522,H:H,0)</f>
        <v>310</v>
      </c>
    </row>
    <row r="523" spans="1:13">
      <c r="A523" t="s">
        <v>45</v>
      </c>
      <c r="B523" t="s">
        <v>32</v>
      </c>
      <c r="C523" t="s">
        <v>36</v>
      </c>
      <c r="D523" s="3" t="s">
        <v>114</v>
      </c>
      <c r="E523" s="5" t="str">
        <f>TEXT(D523,"dd/mm/yyyy")</f>
        <v>25/04/2022</v>
      </c>
      <c r="F523" s="5" t="str" cm="1">
        <f t="array" ref="F523">RIGHT(_xlfn.ANCHORARRAY(E523),4)</f>
        <v>2022</v>
      </c>
      <c r="G523" s="5" t="str">
        <f>TEXT(E523,"mm")</f>
        <v>25/04/2022</v>
      </c>
      <c r="H523" s="6">
        <v>3990</v>
      </c>
      <c r="I523">
        <v>155</v>
      </c>
      <c r="L523" t="str">
        <f t="shared" si="8"/>
        <v>Below Average</v>
      </c>
      <c r="M523">
        <f>RANK(H523,H:H,0)</f>
        <v>1989</v>
      </c>
    </row>
    <row r="524" spans="1:13">
      <c r="A524" t="s">
        <v>58</v>
      </c>
      <c r="B524" t="s">
        <v>7</v>
      </c>
      <c r="C524" t="s">
        <v>46</v>
      </c>
      <c r="D524" s="4">
        <v>44745</v>
      </c>
      <c r="E524" s="5" t="str">
        <f>TEXT(D524,"dd/mm/yyyy")</f>
        <v>03/07/2022</v>
      </c>
      <c r="F524" s="5" t="str" cm="1">
        <f t="array" ref="F524">RIGHT(_xlfn.ANCHORARRAY(E524),4)</f>
        <v>2022</v>
      </c>
      <c r="G524" s="5" t="str">
        <f>TEXT(E524,"mm")</f>
        <v>03</v>
      </c>
      <c r="H524" s="6">
        <v>10808</v>
      </c>
      <c r="I524">
        <v>407</v>
      </c>
      <c r="L524" t="str">
        <f t="shared" si="8"/>
        <v>Above Average</v>
      </c>
      <c r="M524">
        <f>RANK(H524,H:H,0)</f>
        <v>471</v>
      </c>
    </row>
    <row r="525" spans="1:13">
      <c r="A525" t="s">
        <v>64</v>
      </c>
      <c r="B525" t="s">
        <v>7</v>
      </c>
      <c r="C525" t="s">
        <v>42</v>
      </c>
      <c r="D525" s="4">
        <v>44902</v>
      </c>
      <c r="E525" s="5" t="str">
        <f>TEXT(D525,"dd/mm/yyyy")</f>
        <v>07/12/2022</v>
      </c>
      <c r="F525" s="5" t="str" cm="1">
        <f t="array" ref="F525">RIGHT(_xlfn.ANCHORARRAY(E525),4)</f>
        <v>2022</v>
      </c>
      <c r="G525" s="5" t="str">
        <f>TEXT(E525,"mm")</f>
        <v>07</v>
      </c>
      <c r="H525" s="6">
        <v>4858</v>
      </c>
      <c r="I525">
        <v>52</v>
      </c>
      <c r="L525" t="str">
        <f t="shared" si="8"/>
        <v>Below Average</v>
      </c>
      <c r="M525">
        <f>RANK(H525,H:H,0)</f>
        <v>1750</v>
      </c>
    </row>
    <row r="526" spans="1:13">
      <c r="A526" t="s">
        <v>77</v>
      </c>
      <c r="B526" t="s">
        <v>32</v>
      </c>
      <c r="C526" t="s">
        <v>33</v>
      </c>
      <c r="D526" s="3" t="s">
        <v>86</v>
      </c>
      <c r="E526" s="5" t="str">
        <f>TEXT(D526,"dd/mm/yyyy")</f>
        <v>16/05/2022</v>
      </c>
      <c r="F526" s="5" t="str" cm="1">
        <f t="array" ref="F526">RIGHT(_xlfn.ANCHORARRAY(E526),4)</f>
        <v>2022</v>
      </c>
      <c r="G526" s="5" t="str">
        <f>TEXT(E526,"mm")</f>
        <v>16/05/2022</v>
      </c>
      <c r="H526" s="6">
        <v>7742</v>
      </c>
      <c r="I526">
        <v>138</v>
      </c>
      <c r="L526" t="str">
        <f t="shared" si="8"/>
        <v>Above Average</v>
      </c>
      <c r="M526">
        <f>RANK(H526,H:H,0)</f>
        <v>1000</v>
      </c>
    </row>
    <row r="527" spans="1:13">
      <c r="A527" t="s">
        <v>22</v>
      </c>
      <c r="B527" t="s">
        <v>10</v>
      </c>
      <c r="C527" t="s">
        <v>18</v>
      </c>
      <c r="D527" s="4">
        <v>44595</v>
      </c>
      <c r="E527" s="5" t="str">
        <f>TEXT(D527,"dd/mm/yyyy")</f>
        <v>03/02/2022</v>
      </c>
      <c r="F527" s="5" t="str" cm="1">
        <f t="array" ref="F527">RIGHT(_xlfn.ANCHORARRAY(E527),4)</f>
        <v>2022</v>
      </c>
      <c r="G527" s="5" t="str">
        <f>TEXT(E527,"mm")</f>
        <v>03</v>
      </c>
      <c r="H527" s="6">
        <v>3752</v>
      </c>
      <c r="I527">
        <v>70</v>
      </c>
      <c r="L527" t="str">
        <f t="shared" si="8"/>
        <v>Below Average</v>
      </c>
      <c r="M527">
        <f>RANK(H527,H:H,0)</f>
        <v>2052</v>
      </c>
    </row>
    <row r="528" spans="1:13">
      <c r="A528" t="s">
        <v>40</v>
      </c>
      <c r="B528" t="s">
        <v>25</v>
      </c>
      <c r="C528" t="s">
        <v>11</v>
      </c>
      <c r="D528" s="3" t="s">
        <v>52</v>
      </c>
      <c r="E528" s="5" t="str">
        <f>TEXT(D528,"dd/mm/yyyy")</f>
        <v>30/05/2022</v>
      </c>
      <c r="F528" s="5" t="str" cm="1">
        <f t="array" ref="F528">RIGHT(_xlfn.ANCHORARRAY(E528),4)</f>
        <v>2022</v>
      </c>
      <c r="G528" s="5" t="str">
        <f>TEXT(E528,"mm")</f>
        <v>30/05/2022</v>
      </c>
      <c r="H528" s="6">
        <v>1218</v>
      </c>
      <c r="I528">
        <v>149</v>
      </c>
      <c r="L528" t="str">
        <f t="shared" si="8"/>
        <v>Below Average</v>
      </c>
      <c r="M528">
        <f>RANK(H528,H:H,0)</f>
        <v>2901</v>
      </c>
    </row>
    <row r="529" spans="1:13">
      <c r="A529" t="s">
        <v>40</v>
      </c>
      <c r="B529" t="s">
        <v>7</v>
      </c>
      <c r="C529" t="s">
        <v>60</v>
      </c>
      <c r="D529" s="4">
        <v>44840</v>
      </c>
      <c r="E529" s="5" t="str">
        <f>TEXT(D529,"dd/mm/yyyy")</f>
        <v>06/10/2022</v>
      </c>
      <c r="F529" s="5" t="str" cm="1">
        <f t="array" ref="F529">RIGHT(_xlfn.ANCHORARRAY(E529),4)</f>
        <v>2022</v>
      </c>
      <c r="G529" s="5" t="str">
        <f>TEXT(E529,"mm")</f>
        <v>06</v>
      </c>
      <c r="H529" s="6">
        <v>10983</v>
      </c>
      <c r="I529">
        <v>179</v>
      </c>
      <c r="L529" t="str">
        <f t="shared" si="8"/>
        <v>Above Average</v>
      </c>
      <c r="M529">
        <f>RANK(H529,H:H,0)</f>
        <v>441</v>
      </c>
    </row>
    <row r="530" spans="1:13">
      <c r="A530" t="s">
        <v>28</v>
      </c>
      <c r="B530" t="s">
        <v>32</v>
      </c>
      <c r="C530" t="s">
        <v>20</v>
      </c>
      <c r="D530" s="3" t="s">
        <v>113</v>
      </c>
      <c r="E530" s="5" t="str">
        <f>TEXT(D530,"dd/mm/yyyy")</f>
        <v>25/07/2022</v>
      </c>
      <c r="F530" s="5" t="str" cm="1">
        <f t="array" ref="F530">RIGHT(_xlfn.ANCHORARRAY(E530),4)</f>
        <v>2022</v>
      </c>
      <c r="G530" s="5" t="str">
        <f>TEXT(E530,"mm")</f>
        <v>25/07/2022</v>
      </c>
      <c r="H530" s="6">
        <v>6769</v>
      </c>
      <c r="I530">
        <v>353</v>
      </c>
      <c r="L530" t="str">
        <f t="shared" si="8"/>
        <v>Above Average</v>
      </c>
      <c r="M530">
        <f>RANK(H530,H:H,0)</f>
        <v>1248</v>
      </c>
    </row>
    <row r="531" spans="1:13">
      <c r="A531" t="s">
        <v>41</v>
      </c>
      <c r="B531" t="s">
        <v>25</v>
      </c>
      <c r="C531" t="s">
        <v>8</v>
      </c>
      <c r="D531" s="4">
        <v>44810</v>
      </c>
      <c r="E531" s="5" t="str">
        <f>TEXT(D531,"dd/mm/yyyy")</f>
        <v>06/09/2022</v>
      </c>
      <c r="F531" s="5" t="str" cm="1">
        <f t="array" ref="F531">RIGHT(_xlfn.ANCHORARRAY(E531),4)</f>
        <v>2022</v>
      </c>
      <c r="G531" s="5" t="str">
        <f>TEXT(E531,"mm")</f>
        <v>06</v>
      </c>
      <c r="H531" s="6">
        <v>4361</v>
      </c>
      <c r="I531">
        <v>97</v>
      </c>
      <c r="L531" t="str">
        <f t="shared" si="8"/>
        <v>Below Average</v>
      </c>
      <c r="M531">
        <f>RANK(H531,H:H,0)</f>
        <v>1887</v>
      </c>
    </row>
    <row r="532" spans="1:13">
      <c r="A532" t="s">
        <v>58</v>
      </c>
      <c r="B532" t="s">
        <v>32</v>
      </c>
      <c r="C532" t="s">
        <v>46</v>
      </c>
      <c r="D532" s="4">
        <v>44900</v>
      </c>
      <c r="E532" s="5" t="str">
        <f>TEXT(D532,"dd/mm/yyyy")</f>
        <v>05/12/2022</v>
      </c>
      <c r="F532" s="5" t="str" cm="1">
        <f t="array" ref="F532">RIGHT(_xlfn.ANCHORARRAY(E532),4)</f>
        <v>2022</v>
      </c>
      <c r="G532" s="5" t="str">
        <f>TEXT(E532,"mm")</f>
        <v>05</v>
      </c>
      <c r="H532" s="6">
        <v>777</v>
      </c>
      <c r="I532">
        <v>60</v>
      </c>
      <c r="L532" t="str">
        <f t="shared" si="8"/>
        <v>Below Average</v>
      </c>
      <c r="M532">
        <f>RANK(H532,H:H,0)</f>
        <v>3038</v>
      </c>
    </row>
    <row r="533" spans="1:13">
      <c r="A533" t="s">
        <v>22</v>
      </c>
      <c r="B533" t="s">
        <v>32</v>
      </c>
      <c r="C533" t="s">
        <v>38</v>
      </c>
      <c r="D533" s="4">
        <v>44809</v>
      </c>
      <c r="E533" s="5" t="str">
        <f>TEXT(D533,"dd/mm/yyyy")</f>
        <v>05/09/2022</v>
      </c>
      <c r="F533" s="5" t="str" cm="1">
        <f t="array" ref="F533">RIGHT(_xlfn.ANCHORARRAY(E533),4)</f>
        <v>2022</v>
      </c>
      <c r="G533" s="5" t="str">
        <f>TEXT(E533,"mm")</f>
        <v>05</v>
      </c>
      <c r="H533" s="6">
        <v>3843</v>
      </c>
      <c r="I533">
        <v>5</v>
      </c>
      <c r="L533" t="str">
        <f t="shared" si="8"/>
        <v>Below Average</v>
      </c>
      <c r="M533">
        <f>RANK(H533,H:H,0)</f>
        <v>2028</v>
      </c>
    </row>
    <row r="534" spans="1:13">
      <c r="A534" t="s">
        <v>28</v>
      </c>
      <c r="B534" t="s">
        <v>35</v>
      </c>
      <c r="C534" t="s">
        <v>60</v>
      </c>
      <c r="D534" s="4">
        <v>44812</v>
      </c>
      <c r="E534" s="5" t="str">
        <f>TEXT(D534,"dd/mm/yyyy")</f>
        <v>08/09/2022</v>
      </c>
      <c r="F534" s="5" t="str" cm="1">
        <f t="array" ref="F534">RIGHT(_xlfn.ANCHORARRAY(E534),4)</f>
        <v>2022</v>
      </c>
      <c r="G534" s="5" t="str">
        <f>TEXT(E534,"mm")</f>
        <v>08</v>
      </c>
      <c r="H534" s="6">
        <v>6930</v>
      </c>
      <c r="I534">
        <v>182</v>
      </c>
      <c r="L534" t="str">
        <f t="shared" si="8"/>
        <v>Above Average</v>
      </c>
      <c r="M534">
        <f>RANK(H534,H:H,0)</f>
        <v>1199</v>
      </c>
    </row>
    <row r="535" spans="1:13">
      <c r="A535" t="s">
        <v>9</v>
      </c>
      <c r="B535" t="s">
        <v>10</v>
      </c>
      <c r="C535" t="s">
        <v>75</v>
      </c>
      <c r="D535" s="3" t="s">
        <v>121</v>
      </c>
      <c r="E535" s="5" t="str">
        <f>TEXT(D535,"dd/mm/yyyy")</f>
        <v>13/04/2022</v>
      </c>
      <c r="F535" s="5" t="str" cm="1">
        <f t="array" ref="F535">RIGHT(_xlfn.ANCHORARRAY(E535),4)</f>
        <v>2022</v>
      </c>
      <c r="G535" s="5" t="str">
        <f>TEXT(E535,"mm")</f>
        <v>13/04/2022</v>
      </c>
      <c r="H535" s="6">
        <v>5733</v>
      </c>
      <c r="I535">
        <v>114</v>
      </c>
      <c r="L535" t="str">
        <f t="shared" si="8"/>
        <v>Below Average</v>
      </c>
      <c r="M535">
        <f>RANK(H535,H:H,0)</f>
        <v>1510</v>
      </c>
    </row>
    <row r="536" spans="1:13">
      <c r="A536" t="s">
        <v>67</v>
      </c>
      <c r="B536" t="s">
        <v>32</v>
      </c>
      <c r="C536" t="s">
        <v>90</v>
      </c>
      <c r="D536" s="4">
        <v>44597</v>
      </c>
      <c r="E536" s="5" t="str">
        <f>TEXT(D536,"dd/mm/yyyy")</f>
        <v>05/02/2022</v>
      </c>
      <c r="F536" s="5" t="str" cm="1">
        <f t="array" ref="F536">RIGHT(_xlfn.ANCHORARRAY(E536),4)</f>
        <v>2022</v>
      </c>
      <c r="G536" s="5" t="str">
        <f>TEXT(E536,"mm")</f>
        <v>05</v>
      </c>
      <c r="H536" s="6">
        <v>8393</v>
      </c>
      <c r="I536">
        <v>46</v>
      </c>
      <c r="L536" t="str">
        <f t="shared" si="8"/>
        <v>Above Average</v>
      </c>
      <c r="M536">
        <f>RANK(H536,H:H,0)</f>
        <v>854</v>
      </c>
    </row>
    <row r="537" spans="1:13">
      <c r="A537" t="s">
        <v>79</v>
      </c>
      <c r="B537" t="s">
        <v>32</v>
      </c>
      <c r="C537" t="s">
        <v>20</v>
      </c>
      <c r="D537" s="4">
        <v>44812</v>
      </c>
      <c r="E537" s="5" t="str">
        <f>TEXT(D537,"dd/mm/yyyy")</f>
        <v>08/09/2022</v>
      </c>
      <c r="F537" s="5" t="str" cm="1">
        <f t="array" ref="F537">RIGHT(_xlfn.ANCHORARRAY(E537),4)</f>
        <v>2022</v>
      </c>
      <c r="G537" s="5" t="str">
        <f>TEXT(E537,"mm")</f>
        <v>08</v>
      </c>
      <c r="H537" s="6">
        <v>3822</v>
      </c>
      <c r="I537">
        <v>320</v>
      </c>
      <c r="L537" t="str">
        <f t="shared" si="8"/>
        <v>Below Average</v>
      </c>
      <c r="M537">
        <f>RANK(H537,H:H,0)</f>
        <v>2033</v>
      </c>
    </row>
    <row r="538" spans="1:13">
      <c r="A538" t="s">
        <v>71</v>
      </c>
      <c r="B538" t="s">
        <v>15</v>
      </c>
      <c r="C538" t="s">
        <v>73</v>
      </c>
      <c r="D538" s="3" t="s">
        <v>98</v>
      </c>
      <c r="E538" s="5" t="str">
        <f>TEXT(D538,"dd/mm/yyyy")</f>
        <v>23/08/2022</v>
      </c>
      <c r="F538" s="5" t="str" cm="1">
        <f t="array" ref="F538">RIGHT(_xlfn.ANCHORARRAY(E538),4)</f>
        <v>2022</v>
      </c>
      <c r="G538" s="5" t="str">
        <f>TEXT(E538,"mm")</f>
        <v>23/08/2022</v>
      </c>
      <c r="H538" s="6">
        <v>6342</v>
      </c>
      <c r="I538">
        <v>178</v>
      </c>
      <c r="L538" t="str">
        <f t="shared" si="8"/>
        <v>Above Average</v>
      </c>
      <c r="M538">
        <f>RANK(H538,H:H,0)</f>
        <v>1341</v>
      </c>
    </row>
    <row r="539" spans="1:13">
      <c r="A539" t="s">
        <v>22</v>
      </c>
      <c r="B539" t="s">
        <v>10</v>
      </c>
      <c r="C539" t="s">
        <v>50</v>
      </c>
      <c r="D539" s="3" t="s">
        <v>130</v>
      </c>
      <c r="E539" s="5" t="str">
        <f>TEXT(D539,"dd/mm/yyyy")</f>
        <v>13/05/2022</v>
      </c>
      <c r="F539" s="5" t="str" cm="1">
        <f t="array" ref="F539">RIGHT(_xlfn.ANCHORARRAY(E539),4)</f>
        <v>2022</v>
      </c>
      <c r="G539" s="5" t="str">
        <f>TEXT(E539,"mm")</f>
        <v>13/05/2022</v>
      </c>
      <c r="H539" s="6">
        <v>6510</v>
      </c>
      <c r="I539">
        <v>170</v>
      </c>
      <c r="L539" t="str">
        <f t="shared" si="8"/>
        <v>Above Average</v>
      </c>
      <c r="M539">
        <f>RANK(H539,H:H,0)</f>
        <v>1305</v>
      </c>
    </row>
    <row r="540" spans="1:13">
      <c r="A540" t="s">
        <v>37</v>
      </c>
      <c r="B540" t="s">
        <v>32</v>
      </c>
      <c r="C540" t="s">
        <v>60</v>
      </c>
      <c r="D540" s="4">
        <v>44563</v>
      </c>
      <c r="E540" s="5" t="str">
        <f>TEXT(D540,"dd/mm/yyyy")</f>
        <v>02/01/2022</v>
      </c>
      <c r="F540" s="5" t="str" cm="1">
        <f t="array" ref="F540">RIGHT(_xlfn.ANCHORARRAY(E540),4)</f>
        <v>2022</v>
      </c>
      <c r="G540" s="5" t="str">
        <f>TEXT(E540,"mm")</f>
        <v>02</v>
      </c>
      <c r="H540" s="6">
        <v>10171</v>
      </c>
      <c r="I540">
        <v>67</v>
      </c>
      <c r="L540" t="str">
        <f t="shared" si="8"/>
        <v>Above Average</v>
      </c>
      <c r="M540">
        <f>RANK(H540,H:H,0)</f>
        <v>556</v>
      </c>
    </row>
    <row r="541" spans="1:13">
      <c r="A541" t="s">
        <v>71</v>
      </c>
      <c r="B541" t="s">
        <v>32</v>
      </c>
      <c r="C541" t="s">
        <v>26</v>
      </c>
      <c r="D541" s="3" t="s">
        <v>142</v>
      </c>
      <c r="E541" s="5" t="str">
        <f>TEXT(D541,"dd/mm/yyyy")</f>
        <v>23/06/2022</v>
      </c>
      <c r="F541" s="5" t="str" cm="1">
        <f t="array" ref="F541">RIGHT(_xlfn.ANCHORARRAY(E541),4)</f>
        <v>2022</v>
      </c>
      <c r="G541" s="5" t="str">
        <f>TEXT(E541,"mm")</f>
        <v>23/06/2022</v>
      </c>
      <c r="H541" s="6">
        <v>5908</v>
      </c>
      <c r="I541">
        <v>301</v>
      </c>
      <c r="L541" t="str">
        <f t="shared" si="8"/>
        <v>Below Average</v>
      </c>
      <c r="M541">
        <f>RANK(H541,H:H,0)</f>
        <v>1457</v>
      </c>
    </row>
    <row r="542" spans="1:13">
      <c r="A542" t="s">
        <v>77</v>
      </c>
      <c r="B542" t="s">
        <v>7</v>
      </c>
      <c r="C542" t="s">
        <v>75</v>
      </c>
      <c r="D542" s="3" t="s">
        <v>62</v>
      </c>
      <c r="E542" s="5" t="str">
        <f>TEXT(D542,"dd/mm/yyyy")</f>
        <v>24/05/2022</v>
      </c>
      <c r="F542" s="5" t="str" cm="1">
        <f t="array" ref="F542">RIGHT(_xlfn.ANCHORARRAY(E542),4)</f>
        <v>2022</v>
      </c>
      <c r="G542" s="5" t="str">
        <f>TEXT(E542,"mm")</f>
        <v>24/05/2022</v>
      </c>
      <c r="H542" s="6">
        <v>10164</v>
      </c>
      <c r="I542">
        <v>134</v>
      </c>
      <c r="L542" t="str">
        <f t="shared" si="8"/>
        <v>Above Average</v>
      </c>
      <c r="M542">
        <f>RANK(H542,H:H,0)</f>
        <v>558</v>
      </c>
    </row>
    <row r="543" spans="1:13">
      <c r="A543" t="s">
        <v>14</v>
      </c>
      <c r="B543" t="s">
        <v>35</v>
      </c>
      <c r="C543" t="s">
        <v>8</v>
      </c>
      <c r="D543" s="4">
        <v>44565</v>
      </c>
      <c r="E543" s="5" t="str">
        <f>TEXT(D543,"dd/mm/yyyy")</f>
        <v>04/01/2022</v>
      </c>
      <c r="F543" s="5" t="str" cm="1">
        <f t="array" ref="F543">RIGHT(_xlfn.ANCHORARRAY(E543),4)</f>
        <v>2022</v>
      </c>
      <c r="G543" s="5" t="str">
        <f>TEXT(E543,"mm")</f>
        <v>04</v>
      </c>
      <c r="H543" s="6">
        <v>1064</v>
      </c>
      <c r="I543">
        <v>211</v>
      </c>
      <c r="L543" t="str">
        <f t="shared" si="8"/>
        <v>Below Average</v>
      </c>
      <c r="M543">
        <f>RANK(H543,H:H,0)</f>
        <v>2952</v>
      </c>
    </row>
    <row r="544" spans="1:13">
      <c r="A544" t="s">
        <v>71</v>
      </c>
      <c r="B544" t="s">
        <v>35</v>
      </c>
      <c r="C544" t="s">
        <v>100</v>
      </c>
      <c r="D544" s="3" t="s">
        <v>129</v>
      </c>
      <c r="E544" s="5" t="str">
        <f>TEXT(D544,"dd/mm/yyyy")</f>
        <v>27/07/2022</v>
      </c>
      <c r="F544" s="5" t="str" cm="1">
        <f t="array" ref="F544">RIGHT(_xlfn.ANCHORARRAY(E544),4)</f>
        <v>2022</v>
      </c>
      <c r="G544" s="5" t="str">
        <f>TEXT(E544,"mm")</f>
        <v>27/07/2022</v>
      </c>
      <c r="H544" s="6">
        <v>9716</v>
      </c>
      <c r="I544">
        <v>151</v>
      </c>
      <c r="L544" t="str">
        <f t="shared" si="8"/>
        <v>Above Average</v>
      </c>
      <c r="M544">
        <f>RANK(H544,H:H,0)</f>
        <v>629</v>
      </c>
    </row>
    <row r="545" spans="1:13">
      <c r="A545" t="s">
        <v>83</v>
      </c>
      <c r="B545" t="s">
        <v>10</v>
      </c>
      <c r="C545" t="s">
        <v>13</v>
      </c>
      <c r="D545" s="3" t="s">
        <v>95</v>
      </c>
      <c r="E545" s="5" t="str">
        <f>TEXT(D545,"dd/mm/yyyy")</f>
        <v>27/01/2022</v>
      </c>
      <c r="F545" s="5" t="str" cm="1">
        <f t="array" ref="F545">RIGHT(_xlfn.ANCHORARRAY(E545),4)</f>
        <v>2022</v>
      </c>
      <c r="G545" s="5" t="str">
        <f>TEXT(E545,"mm")</f>
        <v>27/01/2022</v>
      </c>
      <c r="H545" s="6">
        <v>22050</v>
      </c>
      <c r="I545">
        <v>208</v>
      </c>
      <c r="L545" t="str">
        <f t="shared" si="8"/>
        <v>Above Average</v>
      </c>
      <c r="M545">
        <f>RANK(H545,H:H,0)</f>
        <v>8</v>
      </c>
    </row>
    <row r="546" spans="1:13">
      <c r="A546" t="s">
        <v>14</v>
      </c>
      <c r="B546" t="s">
        <v>10</v>
      </c>
      <c r="C546" t="s">
        <v>75</v>
      </c>
      <c r="D546" s="4">
        <v>44903</v>
      </c>
      <c r="E546" s="5" t="str">
        <f>TEXT(D546,"dd/mm/yyyy")</f>
        <v>08/12/2022</v>
      </c>
      <c r="F546" s="5" t="str" cm="1">
        <f t="array" ref="F546">RIGHT(_xlfn.ANCHORARRAY(E546),4)</f>
        <v>2022</v>
      </c>
      <c r="G546" s="5" t="str">
        <f>TEXT(E546,"mm")</f>
        <v>08</v>
      </c>
      <c r="H546" s="6">
        <v>2541</v>
      </c>
      <c r="I546">
        <v>134</v>
      </c>
      <c r="L546" t="str">
        <f t="shared" si="8"/>
        <v>Below Average</v>
      </c>
      <c r="M546">
        <f>RANK(H546,H:H,0)</f>
        <v>2454</v>
      </c>
    </row>
    <row r="547" spans="1:13">
      <c r="A547" t="s">
        <v>12</v>
      </c>
      <c r="B547" t="s">
        <v>35</v>
      </c>
      <c r="C547" t="s">
        <v>65</v>
      </c>
      <c r="D547" s="4">
        <v>44563</v>
      </c>
      <c r="E547" s="5" t="str">
        <f>TEXT(D547,"dd/mm/yyyy")</f>
        <v>02/01/2022</v>
      </c>
      <c r="F547" s="5" t="str" cm="1">
        <f t="array" ref="F547">RIGHT(_xlfn.ANCHORARRAY(E547),4)</f>
        <v>2022</v>
      </c>
      <c r="G547" s="5" t="str">
        <f>TEXT(E547,"mm")</f>
        <v>02</v>
      </c>
      <c r="H547" s="6">
        <v>9989</v>
      </c>
      <c r="I547">
        <v>49</v>
      </c>
      <c r="L547" t="str">
        <f t="shared" si="8"/>
        <v>Above Average</v>
      </c>
      <c r="M547">
        <f>RANK(H547,H:H,0)</f>
        <v>582</v>
      </c>
    </row>
    <row r="548" spans="1:13">
      <c r="A548" t="s">
        <v>29</v>
      </c>
      <c r="B548" t="s">
        <v>10</v>
      </c>
      <c r="C548" t="s">
        <v>23</v>
      </c>
      <c r="D548" s="4">
        <v>44595</v>
      </c>
      <c r="E548" s="5" t="str">
        <f>TEXT(D548,"dd/mm/yyyy")</f>
        <v>03/02/2022</v>
      </c>
      <c r="F548" s="5" t="str" cm="1">
        <f t="array" ref="F548">RIGHT(_xlfn.ANCHORARRAY(E548),4)</f>
        <v>2022</v>
      </c>
      <c r="G548" s="5" t="str">
        <f>TEXT(E548,"mm")</f>
        <v>03</v>
      </c>
      <c r="H548" s="6">
        <v>4739</v>
      </c>
      <c r="I548">
        <v>204</v>
      </c>
      <c r="L548" t="str">
        <f t="shared" si="8"/>
        <v>Below Average</v>
      </c>
      <c r="M548">
        <f>RANK(H548,H:H,0)</f>
        <v>1789</v>
      </c>
    </row>
    <row r="549" spans="1:13">
      <c r="A549" t="s">
        <v>70</v>
      </c>
      <c r="B549" t="s">
        <v>15</v>
      </c>
      <c r="C549" t="s">
        <v>20</v>
      </c>
      <c r="D549" s="3" t="s">
        <v>66</v>
      </c>
      <c r="E549" s="5" t="str">
        <f>TEXT(D549,"dd/mm/yyyy")</f>
        <v>30/06/2022</v>
      </c>
      <c r="F549" s="5" t="str" cm="1">
        <f t="array" ref="F549">RIGHT(_xlfn.ANCHORARRAY(E549),4)</f>
        <v>2022</v>
      </c>
      <c r="G549" s="5" t="str">
        <f>TEXT(E549,"mm")</f>
        <v>30/06/2022</v>
      </c>
      <c r="H549" s="6">
        <v>3185</v>
      </c>
      <c r="I549">
        <v>34</v>
      </c>
      <c r="L549" t="str">
        <f t="shared" si="8"/>
        <v>Below Average</v>
      </c>
      <c r="M549">
        <f>RANK(H549,H:H,0)</f>
        <v>2237</v>
      </c>
    </row>
    <row r="550" spans="1:13">
      <c r="A550" t="s">
        <v>79</v>
      </c>
      <c r="B550" t="s">
        <v>15</v>
      </c>
      <c r="C550" t="s">
        <v>50</v>
      </c>
      <c r="D550" s="3" t="s">
        <v>152</v>
      </c>
      <c r="E550" s="5" t="str">
        <f>TEXT(D550,"dd/mm/yyyy")</f>
        <v>17/01/2022</v>
      </c>
      <c r="F550" s="5" t="str" cm="1">
        <f t="array" ref="F550">RIGHT(_xlfn.ANCHORARRAY(E550),4)</f>
        <v>2022</v>
      </c>
      <c r="G550" s="5" t="str">
        <f>TEXT(E550,"mm")</f>
        <v>17/01/2022</v>
      </c>
      <c r="H550" s="6">
        <v>8225</v>
      </c>
      <c r="I550">
        <v>91</v>
      </c>
      <c r="L550" t="str">
        <f t="shared" si="8"/>
        <v>Above Average</v>
      </c>
      <c r="M550">
        <f>RANK(H550,H:H,0)</f>
        <v>887</v>
      </c>
    </row>
    <row r="551" spans="1:13">
      <c r="A551" t="s">
        <v>28</v>
      </c>
      <c r="B551" t="s">
        <v>32</v>
      </c>
      <c r="C551" t="s">
        <v>46</v>
      </c>
      <c r="D551" s="4">
        <v>44749</v>
      </c>
      <c r="E551" s="5" t="str">
        <f>TEXT(D551,"dd/mm/yyyy")</f>
        <v>07/07/2022</v>
      </c>
      <c r="F551" s="5" t="str" cm="1">
        <f t="array" ref="F551">RIGHT(_xlfn.ANCHORARRAY(E551),4)</f>
        <v>2022</v>
      </c>
      <c r="G551" s="5" t="str">
        <f>TEXT(E551,"mm")</f>
        <v>07</v>
      </c>
      <c r="H551" s="6">
        <v>14301</v>
      </c>
      <c r="I551">
        <v>130</v>
      </c>
      <c r="L551" t="str">
        <f t="shared" si="8"/>
        <v>Above Average</v>
      </c>
      <c r="M551">
        <f>RANK(H551,H:H,0)</f>
        <v>190</v>
      </c>
    </row>
    <row r="552" spans="1:13">
      <c r="A552" t="s">
        <v>34</v>
      </c>
      <c r="B552" t="s">
        <v>25</v>
      </c>
      <c r="C552" t="s">
        <v>8</v>
      </c>
      <c r="D552" s="3" t="s">
        <v>96</v>
      </c>
      <c r="E552" s="5" t="str">
        <f>TEXT(D552,"dd/mm/yyyy")</f>
        <v>31/01/2022</v>
      </c>
      <c r="F552" s="5" t="str" cm="1">
        <f t="array" ref="F552">RIGHT(_xlfn.ANCHORARRAY(E552),4)</f>
        <v>2022</v>
      </c>
      <c r="G552" s="5" t="str">
        <f>TEXT(E552,"mm")</f>
        <v>31/01/2022</v>
      </c>
      <c r="H552" s="6">
        <v>1316</v>
      </c>
      <c r="I552">
        <v>107</v>
      </c>
      <c r="L552" t="str">
        <f t="shared" si="8"/>
        <v>Below Average</v>
      </c>
      <c r="M552">
        <f>RANK(H552,H:H,0)</f>
        <v>2866</v>
      </c>
    </row>
    <row r="553" spans="1:13">
      <c r="A553" t="s">
        <v>41</v>
      </c>
      <c r="B553" t="s">
        <v>7</v>
      </c>
      <c r="C553" t="s">
        <v>20</v>
      </c>
      <c r="D553" s="4">
        <v>44842</v>
      </c>
      <c r="E553" s="5" t="str">
        <f>TEXT(D553,"dd/mm/yyyy")</f>
        <v>08/10/2022</v>
      </c>
      <c r="F553" s="5" t="str" cm="1">
        <f t="array" ref="F553">RIGHT(_xlfn.ANCHORARRAY(E553),4)</f>
        <v>2022</v>
      </c>
      <c r="G553" s="5" t="str">
        <f>TEXT(E553,"mm")</f>
        <v>08</v>
      </c>
      <c r="H553" s="6">
        <v>3486</v>
      </c>
      <c r="I553">
        <v>121</v>
      </c>
      <c r="L553" t="str">
        <f t="shared" si="8"/>
        <v>Below Average</v>
      </c>
      <c r="M553">
        <f>RANK(H553,H:H,0)</f>
        <v>2141</v>
      </c>
    </row>
    <row r="554" spans="1:13">
      <c r="A554" t="s">
        <v>41</v>
      </c>
      <c r="B554" t="s">
        <v>32</v>
      </c>
      <c r="C554" t="s">
        <v>13</v>
      </c>
      <c r="D554" s="3" t="s">
        <v>97</v>
      </c>
      <c r="E554" s="5" t="str">
        <f>TEXT(D554,"dd/mm/yyyy")</f>
        <v>18/08/2022</v>
      </c>
      <c r="F554" s="5" t="str" cm="1">
        <f t="array" ref="F554">RIGHT(_xlfn.ANCHORARRAY(E554),4)</f>
        <v>2022</v>
      </c>
      <c r="G554" s="5" t="str">
        <f>TEXT(E554,"mm")</f>
        <v>18/08/2022</v>
      </c>
      <c r="H554" s="6">
        <v>13930</v>
      </c>
      <c r="I554">
        <v>339</v>
      </c>
      <c r="L554" t="str">
        <f t="shared" si="8"/>
        <v>Above Average</v>
      </c>
      <c r="M554">
        <f>RANK(H554,H:H,0)</f>
        <v>213</v>
      </c>
    </row>
    <row r="555" spans="1:13">
      <c r="A555" t="s">
        <v>28</v>
      </c>
      <c r="B555" t="s">
        <v>25</v>
      </c>
      <c r="C555" t="s">
        <v>59</v>
      </c>
      <c r="D555" s="3" t="s">
        <v>61</v>
      </c>
      <c r="E555" s="5" t="str">
        <f>TEXT(D555,"dd/mm/yyyy")</f>
        <v>15/06/2022</v>
      </c>
      <c r="F555" s="5" t="str" cm="1">
        <f t="array" ref="F555">RIGHT(_xlfn.ANCHORARRAY(E555),4)</f>
        <v>2022</v>
      </c>
      <c r="G555" s="5" t="str">
        <f>TEXT(E555,"mm")</f>
        <v>15/06/2022</v>
      </c>
      <c r="H555" s="6">
        <v>5509</v>
      </c>
      <c r="I555">
        <v>321</v>
      </c>
      <c r="L555" t="str">
        <f t="shared" si="8"/>
        <v>Below Average</v>
      </c>
      <c r="M555">
        <f>RANK(H555,H:H,0)</f>
        <v>1565</v>
      </c>
    </row>
    <row r="556" spans="1:13">
      <c r="A556" t="s">
        <v>40</v>
      </c>
      <c r="B556" t="s">
        <v>32</v>
      </c>
      <c r="C556" t="s">
        <v>87</v>
      </c>
      <c r="D556" s="3" t="s">
        <v>43</v>
      </c>
      <c r="E556" s="5" t="str">
        <f>TEXT(D556,"dd/mm/yyyy")</f>
        <v>26/01/2022</v>
      </c>
      <c r="F556" s="5" t="str" cm="1">
        <f t="array" ref="F556">RIGHT(_xlfn.ANCHORARRAY(E556),4)</f>
        <v>2022</v>
      </c>
      <c r="G556" s="5" t="str">
        <f>TEXT(E556,"mm")</f>
        <v>26/01/2022</v>
      </c>
      <c r="H556" s="6">
        <v>8470</v>
      </c>
      <c r="I556">
        <v>9</v>
      </c>
      <c r="L556" t="str">
        <f t="shared" si="8"/>
        <v>Above Average</v>
      </c>
      <c r="M556">
        <f>RANK(H556,H:H,0)</f>
        <v>843</v>
      </c>
    </row>
    <row r="557" spans="1:13">
      <c r="A557" t="s">
        <v>70</v>
      </c>
      <c r="B557" t="s">
        <v>32</v>
      </c>
      <c r="C557" t="s">
        <v>50</v>
      </c>
      <c r="D557" s="3" t="s">
        <v>116</v>
      </c>
      <c r="E557" s="5" t="str">
        <f>TEXT(D557,"dd/mm/yyyy")</f>
        <v>29/04/2022</v>
      </c>
      <c r="F557" s="5" t="str" cm="1">
        <f t="array" ref="F557">RIGHT(_xlfn.ANCHORARRAY(E557),4)</f>
        <v>2022</v>
      </c>
      <c r="G557" s="5" t="str">
        <f>TEXT(E557,"mm")</f>
        <v>29/04/2022</v>
      </c>
      <c r="H557" s="6">
        <v>77</v>
      </c>
      <c r="I557">
        <v>69</v>
      </c>
      <c r="L557" t="str">
        <f t="shared" si="8"/>
        <v>Below Average</v>
      </c>
      <c r="M557">
        <f>RANK(H557,H:H,0)</f>
        <v>3254</v>
      </c>
    </row>
    <row r="558" spans="1:13">
      <c r="A558" t="s">
        <v>34</v>
      </c>
      <c r="B558" t="s">
        <v>35</v>
      </c>
      <c r="C558" t="s">
        <v>59</v>
      </c>
      <c r="D558" s="4">
        <v>44623</v>
      </c>
      <c r="E558" s="5" t="str">
        <f>TEXT(D558,"dd/mm/yyyy")</f>
        <v>03/03/2022</v>
      </c>
      <c r="F558" s="5" t="str" cm="1">
        <f t="array" ref="F558">RIGHT(_xlfn.ANCHORARRAY(E558),4)</f>
        <v>2022</v>
      </c>
      <c r="G558" s="5" t="str">
        <f>TEXT(E558,"mm")</f>
        <v>03</v>
      </c>
      <c r="H558" s="6">
        <v>3381</v>
      </c>
      <c r="I558">
        <v>72</v>
      </c>
      <c r="L558" t="str">
        <f t="shared" si="8"/>
        <v>Below Average</v>
      </c>
      <c r="M558">
        <f>RANK(H558,H:H,0)</f>
        <v>2183</v>
      </c>
    </row>
    <row r="559" spans="1:13">
      <c r="A559" t="s">
        <v>55</v>
      </c>
      <c r="B559" t="s">
        <v>15</v>
      </c>
      <c r="C559" t="s">
        <v>65</v>
      </c>
      <c r="D559" s="3" t="s">
        <v>125</v>
      </c>
      <c r="E559" s="5" t="str">
        <f>TEXT(D559,"dd/mm/yyyy")</f>
        <v>22/02/2022</v>
      </c>
      <c r="F559" s="5" t="str" cm="1">
        <f t="array" ref="F559">RIGHT(_xlfn.ANCHORARRAY(E559),4)</f>
        <v>2022</v>
      </c>
      <c r="G559" s="5" t="str">
        <f>TEXT(E559,"mm")</f>
        <v>22/02/2022</v>
      </c>
      <c r="H559" s="6">
        <v>4102</v>
      </c>
      <c r="I559">
        <v>392</v>
      </c>
      <c r="L559" t="str">
        <f t="shared" si="8"/>
        <v>Below Average</v>
      </c>
      <c r="M559">
        <f>RANK(H559,H:H,0)</f>
        <v>1957</v>
      </c>
    </row>
    <row r="560" spans="1:13">
      <c r="A560" t="s">
        <v>19</v>
      </c>
      <c r="B560" t="s">
        <v>32</v>
      </c>
      <c r="C560" t="s">
        <v>18</v>
      </c>
      <c r="D560" s="4">
        <v>44654</v>
      </c>
      <c r="E560" s="5" t="str">
        <f>TEXT(D560,"dd/mm/yyyy")</f>
        <v>03/04/2022</v>
      </c>
      <c r="F560" s="5" t="str" cm="1">
        <f t="array" ref="F560">RIGHT(_xlfn.ANCHORARRAY(E560),4)</f>
        <v>2022</v>
      </c>
      <c r="G560" s="5" t="str">
        <f>TEXT(E560,"mm")</f>
        <v>03</v>
      </c>
      <c r="H560" s="6">
        <v>3577</v>
      </c>
      <c r="I560">
        <v>158</v>
      </c>
      <c r="L560" t="str">
        <f t="shared" si="8"/>
        <v>Below Average</v>
      </c>
      <c r="M560">
        <f>RANK(H560,H:H,0)</f>
        <v>2112</v>
      </c>
    </row>
    <row r="561" spans="1:13">
      <c r="A561" t="s">
        <v>58</v>
      </c>
      <c r="B561" t="s">
        <v>10</v>
      </c>
      <c r="C561" t="s">
        <v>18</v>
      </c>
      <c r="D561" s="4">
        <v>44749</v>
      </c>
      <c r="E561" s="5" t="str">
        <f>TEXT(D561,"dd/mm/yyyy")</f>
        <v>07/07/2022</v>
      </c>
      <c r="F561" s="5" t="str" cm="1">
        <f t="array" ref="F561">RIGHT(_xlfn.ANCHORARRAY(E561),4)</f>
        <v>2022</v>
      </c>
      <c r="G561" s="5" t="str">
        <f>TEXT(E561,"mm")</f>
        <v>07</v>
      </c>
      <c r="H561" s="6">
        <v>2975</v>
      </c>
      <c r="I561">
        <v>9</v>
      </c>
      <c r="L561" t="str">
        <f t="shared" si="8"/>
        <v>Below Average</v>
      </c>
      <c r="M561">
        <f>RANK(H561,H:H,0)</f>
        <v>2317</v>
      </c>
    </row>
    <row r="562" spans="1:13">
      <c r="A562" t="s">
        <v>71</v>
      </c>
      <c r="B562" t="s">
        <v>25</v>
      </c>
      <c r="C562" t="s">
        <v>90</v>
      </c>
      <c r="D562" s="3" t="s">
        <v>153</v>
      </c>
      <c r="E562" s="5" t="str">
        <f>TEXT(D562,"dd/mm/yyyy")</f>
        <v>17/06/2022</v>
      </c>
      <c r="F562" s="5" t="str" cm="1">
        <f t="array" ref="F562">RIGHT(_xlfn.ANCHORARRAY(E562),4)</f>
        <v>2022</v>
      </c>
      <c r="G562" s="5" t="str">
        <f>TEXT(E562,"mm")</f>
        <v>17/06/2022</v>
      </c>
      <c r="H562" s="6">
        <v>4137</v>
      </c>
      <c r="I562">
        <v>347</v>
      </c>
      <c r="L562" t="str">
        <f t="shared" si="8"/>
        <v>Below Average</v>
      </c>
      <c r="M562">
        <f>RANK(H562,H:H,0)</f>
        <v>1948</v>
      </c>
    </row>
    <row r="563" spans="1:13">
      <c r="A563" t="s">
        <v>14</v>
      </c>
      <c r="B563" t="s">
        <v>35</v>
      </c>
      <c r="C563" t="s">
        <v>90</v>
      </c>
      <c r="D563" s="4">
        <v>44600</v>
      </c>
      <c r="E563" s="5" t="str">
        <f>TEXT(D563,"dd/mm/yyyy")</f>
        <v>08/02/2022</v>
      </c>
      <c r="F563" s="5" t="str" cm="1">
        <f t="array" ref="F563">RIGHT(_xlfn.ANCHORARRAY(E563),4)</f>
        <v>2022</v>
      </c>
      <c r="G563" s="5" t="str">
        <f>TEXT(E563,"mm")</f>
        <v>08</v>
      </c>
      <c r="H563" s="6">
        <v>9541</v>
      </c>
      <c r="I563">
        <v>114</v>
      </c>
      <c r="L563" t="str">
        <f t="shared" si="8"/>
        <v>Above Average</v>
      </c>
      <c r="M563">
        <f>RANK(H563,H:H,0)</f>
        <v>649</v>
      </c>
    </row>
    <row r="564" spans="1:13">
      <c r="A564" t="s">
        <v>19</v>
      </c>
      <c r="B564" t="s">
        <v>32</v>
      </c>
      <c r="C564" t="s">
        <v>87</v>
      </c>
      <c r="D564" s="4">
        <v>44903</v>
      </c>
      <c r="E564" s="5" t="str">
        <f>TEXT(D564,"dd/mm/yyyy")</f>
        <v>08/12/2022</v>
      </c>
      <c r="F564" s="5" t="str" cm="1">
        <f t="array" ref="F564">RIGHT(_xlfn.ANCHORARRAY(E564),4)</f>
        <v>2022</v>
      </c>
      <c r="G564" s="5" t="str">
        <f>TEXT(E564,"mm")</f>
        <v>08</v>
      </c>
      <c r="H564" s="6">
        <v>8001</v>
      </c>
      <c r="I564">
        <v>120</v>
      </c>
      <c r="L564" t="str">
        <f t="shared" si="8"/>
        <v>Above Average</v>
      </c>
      <c r="M564">
        <f>RANK(H564,H:H,0)</f>
        <v>936</v>
      </c>
    </row>
    <row r="565" spans="1:13">
      <c r="A565" t="s">
        <v>77</v>
      </c>
      <c r="B565" t="s">
        <v>25</v>
      </c>
      <c r="C565" t="s">
        <v>13</v>
      </c>
      <c r="D565" s="3" t="s">
        <v>107</v>
      </c>
      <c r="E565" s="5" t="str">
        <f>TEXT(D565,"dd/mm/yyyy")</f>
        <v>28/01/2022</v>
      </c>
      <c r="F565" s="5" t="str" cm="1">
        <f t="array" ref="F565">RIGHT(_xlfn.ANCHORARRAY(E565),4)</f>
        <v>2022</v>
      </c>
      <c r="G565" s="5" t="str">
        <f>TEXT(E565,"mm")</f>
        <v>28/01/2022</v>
      </c>
      <c r="H565" s="6">
        <v>5152</v>
      </c>
      <c r="I565">
        <v>333</v>
      </c>
      <c r="L565" t="str">
        <f t="shared" si="8"/>
        <v>Below Average</v>
      </c>
      <c r="M565">
        <f>RANK(H565,H:H,0)</f>
        <v>1659</v>
      </c>
    </row>
    <row r="566" spans="1:13">
      <c r="A566" t="s">
        <v>70</v>
      </c>
      <c r="B566" t="s">
        <v>15</v>
      </c>
      <c r="C566" t="s">
        <v>33</v>
      </c>
      <c r="D566" s="3" t="s">
        <v>116</v>
      </c>
      <c r="E566" s="5" t="str">
        <f>TEXT(D566,"dd/mm/yyyy")</f>
        <v>29/04/2022</v>
      </c>
      <c r="F566" s="5" t="str" cm="1">
        <f t="array" ref="F566">RIGHT(_xlfn.ANCHORARRAY(E566),4)</f>
        <v>2022</v>
      </c>
      <c r="G566" s="5" t="str">
        <f>TEXT(E566,"mm")</f>
        <v>29/04/2022</v>
      </c>
      <c r="H566" s="6">
        <v>11116</v>
      </c>
      <c r="I566">
        <v>432</v>
      </c>
      <c r="L566" t="str">
        <f t="shared" si="8"/>
        <v>Above Average</v>
      </c>
      <c r="M566">
        <f>RANK(H566,H:H,0)</f>
        <v>430</v>
      </c>
    </row>
    <row r="567" spans="1:13">
      <c r="A567" t="s">
        <v>40</v>
      </c>
      <c r="B567" t="s">
        <v>15</v>
      </c>
      <c r="C567" t="s">
        <v>60</v>
      </c>
      <c r="D567" s="4">
        <v>44685</v>
      </c>
      <c r="E567" s="5" t="str">
        <f>TEXT(D567,"dd/mm/yyyy")</f>
        <v>04/05/2022</v>
      </c>
      <c r="F567" s="5" t="str" cm="1">
        <f t="array" ref="F567">RIGHT(_xlfn.ANCHORARRAY(E567),4)</f>
        <v>2022</v>
      </c>
      <c r="G567" s="5" t="str">
        <f>TEXT(E567,"mm")</f>
        <v>04</v>
      </c>
      <c r="H567" s="6">
        <v>13076</v>
      </c>
      <c r="I567">
        <v>236</v>
      </c>
      <c r="L567" t="str">
        <f t="shared" si="8"/>
        <v>Above Average</v>
      </c>
      <c r="M567">
        <f>RANK(H567,H:H,0)</f>
        <v>261</v>
      </c>
    </row>
    <row r="568" spans="1:13">
      <c r="A568" t="s">
        <v>55</v>
      </c>
      <c r="B568" t="s">
        <v>35</v>
      </c>
      <c r="C568" t="s">
        <v>60</v>
      </c>
      <c r="D568" s="3" t="s">
        <v>115</v>
      </c>
      <c r="E568" s="5" t="str">
        <f>TEXT(D568,"dd/mm/yyyy")</f>
        <v>18/01/2022</v>
      </c>
      <c r="F568" s="5" t="str" cm="1">
        <f t="array" ref="F568">RIGHT(_xlfn.ANCHORARRAY(E568),4)</f>
        <v>2022</v>
      </c>
      <c r="G568" s="5" t="str">
        <f>TEXT(E568,"mm")</f>
        <v>18/01/2022</v>
      </c>
      <c r="H568" s="6">
        <v>10213</v>
      </c>
      <c r="I568">
        <v>135</v>
      </c>
      <c r="L568" t="str">
        <f t="shared" si="8"/>
        <v>Above Average</v>
      </c>
      <c r="M568">
        <f>RANK(H568,H:H,0)</f>
        <v>549</v>
      </c>
    </row>
    <row r="569" spans="1:13">
      <c r="A569" t="s">
        <v>6</v>
      </c>
      <c r="B569" t="s">
        <v>7</v>
      </c>
      <c r="C569" t="s">
        <v>87</v>
      </c>
      <c r="D569" s="3" t="s">
        <v>86</v>
      </c>
      <c r="E569" s="5" t="str">
        <f>TEXT(D569,"dd/mm/yyyy")</f>
        <v>16/05/2022</v>
      </c>
      <c r="F569" s="5" t="str" cm="1">
        <f t="array" ref="F569">RIGHT(_xlfn.ANCHORARRAY(E569),4)</f>
        <v>2022</v>
      </c>
      <c r="G569" s="5" t="str">
        <f>TEXT(E569,"mm")</f>
        <v>16/05/2022</v>
      </c>
      <c r="H569" s="6">
        <v>2485</v>
      </c>
      <c r="I569">
        <v>97</v>
      </c>
      <c r="L569" t="str">
        <f t="shared" si="8"/>
        <v>Below Average</v>
      </c>
      <c r="M569">
        <f>RANK(H569,H:H,0)</f>
        <v>2482</v>
      </c>
    </row>
    <row r="570" spans="1:13">
      <c r="A570" t="s">
        <v>70</v>
      </c>
      <c r="B570" t="s">
        <v>15</v>
      </c>
      <c r="C570" t="s">
        <v>59</v>
      </c>
      <c r="D570" s="3" t="s">
        <v>69</v>
      </c>
      <c r="E570" s="5" t="str">
        <f>TEXT(D570,"dd/mm/yyyy")</f>
        <v>24/08/2022</v>
      </c>
      <c r="F570" s="5" t="str" cm="1">
        <f t="array" ref="F570">RIGHT(_xlfn.ANCHORARRAY(E570),4)</f>
        <v>2022</v>
      </c>
      <c r="G570" s="5" t="str">
        <f>TEXT(E570,"mm")</f>
        <v>24/08/2022</v>
      </c>
      <c r="H570" s="6">
        <v>8715</v>
      </c>
      <c r="I570">
        <v>168</v>
      </c>
      <c r="L570" t="str">
        <f t="shared" si="8"/>
        <v>Above Average</v>
      </c>
      <c r="M570">
        <f>RANK(H570,H:H,0)</f>
        <v>796</v>
      </c>
    </row>
    <row r="571" spans="1:13">
      <c r="A571" t="s">
        <v>48</v>
      </c>
      <c r="B571" t="s">
        <v>10</v>
      </c>
      <c r="C571" t="s">
        <v>11</v>
      </c>
      <c r="D571" s="3" t="s">
        <v>115</v>
      </c>
      <c r="E571" s="5" t="str">
        <f>TEXT(D571,"dd/mm/yyyy")</f>
        <v>18/01/2022</v>
      </c>
      <c r="F571" s="5" t="str" cm="1">
        <f t="array" ref="F571">RIGHT(_xlfn.ANCHORARRAY(E571),4)</f>
        <v>2022</v>
      </c>
      <c r="G571" s="5" t="str">
        <f>TEXT(E571,"mm")</f>
        <v>18/01/2022</v>
      </c>
      <c r="H571" s="6">
        <v>273</v>
      </c>
      <c r="I571">
        <v>402</v>
      </c>
      <c r="L571" t="str">
        <f t="shared" si="8"/>
        <v>Below Average</v>
      </c>
      <c r="M571">
        <f>RANK(H571,H:H,0)</f>
        <v>3202</v>
      </c>
    </row>
    <row r="572" spans="1:13">
      <c r="A572" t="s">
        <v>55</v>
      </c>
      <c r="B572" t="s">
        <v>32</v>
      </c>
      <c r="C572" t="s">
        <v>36</v>
      </c>
      <c r="D572" s="3" t="s">
        <v>78</v>
      </c>
      <c r="E572" s="5" t="str">
        <f>TEXT(D572,"dd/mm/yyyy")</f>
        <v>22/08/2022</v>
      </c>
      <c r="F572" s="5" t="str" cm="1">
        <f t="array" ref="F572">RIGHT(_xlfn.ANCHORARRAY(E572),4)</f>
        <v>2022</v>
      </c>
      <c r="G572" s="5" t="str">
        <f>TEXT(E572,"mm")</f>
        <v>22/08/2022</v>
      </c>
      <c r="H572" s="6">
        <v>7623</v>
      </c>
      <c r="I572">
        <v>10</v>
      </c>
      <c r="L572" t="str">
        <f t="shared" si="8"/>
        <v>Above Average</v>
      </c>
      <c r="M572">
        <f>RANK(H572,H:H,0)</f>
        <v>1036</v>
      </c>
    </row>
    <row r="573" spans="1:13">
      <c r="A573" t="s">
        <v>22</v>
      </c>
      <c r="B573" t="s">
        <v>7</v>
      </c>
      <c r="C573" t="s">
        <v>20</v>
      </c>
      <c r="D573" s="4">
        <v>44745</v>
      </c>
      <c r="E573" s="5" t="str">
        <f>TEXT(D573,"dd/mm/yyyy")</f>
        <v>03/07/2022</v>
      </c>
      <c r="F573" s="5" t="str" cm="1">
        <f t="array" ref="F573">RIGHT(_xlfn.ANCHORARRAY(E573),4)</f>
        <v>2022</v>
      </c>
      <c r="G573" s="5" t="str">
        <f>TEXT(E573,"mm")</f>
        <v>03</v>
      </c>
      <c r="H573" s="6">
        <v>7</v>
      </c>
      <c r="I573">
        <v>84</v>
      </c>
      <c r="L573" t="str">
        <f t="shared" si="8"/>
        <v>Below Average</v>
      </c>
      <c r="M573">
        <f>RANK(H573,H:H,0)</f>
        <v>3281</v>
      </c>
    </row>
    <row r="574" spans="1:13">
      <c r="A574" t="s">
        <v>41</v>
      </c>
      <c r="B574" t="s">
        <v>7</v>
      </c>
      <c r="C574" t="s">
        <v>75</v>
      </c>
      <c r="D574" s="4">
        <v>44654</v>
      </c>
      <c r="E574" s="5" t="str">
        <f>TEXT(D574,"dd/mm/yyyy")</f>
        <v>03/04/2022</v>
      </c>
      <c r="F574" s="5" t="str" cm="1">
        <f t="array" ref="F574">RIGHT(_xlfn.ANCHORARRAY(E574),4)</f>
        <v>2022</v>
      </c>
      <c r="G574" s="5" t="str">
        <f>TEXT(E574,"mm")</f>
        <v>03</v>
      </c>
      <c r="H574" s="6">
        <v>3010</v>
      </c>
      <c r="I574">
        <v>69</v>
      </c>
      <c r="L574" t="str">
        <f t="shared" si="8"/>
        <v>Below Average</v>
      </c>
      <c r="M574">
        <f>RANK(H574,H:H,0)</f>
        <v>2304</v>
      </c>
    </row>
    <row r="575" spans="1:13">
      <c r="A575" t="s">
        <v>79</v>
      </c>
      <c r="B575" t="s">
        <v>35</v>
      </c>
      <c r="C575" t="s">
        <v>60</v>
      </c>
      <c r="D575" s="3" t="s">
        <v>134</v>
      </c>
      <c r="E575" s="5" t="str">
        <f>TEXT(D575,"dd/mm/yyyy")</f>
        <v>22/04/2022</v>
      </c>
      <c r="F575" s="5" t="str" cm="1">
        <f t="array" ref="F575">RIGHT(_xlfn.ANCHORARRAY(E575),4)</f>
        <v>2022</v>
      </c>
      <c r="G575" s="5" t="str">
        <f>TEXT(E575,"mm")</f>
        <v>22/04/2022</v>
      </c>
      <c r="H575" s="6">
        <v>11550</v>
      </c>
      <c r="I575">
        <v>111</v>
      </c>
      <c r="L575" t="str">
        <f t="shared" si="8"/>
        <v>Above Average</v>
      </c>
      <c r="M575">
        <f>RANK(H575,H:H,0)</f>
        <v>392</v>
      </c>
    </row>
    <row r="576" spans="1:13">
      <c r="A576" t="s">
        <v>55</v>
      </c>
      <c r="B576" t="s">
        <v>15</v>
      </c>
      <c r="C576" t="s">
        <v>46</v>
      </c>
      <c r="D576" s="4">
        <v>44810</v>
      </c>
      <c r="E576" s="5" t="str">
        <f>TEXT(D576,"dd/mm/yyyy")</f>
        <v>06/09/2022</v>
      </c>
      <c r="F576" s="5" t="str" cm="1">
        <f t="array" ref="F576">RIGHT(_xlfn.ANCHORARRAY(E576),4)</f>
        <v>2022</v>
      </c>
      <c r="G576" s="5" t="str">
        <f>TEXT(E576,"mm")</f>
        <v>06</v>
      </c>
      <c r="H576" s="6">
        <v>4046</v>
      </c>
      <c r="I576">
        <v>89</v>
      </c>
      <c r="L576" t="str">
        <f t="shared" si="8"/>
        <v>Below Average</v>
      </c>
      <c r="M576">
        <f>RANK(H576,H:H,0)</f>
        <v>1971</v>
      </c>
    </row>
    <row r="577" spans="1:13">
      <c r="A577" t="s">
        <v>14</v>
      </c>
      <c r="B577" t="s">
        <v>35</v>
      </c>
      <c r="C577" t="s">
        <v>57</v>
      </c>
      <c r="D577" s="3" t="s">
        <v>113</v>
      </c>
      <c r="E577" s="5" t="str">
        <f>TEXT(D577,"dd/mm/yyyy")</f>
        <v>25/07/2022</v>
      </c>
      <c r="F577" s="5" t="str" cm="1">
        <f t="array" ref="F577">RIGHT(_xlfn.ANCHORARRAY(E577),4)</f>
        <v>2022</v>
      </c>
      <c r="G577" s="5" t="str">
        <f>TEXT(E577,"mm")</f>
        <v>25/07/2022</v>
      </c>
      <c r="H577" s="6">
        <v>8904</v>
      </c>
      <c r="I577">
        <v>199</v>
      </c>
      <c r="L577" t="str">
        <f t="shared" si="8"/>
        <v>Above Average</v>
      </c>
      <c r="M577">
        <f>RANK(H577,H:H,0)</f>
        <v>759</v>
      </c>
    </row>
    <row r="578" spans="1:13">
      <c r="A578" t="s">
        <v>14</v>
      </c>
      <c r="B578" t="s">
        <v>10</v>
      </c>
      <c r="C578" t="s">
        <v>18</v>
      </c>
      <c r="D578" s="4">
        <v>44628</v>
      </c>
      <c r="E578" s="5" t="str">
        <f>TEXT(D578,"dd/mm/yyyy")</f>
        <v>08/03/2022</v>
      </c>
      <c r="F578" s="5" t="str" cm="1">
        <f t="array" ref="F578">RIGHT(_xlfn.ANCHORARRAY(E578),4)</f>
        <v>2022</v>
      </c>
      <c r="G578" s="5" t="str">
        <f>TEXT(E578,"mm")</f>
        <v>08</v>
      </c>
      <c r="H578" s="6">
        <v>11298</v>
      </c>
      <c r="I578">
        <v>89</v>
      </c>
      <c r="L578" t="str">
        <f t="shared" si="8"/>
        <v>Above Average</v>
      </c>
      <c r="M578">
        <f>RANK(H578,H:H,0)</f>
        <v>415</v>
      </c>
    </row>
    <row r="579" spans="1:13">
      <c r="A579" t="s">
        <v>29</v>
      </c>
      <c r="B579" t="s">
        <v>15</v>
      </c>
      <c r="C579" t="s">
        <v>60</v>
      </c>
      <c r="D579" s="4">
        <v>44628</v>
      </c>
      <c r="E579" s="5" t="str">
        <f>TEXT(D579,"dd/mm/yyyy")</f>
        <v>08/03/2022</v>
      </c>
      <c r="F579" s="5" t="str" cm="1">
        <f t="array" ref="F579">RIGHT(_xlfn.ANCHORARRAY(E579),4)</f>
        <v>2022</v>
      </c>
      <c r="G579" s="5" t="str">
        <f>TEXT(E579,"mm")</f>
        <v>08</v>
      </c>
      <c r="H579" s="6">
        <v>4396</v>
      </c>
      <c r="I579">
        <v>131</v>
      </c>
      <c r="L579" t="str">
        <f t="shared" ref="L579:L642" si="9">IF(H579&gt;6030.34,"Above Average","Below Average")</f>
        <v>Below Average</v>
      </c>
      <c r="M579">
        <f>RANK(H579,H:H,0)</f>
        <v>1876</v>
      </c>
    </row>
    <row r="580" spans="1:13">
      <c r="A580" t="s">
        <v>6</v>
      </c>
      <c r="B580" t="s">
        <v>7</v>
      </c>
      <c r="C580" t="s">
        <v>46</v>
      </c>
      <c r="D580" s="4">
        <v>44625</v>
      </c>
      <c r="E580" s="5" t="str">
        <f>TEXT(D580,"dd/mm/yyyy")</f>
        <v>05/03/2022</v>
      </c>
      <c r="F580" s="5" t="str" cm="1">
        <f t="array" ref="F580">RIGHT(_xlfn.ANCHORARRAY(E580),4)</f>
        <v>2022</v>
      </c>
      <c r="G580" s="5" t="str">
        <f>TEXT(E580,"mm")</f>
        <v>05</v>
      </c>
      <c r="H580" s="6">
        <v>12068</v>
      </c>
      <c r="I580">
        <v>227</v>
      </c>
      <c r="L580" t="str">
        <f t="shared" si="9"/>
        <v>Above Average</v>
      </c>
      <c r="M580">
        <f>RANK(H580,H:H,0)</f>
        <v>342</v>
      </c>
    </row>
    <row r="581" spans="1:13">
      <c r="A581" t="s">
        <v>53</v>
      </c>
      <c r="B581" t="s">
        <v>35</v>
      </c>
      <c r="C581" t="s">
        <v>23</v>
      </c>
      <c r="D581" s="3" t="s">
        <v>105</v>
      </c>
      <c r="E581" s="5" t="str">
        <f>TEXT(D581,"dd/mm/yyyy")</f>
        <v>19/01/2022</v>
      </c>
      <c r="F581" s="5" t="str" cm="1">
        <f t="array" ref="F581">RIGHT(_xlfn.ANCHORARRAY(E581),4)</f>
        <v>2022</v>
      </c>
      <c r="G581" s="5" t="str">
        <f>TEXT(E581,"mm")</f>
        <v>19/01/2022</v>
      </c>
      <c r="H581" s="6">
        <v>9772</v>
      </c>
      <c r="I581">
        <v>301</v>
      </c>
      <c r="L581" t="str">
        <f t="shared" si="9"/>
        <v>Above Average</v>
      </c>
      <c r="M581">
        <f>RANK(H581,H:H,0)</f>
        <v>616</v>
      </c>
    </row>
    <row r="582" spans="1:13">
      <c r="A582" t="s">
        <v>45</v>
      </c>
      <c r="B582" t="s">
        <v>32</v>
      </c>
      <c r="C582" t="s">
        <v>26</v>
      </c>
      <c r="D582" s="4">
        <v>44867</v>
      </c>
      <c r="E582" s="5" t="str">
        <f>TEXT(D582,"dd/mm/yyyy")</f>
        <v>02/11/2022</v>
      </c>
      <c r="F582" s="5" t="str" cm="1">
        <f t="array" ref="F582">RIGHT(_xlfn.ANCHORARRAY(E582),4)</f>
        <v>2022</v>
      </c>
      <c r="G582" s="5" t="str">
        <f>TEXT(E582,"mm")</f>
        <v>02</v>
      </c>
      <c r="H582" s="6">
        <v>10458</v>
      </c>
      <c r="I582">
        <v>316</v>
      </c>
      <c r="L582" t="str">
        <f t="shared" si="9"/>
        <v>Above Average</v>
      </c>
      <c r="M582">
        <f>RANK(H582,H:H,0)</f>
        <v>516</v>
      </c>
    </row>
    <row r="583" spans="1:13">
      <c r="A583" t="s">
        <v>9</v>
      </c>
      <c r="B583" t="s">
        <v>10</v>
      </c>
      <c r="C583" t="s">
        <v>65</v>
      </c>
      <c r="D583" s="3" t="s">
        <v>127</v>
      </c>
      <c r="E583" s="5" t="str">
        <f>TEXT(D583,"dd/mm/yyyy")</f>
        <v>14/06/2022</v>
      </c>
      <c r="F583" s="5" t="str" cm="1">
        <f t="array" ref="F583">RIGHT(_xlfn.ANCHORARRAY(E583),4)</f>
        <v>2022</v>
      </c>
      <c r="G583" s="5" t="str">
        <f>TEXT(E583,"mm")</f>
        <v>14/06/2022</v>
      </c>
      <c r="H583" s="6">
        <v>6426</v>
      </c>
      <c r="I583">
        <v>390</v>
      </c>
      <c r="L583" t="str">
        <f t="shared" si="9"/>
        <v>Above Average</v>
      </c>
      <c r="M583">
        <f>RANK(H583,H:H,0)</f>
        <v>1327</v>
      </c>
    </row>
    <row r="584" spans="1:13">
      <c r="A584" t="s">
        <v>70</v>
      </c>
      <c r="B584" t="s">
        <v>32</v>
      </c>
      <c r="C584" t="s">
        <v>26</v>
      </c>
      <c r="D584" s="3" t="s">
        <v>110</v>
      </c>
      <c r="E584" s="5" t="str">
        <f>TEXT(D584,"dd/mm/yyyy")</f>
        <v>23/03/2022</v>
      </c>
      <c r="F584" s="5" t="str" cm="1">
        <f t="array" ref="F584">RIGHT(_xlfn.ANCHORARRAY(E584),4)</f>
        <v>2022</v>
      </c>
      <c r="G584" s="5" t="str">
        <f>TEXT(E584,"mm")</f>
        <v>23/03/2022</v>
      </c>
      <c r="H584" s="6">
        <v>6188</v>
      </c>
      <c r="I584">
        <v>223</v>
      </c>
      <c r="L584" t="str">
        <f t="shared" si="9"/>
        <v>Above Average</v>
      </c>
      <c r="M584">
        <f>RANK(H584,H:H,0)</f>
        <v>1382</v>
      </c>
    </row>
    <row r="585" spans="1:13">
      <c r="A585" t="s">
        <v>77</v>
      </c>
      <c r="B585" t="s">
        <v>35</v>
      </c>
      <c r="C585" t="s">
        <v>11</v>
      </c>
      <c r="D585" s="3" t="s">
        <v>51</v>
      </c>
      <c r="E585" s="5" t="str">
        <f>TEXT(D585,"dd/mm/yyyy")</f>
        <v>17/02/2022</v>
      </c>
      <c r="F585" s="5" t="str" cm="1">
        <f t="array" ref="F585">RIGHT(_xlfn.ANCHORARRAY(E585),4)</f>
        <v>2022</v>
      </c>
      <c r="G585" s="5" t="str">
        <f>TEXT(E585,"mm")</f>
        <v>17/02/2022</v>
      </c>
      <c r="H585" s="6">
        <v>7504</v>
      </c>
      <c r="I585">
        <v>101</v>
      </c>
      <c r="L585" t="str">
        <f t="shared" si="9"/>
        <v>Above Average</v>
      </c>
      <c r="M585">
        <f>RANK(H585,H:H,0)</f>
        <v>1061</v>
      </c>
    </row>
    <row r="586" spans="1:13">
      <c r="A586" t="s">
        <v>58</v>
      </c>
      <c r="B586" t="s">
        <v>35</v>
      </c>
      <c r="C586" t="s">
        <v>18</v>
      </c>
      <c r="D586" s="3" t="s">
        <v>123</v>
      </c>
      <c r="E586" s="5" t="str">
        <f>TEXT(D586,"dd/mm/yyyy")</f>
        <v>17/03/2022</v>
      </c>
      <c r="F586" s="5" t="str" cm="1">
        <f t="array" ref="F586">RIGHT(_xlfn.ANCHORARRAY(E586),4)</f>
        <v>2022</v>
      </c>
      <c r="G586" s="5" t="str">
        <f>TEXT(E586,"mm")</f>
        <v>17/03/2022</v>
      </c>
      <c r="H586" s="6">
        <v>1750</v>
      </c>
      <c r="I586">
        <v>479</v>
      </c>
      <c r="L586" t="str">
        <f t="shared" si="9"/>
        <v>Below Average</v>
      </c>
      <c r="M586">
        <f>RANK(H586,H:H,0)</f>
        <v>2711</v>
      </c>
    </row>
    <row r="587" spans="1:13">
      <c r="A587" t="s">
        <v>34</v>
      </c>
      <c r="B587" t="s">
        <v>15</v>
      </c>
      <c r="C587" t="s">
        <v>50</v>
      </c>
      <c r="D587" s="3" t="s">
        <v>63</v>
      </c>
      <c r="E587" s="5" t="str">
        <f>TEXT(D587,"dd/mm/yyyy")</f>
        <v>29/06/2022</v>
      </c>
      <c r="F587" s="5" t="str" cm="1">
        <f t="array" ref="F587">RIGHT(_xlfn.ANCHORARRAY(E587),4)</f>
        <v>2022</v>
      </c>
      <c r="G587" s="5" t="str">
        <f>TEXT(E587,"mm")</f>
        <v>29/06/2022</v>
      </c>
      <c r="H587" s="6">
        <v>5439</v>
      </c>
      <c r="I587">
        <v>287</v>
      </c>
      <c r="L587" t="str">
        <f t="shared" si="9"/>
        <v>Below Average</v>
      </c>
      <c r="M587">
        <f>RANK(H587,H:H,0)</f>
        <v>1585</v>
      </c>
    </row>
    <row r="588" spans="1:13">
      <c r="A588" t="s">
        <v>83</v>
      </c>
      <c r="B588" t="s">
        <v>35</v>
      </c>
      <c r="C588" t="s">
        <v>75</v>
      </c>
      <c r="D588" s="3" t="s">
        <v>69</v>
      </c>
      <c r="E588" s="5" t="str">
        <f>TEXT(D588,"dd/mm/yyyy")</f>
        <v>24/08/2022</v>
      </c>
      <c r="F588" s="5" t="str" cm="1">
        <f t="array" ref="F588">RIGHT(_xlfn.ANCHORARRAY(E588),4)</f>
        <v>2022</v>
      </c>
      <c r="G588" s="5" t="str">
        <f>TEXT(E588,"mm")</f>
        <v>24/08/2022</v>
      </c>
      <c r="H588" s="6">
        <v>15547</v>
      </c>
      <c r="I588">
        <v>269</v>
      </c>
      <c r="L588" t="str">
        <f t="shared" si="9"/>
        <v>Above Average</v>
      </c>
      <c r="M588">
        <f>RANK(H588,H:H,0)</f>
        <v>122</v>
      </c>
    </row>
    <row r="589" spans="1:13">
      <c r="A589" t="s">
        <v>12</v>
      </c>
      <c r="B589" t="s">
        <v>35</v>
      </c>
      <c r="C589" t="s">
        <v>50</v>
      </c>
      <c r="D589" s="4">
        <v>44658</v>
      </c>
      <c r="E589" s="5" t="str">
        <f>TEXT(D589,"dd/mm/yyyy")</f>
        <v>07/04/2022</v>
      </c>
      <c r="F589" s="5" t="str" cm="1">
        <f t="array" ref="F589">RIGHT(_xlfn.ANCHORARRAY(E589),4)</f>
        <v>2022</v>
      </c>
      <c r="G589" s="5" t="str">
        <f>TEXT(E589,"mm")</f>
        <v>07</v>
      </c>
      <c r="H589" s="6">
        <v>11956</v>
      </c>
      <c r="I589">
        <v>277</v>
      </c>
      <c r="L589" t="str">
        <f t="shared" si="9"/>
        <v>Above Average</v>
      </c>
      <c r="M589">
        <f>RANK(H589,H:H,0)</f>
        <v>349</v>
      </c>
    </row>
    <row r="590" spans="1:13">
      <c r="A590" t="s">
        <v>45</v>
      </c>
      <c r="B590" t="s">
        <v>25</v>
      </c>
      <c r="C590" t="s">
        <v>65</v>
      </c>
      <c r="D590" s="3" t="s">
        <v>102</v>
      </c>
      <c r="E590" s="5" t="str">
        <f>TEXT(D590,"dd/mm/yyyy")</f>
        <v>28/03/2022</v>
      </c>
      <c r="F590" s="5" t="str" cm="1">
        <f t="array" ref="F590">RIGHT(_xlfn.ANCHORARRAY(E590),4)</f>
        <v>2022</v>
      </c>
      <c r="G590" s="5" t="str">
        <f>TEXT(E590,"mm")</f>
        <v>28/03/2022</v>
      </c>
      <c r="H590" s="6">
        <v>2723</v>
      </c>
      <c r="I590">
        <v>67</v>
      </c>
      <c r="L590" t="str">
        <f t="shared" si="9"/>
        <v>Below Average</v>
      </c>
      <c r="M590">
        <f>RANK(H590,H:H,0)</f>
        <v>2396</v>
      </c>
    </row>
    <row r="591" spans="1:13">
      <c r="A591" t="s">
        <v>48</v>
      </c>
      <c r="B591" t="s">
        <v>10</v>
      </c>
      <c r="C591" t="s">
        <v>18</v>
      </c>
      <c r="D591" s="3" t="s">
        <v>81</v>
      </c>
      <c r="E591" s="5" t="str">
        <f>TEXT(D591,"dd/mm/yyyy")</f>
        <v>19/04/2022</v>
      </c>
      <c r="F591" s="5" t="str" cm="1">
        <f t="array" ref="F591">RIGHT(_xlfn.ANCHORARRAY(E591),4)</f>
        <v>2022</v>
      </c>
      <c r="G591" s="5" t="str">
        <f>TEXT(E591,"mm")</f>
        <v>19/04/2022</v>
      </c>
      <c r="H591" s="6">
        <v>19327</v>
      </c>
      <c r="I591">
        <v>135</v>
      </c>
      <c r="L591" t="str">
        <f t="shared" si="9"/>
        <v>Above Average</v>
      </c>
      <c r="M591">
        <f>RANK(H591,H:H,0)</f>
        <v>24</v>
      </c>
    </row>
    <row r="592" spans="1:13">
      <c r="A592" t="s">
        <v>83</v>
      </c>
      <c r="B592" t="s">
        <v>25</v>
      </c>
      <c r="C592" t="s">
        <v>8</v>
      </c>
      <c r="D592" s="3" t="s">
        <v>115</v>
      </c>
      <c r="E592" s="5" t="str">
        <f>TEXT(D592,"dd/mm/yyyy")</f>
        <v>18/01/2022</v>
      </c>
      <c r="F592" s="5" t="str" cm="1">
        <f t="array" ref="F592">RIGHT(_xlfn.ANCHORARRAY(E592),4)</f>
        <v>2022</v>
      </c>
      <c r="G592" s="5" t="str">
        <f>TEXT(E592,"mm")</f>
        <v>18/01/2022</v>
      </c>
      <c r="H592" s="6">
        <v>9058</v>
      </c>
      <c r="I592">
        <v>229</v>
      </c>
      <c r="L592" t="str">
        <f t="shared" si="9"/>
        <v>Above Average</v>
      </c>
      <c r="M592">
        <f>RANK(H592,H:H,0)</f>
        <v>725</v>
      </c>
    </row>
    <row r="593" spans="1:13">
      <c r="A593" t="s">
        <v>9</v>
      </c>
      <c r="B593" t="s">
        <v>25</v>
      </c>
      <c r="C593" t="s">
        <v>57</v>
      </c>
      <c r="D593" s="3" t="s">
        <v>152</v>
      </c>
      <c r="E593" s="5" t="str">
        <f>TEXT(D593,"dd/mm/yyyy")</f>
        <v>17/01/2022</v>
      </c>
      <c r="F593" s="5" t="str" cm="1">
        <f t="array" ref="F593">RIGHT(_xlfn.ANCHORARRAY(E593),4)</f>
        <v>2022</v>
      </c>
      <c r="G593" s="5" t="str">
        <f>TEXT(E593,"mm")</f>
        <v>17/01/2022</v>
      </c>
      <c r="H593" s="6">
        <v>2996</v>
      </c>
      <c r="I593">
        <v>88</v>
      </c>
      <c r="L593" t="str">
        <f t="shared" si="9"/>
        <v>Below Average</v>
      </c>
      <c r="M593">
        <f>RANK(H593,H:H,0)</f>
        <v>2310</v>
      </c>
    </row>
    <row r="594" spans="1:13">
      <c r="A594" t="s">
        <v>67</v>
      </c>
      <c r="B594" t="s">
        <v>25</v>
      </c>
      <c r="C594" t="s">
        <v>8</v>
      </c>
      <c r="D594" s="3" t="s">
        <v>149</v>
      </c>
      <c r="E594" s="5" t="str">
        <f>TEXT(D594,"dd/mm/yyyy")</f>
        <v>15/02/2022</v>
      </c>
      <c r="F594" s="5" t="str" cm="1">
        <f t="array" ref="F594">RIGHT(_xlfn.ANCHORARRAY(E594),4)</f>
        <v>2022</v>
      </c>
      <c r="G594" s="5" t="str">
        <f>TEXT(E594,"mm")</f>
        <v>15/02/2022</v>
      </c>
      <c r="H594" s="6">
        <v>8848</v>
      </c>
      <c r="I594">
        <v>211</v>
      </c>
      <c r="L594" t="str">
        <f t="shared" si="9"/>
        <v>Above Average</v>
      </c>
      <c r="M594">
        <f>RANK(H594,H:H,0)</f>
        <v>770</v>
      </c>
    </row>
    <row r="595" spans="1:13">
      <c r="A595" t="s">
        <v>67</v>
      </c>
      <c r="B595" t="s">
        <v>7</v>
      </c>
      <c r="C595" t="s">
        <v>46</v>
      </c>
      <c r="D595" s="4">
        <v>44867</v>
      </c>
      <c r="E595" s="5" t="str">
        <f>TEXT(D595,"dd/mm/yyyy")</f>
        <v>02/11/2022</v>
      </c>
      <c r="F595" s="5" t="str" cm="1">
        <f t="array" ref="F595">RIGHT(_xlfn.ANCHORARRAY(E595),4)</f>
        <v>2022</v>
      </c>
      <c r="G595" s="5" t="str">
        <f>TEXT(E595,"mm")</f>
        <v>02</v>
      </c>
      <c r="H595" s="6">
        <v>14336</v>
      </c>
      <c r="I595">
        <v>293</v>
      </c>
      <c r="L595" t="str">
        <f t="shared" si="9"/>
        <v>Above Average</v>
      </c>
      <c r="M595">
        <f>RANK(H595,H:H,0)</f>
        <v>189</v>
      </c>
    </row>
    <row r="596" spans="1:13">
      <c r="A596" t="s">
        <v>71</v>
      </c>
      <c r="B596" t="s">
        <v>32</v>
      </c>
      <c r="C596" t="s">
        <v>60</v>
      </c>
      <c r="D596" s="3" t="s">
        <v>148</v>
      </c>
      <c r="E596" s="5" t="str">
        <f>TEXT(D596,"dd/mm/yyyy")</f>
        <v>21/03/2022</v>
      </c>
      <c r="F596" s="5" t="str" cm="1">
        <f t="array" ref="F596">RIGHT(_xlfn.ANCHORARRAY(E596),4)</f>
        <v>2022</v>
      </c>
      <c r="G596" s="5" t="str">
        <f>TEXT(E596,"mm")</f>
        <v>21/03/2022</v>
      </c>
      <c r="H596" s="6">
        <v>16401</v>
      </c>
      <c r="I596">
        <v>179</v>
      </c>
      <c r="L596" t="str">
        <f t="shared" si="9"/>
        <v>Above Average</v>
      </c>
      <c r="M596">
        <f>RANK(H596,H:H,0)</f>
        <v>89</v>
      </c>
    </row>
    <row r="597" spans="1:13">
      <c r="A597" t="s">
        <v>22</v>
      </c>
      <c r="B597" t="s">
        <v>25</v>
      </c>
      <c r="C597" t="s">
        <v>65</v>
      </c>
      <c r="D597" s="4">
        <v>44682</v>
      </c>
      <c r="E597" s="5" t="str">
        <f>TEXT(D597,"dd/mm/yyyy")</f>
        <v>01/05/2022</v>
      </c>
      <c r="F597" s="5" t="str" cm="1">
        <f t="array" ref="F597">RIGHT(_xlfn.ANCHORARRAY(E597),4)</f>
        <v>2022</v>
      </c>
      <c r="G597" s="5" t="str">
        <f>TEXT(E597,"mm")</f>
        <v>01</v>
      </c>
      <c r="H597" s="6">
        <v>5173</v>
      </c>
      <c r="I597">
        <v>129</v>
      </c>
      <c r="L597" t="str">
        <f t="shared" si="9"/>
        <v>Below Average</v>
      </c>
      <c r="M597">
        <f>RANK(H597,H:H,0)</f>
        <v>1656</v>
      </c>
    </row>
    <row r="598" spans="1:13">
      <c r="A598" t="s">
        <v>28</v>
      </c>
      <c r="B598" t="s">
        <v>10</v>
      </c>
      <c r="C598" t="s">
        <v>73</v>
      </c>
      <c r="D598" s="3" t="s">
        <v>52</v>
      </c>
      <c r="E598" s="5" t="str">
        <f>TEXT(D598,"dd/mm/yyyy")</f>
        <v>30/05/2022</v>
      </c>
      <c r="F598" s="5" t="str" cm="1">
        <f t="array" ref="F598">RIGHT(_xlfn.ANCHORARRAY(E598),4)</f>
        <v>2022</v>
      </c>
      <c r="G598" s="5" t="str">
        <f>TEXT(E598,"mm")</f>
        <v>30/05/2022</v>
      </c>
      <c r="H598" s="6">
        <v>6328</v>
      </c>
      <c r="I598">
        <v>164</v>
      </c>
      <c r="L598" t="str">
        <f t="shared" si="9"/>
        <v>Above Average</v>
      </c>
      <c r="M598">
        <f>RANK(H598,H:H,0)</f>
        <v>1345</v>
      </c>
    </row>
    <row r="599" spans="1:13">
      <c r="A599" t="s">
        <v>6</v>
      </c>
      <c r="B599" t="s">
        <v>32</v>
      </c>
      <c r="C599" t="s">
        <v>20</v>
      </c>
      <c r="D599" s="4">
        <v>44652</v>
      </c>
      <c r="E599" s="5" t="str">
        <f>TEXT(D599,"dd/mm/yyyy")</f>
        <v>01/04/2022</v>
      </c>
      <c r="F599" s="5" t="str" cm="1">
        <f t="array" ref="F599">RIGHT(_xlfn.ANCHORARRAY(E599),4)</f>
        <v>2022</v>
      </c>
      <c r="G599" s="5" t="str">
        <f>TEXT(E599,"mm")</f>
        <v>01</v>
      </c>
      <c r="H599" s="6">
        <v>2534</v>
      </c>
      <c r="I599">
        <v>219</v>
      </c>
      <c r="L599" t="str">
        <f t="shared" si="9"/>
        <v>Below Average</v>
      </c>
      <c r="M599">
        <f>RANK(H599,H:H,0)</f>
        <v>2457</v>
      </c>
    </row>
    <row r="600" spans="1:13">
      <c r="A600" t="s">
        <v>41</v>
      </c>
      <c r="B600" t="s">
        <v>15</v>
      </c>
      <c r="C600" t="s">
        <v>57</v>
      </c>
      <c r="D600" s="3" t="s">
        <v>134</v>
      </c>
      <c r="E600" s="5" t="str">
        <f>TEXT(D600,"dd/mm/yyyy")</f>
        <v>22/04/2022</v>
      </c>
      <c r="F600" s="5" t="str" cm="1">
        <f t="array" ref="F600">RIGHT(_xlfn.ANCHORARRAY(E600),4)</f>
        <v>2022</v>
      </c>
      <c r="G600" s="5" t="str">
        <f>TEXT(E600,"mm")</f>
        <v>22/04/2022</v>
      </c>
      <c r="H600" s="6">
        <v>1435</v>
      </c>
      <c r="I600">
        <v>258</v>
      </c>
      <c r="L600" t="str">
        <f t="shared" si="9"/>
        <v>Below Average</v>
      </c>
      <c r="M600">
        <f>RANK(H600,H:H,0)</f>
        <v>2827</v>
      </c>
    </row>
    <row r="601" spans="1:13">
      <c r="A601" t="s">
        <v>12</v>
      </c>
      <c r="B601" t="s">
        <v>35</v>
      </c>
      <c r="C601" t="s">
        <v>46</v>
      </c>
      <c r="D601" s="4">
        <v>44836</v>
      </c>
      <c r="E601" s="5" t="str">
        <f>TEXT(D601,"dd/mm/yyyy")</f>
        <v>02/10/2022</v>
      </c>
      <c r="F601" s="5" t="str" cm="1">
        <f t="array" ref="F601">RIGHT(_xlfn.ANCHORARRAY(E601),4)</f>
        <v>2022</v>
      </c>
      <c r="G601" s="5" t="str">
        <f>TEXT(E601,"mm")</f>
        <v>02</v>
      </c>
      <c r="H601" s="6">
        <v>3052</v>
      </c>
      <c r="I601">
        <v>116</v>
      </c>
      <c r="L601" t="str">
        <f t="shared" si="9"/>
        <v>Below Average</v>
      </c>
      <c r="M601">
        <f>RANK(H601,H:H,0)</f>
        <v>2285</v>
      </c>
    </row>
    <row r="602" spans="1:13">
      <c r="A602" t="s">
        <v>79</v>
      </c>
      <c r="B602" t="s">
        <v>10</v>
      </c>
      <c r="C602" t="s">
        <v>50</v>
      </c>
      <c r="D602" s="4">
        <v>44903</v>
      </c>
      <c r="E602" s="5" t="str">
        <f>TEXT(D602,"dd/mm/yyyy")</f>
        <v>08/12/2022</v>
      </c>
      <c r="F602" s="5" t="str" cm="1">
        <f t="array" ref="F602">RIGHT(_xlfn.ANCHORARRAY(E602),4)</f>
        <v>2022</v>
      </c>
      <c r="G602" s="5" t="str">
        <f>TEXT(E602,"mm")</f>
        <v>08</v>
      </c>
      <c r="H602" s="6">
        <v>910</v>
      </c>
      <c r="I602">
        <v>204</v>
      </c>
      <c r="L602" t="str">
        <f t="shared" si="9"/>
        <v>Below Average</v>
      </c>
      <c r="M602">
        <f>RANK(H602,H:H,0)</f>
        <v>2999</v>
      </c>
    </row>
    <row r="603" spans="1:13">
      <c r="A603" t="s">
        <v>22</v>
      </c>
      <c r="B603" t="s">
        <v>32</v>
      </c>
      <c r="C603" t="s">
        <v>42</v>
      </c>
      <c r="D603" s="4">
        <v>44842</v>
      </c>
      <c r="E603" s="5" t="str">
        <f>TEXT(D603,"dd/mm/yyyy")</f>
        <v>08/10/2022</v>
      </c>
      <c r="F603" s="5" t="str" cm="1">
        <f t="array" ref="F603">RIGHT(_xlfn.ANCHORARRAY(E603),4)</f>
        <v>2022</v>
      </c>
      <c r="G603" s="5" t="str">
        <f>TEXT(E603,"mm")</f>
        <v>08</v>
      </c>
      <c r="H603" s="6">
        <v>2331</v>
      </c>
      <c r="I603">
        <v>321</v>
      </c>
      <c r="L603" t="str">
        <f t="shared" si="9"/>
        <v>Below Average</v>
      </c>
      <c r="M603">
        <f>RANK(H603,H:H,0)</f>
        <v>2538</v>
      </c>
    </row>
    <row r="604" spans="1:13">
      <c r="A604" t="s">
        <v>70</v>
      </c>
      <c r="B604" t="s">
        <v>15</v>
      </c>
      <c r="C604" t="s">
        <v>73</v>
      </c>
      <c r="D604" s="4">
        <v>44748</v>
      </c>
      <c r="E604" s="5" t="str">
        <f>TEXT(D604,"dd/mm/yyyy")</f>
        <v>06/07/2022</v>
      </c>
      <c r="F604" s="5" t="str" cm="1">
        <f t="array" ref="F604">RIGHT(_xlfn.ANCHORARRAY(E604),4)</f>
        <v>2022</v>
      </c>
      <c r="G604" s="5" t="str">
        <f>TEXT(E604,"mm")</f>
        <v>06</v>
      </c>
      <c r="H604" s="6">
        <v>679</v>
      </c>
      <c r="I604">
        <v>56</v>
      </c>
      <c r="L604" t="str">
        <f t="shared" si="9"/>
        <v>Below Average</v>
      </c>
      <c r="M604">
        <f>RANK(H604,H:H,0)</f>
        <v>3073</v>
      </c>
    </row>
    <row r="605" spans="1:13">
      <c r="A605" t="s">
        <v>6</v>
      </c>
      <c r="B605" t="s">
        <v>10</v>
      </c>
      <c r="C605" t="s">
        <v>87</v>
      </c>
      <c r="D605" s="4">
        <v>44718</v>
      </c>
      <c r="E605" s="5" t="str">
        <f>TEXT(D605,"dd/mm/yyyy")</f>
        <v>06/06/2022</v>
      </c>
      <c r="F605" s="5" t="str" cm="1">
        <f t="array" ref="F605">RIGHT(_xlfn.ANCHORARRAY(E605),4)</f>
        <v>2022</v>
      </c>
      <c r="G605" s="5" t="str">
        <f>TEXT(E605,"mm")</f>
        <v>06</v>
      </c>
      <c r="H605" s="6">
        <v>2086</v>
      </c>
      <c r="I605">
        <v>74</v>
      </c>
      <c r="L605" t="str">
        <f t="shared" si="9"/>
        <v>Below Average</v>
      </c>
      <c r="M605">
        <f>RANK(H605,H:H,0)</f>
        <v>2606</v>
      </c>
    </row>
    <row r="606" spans="1:13">
      <c r="A606" t="s">
        <v>37</v>
      </c>
      <c r="B606" t="s">
        <v>25</v>
      </c>
      <c r="C606" t="s">
        <v>87</v>
      </c>
      <c r="D606" s="4">
        <v>44685</v>
      </c>
      <c r="E606" s="5" t="str">
        <f>TEXT(D606,"dd/mm/yyyy")</f>
        <v>04/05/2022</v>
      </c>
      <c r="F606" s="5" t="str" cm="1">
        <f t="array" ref="F606">RIGHT(_xlfn.ANCHORARRAY(E606),4)</f>
        <v>2022</v>
      </c>
      <c r="G606" s="5" t="str">
        <f>TEXT(E606,"mm")</f>
        <v>04</v>
      </c>
      <c r="H606" s="6">
        <v>5012</v>
      </c>
      <c r="I606">
        <v>189</v>
      </c>
      <c r="L606" t="str">
        <f t="shared" si="9"/>
        <v>Below Average</v>
      </c>
      <c r="M606">
        <f>RANK(H606,H:H,0)</f>
        <v>1701</v>
      </c>
    </row>
    <row r="607" spans="1:13">
      <c r="A607" t="s">
        <v>64</v>
      </c>
      <c r="B607" t="s">
        <v>32</v>
      </c>
      <c r="C607" t="s">
        <v>26</v>
      </c>
      <c r="D607" s="3" t="s">
        <v>154</v>
      </c>
      <c r="E607" s="5" t="str">
        <f>TEXT(D607,"dd/mm/yyyy")</f>
        <v>18/04/2022</v>
      </c>
      <c r="F607" s="5" t="str" cm="1">
        <f t="array" ref="F607">RIGHT(_xlfn.ANCHORARRAY(E607),4)</f>
        <v>2022</v>
      </c>
      <c r="G607" s="5" t="str">
        <f>TEXT(E607,"mm")</f>
        <v>18/04/2022</v>
      </c>
      <c r="H607" s="6">
        <v>4501</v>
      </c>
      <c r="I607">
        <v>131</v>
      </c>
      <c r="L607" t="str">
        <f t="shared" si="9"/>
        <v>Below Average</v>
      </c>
      <c r="M607">
        <f>RANK(H607,H:H,0)</f>
        <v>1847</v>
      </c>
    </row>
    <row r="608" spans="1:13">
      <c r="A608" t="s">
        <v>67</v>
      </c>
      <c r="B608" t="s">
        <v>10</v>
      </c>
      <c r="C608" t="s">
        <v>26</v>
      </c>
      <c r="D608" s="3" t="s">
        <v>96</v>
      </c>
      <c r="E608" s="5" t="str">
        <f>TEXT(D608,"dd/mm/yyyy")</f>
        <v>31/01/2022</v>
      </c>
      <c r="F608" s="5" t="str" cm="1">
        <f t="array" ref="F608">RIGHT(_xlfn.ANCHORARRAY(E608),4)</f>
        <v>2022</v>
      </c>
      <c r="G608" s="5" t="str">
        <f>TEXT(E608,"mm")</f>
        <v>31/01/2022</v>
      </c>
      <c r="H608" s="6">
        <v>13482</v>
      </c>
      <c r="I608">
        <v>15</v>
      </c>
      <c r="L608" t="str">
        <f t="shared" si="9"/>
        <v>Above Average</v>
      </c>
      <c r="M608">
        <f>RANK(H608,H:H,0)</f>
        <v>237</v>
      </c>
    </row>
    <row r="609" spans="1:13">
      <c r="A609" t="s">
        <v>77</v>
      </c>
      <c r="B609" t="s">
        <v>32</v>
      </c>
      <c r="C609" t="s">
        <v>87</v>
      </c>
      <c r="D609" s="3" t="s">
        <v>78</v>
      </c>
      <c r="E609" s="5" t="str">
        <f>TEXT(D609,"dd/mm/yyyy")</f>
        <v>22/08/2022</v>
      </c>
      <c r="F609" s="5" t="str" cm="1">
        <f t="array" ref="F609">RIGHT(_xlfn.ANCHORARRAY(E609),4)</f>
        <v>2022</v>
      </c>
      <c r="G609" s="5" t="str">
        <f>TEXT(E609,"mm")</f>
        <v>22/08/2022</v>
      </c>
      <c r="H609" s="6">
        <v>5621</v>
      </c>
      <c r="I609">
        <v>140</v>
      </c>
      <c r="L609" t="str">
        <f t="shared" si="9"/>
        <v>Below Average</v>
      </c>
      <c r="M609">
        <f>RANK(H609,H:H,0)</f>
        <v>1535</v>
      </c>
    </row>
    <row r="610" spans="1:13">
      <c r="A610" t="s">
        <v>6</v>
      </c>
      <c r="B610" t="s">
        <v>15</v>
      </c>
      <c r="C610" t="s">
        <v>20</v>
      </c>
      <c r="D610" s="3" t="s">
        <v>104</v>
      </c>
      <c r="E610" s="5" t="str">
        <f>TEXT(D610,"dd/mm/yyyy")</f>
        <v>25/02/2022</v>
      </c>
      <c r="F610" s="5" t="str" cm="1">
        <f t="array" ref="F610">RIGHT(_xlfn.ANCHORARRAY(E610),4)</f>
        <v>2022</v>
      </c>
      <c r="G610" s="5" t="str">
        <f>TEXT(E610,"mm")</f>
        <v>25/02/2022</v>
      </c>
      <c r="H610" s="6">
        <v>10486</v>
      </c>
      <c r="I610">
        <v>198</v>
      </c>
      <c r="L610" t="str">
        <f t="shared" si="9"/>
        <v>Above Average</v>
      </c>
      <c r="M610">
        <f>RANK(H610,H:H,0)</f>
        <v>511</v>
      </c>
    </row>
    <row r="611" spans="1:13">
      <c r="A611" t="s">
        <v>14</v>
      </c>
      <c r="B611" t="s">
        <v>15</v>
      </c>
      <c r="C611" t="s">
        <v>8</v>
      </c>
      <c r="D611" s="3" t="s">
        <v>125</v>
      </c>
      <c r="E611" s="5" t="str">
        <f>TEXT(D611,"dd/mm/yyyy")</f>
        <v>22/02/2022</v>
      </c>
      <c r="F611" s="5" t="str" cm="1">
        <f t="array" ref="F611">RIGHT(_xlfn.ANCHORARRAY(E611),4)</f>
        <v>2022</v>
      </c>
      <c r="G611" s="5" t="str">
        <f>TEXT(E611,"mm")</f>
        <v>22/02/2022</v>
      </c>
      <c r="H611" s="6">
        <v>17626</v>
      </c>
      <c r="I611">
        <v>103</v>
      </c>
      <c r="L611" t="str">
        <f t="shared" si="9"/>
        <v>Above Average</v>
      </c>
      <c r="M611">
        <f>RANK(H611,H:H,0)</f>
        <v>50</v>
      </c>
    </row>
    <row r="612" spans="1:13">
      <c r="A612" t="s">
        <v>19</v>
      </c>
      <c r="B612" t="s">
        <v>25</v>
      </c>
      <c r="C612" t="s">
        <v>46</v>
      </c>
      <c r="D612" s="4">
        <v>44896</v>
      </c>
      <c r="E612" s="5" t="str">
        <f>TEXT(D612,"dd/mm/yyyy")</f>
        <v>01/12/2022</v>
      </c>
      <c r="F612" s="5" t="str" cm="1">
        <f t="array" ref="F612">RIGHT(_xlfn.ANCHORARRAY(E612),4)</f>
        <v>2022</v>
      </c>
      <c r="G612" s="5" t="str">
        <f>TEXT(E612,"mm")</f>
        <v>01</v>
      </c>
      <c r="H612" s="6">
        <v>4494</v>
      </c>
      <c r="I612">
        <v>187</v>
      </c>
      <c r="L612" t="str">
        <f t="shared" si="9"/>
        <v>Below Average</v>
      </c>
      <c r="M612">
        <f>RANK(H612,H:H,0)</f>
        <v>1852</v>
      </c>
    </row>
    <row r="613" spans="1:13">
      <c r="A613" t="s">
        <v>28</v>
      </c>
      <c r="B613" t="s">
        <v>7</v>
      </c>
      <c r="C613" t="s">
        <v>65</v>
      </c>
      <c r="D613" s="3" t="s">
        <v>99</v>
      </c>
      <c r="E613" s="5" t="str">
        <f>TEXT(D613,"dd/mm/yyyy")</f>
        <v>25/05/2022</v>
      </c>
      <c r="F613" s="5" t="str" cm="1">
        <f t="array" ref="F613">RIGHT(_xlfn.ANCHORARRAY(E613),4)</f>
        <v>2022</v>
      </c>
      <c r="G613" s="5" t="str">
        <f>TEXT(E613,"mm")</f>
        <v>25/05/2022</v>
      </c>
      <c r="H613" s="6">
        <v>105</v>
      </c>
      <c r="I613">
        <v>125</v>
      </c>
      <c r="L613" t="str">
        <f t="shared" si="9"/>
        <v>Below Average</v>
      </c>
      <c r="M613">
        <f>RANK(H613,H:H,0)</f>
        <v>3244</v>
      </c>
    </row>
    <row r="614" spans="1:13">
      <c r="A614" t="s">
        <v>70</v>
      </c>
      <c r="B614" t="s">
        <v>10</v>
      </c>
      <c r="C614" t="s">
        <v>18</v>
      </c>
      <c r="D614" s="4">
        <v>44563</v>
      </c>
      <c r="E614" s="5" t="str">
        <f>TEXT(D614,"dd/mm/yyyy")</f>
        <v>02/01/2022</v>
      </c>
      <c r="F614" s="5" t="str" cm="1">
        <f t="array" ref="F614">RIGHT(_xlfn.ANCHORARRAY(E614),4)</f>
        <v>2022</v>
      </c>
      <c r="G614" s="5" t="str">
        <f>TEXT(E614,"mm")</f>
        <v>02</v>
      </c>
      <c r="H614" s="6">
        <v>2464</v>
      </c>
      <c r="I614">
        <v>8</v>
      </c>
      <c r="L614" t="str">
        <f t="shared" si="9"/>
        <v>Below Average</v>
      </c>
      <c r="M614">
        <f>RANK(H614,H:H,0)</f>
        <v>2488</v>
      </c>
    </row>
    <row r="615" spans="1:13">
      <c r="A615" t="s">
        <v>29</v>
      </c>
      <c r="B615" t="s">
        <v>7</v>
      </c>
      <c r="C615" t="s">
        <v>36</v>
      </c>
      <c r="D615" s="3" t="s">
        <v>16</v>
      </c>
      <c r="E615" s="5" t="str">
        <f>TEXT(D615,"dd/mm/yyyy")</f>
        <v>27/04/2022</v>
      </c>
      <c r="F615" s="5" t="str" cm="1">
        <f t="array" ref="F615">RIGHT(_xlfn.ANCHORARRAY(E615),4)</f>
        <v>2022</v>
      </c>
      <c r="G615" s="5" t="str">
        <f>TEXT(E615,"mm")</f>
        <v>27/04/2022</v>
      </c>
      <c r="H615" s="6">
        <v>1379</v>
      </c>
      <c r="I615">
        <v>70</v>
      </c>
      <c r="L615" t="str">
        <f t="shared" si="9"/>
        <v>Below Average</v>
      </c>
      <c r="M615">
        <f>RANK(H615,H:H,0)</f>
        <v>2846</v>
      </c>
    </row>
    <row r="616" spans="1:13">
      <c r="A616" t="s">
        <v>12</v>
      </c>
      <c r="B616" t="s">
        <v>32</v>
      </c>
      <c r="C616" t="s">
        <v>18</v>
      </c>
      <c r="D616" s="3" t="s">
        <v>68</v>
      </c>
      <c r="E616" s="5" t="str">
        <f>TEXT(D616,"dd/mm/yyyy")</f>
        <v>22/07/2022</v>
      </c>
      <c r="F616" s="5" t="str" cm="1">
        <f t="array" ref="F616">RIGHT(_xlfn.ANCHORARRAY(E616),4)</f>
        <v>2022</v>
      </c>
      <c r="G616" s="5" t="str">
        <f>TEXT(E616,"mm")</f>
        <v>22/07/2022</v>
      </c>
      <c r="H616" s="6">
        <v>2583</v>
      </c>
      <c r="I616">
        <v>126</v>
      </c>
      <c r="L616" t="str">
        <f t="shared" si="9"/>
        <v>Below Average</v>
      </c>
      <c r="M616">
        <f>RANK(H616,H:H,0)</f>
        <v>2446</v>
      </c>
    </row>
    <row r="617" spans="1:13">
      <c r="A617" t="s">
        <v>48</v>
      </c>
      <c r="B617" t="s">
        <v>25</v>
      </c>
      <c r="C617" t="s">
        <v>8</v>
      </c>
      <c r="D617" s="3" t="s">
        <v>43</v>
      </c>
      <c r="E617" s="5" t="str">
        <f>TEXT(D617,"dd/mm/yyyy")</f>
        <v>26/01/2022</v>
      </c>
      <c r="F617" s="5" t="str" cm="1">
        <f t="array" ref="F617">RIGHT(_xlfn.ANCHORARRAY(E617),4)</f>
        <v>2022</v>
      </c>
      <c r="G617" s="5" t="str">
        <f>TEXT(E617,"mm")</f>
        <v>26/01/2022</v>
      </c>
      <c r="H617" s="6">
        <v>3220</v>
      </c>
      <c r="I617">
        <v>265</v>
      </c>
      <c r="L617" t="str">
        <f t="shared" si="9"/>
        <v>Below Average</v>
      </c>
      <c r="M617">
        <f>RANK(H617,H:H,0)</f>
        <v>2228</v>
      </c>
    </row>
    <row r="618" spans="1:13">
      <c r="A618" t="s">
        <v>48</v>
      </c>
      <c r="B618" t="s">
        <v>32</v>
      </c>
      <c r="C618" t="s">
        <v>8</v>
      </c>
      <c r="D618" s="3" t="s">
        <v>69</v>
      </c>
      <c r="E618" s="5" t="str">
        <f>TEXT(D618,"dd/mm/yyyy")</f>
        <v>24/08/2022</v>
      </c>
      <c r="F618" s="5" t="str" cm="1">
        <f t="array" ref="F618">RIGHT(_xlfn.ANCHORARRAY(E618),4)</f>
        <v>2022</v>
      </c>
      <c r="G618" s="5" t="str">
        <f>TEXT(E618,"mm")</f>
        <v>24/08/2022</v>
      </c>
      <c r="H618" s="6">
        <v>4802</v>
      </c>
      <c r="I618">
        <v>296</v>
      </c>
      <c r="L618" t="str">
        <f t="shared" si="9"/>
        <v>Below Average</v>
      </c>
      <c r="M618">
        <f>RANK(H618,H:H,0)</f>
        <v>1766</v>
      </c>
    </row>
    <row r="619" spans="1:13">
      <c r="A619" t="s">
        <v>77</v>
      </c>
      <c r="B619" t="s">
        <v>25</v>
      </c>
      <c r="C619" t="s">
        <v>57</v>
      </c>
      <c r="D619" s="3" t="s">
        <v>115</v>
      </c>
      <c r="E619" s="5" t="str">
        <f>TEXT(D619,"dd/mm/yyyy")</f>
        <v>18/01/2022</v>
      </c>
      <c r="F619" s="5" t="str" cm="1">
        <f t="array" ref="F619">RIGHT(_xlfn.ANCHORARRAY(E619),4)</f>
        <v>2022</v>
      </c>
      <c r="G619" s="5" t="str">
        <f>TEXT(E619,"mm")</f>
        <v>18/01/2022</v>
      </c>
      <c r="H619" s="6">
        <v>5677</v>
      </c>
      <c r="I619">
        <v>21</v>
      </c>
      <c r="L619" t="str">
        <f t="shared" si="9"/>
        <v>Below Average</v>
      </c>
      <c r="M619">
        <f>RANK(H619,H:H,0)</f>
        <v>1524</v>
      </c>
    </row>
    <row r="620" spans="1:13">
      <c r="A620" t="s">
        <v>37</v>
      </c>
      <c r="B620" t="s">
        <v>10</v>
      </c>
      <c r="C620" t="s">
        <v>11</v>
      </c>
      <c r="D620" s="3" t="s">
        <v>155</v>
      </c>
      <c r="E620" s="5" t="str">
        <f>TEXT(D620,"dd/mm/yyyy")</f>
        <v>30/03/2022</v>
      </c>
      <c r="F620" s="5" t="str" cm="1">
        <f t="array" ref="F620">RIGHT(_xlfn.ANCHORARRAY(E620),4)</f>
        <v>2022</v>
      </c>
      <c r="G620" s="5" t="str">
        <f>TEXT(E620,"mm")</f>
        <v>30/03/2022</v>
      </c>
      <c r="H620" s="6">
        <v>945</v>
      </c>
      <c r="I620">
        <v>83</v>
      </c>
      <c r="L620" t="str">
        <f t="shared" si="9"/>
        <v>Below Average</v>
      </c>
      <c r="M620">
        <f>RANK(H620,H:H,0)</f>
        <v>2991</v>
      </c>
    </row>
    <row r="621" spans="1:13">
      <c r="A621" t="s">
        <v>83</v>
      </c>
      <c r="B621" t="s">
        <v>15</v>
      </c>
      <c r="C621" t="s">
        <v>90</v>
      </c>
      <c r="D621" s="3" t="s">
        <v>152</v>
      </c>
      <c r="E621" s="5" t="str">
        <f>TEXT(D621,"dd/mm/yyyy")</f>
        <v>17/01/2022</v>
      </c>
      <c r="F621" s="5" t="str" cm="1">
        <f t="array" ref="F621">RIGHT(_xlfn.ANCHORARRAY(E621),4)</f>
        <v>2022</v>
      </c>
      <c r="G621" s="5" t="str">
        <f>TEXT(E621,"mm")</f>
        <v>17/01/2022</v>
      </c>
      <c r="H621" s="6">
        <v>8757</v>
      </c>
      <c r="I621">
        <v>162</v>
      </c>
      <c r="L621" t="str">
        <f t="shared" si="9"/>
        <v>Above Average</v>
      </c>
      <c r="M621">
        <f>RANK(H621,H:H,0)</f>
        <v>787</v>
      </c>
    </row>
    <row r="622" spans="1:13">
      <c r="A622" t="s">
        <v>70</v>
      </c>
      <c r="B622" t="s">
        <v>32</v>
      </c>
      <c r="C622" t="s">
        <v>57</v>
      </c>
      <c r="D622" s="3" t="s">
        <v>51</v>
      </c>
      <c r="E622" s="5" t="str">
        <f>TEXT(D622,"dd/mm/yyyy")</f>
        <v>17/02/2022</v>
      </c>
      <c r="F622" s="5" t="str" cm="1">
        <f t="array" ref="F622">RIGHT(_xlfn.ANCHORARRAY(E622),4)</f>
        <v>2022</v>
      </c>
      <c r="G622" s="5" t="str">
        <f>TEXT(E622,"mm")</f>
        <v>17/02/2022</v>
      </c>
      <c r="H622" s="6">
        <v>4816</v>
      </c>
      <c r="I622">
        <v>145</v>
      </c>
      <c r="L622" t="str">
        <f t="shared" si="9"/>
        <v>Below Average</v>
      </c>
      <c r="M622">
        <f>RANK(H622,H:H,0)</f>
        <v>1761</v>
      </c>
    </row>
    <row r="623" spans="1:13">
      <c r="A623" t="s">
        <v>70</v>
      </c>
      <c r="B623" t="s">
        <v>35</v>
      </c>
      <c r="C623" t="s">
        <v>13</v>
      </c>
      <c r="D623" s="4">
        <v>44777</v>
      </c>
      <c r="E623" s="5" t="str">
        <f>TEXT(D623,"dd/mm/yyyy")</f>
        <v>04/08/2022</v>
      </c>
      <c r="F623" s="5" t="str" cm="1">
        <f t="array" ref="F623">RIGHT(_xlfn.ANCHORARRAY(E623),4)</f>
        <v>2022</v>
      </c>
      <c r="G623" s="5" t="str">
        <f>TEXT(E623,"mm")</f>
        <v>04</v>
      </c>
      <c r="H623" s="6">
        <v>7532</v>
      </c>
      <c r="I623">
        <v>44</v>
      </c>
      <c r="L623" t="str">
        <f t="shared" si="9"/>
        <v>Above Average</v>
      </c>
      <c r="M623">
        <f>RANK(H623,H:H,0)</f>
        <v>1056</v>
      </c>
    </row>
    <row r="624" spans="1:13">
      <c r="A624" t="s">
        <v>12</v>
      </c>
      <c r="B624" t="s">
        <v>35</v>
      </c>
      <c r="C624" t="s">
        <v>38</v>
      </c>
      <c r="D624" s="4">
        <v>44719</v>
      </c>
      <c r="E624" s="5" t="str">
        <f>TEXT(D624,"dd/mm/yyyy")</f>
        <v>07/06/2022</v>
      </c>
      <c r="F624" s="5" t="str" cm="1">
        <f t="array" ref="F624">RIGHT(_xlfn.ANCHORARRAY(E624),4)</f>
        <v>2022</v>
      </c>
      <c r="G624" s="5" t="str">
        <f>TEXT(E624,"mm")</f>
        <v>07</v>
      </c>
      <c r="H624" s="6">
        <v>3549</v>
      </c>
      <c r="I624">
        <v>82</v>
      </c>
      <c r="L624" t="str">
        <f t="shared" si="9"/>
        <v>Below Average</v>
      </c>
      <c r="M624">
        <f>RANK(H624,H:H,0)</f>
        <v>2126</v>
      </c>
    </row>
    <row r="625" spans="1:13">
      <c r="A625" t="s">
        <v>53</v>
      </c>
      <c r="B625" t="s">
        <v>10</v>
      </c>
      <c r="C625" t="s">
        <v>57</v>
      </c>
      <c r="D625" s="4">
        <v>44655</v>
      </c>
      <c r="E625" s="5" t="str">
        <f>TEXT(D625,"dd/mm/yyyy")</f>
        <v>04/04/2022</v>
      </c>
      <c r="F625" s="5" t="str" cm="1">
        <f t="array" ref="F625">RIGHT(_xlfn.ANCHORARRAY(E625),4)</f>
        <v>2022</v>
      </c>
      <c r="G625" s="5" t="str">
        <f>TEXT(E625,"mm")</f>
        <v>04</v>
      </c>
      <c r="H625" s="6">
        <v>4340</v>
      </c>
      <c r="I625">
        <v>226</v>
      </c>
      <c r="L625" t="str">
        <f t="shared" si="9"/>
        <v>Below Average</v>
      </c>
      <c r="M625">
        <f>RANK(H625,H:H,0)</f>
        <v>1894</v>
      </c>
    </row>
    <row r="626" spans="1:13">
      <c r="A626" t="s">
        <v>14</v>
      </c>
      <c r="B626" t="s">
        <v>25</v>
      </c>
      <c r="C626" t="s">
        <v>42</v>
      </c>
      <c r="D626" s="4">
        <v>44595</v>
      </c>
      <c r="E626" s="5" t="str">
        <f>TEXT(D626,"dd/mm/yyyy")</f>
        <v>03/02/2022</v>
      </c>
      <c r="F626" s="5" t="str" cm="1">
        <f t="array" ref="F626">RIGHT(_xlfn.ANCHORARRAY(E626),4)</f>
        <v>2022</v>
      </c>
      <c r="G626" s="5" t="str">
        <f>TEXT(E626,"mm")</f>
        <v>03</v>
      </c>
      <c r="H626" s="6">
        <v>1799</v>
      </c>
      <c r="I626">
        <v>207</v>
      </c>
      <c r="L626" t="str">
        <f t="shared" si="9"/>
        <v>Below Average</v>
      </c>
      <c r="M626">
        <f>RANK(H626,H:H,0)</f>
        <v>2701</v>
      </c>
    </row>
    <row r="627" spans="1:13">
      <c r="A627" t="s">
        <v>12</v>
      </c>
      <c r="B627" t="s">
        <v>25</v>
      </c>
      <c r="C627" t="s">
        <v>73</v>
      </c>
      <c r="D627" s="4">
        <v>44812</v>
      </c>
      <c r="E627" s="5" t="str">
        <f>TEXT(D627,"dd/mm/yyyy")</f>
        <v>08/09/2022</v>
      </c>
      <c r="F627" s="5" t="str" cm="1">
        <f t="array" ref="F627">RIGHT(_xlfn.ANCHORARRAY(E627),4)</f>
        <v>2022</v>
      </c>
      <c r="G627" s="5" t="str">
        <f>TEXT(E627,"mm")</f>
        <v>08</v>
      </c>
      <c r="H627" s="6">
        <v>1127</v>
      </c>
      <c r="I627">
        <v>176</v>
      </c>
      <c r="L627" t="str">
        <f t="shared" si="9"/>
        <v>Below Average</v>
      </c>
      <c r="M627">
        <f>RANK(H627,H:H,0)</f>
        <v>2927</v>
      </c>
    </row>
    <row r="628" spans="1:13">
      <c r="A628" t="s">
        <v>58</v>
      </c>
      <c r="B628" t="s">
        <v>15</v>
      </c>
      <c r="C628" t="s">
        <v>46</v>
      </c>
      <c r="D628" s="4">
        <v>44810</v>
      </c>
      <c r="E628" s="5" t="str">
        <f>TEXT(D628,"dd/mm/yyyy")</f>
        <v>06/09/2022</v>
      </c>
      <c r="F628" s="5" t="str" cm="1">
        <f t="array" ref="F628">RIGHT(_xlfn.ANCHORARRAY(E628),4)</f>
        <v>2022</v>
      </c>
      <c r="G628" s="5" t="str">
        <f>TEXT(E628,"mm")</f>
        <v>06</v>
      </c>
      <c r="H628" s="6">
        <v>10038</v>
      </c>
      <c r="I628">
        <v>286</v>
      </c>
      <c r="L628" t="str">
        <f t="shared" si="9"/>
        <v>Above Average</v>
      </c>
      <c r="M628">
        <f>RANK(H628,H:H,0)</f>
        <v>574</v>
      </c>
    </row>
    <row r="629" spans="1:13">
      <c r="A629" t="s">
        <v>83</v>
      </c>
      <c r="B629" t="s">
        <v>7</v>
      </c>
      <c r="C629" t="s">
        <v>90</v>
      </c>
      <c r="D629" s="4">
        <v>44598</v>
      </c>
      <c r="E629" s="5" t="str">
        <f>TEXT(D629,"dd/mm/yyyy")</f>
        <v>06/02/2022</v>
      </c>
      <c r="F629" s="5" t="str" cm="1">
        <f t="array" ref="F629">RIGHT(_xlfn.ANCHORARRAY(E629),4)</f>
        <v>2022</v>
      </c>
      <c r="G629" s="5" t="str">
        <f>TEXT(E629,"mm")</f>
        <v>06</v>
      </c>
      <c r="H629" s="6">
        <v>2926</v>
      </c>
      <c r="I629">
        <v>300</v>
      </c>
      <c r="L629" t="str">
        <f t="shared" si="9"/>
        <v>Below Average</v>
      </c>
      <c r="M629">
        <f>RANK(H629,H:H,0)</f>
        <v>2335</v>
      </c>
    </row>
    <row r="630" spans="1:13">
      <c r="A630" t="s">
        <v>9</v>
      </c>
      <c r="B630" t="s">
        <v>32</v>
      </c>
      <c r="C630" t="s">
        <v>57</v>
      </c>
      <c r="D630" s="4">
        <v>44688</v>
      </c>
      <c r="E630" s="5" t="str">
        <f>TEXT(D630,"dd/mm/yyyy")</f>
        <v>07/05/2022</v>
      </c>
      <c r="F630" s="5" t="str" cm="1">
        <f t="array" ref="F630">RIGHT(_xlfn.ANCHORARRAY(E630),4)</f>
        <v>2022</v>
      </c>
      <c r="G630" s="5" t="str">
        <f>TEXT(E630,"mm")</f>
        <v>07</v>
      </c>
      <c r="H630" s="6">
        <v>6279</v>
      </c>
      <c r="I630">
        <v>235</v>
      </c>
      <c r="L630" t="str">
        <f t="shared" si="9"/>
        <v>Above Average</v>
      </c>
      <c r="M630">
        <f>RANK(H630,H:H,0)</f>
        <v>1363</v>
      </c>
    </row>
    <row r="631" spans="1:13">
      <c r="A631" t="s">
        <v>67</v>
      </c>
      <c r="B631" t="s">
        <v>35</v>
      </c>
      <c r="C631" t="s">
        <v>36</v>
      </c>
      <c r="D631" s="4">
        <v>44873</v>
      </c>
      <c r="E631" s="5" t="str">
        <f>TEXT(D631,"dd/mm/yyyy")</f>
        <v>08/11/2022</v>
      </c>
      <c r="F631" s="5" t="str" cm="1">
        <f t="array" ref="F631">RIGHT(_xlfn.ANCHORARRAY(E631),4)</f>
        <v>2022</v>
      </c>
      <c r="G631" s="5" t="str">
        <f>TEXT(E631,"mm")</f>
        <v>08</v>
      </c>
      <c r="H631" s="6">
        <v>308</v>
      </c>
      <c r="I631">
        <v>125</v>
      </c>
      <c r="L631" t="str">
        <f t="shared" si="9"/>
        <v>Below Average</v>
      </c>
      <c r="M631">
        <f>RANK(H631,H:H,0)</f>
        <v>3187</v>
      </c>
    </row>
    <row r="632" spans="1:13">
      <c r="A632" t="s">
        <v>77</v>
      </c>
      <c r="B632" t="s">
        <v>10</v>
      </c>
      <c r="C632" t="s">
        <v>75</v>
      </c>
      <c r="D632" s="4">
        <v>44867</v>
      </c>
      <c r="E632" s="5" t="str">
        <f>TEXT(D632,"dd/mm/yyyy")</f>
        <v>02/11/2022</v>
      </c>
      <c r="F632" s="5" t="str" cm="1">
        <f t="array" ref="F632">RIGHT(_xlfn.ANCHORARRAY(E632),4)</f>
        <v>2022</v>
      </c>
      <c r="G632" s="5" t="str">
        <f>TEXT(E632,"mm")</f>
        <v>02</v>
      </c>
      <c r="H632" s="6">
        <v>3500</v>
      </c>
      <c r="I632">
        <v>145</v>
      </c>
      <c r="L632" t="str">
        <f t="shared" si="9"/>
        <v>Below Average</v>
      </c>
      <c r="M632">
        <f>RANK(H632,H:H,0)</f>
        <v>2138</v>
      </c>
    </row>
    <row r="633" spans="1:13">
      <c r="A633" t="s">
        <v>70</v>
      </c>
      <c r="B633" t="s">
        <v>25</v>
      </c>
      <c r="C633" t="s">
        <v>50</v>
      </c>
      <c r="D633" s="4">
        <v>44873</v>
      </c>
      <c r="E633" s="5" t="str">
        <f>TEXT(D633,"dd/mm/yyyy")</f>
        <v>08/11/2022</v>
      </c>
      <c r="F633" s="5" t="str" cm="1">
        <f t="array" ref="F633">RIGHT(_xlfn.ANCHORARRAY(E633),4)</f>
        <v>2022</v>
      </c>
      <c r="G633" s="5" t="str">
        <f>TEXT(E633,"mm")</f>
        <v>08</v>
      </c>
      <c r="H633" s="6">
        <v>658</v>
      </c>
      <c r="I633">
        <v>65</v>
      </c>
      <c r="L633" t="str">
        <f t="shared" si="9"/>
        <v>Below Average</v>
      </c>
      <c r="M633">
        <f>RANK(H633,H:H,0)</f>
        <v>3080</v>
      </c>
    </row>
    <row r="634" spans="1:13">
      <c r="A634" t="s">
        <v>45</v>
      </c>
      <c r="B634" t="s">
        <v>15</v>
      </c>
      <c r="C634" t="s">
        <v>38</v>
      </c>
      <c r="D634" s="4">
        <v>44900</v>
      </c>
      <c r="E634" s="5" t="str">
        <f>TEXT(D634,"dd/mm/yyyy")</f>
        <v>05/12/2022</v>
      </c>
      <c r="F634" s="5" t="str" cm="1">
        <f t="array" ref="F634">RIGHT(_xlfn.ANCHORARRAY(E634),4)</f>
        <v>2022</v>
      </c>
      <c r="G634" s="5" t="str">
        <f>TEXT(E634,"mm")</f>
        <v>05</v>
      </c>
      <c r="H634" s="6">
        <v>12565</v>
      </c>
      <c r="I634">
        <v>102</v>
      </c>
      <c r="L634" t="str">
        <f t="shared" si="9"/>
        <v>Above Average</v>
      </c>
      <c r="M634">
        <f>RANK(H634,H:H,0)</f>
        <v>294</v>
      </c>
    </row>
    <row r="635" spans="1:13">
      <c r="A635" t="s">
        <v>64</v>
      </c>
      <c r="B635" t="s">
        <v>32</v>
      </c>
      <c r="C635" t="s">
        <v>46</v>
      </c>
      <c r="D635" s="3" t="s">
        <v>82</v>
      </c>
      <c r="E635" s="5" t="str">
        <f>TEXT(D635,"dd/mm/yyyy")</f>
        <v>15/07/2022</v>
      </c>
      <c r="F635" s="5" t="str" cm="1">
        <f t="array" ref="F635">RIGHT(_xlfn.ANCHORARRAY(E635),4)</f>
        <v>2022</v>
      </c>
      <c r="G635" s="5" t="str">
        <f>TEXT(E635,"mm")</f>
        <v>15/07/2022</v>
      </c>
      <c r="H635" s="6">
        <v>5012</v>
      </c>
      <c r="I635">
        <v>93</v>
      </c>
      <c r="L635" t="str">
        <f t="shared" si="9"/>
        <v>Below Average</v>
      </c>
      <c r="M635">
        <f>RANK(H635,H:H,0)</f>
        <v>1701</v>
      </c>
    </row>
    <row r="636" spans="1:13">
      <c r="A636" t="s">
        <v>67</v>
      </c>
      <c r="B636" t="s">
        <v>10</v>
      </c>
      <c r="C636" t="s">
        <v>42</v>
      </c>
      <c r="D636" s="3" t="s">
        <v>115</v>
      </c>
      <c r="E636" s="5" t="str">
        <f>TEXT(D636,"dd/mm/yyyy")</f>
        <v>18/01/2022</v>
      </c>
      <c r="F636" s="5" t="str" cm="1">
        <f t="array" ref="F636">RIGHT(_xlfn.ANCHORARRAY(E636),4)</f>
        <v>2022</v>
      </c>
      <c r="G636" s="5" t="str">
        <f>TEXT(E636,"mm")</f>
        <v>18/01/2022</v>
      </c>
      <c r="H636" s="6">
        <v>3955</v>
      </c>
      <c r="I636">
        <v>134</v>
      </c>
      <c r="L636" t="str">
        <f t="shared" si="9"/>
        <v>Below Average</v>
      </c>
      <c r="M636">
        <f>RANK(H636,H:H,0)</f>
        <v>1998</v>
      </c>
    </row>
    <row r="637" spans="1:13">
      <c r="A637" t="s">
        <v>77</v>
      </c>
      <c r="B637" t="s">
        <v>7</v>
      </c>
      <c r="C637" t="s">
        <v>57</v>
      </c>
      <c r="D637" s="4">
        <v>44682</v>
      </c>
      <c r="E637" s="5" t="str">
        <f>TEXT(D637,"dd/mm/yyyy")</f>
        <v>01/05/2022</v>
      </c>
      <c r="F637" s="5" t="str" cm="1">
        <f t="array" ref="F637">RIGHT(_xlfn.ANCHORARRAY(E637),4)</f>
        <v>2022</v>
      </c>
      <c r="G637" s="5" t="str">
        <f>TEXT(E637,"mm")</f>
        <v>01</v>
      </c>
      <c r="H637" s="6">
        <v>8512</v>
      </c>
      <c r="I637">
        <v>189</v>
      </c>
      <c r="L637" t="str">
        <f t="shared" si="9"/>
        <v>Above Average</v>
      </c>
      <c r="M637">
        <f>RANK(H637,H:H,0)</f>
        <v>831</v>
      </c>
    </row>
    <row r="638" spans="1:13">
      <c r="A638" t="s">
        <v>48</v>
      </c>
      <c r="B638" t="s">
        <v>15</v>
      </c>
      <c r="C638" t="s">
        <v>26</v>
      </c>
      <c r="D638" s="3" t="s">
        <v>63</v>
      </c>
      <c r="E638" s="5" t="str">
        <f>TEXT(D638,"dd/mm/yyyy")</f>
        <v>29/06/2022</v>
      </c>
      <c r="F638" s="5" t="str" cm="1">
        <f t="array" ref="F638">RIGHT(_xlfn.ANCHORARRAY(E638),4)</f>
        <v>2022</v>
      </c>
      <c r="G638" s="5" t="str">
        <f>TEXT(E638,"mm")</f>
        <v>29/06/2022</v>
      </c>
      <c r="H638" s="6">
        <v>504</v>
      </c>
      <c r="I638">
        <v>232</v>
      </c>
      <c r="L638" t="str">
        <f t="shared" si="9"/>
        <v>Below Average</v>
      </c>
      <c r="M638">
        <f>RANK(H638,H:H,0)</f>
        <v>3123</v>
      </c>
    </row>
    <row r="639" spans="1:13">
      <c r="A639" t="s">
        <v>28</v>
      </c>
      <c r="B639" t="s">
        <v>35</v>
      </c>
      <c r="C639" t="s">
        <v>73</v>
      </c>
      <c r="D639" s="3" t="s">
        <v>127</v>
      </c>
      <c r="E639" s="5" t="str">
        <f>TEXT(D639,"dd/mm/yyyy")</f>
        <v>14/06/2022</v>
      </c>
      <c r="F639" s="5" t="str" cm="1">
        <f t="array" ref="F639">RIGHT(_xlfn.ANCHORARRAY(E639),4)</f>
        <v>2022</v>
      </c>
      <c r="G639" s="5" t="str">
        <f>TEXT(E639,"mm")</f>
        <v>14/06/2022</v>
      </c>
      <c r="H639" s="6">
        <v>2800</v>
      </c>
      <c r="I639">
        <v>45</v>
      </c>
      <c r="L639" t="str">
        <f t="shared" si="9"/>
        <v>Below Average</v>
      </c>
      <c r="M639">
        <f>RANK(H639,H:H,0)</f>
        <v>2372</v>
      </c>
    </row>
    <row r="640" spans="1:13">
      <c r="A640" t="s">
        <v>22</v>
      </c>
      <c r="B640" t="s">
        <v>10</v>
      </c>
      <c r="C640" t="s">
        <v>8</v>
      </c>
      <c r="D640" s="4">
        <v>44781</v>
      </c>
      <c r="E640" s="5" t="str">
        <f>TEXT(D640,"dd/mm/yyyy")</f>
        <v>08/08/2022</v>
      </c>
      <c r="F640" s="5" t="str" cm="1">
        <f t="array" ref="F640">RIGHT(_xlfn.ANCHORARRAY(E640),4)</f>
        <v>2022</v>
      </c>
      <c r="G640" s="5" t="str">
        <f>TEXT(E640,"mm")</f>
        <v>08</v>
      </c>
      <c r="H640" s="6">
        <v>4256</v>
      </c>
      <c r="I640">
        <v>67</v>
      </c>
      <c r="L640" t="str">
        <f t="shared" si="9"/>
        <v>Below Average</v>
      </c>
      <c r="M640">
        <f>RANK(H640,H:H,0)</f>
        <v>1914</v>
      </c>
    </row>
    <row r="641" spans="1:13">
      <c r="A641" t="s">
        <v>58</v>
      </c>
      <c r="B641" t="s">
        <v>10</v>
      </c>
      <c r="C641" t="s">
        <v>8</v>
      </c>
      <c r="D641" s="3" t="s">
        <v>110</v>
      </c>
      <c r="E641" s="5" t="str">
        <f>TEXT(D641,"dd/mm/yyyy")</f>
        <v>23/03/2022</v>
      </c>
      <c r="F641" s="5" t="str" cm="1">
        <f t="array" ref="F641">RIGHT(_xlfn.ANCHORARRAY(E641),4)</f>
        <v>2022</v>
      </c>
      <c r="G641" s="5" t="str">
        <f>TEXT(E641,"mm")</f>
        <v>23/03/2022</v>
      </c>
      <c r="H641" s="6">
        <v>13573</v>
      </c>
      <c r="I641">
        <v>138</v>
      </c>
      <c r="L641" t="str">
        <f t="shared" si="9"/>
        <v>Above Average</v>
      </c>
      <c r="M641">
        <f>RANK(H641,H:H,0)</f>
        <v>229</v>
      </c>
    </row>
    <row r="642" spans="1:13">
      <c r="A642" t="s">
        <v>31</v>
      </c>
      <c r="B642" t="s">
        <v>10</v>
      </c>
      <c r="C642" t="s">
        <v>90</v>
      </c>
      <c r="D642" s="4">
        <v>44652</v>
      </c>
      <c r="E642" s="5" t="str">
        <f>TEXT(D642,"dd/mm/yyyy")</f>
        <v>01/04/2022</v>
      </c>
      <c r="F642" s="5" t="str" cm="1">
        <f t="array" ref="F642">RIGHT(_xlfn.ANCHORARRAY(E642),4)</f>
        <v>2022</v>
      </c>
      <c r="G642" s="5" t="str">
        <f>TEXT(E642,"mm")</f>
        <v>01</v>
      </c>
      <c r="H642" s="6">
        <v>6566</v>
      </c>
      <c r="I642">
        <v>99</v>
      </c>
      <c r="L642" t="str">
        <f t="shared" si="9"/>
        <v>Above Average</v>
      </c>
      <c r="M642">
        <f>RANK(H642,H:H,0)</f>
        <v>1289</v>
      </c>
    </row>
    <row r="643" spans="1:13">
      <c r="A643" t="s">
        <v>28</v>
      </c>
      <c r="B643" t="s">
        <v>10</v>
      </c>
      <c r="C643" t="s">
        <v>46</v>
      </c>
      <c r="D643" s="3" t="s">
        <v>125</v>
      </c>
      <c r="E643" s="5" t="str">
        <f>TEXT(D643,"dd/mm/yyyy")</f>
        <v>22/02/2022</v>
      </c>
      <c r="F643" s="5" t="str" cm="1">
        <f t="array" ref="F643">RIGHT(_xlfn.ANCHORARRAY(E643),4)</f>
        <v>2022</v>
      </c>
      <c r="G643" s="5" t="str">
        <f>TEXT(E643,"mm")</f>
        <v>22/02/2022</v>
      </c>
      <c r="H643" s="6">
        <v>13503</v>
      </c>
      <c r="I643">
        <v>251</v>
      </c>
      <c r="L643" t="str">
        <f t="shared" ref="L643:L706" si="10">IF(H643&gt;6030.34,"Above Average","Below Average")</f>
        <v>Above Average</v>
      </c>
      <c r="M643">
        <f>RANK(H643,H:H,0)</f>
        <v>235</v>
      </c>
    </row>
    <row r="644" spans="1:13">
      <c r="A644" t="s">
        <v>41</v>
      </c>
      <c r="B644" t="s">
        <v>7</v>
      </c>
      <c r="C644" t="s">
        <v>50</v>
      </c>
      <c r="D644" s="3" t="s">
        <v>51</v>
      </c>
      <c r="E644" s="5" t="str">
        <f>TEXT(D644,"dd/mm/yyyy")</f>
        <v>17/02/2022</v>
      </c>
      <c r="F644" s="5" t="str" cm="1">
        <f t="array" ref="F644">RIGHT(_xlfn.ANCHORARRAY(E644),4)</f>
        <v>2022</v>
      </c>
      <c r="G644" s="5" t="str">
        <f>TEXT(E644,"mm")</f>
        <v>17/02/2022</v>
      </c>
      <c r="H644" s="6">
        <v>8680</v>
      </c>
      <c r="I644">
        <v>252</v>
      </c>
      <c r="L644" t="str">
        <f t="shared" si="10"/>
        <v>Above Average</v>
      </c>
      <c r="M644">
        <f>RANK(H644,H:H,0)</f>
        <v>802</v>
      </c>
    </row>
    <row r="645" spans="1:13">
      <c r="A645" t="s">
        <v>31</v>
      </c>
      <c r="B645" t="s">
        <v>32</v>
      </c>
      <c r="C645" t="s">
        <v>65</v>
      </c>
      <c r="D645" s="4">
        <v>44622</v>
      </c>
      <c r="E645" s="5" t="str">
        <f>TEXT(D645,"dd/mm/yyyy")</f>
        <v>02/03/2022</v>
      </c>
      <c r="F645" s="5" t="str" cm="1">
        <f t="array" ref="F645">RIGHT(_xlfn.ANCHORARRAY(E645),4)</f>
        <v>2022</v>
      </c>
      <c r="G645" s="5" t="str">
        <f>TEXT(E645,"mm")</f>
        <v>02</v>
      </c>
      <c r="H645" s="6">
        <v>385</v>
      </c>
      <c r="I645">
        <v>78</v>
      </c>
      <c r="L645" t="str">
        <f t="shared" si="10"/>
        <v>Below Average</v>
      </c>
      <c r="M645">
        <f>RANK(H645,H:H,0)</f>
        <v>3168</v>
      </c>
    </row>
    <row r="646" spans="1:13">
      <c r="A646" t="s">
        <v>9</v>
      </c>
      <c r="B646" t="s">
        <v>35</v>
      </c>
      <c r="C646" t="s">
        <v>73</v>
      </c>
      <c r="D646" s="3" t="s">
        <v>123</v>
      </c>
      <c r="E646" s="5" t="str">
        <f>TEXT(D646,"dd/mm/yyyy")</f>
        <v>17/03/2022</v>
      </c>
      <c r="F646" s="5" t="str" cm="1">
        <f t="array" ref="F646">RIGHT(_xlfn.ANCHORARRAY(E646),4)</f>
        <v>2022</v>
      </c>
      <c r="G646" s="5" t="str">
        <f>TEXT(E646,"mm")</f>
        <v>17/03/2022</v>
      </c>
      <c r="H646" s="6">
        <v>1267</v>
      </c>
      <c r="I646">
        <v>130</v>
      </c>
      <c r="L646" t="str">
        <f t="shared" si="10"/>
        <v>Below Average</v>
      </c>
      <c r="M646">
        <f>RANK(H646,H:H,0)</f>
        <v>2885</v>
      </c>
    </row>
    <row r="647" spans="1:13">
      <c r="A647" t="s">
        <v>64</v>
      </c>
      <c r="B647" t="s">
        <v>15</v>
      </c>
      <c r="C647" t="s">
        <v>87</v>
      </c>
      <c r="D647" s="3" t="s">
        <v>21</v>
      </c>
      <c r="E647" s="5" t="str">
        <f>TEXT(D647,"dd/mm/yyyy")</f>
        <v>25/01/2022</v>
      </c>
      <c r="F647" s="5" t="str" cm="1">
        <f t="array" ref="F647">RIGHT(_xlfn.ANCHORARRAY(E647),4)</f>
        <v>2022</v>
      </c>
      <c r="G647" s="5" t="str">
        <f>TEXT(E647,"mm")</f>
        <v>25/01/2022</v>
      </c>
      <c r="H647" s="6">
        <v>2961</v>
      </c>
      <c r="I647">
        <v>154</v>
      </c>
      <c r="L647" t="str">
        <f t="shared" si="10"/>
        <v>Below Average</v>
      </c>
      <c r="M647">
        <f>RANK(H647,H:H,0)</f>
        <v>2322</v>
      </c>
    </row>
    <row r="648" spans="1:13">
      <c r="A648" t="s">
        <v>28</v>
      </c>
      <c r="B648" t="s">
        <v>15</v>
      </c>
      <c r="C648" t="s">
        <v>46</v>
      </c>
      <c r="D648" s="3" t="s">
        <v>129</v>
      </c>
      <c r="E648" s="5" t="str">
        <f>TEXT(D648,"dd/mm/yyyy")</f>
        <v>27/07/2022</v>
      </c>
      <c r="F648" s="5" t="str" cm="1">
        <f t="array" ref="F648">RIGHT(_xlfn.ANCHORARRAY(E648),4)</f>
        <v>2022</v>
      </c>
      <c r="G648" s="5" t="str">
        <f>TEXT(E648,"mm")</f>
        <v>27/07/2022</v>
      </c>
      <c r="H648" s="6">
        <v>1981</v>
      </c>
      <c r="I648">
        <v>52</v>
      </c>
      <c r="L648" t="str">
        <f t="shared" si="10"/>
        <v>Below Average</v>
      </c>
      <c r="M648">
        <f>RANK(H648,H:H,0)</f>
        <v>2640</v>
      </c>
    </row>
    <row r="649" spans="1:13">
      <c r="A649" t="s">
        <v>53</v>
      </c>
      <c r="B649" t="s">
        <v>15</v>
      </c>
      <c r="C649" t="s">
        <v>57</v>
      </c>
      <c r="D649" s="3" t="s">
        <v>107</v>
      </c>
      <c r="E649" s="5" t="str">
        <f>TEXT(D649,"dd/mm/yyyy")</f>
        <v>28/01/2022</v>
      </c>
      <c r="F649" s="5" t="str" cm="1">
        <f t="array" ref="F649">RIGHT(_xlfn.ANCHORARRAY(E649),4)</f>
        <v>2022</v>
      </c>
      <c r="G649" s="5" t="str">
        <f>TEXT(E649,"mm")</f>
        <v>28/01/2022</v>
      </c>
      <c r="H649" s="6">
        <v>7959</v>
      </c>
      <c r="I649">
        <v>53</v>
      </c>
      <c r="L649" t="str">
        <f t="shared" si="10"/>
        <v>Above Average</v>
      </c>
      <c r="M649">
        <f>RANK(H649,H:H,0)</f>
        <v>946</v>
      </c>
    </row>
    <row r="650" spans="1:13">
      <c r="A650" t="s">
        <v>77</v>
      </c>
      <c r="B650" t="s">
        <v>15</v>
      </c>
      <c r="C650" t="s">
        <v>42</v>
      </c>
      <c r="D650" s="4">
        <v>44688</v>
      </c>
      <c r="E650" s="5" t="str">
        <f>TEXT(D650,"dd/mm/yyyy")</f>
        <v>07/05/2022</v>
      </c>
      <c r="F650" s="5" t="str" cm="1">
        <f t="array" ref="F650">RIGHT(_xlfn.ANCHORARRAY(E650),4)</f>
        <v>2022</v>
      </c>
      <c r="G650" s="5" t="str">
        <f>TEXT(E650,"mm")</f>
        <v>07</v>
      </c>
      <c r="H650" s="6">
        <v>10794</v>
      </c>
      <c r="I650">
        <v>50</v>
      </c>
      <c r="L650" t="str">
        <f t="shared" si="10"/>
        <v>Above Average</v>
      </c>
      <c r="M650">
        <f>RANK(H650,H:H,0)</f>
        <v>473</v>
      </c>
    </row>
    <row r="651" spans="1:13">
      <c r="A651" t="s">
        <v>9</v>
      </c>
      <c r="B651" t="s">
        <v>10</v>
      </c>
      <c r="C651" t="s">
        <v>59</v>
      </c>
      <c r="D651" s="3" t="s">
        <v>131</v>
      </c>
      <c r="E651" s="5" t="str">
        <f>TEXT(D651,"dd/mm/yyyy")</f>
        <v>15/03/2022</v>
      </c>
      <c r="F651" s="5" t="str" cm="1">
        <f t="array" ref="F651">RIGHT(_xlfn.ANCHORARRAY(E651),4)</f>
        <v>2022</v>
      </c>
      <c r="G651" s="5" t="str">
        <f>TEXT(E651,"mm")</f>
        <v>15/03/2022</v>
      </c>
      <c r="H651" s="6">
        <v>1897</v>
      </c>
      <c r="I651">
        <v>44</v>
      </c>
      <c r="L651" t="str">
        <f t="shared" si="10"/>
        <v>Below Average</v>
      </c>
      <c r="M651">
        <f>RANK(H651,H:H,0)</f>
        <v>2665</v>
      </c>
    </row>
    <row r="652" spans="1:13">
      <c r="A652" t="s">
        <v>22</v>
      </c>
      <c r="B652" t="s">
        <v>35</v>
      </c>
      <c r="C652" t="s">
        <v>23</v>
      </c>
      <c r="D652" s="4">
        <v>44659</v>
      </c>
      <c r="E652" s="5" t="str">
        <f>TEXT(D652,"dd/mm/yyyy")</f>
        <v>08/04/2022</v>
      </c>
      <c r="F652" s="5" t="str" cm="1">
        <f t="array" ref="F652">RIGHT(_xlfn.ANCHORARRAY(E652),4)</f>
        <v>2022</v>
      </c>
      <c r="G652" s="5" t="str">
        <f>TEXT(E652,"mm")</f>
        <v>08</v>
      </c>
      <c r="H652" s="6">
        <v>2744</v>
      </c>
      <c r="I652">
        <v>200</v>
      </c>
      <c r="L652" t="str">
        <f t="shared" si="10"/>
        <v>Below Average</v>
      </c>
      <c r="M652">
        <f>RANK(H652,H:H,0)</f>
        <v>2393</v>
      </c>
    </row>
    <row r="653" spans="1:13">
      <c r="A653" t="s">
        <v>14</v>
      </c>
      <c r="B653" t="s">
        <v>32</v>
      </c>
      <c r="C653" t="s">
        <v>57</v>
      </c>
      <c r="D653" s="3" t="s">
        <v>49</v>
      </c>
      <c r="E653" s="5" t="str">
        <f>TEXT(D653,"dd/mm/yyyy")</f>
        <v>27/06/2022</v>
      </c>
      <c r="F653" s="5" t="str" cm="1">
        <f t="array" ref="F653">RIGHT(_xlfn.ANCHORARRAY(E653),4)</f>
        <v>2022</v>
      </c>
      <c r="G653" s="5" t="str">
        <f>TEXT(E653,"mm")</f>
        <v>27/06/2022</v>
      </c>
      <c r="H653" s="6">
        <v>4382</v>
      </c>
      <c r="I653">
        <v>361</v>
      </c>
      <c r="L653" t="str">
        <f t="shared" si="10"/>
        <v>Below Average</v>
      </c>
      <c r="M653">
        <f>RANK(H653,H:H,0)</f>
        <v>1881</v>
      </c>
    </row>
    <row r="654" spans="1:13">
      <c r="A654" t="s">
        <v>14</v>
      </c>
      <c r="B654" t="s">
        <v>35</v>
      </c>
      <c r="C654" t="s">
        <v>23</v>
      </c>
      <c r="D654" s="3" t="s">
        <v>94</v>
      </c>
      <c r="E654" s="5" t="str">
        <f>TEXT(D654,"dd/mm/yyyy")</f>
        <v>13/07/2022</v>
      </c>
      <c r="F654" s="5" t="str" cm="1">
        <f t="array" ref="F654">RIGHT(_xlfn.ANCHORARRAY(E654),4)</f>
        <v>2022</v>
      </c>
      <c r="G654" s="5" t="str">
        <f>TEXT(E654,"mm")</f>
        <v>13/07/2022</v>
      </c>
      <c r="H654" s="6">
        <v>4515</v>
      </c>
      <c r="I654">
        <v>172</v>
      </c>
      <c r="L654" t="str">
        <f t="shared" si="10"/>
        <v>Below Average</v>
      </c>
      <c r="M654">
        <f>RANK(H654,H:H,0)</f>
        <v>1843</v>
      </c>
    </row>
    <row r="655" spans="1:13">
      <c r="A655" t="s">
        <v>31</v>
      </c>
      <c r="B655" t="s">
        <v>25</v>
      </c>
      <c r="C655" t="s">
        <v>60</v>
      </c>
      <c r="D655" s="3" t="s">
        <v>17</v>
      </c>
      <c r="E655" s="5" t="str">
        <f>TEXT(D655,"dd/mm/yyyy")</f>
        <v>24/02/2022</v>
      </c>
      <c r="F655" s="5" t="str" cm="1">
        <f t="array" ref="F655">RIGHT(_xlfn.ANCHORARRAY(E655),4)</f>
        <v>2022</v>
      </c>
      <c r="G655" s="5" t="str">
        <f>TEXT(E655,"mm")</f>
        <v>24/02/2022</v>
      </c>
      <c r="H655" s="6">
        <v>5474</v>
      </c>
      <c r="I655">
        <v>239</v>
      </c>
      <c r="L655" t="str">
        <f t="shared" si="10"/>
        <v>Below Average</v>
      </c>
      <c r="M655">
        <f>RANK(H655,H:H,0)</f>
        <v>1575</v>
      </c>
    </row>
    <row r="656" spans="1:13">
      <c r="A656" t="s">
        <v>37</v>
      </c>
      <c r="B656" t="s">
        <v>25</v>
      </c>
      <c r="C656" t="s">
        <v>11</v>
      </c>
      <c r="D656" s="3" t="s">
        <v>85</v>
      </c>
      <c r="E656" s="5" t="str">
        <f>TEXT(D656,"dd/mm/yyyy")</f>
        <v>28/06/2022</v>
      </c>
      <c r="F656" s="5" t="str" cm="1">
        <f t="array" ref="F656">RIGHT(_xlfn.ANCHORARRAY(E656),4)</f>
        <v>2022</v>
      </c>
      <c r="G656" s="5" t="str">
        <f>TEXT(E656,"mm")</f>
        <v>28/06/2022</v>
      </c>
      <c r="H656" s="6">
        <v>6069</v>
      </c>
      <c r="I656">
        <v>55</v>
      </c>
      <c r="L656" t="str">
        <f t="shared" si="10"/>
        <v>Above Average</v>
      </c>
      <c r="M656">
        <f>RANK(H656,H:H,0)</f>
        <v>1411</v>
      </c>
    </row>
    <row r="657" spans="1:13">
      <c r="A657" t="s">
        <v>19</v>
      </c>
      <c r="B657" t="s">
        <v>15</v>
      </c>
      <c r="C657" t="s">
        <v>11</v>
      </c>
      <c r="D657" s="3" t="s">
        <v>66</v>
      </c>
      <c r="E657" s="5" t="str">
        <f>TEXT(D657,"dd/mm/yyyy")</f>
        <v>30/06/2022</v>
      </c>
      <c r="F657" s="5" t="str" cm="1">
        <f t="array" ref="F657">RIGHT(_xlfn.ANCHORARRAY(E657),4)</f>
        <v>2022</v>
      </c>
      <c r="G657" s="5" t="str">
        <f>TEXT(E657,"mm")</f>
        <v>30/06/2022</v>
      </c>
      <c r="H657" s="6">
        <v>6944</v>
      </c>
      <c r="I657">
        <v>27</v>
      </c>
      <c r="L657" t="str">
        <f t="shared" si="10"/>
        <v>Above Average</v>
      </c>
      <c r="M657">
        <f>RANK(H657,H:H,0)</f>
        <v>1197</v>
      </c>
    </row>
    <row r="658" spans="1:13">
      <c r="A658" t="s">
        <v>48</v>
      </c>
      <c r="B658" t="s">
        <v>35</v>
      </c>
      <c r="C658" t="s">
        <v>75</v>
      </c>
      <c r="D658" s="3" t="s">
        <v>97</v>
      </c>
      <c r="E658" s="5" t="str">
        <f>TEXT(D658,"dd/mm/yyyy")</f>
        <v>18/08/2022</v>
      </c>
      <c r="F658" s="5" t="str" cm="1">
        <f t="array" ref="F658">RIGHT(_xlfn.ANCHORARRAY(E658),4)</f>
        <v>2022</v>
      </c>
      <c r="G658" s="5" t="str">
        <f>TEXT(E658,"mm")</f>
        <v>18/08/2022</v>
      </c>
      <c r="H658" s="6">
        <v>5859</v>
      </c>
      <c r="I658">
        <v>7</v>
      </c>
      <c r="L658" t="str">
        <f t="shared" si="10"/>
        <v>Below Average</v>
      </c>
      <c r="M658">
        <f>RANK(H658,H:H,0)</f>
        <v>1469</v>
      </c>
    </row>
    <row r="659" spans="1:13">
      <c r="A659" t="s">
        <v>55</v>
      </c>
      <c r="B659" t="s">
        <v>10</v>
      </c>
      <c r="C659" t="s">
        <v>100</v>
      </c>
      <c r="D659" s="3" t="s">
        <v>106</v>
      </c>
      <c r="E659" s="5" t="str">
        <f>TEXT(D659,"dd/mm/yyyy")</f>
        <v>24/01/2022</v>
      </c>
      <c r="F659" s="5" t="str" cm="1">
        <f t="array" ref="F659">RIGHT(_xlfn.ANCHORARRAY(E659),4)</f>
        <v>2022</v>
      </c>
      <c r="G659" s="5" t="str">
        <f>TEXT(E659,"mm")</f>
        <v>24/01/2022</v>
      </c>
      <c r="H659" s="6">
        <v>12173</v>
      </c>
      <c r="I659">
        <v>301</v>
      </c>
      <c r="L659" t="str">
        <f t="shared" si="10"/>
        <v>Above Average</v>
      </c>
      <c r="M659">
        <f>RANK(H659,H:H,0)</f>
        <v>331</v>
      </c>
    </row>
    <row r="660" spans="1:13">
      <c r="A660" t="s">
        <v>41</v>
      </c>
      <c r="B660" t="s">
        <v>32</v>
      </c>
      <c r="C660" t="s">
        <v>59</v>
      </c>
      <c r="D660" s="4">
        <v>44868</v>
      </c>
      <c r="E660" s="5" t="str">
        <f>TEXT(D660,"dd/mm/yyyy")</f>
        <v>03/11/2022</v>
      </c>
      <c r="F660" s="5" t="str" cm="1">
        <f t="array" ref="F660">RIGHT(_xlfn.ANCHORARRAY(E660),4)</f>
        <v>2022</v>
      </c>
      <c r="G660" s="5" t="str">
        <f>TEXT(E660,"mm")</f>
        <v>03</v>
      </c>
      <c r="H660" s="6">
        <v>5292</v>
      </c>
      <c r="I660">
        <v>134</v>
      </c>
      <c r="L660" t="str">
        <f t="shared" si="10"/>
        <v>Below Average</v>
      </c>
      <c r="M660">
        <f>RANK(H660,H:H,0)</f>
        <v>1620</v>
      </c>
    </row>
    <row r="661" spans="1:13">
      <c r="A661" t="s">
        <v>83</v>
      </c>
      <c r="B661" t="s">
        <v>25</v>
      </c>
      <c r="C661" t="s">
        <v>23</v>
      </c>
      <c r="D661" s="3" t="s">
        <v>142</v>
      </c>
      <c r="E661" s="5" t="str">
        <f>TEXT(D661,"dd/mm/yyyy")</f>
        <v>23/06/2022</v>
      </c>
      <c r="F661" s="5" t="str" cm="1">
        <f t="array" ref="F661">RIGHT(_xlfn.ANCHORARRAY(E661),4)</f>
        <v>2022</v>
      </c>
      <c r="G661" s="5" t="str">
        <f>TEXT(E661,"mm")</f>
        <v>23/06/2022</v>
      </c>
      <c r="H661" s="6">
        <v>5705</v>
      </c>
      <c r="I661">
        <v>350</v>
      </c>
      <c r="L661" t="str">
        <f t="shared" si="10"/>
        <v>Below Average</v>
      </c>
      <c r="M661">
        <f>RANK(H661,H:H,0)</f>
        <v>1514</v>
      </c>
    </row>
    <row r="662" spans="1:13">
      <c r="A662" t="s">
        <v>53</v>
      </c>
      <c r="B662" t="s">
        <v>10</v>
      </c>
      <c r="C662" t="s">
        <v>50</v>
      </c>
      <c r="D662" s="3" t="s">
        <v>78</v>
      </c>
      <c r="E662" s="5" t="str">
        <f>TEXT(D662,"dd/mm/yyyy")</f>
        <v>22/08/2022</v>
      </c>
      <c r="F662" s="5" t="str" cm="1">
        <f t="array" ref="F662">RIGHT(_xlfn.ANCHORARRAY(E662),4)</f>
        <v>2022</v>
      </c>
      <c r="G662" s="5" t="str">
        <f>TEXT(E662,"mm")</f>
        <v>22/08/2022</v>
      </c>
      <c r="H662" s="6">
        <v>2492</v>
      </c>
      <c r="I662">
        <v>33</v>
      </c>
      <c r="L662" t="str">
        <f t="shared" si="10"/>
        <v>Below Average</v>
      </c>
      <c r="M662">
        <f>RANK(H662,H:H,0)</f>
        <v>2479</v>
      </c>
    </row>
    <row r="663" spans="1:13">
      <c r="A663" t="s">
        <v>22</v>
      </c>
      <c r="B663" t="s">
        <v>35</v>
      </c>
      <c r="C663" t="s">
        <v>26</v>
      </c>
      <c r="D663" s="4">
        <v>44652</v>
      </c>
      <c r="E663" s="5" t="str">
        <f>TEXT(D663,"dd/mm/yyyy")</f>
        <v>01/04/2022</v>
      </c>
      <c r="F663" s="5" t="str" cm="1">
        <f t="array" ref="F663">RIGHT(_xlfn.ANCHORARRAY(E663),4)</f>
        <v>2022</v>
      </c>
      <c r="G663" s="5" t="str">
        <f>TEXT(E663,"mm")</f>
        <v>01</v>
      </c>
      <c r="H663" s="6">
        <v>3024</v>
      </c>
      <c r="I663">
        <v>23</v>
      </c>
      <c r="L663" t="str">
        <f t="shared" si="10"/>
        <v>Below Average</v>
      </c>
      <c r="M663">
        <f>RANK(H663,H:H,0)</f>
        <v>2295</v>
      </c>
    </row>
    <row r="664" spans="1:13">
      <c r="A664" t="s">
        <v>48</v>
      </c>
      <c r="B664" t="s">
        <v>10</v>
      </c>
      <c r="C664" t="s">
        <v>46</v>
      </c>
      <c r="D664" s="4">
        <v>44685</v>
      </c>
      <c r="E664" s="5" t="str">
        <f>TEXT(D664,"dd/mm/yyyy")</f>
        <v>04/05/2022</v>
      </c>
      <c r="F664" s="5" t="str" cm="1">
        <f t="array" ref="F664">RIGHT(_xlfn.ANCHORARRAY(E664),4)</f>
        <v>2022</v>
      </c>
      <c r="G664" s="5" t="str">
        <f>TEXT(E664,"mm")</f>
        <v>04</v>
      </c>
      <c r="H664" s="6">
        <v>3437</v>
      </c>
      <c r="I664">
        <v>201</v>
      </c>
      <c r="L664" t="str">
        <f t="shared" si="10"/>
        <v>Below Average</v>
      </c>
      <c r="M664">
        <f>RANK(H664,H:H,0)</f>
        <v>2158</v>
      </c>
    </row>
    <row r="665" spans="1:13">
      <c r="A665" t="s">
        <v>41</v>
      </c>
      <c r="B665" t="s">
        <v>10</v>
      </c>
      <c r="C665" t="s">
        <v>46</v>
      </c>
      <c r="D665" s="3" t="s">
        <v>74</v>
      </c>
      <c r="E665" s="5" t="str">
        <f>TEXT(D665,"dd/mm/yyyy")</f>
        <v>15/04/2022</v>
      </c>
      <c r="F665" s="5" t="str" cm="1">
        <f t="array" ref="F665">RIGHT(_xlfn.ANCHORARRAY(E665),4)</f>
        <v>2022</v>
      </c>
      <c r="G665" s="5" t="str">
        <f>TEXT(E665,"mm")</f>
        <v>15/04/2022</v>
      </c>
      <c r="H665" s="6">
        <v>1869</v>
      </c>
      <c r="I665">
        <v>323</v>
      </c>
      <c r="L665" t="str">
        <f t="shared" si="10"/>
        <v>Below Average</v>
      </c>
      <c r="M665">
        <f>RANK(H665,H:H,0)</f>
        <v>2674</v>
      </c>
    </row>
    <row r="666" spans="1:13">
      <c r="A666" t="s">
        <v>53</v>
      </c>
      <c r="B666" t="s">
        <v>15</v>
      </c>
      <c r="C666" t="s">
        <v>59</v>
      </c>
      <c r="D666" s="4">
        <v>44870</v>
      </c>
      <c r="E666" s="5" t="str">
        <f>TEXT(D666,"dd/mm/yyyy")</f>
        <v>05/11/2022</v>
      </c>
      <c r="F666" s="5" t="str" cm="1">
        <f t="array" ref="F666">RIGHT(_xlfn.ANCHORARRAY(E666),4)</f>
        <v>2022</v>
      </c>
      <c r="G666" s="5" t="str">
        <f>TEXT(E666,"mm")</f>
        <v>05</v>
      </c>
      <c r="H666" s="6">
        <v>3171</v>
      </c>
      <c r="I666">
        <v>220</v>
      </c>
      <c r="L666" t="str">
        <f t="shared" si="10"/>
        <v>Below Average</v>
      </c>
      <c r="M666">
        <f>RANK(H666,H:H,0)</f>
        <v>2244</v>
      </c>
    </row>
    <row r="667" spans="1:13">
      <c r="A667" t="s">
        <v>67</v>
      </c>
      <c r="B667" t="s">
        <v>35</v>
      </c>
      <c r="C667" t="s">
        <v>60</v>
      </c>
      <c r="D667" s="3" t="s">
        <v>141</v>
      </c>
      <c r="E667" s="5" t="str">
        <f>TEXT(D667,"dd/mm/yyyy")</f>
        <v>21/07/2022</v>
      </c>
      <c r="F667" s="5" t="str" cm="1">
        <f t="array" ref="F667">RIGHT(_xlfn.ANCHORARRAY(E667),4)</f>
        <v>2022</v>
      </c>
      <c r="G667" s="5" t="str">
        <f>TEXT(E667,"mm")</f>
        <v>21/07/2022</v>
      </c>
      <c r="H667" s="6">
        <v>4858</v>
      </c>
      <c r="I667">
        <v>488</v>
      </c>
      <c r="L667" t="str">
        <f t="shared" si="10"/>
        <v>Below Average</v>
      </c>
      <c r="M667">
        <f>RANK(H667,H:H,0)</f>
        <v>1750</v>
      </c>
    </row>
    <row r="668" spans="1:13">
      <c r="A668" t="s">
        <v>14</v>
      </c>
      <c r="B668" t="s">
        <v>25</v>
      </c>
      <c r="C668" t="s">
        <v>33</v>
      </c>
      <c r="D668" s="4">
        <v>44867</v>
      </c>
      <c r="E668" s="5" t="str">
        <f>TEXT(D668,"dd/mm/yyyy")</f>
        <v>02/11/2022</v>
      </c>
      <c r="F668" s="5" t="str" cm="1">
        <f t="array" ref="F668">RIGHT(_xlfn.ANCHORARRAY(E668),4)</f>
        <v>2022</v>
      </c>
      <c r="G668" s="5" t="str">
        <f>TEXT(E668,"mm")</f>
        <v>02</v>
      </c>
      <c r="H668" s="6">
        <v>1225</v>
      </c>
      <c r="I668">
        <v>84</v>
      </c>
      <c r="L668" t="str">
        <f t="shared" si="10"/>
        <v>Below Average</v>
      </c>
      <c r="M668">
        <f>RANK(H668,H:H,0)</f>
        <v>2899</v>
      </c>
    </row>
    <row r="669" spans="1:13">
      <c r="A669" t="s">
        <v>67</v>
      </c>
      <c r="B669" t="s">
        <v>35</v>
      </c>
      <c r="C669" t="s">
        <v>18</v>
      </c>
      <c r="D669" s="4">
        <v>44780</v>
      </c>
      <c r="E669" s="5" t="str">
        <f>TEXT(D669,"dd/mm/yyyy")</f>
        <v>07/08/2022</v>
      </c>
      <c r="F669" s="5" t="str" cm="1">
        <f t="array" ref="F669">RIGHT(_xlfn.ANCHORARRAY(E669),4)</f>
        <v>2022</v>
      </c>
      <c r="G669" s="5" t="str">
        <f>TEXT(E669,"mm")</f>
        <v>07</v>
      </c>
      <c r="H669" s="6">
        <v>1155</v>
      </c>
      <c r="I669">
        <v>79</v>
      </c>
      <c r="L669" t="str">
        <f t="shared" si="10"/>
        <v>Below Average</v>
      </c>
      <c r="M669">
        <f>RANK(H669,H:H,0)</f>
        <v>2918</v>
      </c>
    </row>
    <row r="670" spans="1:13">
      <c r="A670" t="s">
        <v>22</v>
      </c>
      <c r="B670" t="s">
        <v>7</v>
      </c>
      <c r="C670" t="s">
        <v>73</v>
      </c>
      <c r="D670" s="4">
        <v>44873</v>
      </c>
      <c r="E670" s="5" t="str">
        <f>TEXT(D670,"dd/mm/yyyy")</f>
        <v>08/11/2022</v>
      </c>
      <c r="F670" s="5" t="str" cm="1">
        <f t="array" ref="F670">RIGHT(_xlfn.ANCHORARRAY(E670),4)</f>
        <v>2022</v>
      </c>
      <c r="G670" s="5" t="str">
        <f>TEXT(E670,"mm")</f>
        <v>08</v>
      </c>
      <c r="H670" s="6">
        <v>6811</v>
      </c>
      <c r="I670">
        <v>344</v>
      </c>
      <c r="L670" t="str">
        <f t="shared" si="10"/>
        <v>Above Average</v>
      </c>
      <c r="M670">
        <f>RANK(H670,H:H,0)</f>
        <v>1235</v>
      </c>
    </row>
    <row r="671" spans="1:13">
      <c r="A671" t="s">
        <v>53</v>
      </c>
      <c r="B671" t="s">
        <v>25</v>
      </c>
      <c r="C671" t="s">
        <v>23</v>
      </c>
      <c r="D671" s="4">
        <v>44659</v>
      </c>
      <c r="E671" s="5" t="str">
        <f>TEXT(D671,"dd/mm/yyyy")</f>
        <v>08/04/2022</v>
      </c>
      <c r="F671" s="5" t="str" cm="1">
        <f t="array" ref="F671">RIGHT(_xlfn.ANCHORARRAY(E671),4)</f>
        <v>2022</v>
      </c>
      <c r="G671" s="5" t="str">
        <f>TEXT(E671,"mm")</f>
        <v>08</v>
      </c>
      <c r="H671" s="6">
        <v>6433</v>
      </c>
      <c r="I671">
        <v>7</v>
      </c>
      <c r="L671" t="str">
        <f t="shared" si="10"/>
        <v>Above Average</v>
      </c>
      <c r="M671">
        <f>RANK(H671,H:H,0)</f>
        <v>1324</v>
      </c>
    </row>
    <row r="672" spans="1:13">
      <c r="A672" t="s">
        <v>67</v>
      </c>
      <c r="B672" t="s">
        <v>25</v>
      </c>
      <c r="C672" t="s">
        <v>33</v>
      </c>
      <c r="D672" s="3" t="s">
        <v>127</v>
      </c>
      <c r="E672" s="5" t="str">
        <f>TEXT(D672,"dd/mm/yyyy")</f>
        <v>14/06/2022</v>
      </c>
      <c r="F672" s="5" t="str" cm="1">
        <f t="array" ref="F672">RIGHT(_xlfn.ANCHORARRAY(E672),4)</f>
        <v>2022</v>
      </c>
      <c r="G672" s="5" t="str">
        <f>TEXT(E672,"mm")</f>
        <v>14/06/2022</v>
      </c>
      <c r="H672" s="6">
        <v>8169</v>
      </c>
      <c r="I672">
        <v>88</v>
      </c>
      <c r="L672" t="str">
        <f t="shared" si="10"/>
        <v>Above Average</v>
      </c>
      <c r="M672">
        <f>RANK(H672,H:H,0)</f>
        <v>900</v>
      </c>
    </row>
    <row r="673" spans="1:13">
      <c r="A673" t="s">
        <v>58</v>
      </c>
      <c r="B673" t="s">
        <v>7</v>
      </c>
      <c r="C673" t="s">
        <v>87</v>
      </c>
      <c r="D673" s="3" t="s">
        <v>152</v>
      </c>
      <c r="E673" s="5" t="str">
        <f>TEXT(D673,"dd/mm/yyyy")</f>
        <v>17/01/2022</v>
      </c>
      <c r="F673" s="5" t="str" cm="1">
        <f t="array" ref="F673">RIGHT(_xlfn.ANCHORARRAY(E673),4)</f>
        <v>2022</v>
      </c>
      <c r="G673" s="5" t="str">
        <f>TEXT(E673,"mm")</f>
        <v>17/01/2022</v>
      </c>
      <c r="H673" s="6">
        <v>2275</v>
      </c>
      <c r="I673">
        <v>275</v>
      </c>
      <c r="L673" t="str">
        <f t="shared" si="10"/>
        <v>Below Average</v>
      </c>
      <c r="M673">
        <f>RANK(H673,H:H,0)</f>
        <v>2561</v>
      </c>
    </row>
    <row r="674" spans="1:13">
      <c r="A674" t="s">
        <v>6</v>
      </c>
      <c r="B674" t="s">
        <v>35</v>
      </c>
      <c r="C674" t="s">
        <v>33</v>
      </c>
      <c r="D674" s="3" t="s">
        <v>142</v>
      </c>
      <c r="E674" s="5" t="str">
        <f>TEXT(D674,"dd/mm/yyyy")</f>
        <v>23/06/2022</v>
      </c>
      <c r="F674" s="5" t="str" cm="1">
        <f t="array" ref="F674">RIGHT(_xlfn.ANCHORARRAY(E674),4)</f>
        <v>2022</v>
      </c>
      <c r="G674" s="5" t="str">
        <f>TEXT(E674,"mm")</f>
        <v>23/06/2022</v>
      </c>
      <c r="H674" s="6">
        <v>3857</v>
      </c>
      <c r="I674">
        <v>512</v>
      </c>
      <c r="L674" t="str">
        <f t="shared" si="10"/>
        <v>Below Average</v>
      </c>
      <c r="M674">
        <f>RANK(H674,H:H,0)</f>
        <v>2025</v>
      </c>
    </row>
    <row r="675" spans="1:13">
      <c r="A675" t="s">
        <v>6</v>
      </c>
      <c r="B675" t="s">
        <v>7</v>
      </c>
      <c r="C675" t="s">
        <v>18</v>
      </c>
      <c r="D675" s="3" t="s">
        <v>69</v>
      </c>
      <c r="E675" s="5" t="str">
        <f>TEXT(D675,"dd/mm/yyyy")</f>
        <v>24/08/2022</v>
      </c>
      <c r="F675" s="5" t="str" cm="1">
        <f t="array" ref="F675">RIGHT(_xlfn.ANCHORARRAY(E675),4)</f>
        <v>2022</v>
      </c>
      <c r="G675" s="5" t="str">
        <f>TEXT(E675,"mm")</f>
        <v>24/08/2022</v>
      </c>
      <c r="H675" s="6">
        <v>1463</v>
      </c>
      <c r="I675">
        <v>113</v>
      </c>
      <c r="L675" t="str">
        <f t="shared" si="10"/>
        <v>Below Average</v>
      </c>
      <c r="M675">
        <f>RANK(H675,H:H,0)</f>
        <v>2814</v>
      </c>
    </row>
    <row r="676" spans="1:13">
      <c r="A676" t="s">
        <v>67</v>
      </c>
      <c r="B676" t="s">
        <v>7</v>
      </c>
      <c r="C676" t="s">
        <v>90</v>
      </c>
      <c r="D676" s="4">
        <v>44748</v>
      </c>
      <c r="E676" s="5" t="str">
        <f>TEXT(D676,"dd/mm/yyyy")</f>
        <v>06/07/2022</v>
      </c>
      <c r="F676" s="5" t="str" cm="1">
        <f t="array" ref="F676">RIGHT(_xlfn.ANCHORARRAY(E676),4)</f>
        <v>2022</v>
      </c>
      <c r="G676" s="5" t="str">
        <f>TEXT(E676,"mm")</f>
        <v>06</v>
      </c>
      <c r="H676" s="6">
        <v>7924</v>
      </c>
      <c r="I676">
        <v>275</v>
      </c>
      <c r="L676" t="str">
        <f t="shared" si="10"/>
        <v>Above Average</v>
      </c>
      <c r="M676">
        <f>RANK(H676,H:H,0)</f>
        <v>957</v>
      </c>
    </row>
    <row r="677" spans="1:13">
      <c r="A677" t="s">
        <v>14</v>
      </c>
      <c r="B677" t="s">
        <v>7</v>
      </c>
      <c r="C677" t="s">
        <v>59</v>
      </c>
      <c r="D677" s="3" t="s">
        <v>147</v>
      </c>
      <c r="E677" s="5" t="str">
        <f>TEXT(D677,"dd/mm/yyyy")</f>
        <v>22/06/2022</v>
      </c>
      <c r="F677" s="5" t="str" cm="1">
        <f t="array" ref="F677">RIGHT(_xlfn.ANCHORARRAY(E677),4)</f>
        <v>2022</v>
      </c>
      <c r="G677" s="5" t="str">
        <f>TEXT(E677,"mm")</f>
        <v>22/06/2022</v>
      </c>
      <c r="H677" s="6">
        <v>8799</v>
      </c>
      <c r="I677">
        <v>47</v>
      </c>
      <c r="L677" t="str">
        <f t="shared" si="10"/>
        <v>Above Average</v>
      </c>
      <c r="M677">
        <f>RANK(H677,H:H,0)</f>
        <v>780</v>
      </c>
    </row>
    <row r="678" spans="1:13">
      <c r="A678" t="s">
        <v>79</v>
      </c>
      <c r="B678" t="s">
        <v>32</v>
      </c>
      <c r="C678" t="s">
        <v>57</v>
      </c>
      <c r="D678" s="3" t="s">
        <v>94</v>
      </c>
      <c r="E678" s="5" t="str">
        <f>TEXT(D678,"dd/mm/yyyy")</f>
        <v>13/07/2022</v>
      </c>
      <c r="F678" s="5" t="str" cm="1">
        <f t="array" ref="F678">RIGHT(_xlfn.ANCHORARRAY(E678),4)</f>
        <v>2022</v>
      </c>
      <c r="G678" s="5" t="str">
        <f>TEXT(E678,"mm")</f>
        <v>13/07/2022</v>
      </c>
      <c r="H678" s="6">
        <v>2898</v>
      </c>
      <c r="I678">
        <v>276</v>
      </c>
      <c r="L678" t="str">
        <f t="shared" si="10"/>
        <v>Below Average</v>
      </c>
      <c r="M678">
        <f>RANK(H678,H:H,0)</f>
        <v>2347</v>
      </c>
    </row>
    <row r="679" spans="1:13">
      <c r="A679" t="s">
        <v>70</v>
      </c>
      <c r="B679" t="s">
        <v>7</v>
      </c>
      <c r="C679" t="s">
        <v>75</v>
      </c>
      <c r="D679" s="3" t="s">
        <v>62</v>
      </c>
      <c r="E679" s="5" t="str">
        <f>TEXT(D679,"dd/mm/yyyy")</f>
        <v>24/05/2022</v>
      </c>
      <c r="F679" s="5" t="str" cm="1">
        <f t="array" ref="F679">RIGHT(_xlfn.ANCHORARRAY(E679),4)</f>
        <v>2022</v>
      </c>
      <c r="G679" s="5" t="str">
        <f>TEXT(E679,"mm")</f>
        <v>24/05/2022</v>
      </c>
      <c r="H679" s="6">
        <v>9506</v>
      </c>
      <c r="I679">
        <v>212</v>
      </c>
      <c r="L679" t="str">
        <f t="shared" si="10"/>
        <v>Above Average</v>
      </c>
      <c r="M679">
        <f>RANK(H679,H:H,0)</f>
        <v>654</v>
      </c>
    </row>
    <row r="680" spans="1:13">
      <c r="A680" t="s">
        <v>22</v>
      </c>
      <c r="B680" t="s">
        <v>25</v>
      </c>
      <c r="C680" t="s">
        <v>23</v>
      </c>
      <c r="D680" s="4">
        <v>44812</v>
      </c>
      <c r="E680" s="5" t="str">
        <f>TEXT(D680,"dd/mm/yyyy")</f>
        <v>08/09/2022</v>
      </c>
      <c r="F680" s="5" t="str" cm="1">
        <f t="array" ref="F680">RIGHT(_xlfn.ANCHORARRAY(E680),4)</f>
        <v>2022</v>
      </c>
      <c r="G680" s="5" t="str">
        <f>TEXT(E680,"mm")</f>
        <v>08</v>
      </c>
      <c r="H680" s="6">
        <v>7175</v>
      </c>
      <c r="I680">
        <v>145</v>
      </c>
      <c r="L680" t="str">
        <f t="shared" si="10"/>
        <v>Above Average</v>
      </c>
      <c r="M680">
        <f>RANK(H680,H:H,0)</f>
        <v>1139</v>
      </c>
    </row>
    <row r="681" spans="1:13">
      <c r="A681" t="s">
        <v>55</v>
      </c>
      <c r="B681" t="s">
        <v>35</v>
      </c>
      <c r="C681" t="s">
        <v>11</v>
      </c>
      <c r="D681" s="4">
        <v>44716</v>
      </c>
      <c r="E681" s="5" t="str">
        <f>TEXT(D681,"dd/mm/yyyy")</f>
        <v>04/06/2022</v>
      </c>
      <c r="F681" s="5" t="str" cm="1">
        <f t="array" ref="F681">RIGHT(_xlfn.ANCHORARRAY(E681),4)</f>
        <v>2022</v>
      </c>
      <c r="G681" s="5" t="str">
        <f>TEXT(E681,"mm")</f>
        <v>04</v>
      </c>
      <c r="H681" s="6">
        <v>1729</v>
      </c>
      <c r="I681">
        <v>31</v>
      </c>
      <c r="L681" t="str">
        <f t="shared" si="10"/>
        <v>Below Average</v>
      </c>
      <c r="M681">
        <f>RANK(H681,H:H,0)</f>
        <v>2725</v>
      </c>
    </row>
    <row r="682" spans="1:13">
      <c r="A682" t="s">
        <v>14</v>
      </c>
      <c r="B682" t="s">
        <v>25</v>
      </c>
      <c r="C682" t="s">
        <v>60</v>
      </c>
      <c r="D682" s="3" t="s">
        <v>39</v>
      </c>
      <c r="E682" s="5" t="str">
        <f>TEXT(D682,"dd/mm/yyyy")</f>
        <v>28/07/2022</v>
      </c>
      <c r="F682" s="5" t="str" cm="1">
        <f t="array" ref="F682">RIGHT(_xlfn.ANCHORARRAY(E682),4)</f>
        <v>2022</v>
      </c>
      <c r="G682" s="5" t="str">
        <f>TEXT(E682,"mm")</f>
        <v>28/07/2022</v>
      </c>
      <c r="H682" s="6">
        <v>1589</v>
      </c>
      <c r="I682">
        <v>271</v>
      </c>
      <c r="L682" t="str">
        <f t="shared" si="10"/>
        <v>Below Average</v>
      </c>
      <c r="M682">
        <f>RANK(H682,H:H,0)</f>
        <v>2774</v>
      </c>
    </row>
    <row r="683" spans="1:13">
      <c r="A683" t="s">
        <v>22</v>
      </c>
      <c r="B683" t="s">
        <v>25</v>
      </c>
      <c r="C683" t="s">
        <v>73</v>
      </c>
      <c r="D683" s="3" t="s">
        <v>69</v>
      </c>
      <c r="E683" s="5" t="str">
        <f>TEXT(D683,"dd/mm/yyyy")</f>
        <v>24/08/2022</v>
      </c>
      <c r="F683" s="5" t="str" cm="1">
        <f t="array" ref="F683">RIGHT(_xlfn.ANCHORARRAY(E683),4)</f>
        <v>2022</v>
      </c>
      <c r="G683" s="5" t="str">
        <f>TEXT(E683,"mm")</f>
        <v>24/08/2022</v>
      </c>
      <c r="H683" s="6">
        <v>630</v>
      </c>
      <c r="I683">
        <v>52</v>
      </c>
      <c r="L683" t="str">
        <f t="shared" si="10"/>
        <v>Below Average</v>
      </c>
      <c r="M683">
        <f>RANK(H683,H:H,0)</f>
        <v>3090</v>
      </c>
    </row>
    <row r="684" spans="1:13">
      <c r="A684" t="s">
        <v>9</v>
      </c>
      <c r="B684" t="s">
        <v>15</v>
      </c>
      <c r="C684" t="s">
        <v>20</v>
      </c>
      <c r="D684" s="3" t="s">
        <v>152</v>
      </c>
      <c r="E684" s="5" t="str">
        <f>TEXT(D684,"dd/mm/yyyy")</f>
        <v>17/01/2022</v>
      </c>
      <c r="F684" s="5" t="str" cm="1">
        <f t="array" ref="F684">RIGHT(_xlfn.ANCHORARRAY(E684),4)</f>
        <v>2022</v>
      </c>
      <c r="G684" s="5" t="str">
        <f>TEXT(E684,"mm")</f>
        <v>17/01/2022</v>
      </c>
      <c r="H684" s="6">
        <v>112</v>
      </c>
      <c r="I684">
        <v>128</v>
      </c>
      <c r="L684" t="str">
        <f t="shared" si="10"/>
        <v>Below Average</v>
      </c>
      <c r="M684">
        <f>RANK(H684,H:H,0)</f>
        <v>3240</v>
      </c>
    </row>
    <row r="685" spans="1:13">
      <c r="A685" t="s">
        <v>48</v>
      </c>
      <c r="B685" t="s">
        <v>32</v>
      </c>
      <c r="C685" t="s">
        <v>38</v>
      </c>
      <c r="D685" s="4">
        <v>44744</v>
      </c>
      <c r="E685" s="5" t="str">
        <f>TEXT(D685,"dd/mm/yyyy")</f>
        <v>02/07/2022</v>
      </c>
      <c r="F685" s="5" t="str" cm="1">
        <f t="array" ref="F685">RIGHT(_xlfn.ANCHORARRAY(E685),4)</f>
        <v>2022</v>
      </c>
      <c r="G685" s="5" t="str">
        <f>TEXT(E685,"mm")</f>
        <v>02</v>
      </c>
      <c r="H685" s="6">
        <v>5187</v>
      </c>
      <c r="I685">
        <v>142</v>
      </c>
      <c r="L685" t="str">
        <f t="shared" si="10"/>
        <v>Below Average</v>
      </c>
      <c r="M685">
        <f>RANK(H685,H:H,0)</f>
        <v>1653</v>
      </c>
    </row>
    <row r="686" spans="1:13">
      <c r="A686" t="s">
        <v>28</v>
      </c>
      <c r="B686" t="s">
        <v>15</v>
      </c>
      <c r="C686" t="s">
        <v>50</v>
      </c>
      <c r="D686" s="4">
        <v>44809</v>
      </c>
      <c r="E686" s="5" t="str">
        <f>TEXT(D686,"dd/mm/yyyy")</f>
        <v>05/09/2022</v>
      </c>
      <c r="F686" s="5" t="str" cm="1">
        <f t="array" ref="F686">RIGHT(_xlfn.ANCHORARRAY(E686),4)</f>
        <v>2022</v>
      </c>
      <c r="G686" s="5" t="str">
        <f>TEXT(E686,"mm")</f>
        <v>05</v>
      </c>
      <c r="H686" s="6">
        <v>6223</v>
      </c>
      <c r="I686">
        <v>256</v>
      </c>
      <c r="L686" t="str">
        <f t="shared" si="10"/>
        <v>Above Average</v>
      </c>
      <c r="M686">
        <f>RANK(H686,H:H,0)</f>
        <v>1374</v>
      </c>
    </row>
    <row r="687" spans="1:13">
      <c r="A687" t="s">
        <v>34</v>
      </c>
      <c r="B687" t="s">
        <v>25</v>
      </c>
      <c r="C687" t="s">
        <v>11</v>
      </c>
      <c r="D687" s="4">
        <v>44718</v>
      </c>
      <c r="E687" s="5" t="str">
        <f>TEXT(D687,"dd/mm/yyyy")</f>
        <v>06/06/2022</v>
      </c>
      <c r="F687" s="5" t="str" cm="1">
        <f t="array" ref="F687">RIGHT(_xlfn.ANCHORARRAY(E687),4)</f>
        <v>2022</v>
      </c>
      <c r="G687" s="5" t="str">
        <f>TEXT(E687,"mm")</f>
        <v>06</v>
      </c>
      <c r="H687" s="6">
        <v>7714</v>
      </c>
      <c r="I687">
        <v>106</v>
      </c>
      <c r="L687" t="str">
        <f t="shared" si="10"/>
        <v>Above Average</v>
      </c>
      <c r="M687">
        <f>RANK(H687,H:H,0)</f>
        <v>1010</v>
      </c>
    </row>
    <row r="688" spans="1:13">
      <c r="A688" t="s">
        <v>64</v>
      </c>
      <c r="B688" t="s">
        <v>32</v>
      </c>
      <c r="C688" t="s">
        <v>75</v>
      </c>
      <c r="D688" s="4">
        <v>44718</v>
      </c>
      <c r="E688" s="5" t="str">
        <f>TEXT(D688,"dd/mm/yyyy")</f>
        <v>06/06/2022</v>
      </c>
      <c r="F688" s="5" t="str" cm="1">
        <f t="array" ref="F688">RIGHT(_xlfn.ANCHORARRAY(E688),4)</f>
        <v>2022</v>
      </c>
      <c r="G688" s="5" t="str">
        <f>TEXT(E688,"mm")</f>
        <v>06</v>
      </c>
      <c r="H688" s="6">
        <v>9457</v>
      </c>
      <c r="I688">
        <v>6</v>
      </c>
      <c r="L688" t="str">
        <f t="shared" si="10"/>
        <v>Above Average</v>
      </c>
      <c r="M688">
        <f>RANK(H688,H:H,0)</f>
        <v>664</v>
      </c>
    </row>
    <row r="689" spans="1:13">
      <c r="A689" t="s">
        <v>41</v>
      </c>
      <c r="B689" t="s">
        <v>25</v>
      </c>
      <c r="C689" t="s">
        <v>42</v>
      </c>
      <c r="D689" s="3" t="s">
        <v>62</v>
      </c>
      <c r="E689" s="5" t="str">
        <f>TEXT(D689,"dd/mm/yyyy")</f>
        <v>24/05/2022</v>
      </c>
      <c r="F689" s="5" t="str" cm="1">
        <f t="array" ref="F689">RIGHT(_xlfn.ANCHORARRAY(E689),4)</f>
        <v>2022</v>
      </c>
      <c r="G689" s="5" t="str">
        <f>TEXT(E689,"mm")</f>
        <v>24/05/2022</v>
      </c>
      <c r="H689" s="6">
        <v>6678</v>
      </c>
      <c r="I689">
        <v>226</v>
      </c>
      <c r="L689" t="str">
        <f t="shared" si="10"/>
        <v>Above Average</v>
      </c>
      <c r="M689">
        <f>RANK(H689,H:H,0)</f>
        <v>1264</v>
      </c>
    </row>
    <row r="690" spans="1:13">
      <c r="A690" t="s">
        <v>22</v>
      </c>
      <c r="B690" t="s">
        <v>7</v>
      </c>
      <c r="C690" t="s">
        <v>26</v>
      </c>
      <c r="D690" s="3" t="s">
        <v>30</v>
      </c>
      <c r="E690" s="5" t="str">
        <f>TEXT(D690,"dd/mm/yyyy")</f>
        <v>13/01/2022</v>
      </c>
      <c r="F690" s="5" t="str" cm="1">
        <f t="array" ref="F690">RIGHT(_xlfn.ANCHORARRAY(E690),4)</f>
        <v>2022</v>
      </c>
      <c r="G690" s="5" t="str">
        <f>TEXT(E690,"mm")</f>
        <v>13/01/2022</v>
      </c>
      <c r="H690" s="6">
        <v>2107</v>
      </c>
      <c r="I690">
        <v>121</v>
      </c>
      <c r="L690" t="str">
        <f t="shared" si="10"/>
        <v>Below Average</v>
      </c>
      <c r="M690">
        <f>RANK(H690,H:H,0)</f>
        <v>2597</v>
      </c>
    </row>
    <row r="691" spans="1:13">
      <c r="A691" t="s">
        <v>40</v>
      </c>
      <c r="B691" t="s">
        <v>32</v>
      </c>
      <c r="C691" t="s">
        <v>73</v>
      </c>
      <c r="D691" s="3" t="s">
        <v>136</v>
      </c>
      <c r="E691" s="5" t="str">
        <f>TEXT(D691,"dd/mm/yyyy")</f>
        <v>23/05/2022</v>
      </c>
      <c r="F691" s="5" t="str" cm="1">
        <f t="array" ref="F691">RIGHT(_xlfn.ANCHORARRAY(E691),4)</f>
        <v>2022</v>
      </c>
      <c r="G691" s="5" t="str">
        <f>TEXT(E691,"mm")</f>
        <v>23/05/2022</v>
      </c>
      <c r="H691" s="6">
        <v>6069</v>
      </c>
      <c r="I691">
        <v>151</v>
      </c>
      <c r="L691" t="str">
        <f t="shared" si="10"/>
        <v>Above Average</v>
      </c>
      <c r="M691">
        <f>RANK(H691,H:H,0)</f>
        <v>1411</v>
      </c>
    </row>
    <row r="692" spans="1:13">
      <c r="A692" t="s">
        <v>6</v>
      </c>
      <c r="B692" t="s">
        <v>7</v>
      </c>
      <c r="C692" t="s">
        <v>59</v>
      </c>
      <c r="D692" s="3" t="s">
        <v>63</v>
      </c>
      <c r="E692" s="5" t="str">
        <f>TEXT(D692,"dd/mm/yyyy")</f>
        <v>29/06/2022</v>
      </c>
      <c r="F692" s="5" t="str" cm="1">
        <f t="array" ref="F692">RIGHT(_xlfn.ANCHORARRAY(E692),4)</f>
        <v>2022</v>
      </c>
      <c r="G692" s="5" t="str">
        <f>TEXT(E692,"mm")</f>
        <v>29/06/2022</v>
      </c>
      <c r="H692" s="6">
        <v>1862</v>
      </c>
      <c r="I692">
        <v>284</v>
      </c>
      <c r="L692" t="str">
        <f t="shared" si="10"/>
        <v>Below Average</v>
      </c>
      <c r="M692">
        <f>RANK(H692,H:H,0)</f>
        <v>2679</v>
      </c>
    </row>
    <row r="693" spans="1:13">
      <c r="A693" t="s">
        <v>6</v>
      </c>
      <c r="B693" t="s">
        <v>25</v>
      </c>
      <c r="C693" t="s">
        <v>11</v>
      </c>
      <c r="D693" s="4">
        <v>44868</v>
      </c>
      <c r="E693" s="5" t="str">
        <f>TEXT(D693,"dd/mm/yyyy")</f>
        <v>03/11/2022</v>
      </c>
      <c r="F693" s="5" t="str" cm="1">
        <f t="array" ref="F693">RIGHT(_xlfn.ANCHORARRAY(E693),4)</f>
        <v>2022</v>
      </c>
      <c r="G693" s="5" t="str">
        <f>TEXT(E693,"mm")</f>
        <v>03</v>
      </c>
      <c r="H693" s="6">
        <v>6972</v>
      </c>
      <c r="I693">
        <v>89</v>
      </c>
      <c r="L693" t="str">
        <f t="shared" si="10"/>
        <v>Above Average</v>
      </c>
      <c r="M693">
        <f>RANK(H693,H:H,0)</f>
        <v>1192</v>
      </c>
    </row>
    <row r="694" spans="1:13">
      <c r="A694" t="s">
        <v>79</v>
      </c>
      <c r="B694" t="s">
        <v>32</v>
      </c>
      <c r="C694" t="s">
        <v>11</v>
      </c>
      <c r="D694" s="3" t="s">
        <v>114</v>
      </c>
      <c r="E694" s="5" t="str">
        <f>TEXT(D694,"dd/mm/yyyy")</f>
        <v>25/04/2022</v>
      </c>
      <c r="F694" s="5" t="str" cm="1">
        <f t="array" ref="F694">RIGHT(_xlfn.ANCHORARRAY(E694),4)</f>
        <v>2022</v>
      </c>
      <c r="G694" s="5" t="str">
        <f>TEXT(E694,"mm")</f>
        <v>25/04/2022</v>
      </c>
      <c r="H694" s="6">
        <v>10220</v>
      </c>
      <c r="I694">
        <v>508</v>
      </c>
      <c r="L694" t="str">
        <f t="shared" si="10"/>
        <v>Above Average</v>
      </c>
      <c r="M694">
        <f>RANK(H694,H:H,0)</f>
        <v>547</v>
      </c>
    </row>
    <row r="695" spans="1:13">
      <c r="A695" t="s">
        <v>29</v>
      </c>
      <c r="B695" t="s">
        <v>15</v>
      </c>
      <c r="C695" t="s">
        <v>18</v>
      </c>
      <c r="D695" s="3" t="s">
        <v>52</v>
      </c>
      <c r="E695" s="5" t="str">
        <f>TEXT(D695,"dd/mm/yyyy")</f>
        <v>30/05/2022</v>
      </c>
      <c r="F695" s="5" t="str" cm="1">
        <f t="array" ref="F695">RIGHT(_xlfn.ANCHORARRAY(E695),4)</f>
        <v>2022</v>
      </c>
      <c r="G695" s="5" t="str">
        <f>TEXT(E695,"mm")</f>
        <v>30/05/2022</v>
      </c>
      <c r="H695" s="6">
        <v>3969</v>
      </c>
      <c r="I695">
        <v>243</v>
      </c>
      <c r="L695" t="str">
        <f t="shared" si="10"/>
        <v>Below Average</v>
      </c>
      <c r="M695">
        <f>RANK(H695,H:H,0)</f>
        <v>1993</v>
      </c>
    </row>
    <row r="696" spans="1:13">
      <c r="A696" t="s">
        <v>48</v>
      </c>
      <c r="B696" t="s">
        <v>10</v>
      </c>
      <c r="C696" t="s">
        <v>60</v>
      </c>
      <c r="D696" s="3" t="s">
        <v>136</v>
      </c>
      <c r="E696" s="5" t="str">
        <f>TEXT(D696,"dd/mm/yyyy")</f>
        <v>23/05/2022</v>
      </c>
      <c r="F696" s="5" t="str" cm="1">
        <f t="array" ref="F696">RIGHT(_xlfn.ANCHORARRAY(E696),4)</f>
        <v>2022</v>
      </c>
      <c r="G696" s="5" t="str">
        <f>TEXT(E696,"mm")</f>
        <v>23/05/2022</v>
      </c>
      <c r="H696" s="6">
        <v>1547</v>
      </c>
      <c r="I696">
        <v>170</v>
      </c>
      <c r="L696" t="str">
        <f t="shared" si="10"/>
        <v>Below Average</v>
      </c>
      <c r="M696">
        <f>RANK(H696,H:H,0)</f>
        <v>2788</v>
      </c>
    </row>
    <row r="697" spans="1:13">
      <c r="A697" t="s">
        <v>34</v>
      </c>
      <c r="B697" t="s">
        <v>32</v>
      </c>
      <c r="C697" t="s">
        <v>13</v>
      </c>
      <c r="D697" s="3" t="s">
        <v>136</v>
      </c>
      <c r="E697" s="5" t="str">
        <f>TEXT(D697,"dd/mm/yyyy")</f>
        <v>23/05/2022</v>
      </c>
      <c r="F697" s="5" t="str" cm="1">
        <f t="array" ref="F697">RIGHT(_xlfn.ANCHORARRAY(E697),4)</f>
        <v>2022</v>
      </c>
      <c r="G697" s="5" t="str">
        <f>TEXT(E697,"mm")</f>
        <v>23/05/2022</v>
      </c>
      <c r="H697" s="6">
        <v>1162</v>
      </c>
      <c r="I697">
        <v>18</v>
      </c>
      <c r="L697" t="str">
        <f t="shared" si="10"/>
        <v>Below Average</v>
      </c>
      <c r="M697">
        <f>RANK(H697,H:H,0)</f>
        <v>2913</v>
      </c>
    </row>
    <row r="698" spans="1:13">
      <c r="A698" t="s">
        <v>9</v>
      </c>
      <c r="B698" t="s">
        <v>35</v>
      </c>
      <c r="C698" t="s">
        <v>13</v>
      </c>
      <c r="D698" s="3" t="s">
        <v>143</v>
      </c>
      <c r="E698" s="5" t="str">
        <f>TEXT(D698,"dd/mm/yyyy")</f>
        <v>24/06/2022</v>
      </c>
      <c r="F698" s="5" t="str" cm="1">
        <f t="array" ref="F698">RIGHT(_xlfn.ANCHORARRAY(E698),4)</f>
        <v>2022</v>
      </c>
      <c r="G698" s="5" t="str">
        <f>TEXT(E698,"mm")</f>
        <v>24/06/2022</v>
      </c>
      <c r="H698" s="6">
        <v>6342</v>
      </c>
      <c r="I698">
        <v>282</v>
      </c>
      <c r="L698" t="str">
        <f t="shared" si="10"/>
        <v>Above Average</v>
      </c>
      <c r="M698">
        <f>RANK(H698,H:H,0)</f>
        <v>1341</v>
      </c>
    </row>
    <row r="699" spans="1:13">
      <c r="A699" t="s">
        <v>70</v>
      </c>
      <c r="B699" t="s">
        <v>25</v>
      </c>
      <c r="C699" t="s">
        <v>18</v>
      </c>
      <c r="D699" s="4">
        <v>44868</v>
      </c>
      <c r="E699" s="5" t="str">
        <f>TEXT(D699,"dd/mm/yyyy")</f>
        <v>03/11/2022</v>
      </c>
      <c r="F699" s="5" t="str" cm="1">
        <f t="array" ref="F699">RIGHT(_xlfn.ANCHORARRAY(E699),4)</f>
        <v>2022</v>
      </c>
      <c r="G699" s="5" t="str">
        <f>TEXT(E699,"mm")</f>
        <v>03</v>
      </c>
      <c r="H699" s="6">
        <v>10633</v>
      </c>
      <c r="I699">
        <v>277</v>
      </c>
      <c r="L699" t="str">
        <f t="shared" si="10"/>
        <v>Above Average</v>
      </c>
      <c r="M699">
        <f>RANK(H699,H:H,0)</f>
        <v>497</v>
      </c>
    </row>
    <row r="700" spans="1:13">
      <c r="A700" t="s">
        <v>29</v>
      </c>
      <c r="B700" t="s">
        <v>32</v>
      </c>
      <c r="C700" t="s">
        <v>18</v>
      </c>
      <c r="D700" s="3" t="s">
        <v>129</v>
      </c>
      <c r="E700" s="5" t="str">
        <f>TEXT(D700,"dd/mm/yyyy")</f>
        <v>27/07/2022</v>
      </c>
      <c r="F700" s="5" t="str" cm="1">
        <f t="array" ref="F700">RIGHT(_xlfn.ANCHORARRAY(E700),4)</f>
        <v>2022</v>
      </c>
      <c r="G700" s="5" t="str">
        <f>TEXT(E700,"mm")</f>
        <v>27/07/2022</v>
      </c>
      <c r="H700" s="6">
        <v>15057</v>
      </c>
      <c r="I700">
        <v>212</v>
      </c>
      <c r="L700" t="str">
        <f t="shared" si="10"/>
        <v>Above Average</v>
      </c>
      <c r="M700">
        <f>RANK(H700,H:H,0)</f>
        <v>143</v>
      </c>
    </row>
    <row r="701" spans="1:13">
      <c r="A701" t="s">
        <v>29</v>
      </c>
      <c r="B701" t="s">
        <v>32</v>
      </c>
      <c r="C701" t="s">
        <v>59</v>
      </c>
      <c r="D701" s="3" t="s">
        <v>156</v>
      </c>
      <c r="E701" s="5" t="str">
        <f>TEXT(D701,"dd/mm/yyyy")</f>
        <v>16/08/2022</v>
      </c>
      <c r="F701" s="5" t="str" cm="1">
        <f t="array" ref="F701">RIGHT(_xlfn.ANCHORARRAY(E701),4)</f>
        <v>2022</v>
      </c>
      <c r="G701" s="5" t="str">
        <f>TEXT(E701,"mm")</f>
        <v>16/08/2022</v>
      </c>
      <c r="H701" s="6">
        <v>4704</v>
      </c>
      <c r="I701">
        <v>126</v>
      </c>
      <c r="L701" t="str">
        <f t="shared" si="10"/>
        <v>Below Average</v>
      </c>
      <c r="M701">
        <f>RANK(H701,H:H,0)</f>
        <v>1798</v>
      </c>
    </row>
    <row r="702" spans="1:13">
      <c r="A702" t="s">
        <v>45</v>
      </c>
      <c r="B702" t="s">
        <v>35</v>
      </c>
      <c r="C702" t="s">
        <v>18</v>
      </c>
      <c r="D702" s="4">
        <v>44745</v>
      </c>
      <c r="E702" s="5" t="str">
        <f>TEXT(D702,"dd/mm/yyyy")</f>
        <v>03/07/2022</v>
      </c>
      <c r="F702" s="5" t="str" cm="1">
        <f t="array" ref="F702">RIGHT(_xlfn.ANCHORARRAY(E702),4)</f>
        <v>2022</v>
      </c>
      <c r="G702" s="5" t="str">
        <f>TEXT(E702,"mm")</f>
        <v>03</v>
      </c>
      <c r="H702" s="6">
        <v>9338</v>
      </c>
      <c r="I702">
        <v>11</v>
      </c>
      <c r="L702" t="str">
        <f t="shared" si="10"/>
        <v>Above Average</v>
      </c>
      <c r="M702">
        <f>RANK(H702,H:H,0)</f>
        <v>680</v>
      </c>
    </row>
    <row r="703" spans="1:13">
      <c r="A703" t="s">
        <v>48</v>
      </c>
      <c r="B703" t="s">
        <v>25</v>
      </c>
      <c r="C703" t="s">
        <v>23</v>
      </c>
      <c r="D703" s="4">
        <v>44685</v>
      </c>
      <c r="E703" s="5" t="str">
        <f>TEXT(D703,"dd/mm/yyyy")</f>
        <v>04/05/2022</v>
      </c>
      <c r="F703" s="5" t="str" cm="1">
        <f t="array" ref="F703">RIGHT(_xlfn.ANCHORARRAY(E703),4)</f>
        <v>2022</v>
      </c>
      <c r="G703" s="5" t="str">
        <f>TEXT(E703,"mm")</f>
        <v>04</v>
      </c>
      <c r="H703" s="6">
        <v>7959</v>
      </c>
      <c r="I703">
        <v>30</v>
      </c>
      <c r="L703" t="str">
        <f t="shared" si="10"/>
        <v>Above Average</v>
      </c>
      <c r="M703">
        <f>RANK(H703,H:H,0)</f>
        <v>946</v>
      </c>
    </row>
    <row r="704" spans="1:13">
      <c r="A704" t="s">
        <v>71</v>
      </c>
      <c r="B704" t="s">
        <v>10</v>
      </c>
      <c r="C704" t="s">
        <v>11</v>
      </c>
      <c r="D704" s="4">
        <v>44656</v>
      </c>
      <c r="E704" s="5" t="str">
        <f>TEXT(D704,"dd/mm/yyyy")</f>
        <v>05/04/2022</v>
      </c>
      <c r="F704" s="5" t="str" cm="1">
        <f t="array" ref="F704">RIGHT(_xlfn.ANCHORARRAY(E704),4)</f>
        <v>2022</v>
      </c>
      <c r="G704" s="5" t="str">
        <f>TEXT(E704,"mm")</f>
        <v>05</v>
      </c>
      <c r="H704" s="6">
        <v>9023</v>
      </c>
      <c r="I704">
        <v>51</v>
      </c>
      <c r="L704" t="str">
        <f t="shared" si="10"/>
        <v>Above Average</v>
      </c>
      <c r="M704">
        <f>RANK(H704,H:H,0)</f>
        <v>732</v>
      </c>
    </row>
    <row r="705" spans="1:13">
      <c r="A705" t="s">
        <v>83</v>
      </c>
      <c r="B705" t="s">
        <v>32</v>
      </c>
      <c r="C705" t="s">
        <v>75</v>
      </c>
      <c r="D705" s="4">
        <v>44652</v>
      </c>
      <c r="E705" s="5" t="str">
        <f>TEXT(D705,"dd/mm/yyyy")</f>
        <v>01/04/2022</v>
      </c>
      <c r="F705" s="5" t="str" cm="1">
        <f t="array" ref="F705">RIGHT(_xlfn.ANCHORARRAY(E705),4)</f>
        <v>2022</v>
      </c>
      <c r="G705" s="5" t="str">
        <f>TEXT(E705,"mm")</f>
        <v>01</v>
      </c>
      <c r="H705" s="6">
        <v>14525</v>
      </c>
      <c r="I705">
        <v>92</v>
      </c>
      <c r="L705" t="str">
        <f t="shared" si="10"/>
        <v>Above Average</v>
      </c>
      <c r="M705">
        <f>RANK(H705,H:H,0)</f>
        <v>180</v>
      </c>
    </row>
    <row r="706" spans="1:13">
      <c r="A706" t="s">
        <v>40</v>
      </c>
      <c r="B706" t="s">
        <v>15</v>
      </c>
      <c r="C706" t="s">
        <v>87</v>
      </c>
      <c r="D706" s="3" t="s">
        <v>30</v>
      </c>
      <c r="E706" s="5" t="str">
        <f>TEXT(D706,"dd/mm/yyyy")</f>
        <v>13/01/2022</v>
      </c>
      <c r="F706" s="5" t="str" cm="1">
        <f t="array" ref="F706">RIGHT(_xlfn.ANCHORARRAY(E706),4)</f>
        <v>2022</v>
      </c>
      <c r="G706" s="5" t="str">
        <f>TEXT(E706,"mm")</f>
        <v>13/01/2022</v>
      </c>
      <c r="H706" s="6">
        <v>5810</v>
      </c>
      <c r="I706">
        <v>101</v>
      </c>
      <c r="L706" t="str">
        <f t="shared" si="10"/>
        <v>Below Average</v>
      </c>
      <c r="M706">
        <f>RANK(H706,H:H,0)</f>
        <v>1483</v>
      </c>
    </row>
    <row r="707" spans="1:13">
      <c r="A707" t="s">
        <v>64</v>
      </c>
      <c r="B707" t="s">
        <v>25</v>
      </c>
      <c r="C707" t="s">
        <v>57</v>
      </c>
      <c r="D707" s="4">
        <v>44872</v>
      </c>
      <c r="E707" s="5" t="str">
        <f>TEXT(D707,"dd/mm/yyyy")</f>
        <v>07/11/2022</v>
      </c>
      <c r="F707" s="5" t="str" cm="1">
        <f t="array" ref="F707">RIGHT(_xlfn.ANCHORARRAY(E707),4)</f>
        <v>2022</v>
      </c>
      <c r="G707" s="5" t="str">
        <f>TEXT(E707,"mm")</f>
        <v>07</v>
      </c>
      <c r="H707" s="6">
        <v>6426</v>
      </c>
      <c r="I707">
        <v>98</v>
      </c>
      <c r="L707" t="str">
        <f t="shared" ref="L707:L770" si="11">IF(H707&gt;6030.34,"Above Average","Below Average")</f>
        <v>Above Average</v>
      </c>
      <c r="M707">
        <f>RANK(H707,H:H,0)</f>
        <v>1327</v>
      </c>
    </row>
    <row r="708" spans="1:13">
      <c r="A708" t="s">
        <v>55</v>
      </c>
      <c r="B708" t="s">
        <v>15</v>
      </c>
      <c r="C708" t="s">
        <v>8</v>
      </c>
      <c r="D708" s="3" t="s">
        <v>144</v>
      </c>
      <c r="E708" s="5" t="str">
        <f>TEXT(D708,"dd/mm/yyyy")</f>
        <v>17/05/2022</v>
      </c>
      <c r="F708" s="5" t="str" cm="1">
        <f t="array" ref="F708">RIGHT(_xlfn.ANCHORARRAY(E708),4)</f>
        <v>2022</v>
      </c>
      <c r="G708" s="5" t="str">
        <f>TEXT(E708,"mm")</f>
        <v>17/05/2022</v>
      </c>
      <c r="H708" s="6">
        <v>4403</v>
      </c>
      <c r="I708">
        <v>159</v>
      </c>
      <c r="L708" t="str">
        <f t="shared" si="11"/>
        <v>Below Average</v>
      </c>
      <c r="M708">
        <f>RANK(H708,H:H,0)</f>
        <v>1873</v>
      </c>
    </row>
    <row r="709" spans="1:13">
      <c r="A709" t="s">
        <v>71</v>
      </c>
      <c r="B709" t="s">
        <v>25</v>
      </c>
      <c r="C709" t="s">
        <v>13</v>
      </c>
      <c r="D709" s="3" t="s">
        <v>141</v>
      </c>
      <c r="E709" s="5" t="str">
        <f>TEXT(D709,"dd/mm/yyyy")</f>
        <v>21/07/2022</v>
      </c>
      <c r="F709" s="5" t="str" cm="1">
        <f t="array" ref="F709">RIGHT(_xlfn.ANCHORARRAY(E709),4)</f>
        <v>2022</v>
      </c>
      <c r="G709" s="5" t="str">
        <f>TEXT(E709,"mm")</f>
        <v>21/07/2022</v>
      </c>
      <c r="H709" s="6">
        <v>1582</v>
      </c>
      <c r="I709">
        <v>62</v>
      </c>
      <c r="L709" t="str">
        <f t="shared" si="11"/>
        <v>Below Average</v>
      </c>
      <c r="M709">
        <f>RANK(H709,H:H,0)</f>
        <v>2778</v>
      </c>
    </row>
    <row r="710" spans="1:13">
      <c r="A710" t="s">
        <v>48</v>
      </c>
      <c r="B710" t="s">
        <v>35</v>
      </c>
      <c r="C710" t="s">
        <v>42</v>
      </c>
      <c r="D710" s="3" t="s">
        <v>125</v>
      </c>
      <c r="E710" s="5" t="str">
        <f>TEXT(D710,"dd/mm/yyyy")</f>
        <v>22/02/2022</v>
      </c>
      <c r="F710" s="5" t="str" cm="1">
        <f t="array" ref="F710">RIGHT(_xlfn.ANCHORARRAY(E710),4)</f>
        <v>2022</v>
      </c>
      <c r="G710" s="5" t="str">
        <f>TEXT(E710,"mm")</f>
        <v>22/02/2022</v>
      </c>
      <c r="H710" s="6">
        <v>791</v>
      </c>
      <c r="I710">
        <v>22</v>
      </c>
      <c r="L710" t="str">
        <f t="shared" si="11"/>
        <v>Below Average</v>
      </c>
      <c r="M710">
        <f>RANK(H710,H:H,0)</f>
        <v>3030</v>
      </c>
    </row>
    <row r="711" spans="1:13">
      <c r="A711" t="s">
        <v>14</v>
      </c>
      <c r="B711" t="s">
        <v>10</v>
      </c>
      <c r="C711" t="s">
        <v>20</v>
      </c>
      <c r="D711" s="3" t="s">
        <v>136</v>
      </c>
      <c r="E711" s="5" t="str">
        <f>TEXT(D711,"dd/mm/yyyy")</f>
        <v>23/05/2022</v>
      </c>
      <c r="F711" s="5" t="str" cm="1">
        <f t="array" ref="F711">RIGHT(_xlfn.ANCHORARRAY(E711),4)</f>
        <v>2022</v>
      </c>
      <c r="G711" s="5" t="str">
        <f>TEXT(E711,"mm")</f>
        <v>23/05/2022</v>
      </c>
      <c r="H711" s="6">
        <v>9100</v>
      </c>
      <c r="I711">
        <v>187</v>
      </c>
      <c r="L711" t="str">
        <f t="shared" si="11"/>
        <v>Above Average</v>
      </c>
      <c r="M711">
        <f>RANK(H711,H:H,0)</f>
        <v>720</v>
      </c>
    </row>
    <row r="712" spans="1:13">
      <c r="A712" t="s">
        <v>29</v>
      </c>
      <c r="B712" t="s">
        <v>35</v>
      </c>
      <c r="C712" t="s">
        <v>38</v>
      </c>
      <c r="D712" s="4">
        <v>44902</v>
      </c>
      <c r="E712" s="5" t="str">
        <f>TEXT(D712,"dd/mm/yyyy")</f>
        <v>07/12/2022</v>
      </c>
      <c r="F712" s="5" t="str" cm="1">
        <f t="array" ref="F712">RIGHT(_xlfn.ANCHORARRAY(E712),4)</f>
        <v>2022</v>
      </c>
      <c r="G712" s="5" t="str">
        <f>TEXT(E712,"mm")</f>
        <v>07</v>
      </c>
      <c r="H712" s="6">
        <v>9884</v>
      </c>
      <c r="I712">
        <v>200</v>
      </c>
      <c r="L712" t="str">
        <f t="shared" si="11"/>
        <v>Above Average</v>
      </c>
      <c r="M712">
        <f>RANK(H712,H:H,0)</f>
        <v>597</v>
      </c>
    </row>
    <row r="713" spans="1:13">
      <c r="A713" t="s">
        <v>14</v>
      </c>
      <c r="B713" t="s">
        <v>7</v>
      </c>
      <c r="C713" t="s">
        <v>33</v>
      </c>
      <c r="D713" s="3" t="s">
        <v>61</v>
      </c>
      <c r="E713" s="5" t="str">
        <f>TEXT(D713,"dd/mm/yyyy")</f>
        <v>15/06/2022</v>
      </c>
      <c r="F713" s="5" t="str" cm="1">
        <f t="array" ref="F713">RIGHT(_xlfn.ANCHORARRAY(E713),4)</f>
        <v>2022</v>
      </c>
      <c r="G713" s="5" t="str">
        <f>TEXT(E713,"mm")</f>
        <v>15/06/2022</v>
      </c>
      <c r="H713" s="6">
        <v>3780</v>
      </c>
      <c r="I713">
        <v>201</v>
      </c>
      <c r="L713" t="str">
        <f t="shared" si="11"/>
        <v>Below Average</v>
      </c>
      <c r="M713">
        <f>RANK(H713,H:H,0)</f>
        <v>2045</v>
      </c>
    </row>
    <row r="714" spans="1:13">
      <c r="A714" t="s">
        <v>31</v>
      </c>
      <c r="B714" t="s">
        <v>25</v>
      </c>
      <c r="C714" t="s">
        <v>26</v>
      </c>
      <c r="D714" s="3" t="s">
        <v>142</v>
      </c>
      <c r="E714" s="5" t="str">
        <f>TEXT(D714,"dd/mm/yyyy")</f>
        <v>23/06/2022</v>
      </c>
      <c r="F714" s="5" t="str" cm="1">
        <f t="array" ref="F714">RIGHT(_xlfn.ANCHORARRAY(E714),4)</f>
        <v>2022</v>
      </c>
      <c r="G714" s="5" t="str">
        <f>TEXT(E714,"mm")</f>
        <v>23/06/2022</v>
      </c>
      <c r="H714" s="6">
        <v>4557</v>
      </c>
      <c r="I714">
        <v>308</v>
      </c>
      <c r="L714" t="str">
        <f t="shared" si="11"/>
        <v>Below Average</v>
      </c>
      <c r="M714">
        <f>RANK(H714,H:H,0)</f>
        <v>1834</v>
      </c>
    </row>
    <row r="715" spans="1:13">
      <c r="A715" t="s">
        <v>48</v>
      </c>
      <c r="B715" t="s">
        <v>15</v>
      </c>
      <c r="C715" t="s">
        <v>36</v>
      </c>
      <c r="D715" s="3" t="s">
        <v>132</v>
      </c>
      <c r="E715" s="5" t="str">
        <f>TEXT(D715,"dd/mm/yyyy")</f>
        <v>25/03/2022</v>
      </c>
      <c r="F715" s="5" t="str" cm="1">
        <f t="array" ref="F715">RIGHT(_xlfn.ANCHORARRAY(E715),4)</f>
        <v>2022</v>
      </c>
      <c r="G715" s="5" t="str">
        <f>TEXT(E715,"mm")</f>
        <v>25/03/2022</v>
      </c>
      <c r="H715" s="6">
        <v>5796</v>
      </c>
      <c r="I715">
        <v>55</v>
      </c>
      <c r="L715" t="str">
        <f t="shared" si="11"/>
        <v>Below Average</v>
      </c>
      <c r="M715">
        <f>RANK(H715,H:H,0)</f>
        <v>1490</v>
      </c>
    </row>
    <row r="716" spans="1:13">
      <c r="A716" t="s">
        <v>14</v>
      </c>
      <c r="B716" t="s">
        <v>10</v>
      </c>
      <c r="C716" t="s">
        <v>90</v>
      </c>
      <c r="D716" s="4">
        <v>44658</v>
      </c>
      <c r="E716" s="5" t="str">
        <f>TEXT(D716,"dd/mm/yyyy")</f>
        <v>07/04/2022</v>
      </c>
      <c r="F716" s="5" t="str" cm="1">
        <f t="array" ref="F716">RIGHT(_xlfn.ANCHORARRAY(E716),4)</f>
        <v>2022</v>
      </c>
      <c r="G716" s="5" t="str">
        <f>TEXT(E716,"mm")</f>
        <v>07</v>
      </c>
      <c r="H716" s="6">
        <v>84</v>
      </c>
      <c r="I716">
        <v>153</v>
      </c>
      <c r="L716" t="str">
        <f t="shared" si="11"/>
        <v>Below Average</v>
      </c>
      <c r="M716">
        <f>RANK(H716,H:H,0)</f>
        <v>3251</v>
      </c>
    </row>
    <row r="717" spans="1:13">
      <c r="A717" t="s">
        <v>67</v>
      </c>
      <c r="B717" t="s">
        <v>7</v>
      </c>
      <c r="C717" t="s">
        <v>59</v>
      </c>
      <c r="D717" s="4">
        <v>44900</v>
      </c>
      <c r="E717" s="5" t="str">
        <f>TEXT(D717,"dd/mm/yyyy")</f>
        <v>05/12/2022</v>
      </c>
      <c r="F717" s="5" t="str" cm="1">
        <f t="array" ref="F717">RIGHT(_xlfn.ANCHORARRAY(E717),4)</f>
        <v>2022</v>
      </c>
      <c r="G717" s="5" t="str">
        <f>TEXT(E717,"mm")</f>
        <v>05</v>
      </c>
      <c r="H717" s="6">
        <v>9037</v>
      </c>
      <c r="I717">
        <v>101</v>
      </c>
      <c r="L717" t="str">
        <f t="shared" si="11"/>
        <v>Above Average</v>
      </c>
      <c r="M717">
        <f>RANK(H717,H:H,0)</f>
        <v>729</v>
      </c>
    </row>
    <row r="718" spans="1:13">
      <c r="A718" t="s">
        <v>71</v>
      </c>
      <c r="B718" t="s">
        <v>25</v>
      </c>
      <c r="C718" t="s">
        <v>73</v>
      </c>
      <c r="D718" s="4">
        <v>44655</v>
      </c>
      <c r="E718" s="5" t="str">
        <f>TEXT(D718,"dd/mm/yyyy")</f>
        <v>04/04/2022</v>
      </c>
      <c r="F718" s="5" t="str" cm="1">
        <f t="array" ref="F718">RIGHT(_xlfn.ANCHORARRAY(E718),4)</f>
        <v>2022</v>
      </c>
      <c r="G718" s="5" t="str">
        <f>TEXT(E718,"mm")</f>
        <v>04</v>
      </c>
      <c r="H718" s="6">
        <v>4746</v>
      </c>
      <c r="I718">
        <v>137</v>
      </c>
      <c r="L718" t="str">
        <f t="shared" si="11"/>
        <v>Below Average</v>
      </c>
      <c r="M718">
        <f>RANK(H718,H:H,0)</f>
        <v>1786</v>
      </c>
    </row>
    <row r="719" spans="1:13">
      <c r="A719" t="s">
        <v>77</v>
      </c>
      <c r="B719" t="s">
        <v>15</v>
      </c>
      <c r="C719" t="s">
        <v>33</v>
      </c>
      <c r="D719" s="3" t="s">
        <v>74</v>
      </c>
      <c r="E719" s="5" t="str">
        <f>TEXT(D719,"dd/mm/yyyy")</f>
        <v>15/04/2022</v>
      </c>
      <c r="F719" s="5" t="str" cm="1">
        <f t="array" ref="F719">RIGHT(_xlfn.ANCHORARRAY(E719),4)</f>
        <v>2022</v>
      </c>
      <c r="G719" s="5" t="str">
        <f>TEXT(E719,"mm")</f>
        <v>15/04/2022</v>
      </c>
      <c r="H719" s="6">
        <v>6713</v>
      </c>
      <c r="I719">
        <v>398</v>
      </c>
      <c r="L719" t="str">
        <f t="shared" si="11"/>
        <v>Above Average</v>
      </c>
      <c r="M719">
        <f>RANK(H719,H:H,0)</f>
        <v>1257</v>
      </c>
    </row>
    <row r="720" spans="1:13">
      <c r="A720" t="s">
        <v>45</v>
      </c>
      <c r="B720" t="s">
        <v>35</v>
      </c>
      <c r="C720" t="s">
        <v>36</v>
      </c>
      <c r="D720" s="4">
        <v>44776</v>
      </c>
      <c r="E720" s="5" t="str">
        <f>TEXT(D720,"dd/mm/yyyy")</f>
        <v>03/08/2022</v>
      </c>
      <c r="F720" s="5" t="str" cm="1">
        <f t="array" ref="F720">RIGHT(_xlfn.ANCHORARRAY(E720),4)</f>
        <v>2022</v>
      </c>
      <c r="G720" s="5" t="str">
        <f>TEXT(E720,"mm")</f>
        <v>03</v>
      </c>
      <c r="H720" s="6">
        <v>6237</v>
      </c>
      <c r="I720">
        <v>88</v>
      </c>
      <c r="L720" t="str">
        <f t="shared" si="11"/>
        <v>Above Average</v>
      </c>
      <c r="M720">
        <f>RANK(H720,H:H,0)</f>
        <v>1370</v>
      </c>
    </row>
    <row r="721" spans="1:13">
      <c r="A721" t="s">
        <v>37</v>
      </c>
      <c r="B721" t="s">
        <v>10</v>
      </c>
      <c r="C721" t="s">
        <v>59</v>
      </c>
      <c r="D721" s="3" t="s">
        <v>152</v>
      </c>
      <c r="E721" s="5" t="str">
        <f>TEXT(D721,"dd/mm/yyyy")</f>
        <v>17/01/2022</v>
      </c>
      <c r="F721" s="5" t="str" cm="1">
        <f t="array" ref="F721">RIGHT(_xlfn.ANCHORARRAY(E721),4)</f>
        <v>2022</v>
      </c>
      <c r="G721" s="5" t="str">
        <f>TEXT(E721,"mm")</f>
        <v>17/01/2022</v>
      </c>
      <c r="H721" s="6">
        <v>7483</v>
      </c>
      <c r="I721">
        <v>232</v>
      </c>
      <c r="L721" t="str">
        <f t="shared" si="11"/>
        <v>Above Average</v>
      </c>
      <c r="M721">
        <f>RANK(H721,H:H,0)</f>
        <v>1068</v>
      </c>
    </row>
    <row r="722" spans="1:13">
      <c r="A722" t="s">
        <v>64</v>
      </c>
      <c r="B722" t="s">
        <v>10</v>
      </c>
      <c r="C722" t="s">
        <v>8</v>
      </c>
      <c r="D722" s="3" t="s">
        <v>78</v>
      </c>
      <c r="E722" s="5" t="str">
        <f>TEXT(D722,"dd/mm/yyyy")</f>
        <v>22/08/2022</v>
      </c>
      <c r="F722" s="5" t="str" cm="1">
        <f t="array" ref="F722">RIGHT(_xlfn.ANCHORARRAY(E722),4)</f>
        <v>2022</v>
      </c>
      <c r="G722" s="5" t="str">
        <f>TEXT(E722,"mm")</f>
        <v>22/08/2022</v>
      </c>
      <c r="H722" s="6">
        <v>1309</v>
      </c>
      <c r="I722">
        <v>51</v>
      </c>
      <c r="L722" t="str">
        <f t="shared" si="11"/>
        <v>Below Average</v>
      </c>
      <c r="M722">
        <f>RANK(H722,H:H,0)</f>
        <v>2872</v>
      </c>
    </row>
    <row r="723" spans="1:13">
      <c r="A723" t="s">
        <v>67</v>
      </c>
      <c r="B723" t="s">
        <v>7</v>
      </c>
      <c r="C723" t="s">
        <v>20</v>
      </c>
      <c r="D723" s="3" t="s">
        <v>113</v>
      </c>
      <c r="E723" s="5" t="str">
        <f>TEXT(D723,"dd/mm/yyyy")</f>
        <v>25/07/2022</v>
      </c>
      <c r="F723" s="5" t="str" cm="1">
        <f t="array" ref="F723">RIGHT(_xlfn.ANCHORARRAY(E723),4)</f>
        <v>2022</v>
      </c>
      <c r="G723" s="5" t="str">
        <f>TEXT(E723,"mm")</f>
        <v>25/07/2022</v>
      </c>
      <c r="H723" s="6">
        <v>1155</v>
      </c>
      <c r="I723">
        <v>66</v>
      </c>
      <c r="L723" t="str">
        <f t="shared" si="11"/>
        <v>Below Average</v>
      </c>
      <c r="M723">
        <f>RANK(H723,H:H,0)</f>
        <v>2918</v>
      </c>
    </row>
    <row r="724" spans="1:13">
      <c r="A724" t="s">
        <v>40</v>
      </c>
      <c r="B724" t="s">
        <v>7</v>
      </c>
      <c r="C724" t="s">
        <v>26</v>
      </c>
      <c r="D724" s="3" t="s">
        <v>127</v>
      </c>
      <c r="E724" s="5" t="str">
        <f>TEXT(D724,"dd/mm/yyyy")</f>
        <v>14/06/2022</v>
      </c>
      <c r="F724" s="5" t="str" cm="1">
        <f t="array" ref="F724">RIGHT(_xlfn.ANCHORARRAY(E724),4)</f>
        <v>2022</v>
      </c>
      <c r="G724" s="5" t="str">
        <f>TEXT(E724,"mm")</f>
        <v>14/06/2022</v>
      </c>
      <c r="H724" s="6">
        <v>2989</v>
      </c>
      <c r="I724">
        <v>124</v>
      </c>
      <c r="L724" t="str">
        <f t="shared" si="11"/>
        <v>Below Average</v>
      </c>
      <c r="M724">
        <f>RANK(H724,H:H,0)</f>
        <v>2314</v>
      </c>
    </row>
    <row r="725" spans="1:13">
      <c r="A725" t="s">
        <v>83</v>
      </c>
      <c r="B725" t="s">
        <v>10</v>
      </c>
      <c r="C725" t="s">
        <v>75</v>
      </c>
      <c r="D725" s="4">
        <v>44685</v>
      </c>
      <c r="E725" s="5" t="str">
        <f>TEXT(D725,"dd/mm/yyyy")</f>
        <v>04/05/2022</v>
      </c>
      <c r="F725" s="5" t="str" cm="1">
        <f t="array" ref="F725">RIGHT(_xlfn.ANCHORARRAY(E725),4)</f>
        <v>2022</v>
      </c>
      <c r="G725" s="5" t="str">
        <f>TEXT(E725,"mm")</f>
        <v>04</v>
      </c>
      <c r="H725" s="6">
        <v>9625</v>
      </c>
      <c r="I725">
        <v>78</v>
      </c>
      <c r="L725" t="str">
        <f t="shared" si="11"/>
        <v>Above Average</v>
      </c>
      <c r="M725">
        <f>RANK(H725,H:H,0)</f>
        <v>639</v>
      </c>
    </row>
    <row r="726" spans="1:13">
      <c r="A726" t="s">
        <v>77</v>
      </c>
      <c r="B726" t="s">
        <v>7</v>
      </c>
      <c r="C726" t="s">
        <v>73</v>
      </c>
      <c r="D726" s="3" t="s">
        <v>93</v>
      </c>
      <c r="E726" s="5" t="str">
        <f>TEXT(D726,"dd/mm/yyyy")</f>
        <v>26/08/2022</v>
      </c>
      <c r="F726" s="5" t="str" cm="1">
        <f t="array" ref="F726">RIGHT(_xlfn.ANCHORARRAY(E726),4)</f>
        <v>2022</v>
      </c>
      <c r="G726" s="5" t="str">
        <f>TEXT(E726,"mm")</f>
        <v>26/08/2022</v>
      </c>
      <c r="H726" s="6">
        <v>7357</v>
      </c>
      <c r="I726">
        <v>341</v>
      </c>
      <c r="L726" t="str">
        <f t="shared" si="11"/>
        <v>Above Average</v>
      </c>
      <c r="M726">
        <f>RANK(H726,H:H,0)</f>
        <v>1098</v>
      </c>
    </row>
    <row r="727" spans="1:13">
      <c r="A727" t="s">
        <v>64</v>
      </c>
      <c r="B727" t="s">
        <v>15</v>
      </c>
      <c r="C727" t="s">
        <v>26</v>
      </c>
      <c r="D727" s="4">
        <v>44628</v>
      </c>
      <c r="E727" s="5" t="str">
        <f>TEXT(D727,"dd/mm/yyyy")</f>
        <v>08/03/2022</v>
      </c>
      <c r="F727" s="5" t="str" cm="1">
        <f t="array" ref="F727">RIGHT(_xlfn.ANCHORARRAY(E727),4)</f>
        <v>2022</v>
      </c>
      <c r="G727" s="5" t="str">
        <f>TEXT(E727,"mm")</f>
        <v>08</v>
      </c>
      <c r="H727" s="6">
        <v>10031</v>
      </c>
      <c r="I727">
        <v>114</v>
      </c>
      <c r="L727" t="str">
        <f t="shared" si="11"/>
        <v>Above Average</v>
      </c>
      <c r="M727">
        <f>RANK(H727,H:H,0)</f>
        <v>576</v>
      </c>
    </row>
    <row r="728" spans="1:13">
      <c r="A728" t="s">
        <v>12</v>
      </c>
      <c r="B728" t="s">
        <v>35</v>
      </c>
      <c r="C728" t="s">
        <v>59</v>
      </c>
      <c r="D728" s="4">
        <v>44872</v>
      </c>
      <c r="E728" s="5" t="str">
        <f>TEXT(D728,"dd/mm/yyyy")</f>
        <v>07/11/2022</v>
      </c>
      <c r="F728" s="5" t="str" cm="1">
        <f t="array" ref="F728">RIGHT(_xlfn.ANCHORARRAY(E728),4)</f>
        <v>2022</v>
      </c>
      <c r="G728" s="5" t="str">
        <f>TEXT(E728,"mm")</f>
        <v>07</v>
      </c>
      <c r="H728" s="6">
        <v>6587</v>
      </c>
      <c r="I728">
        <v>4</v>
      </c>
      <c r="L728" t="str">
        <f t="shared" si="11"/>
        <v>Above Average</v>
      </c>
      <c r="M728">
        <f>RANK(H728,H:H,0)</f>
        <v>1283</v>
      </c>
    </row>
    <row r="729" spans="1:13">
      <c r="A729" t="s">
        <v>64</v>
      </c>
      <c r="B729" t="s">
        <v>25</v>
      </c>
      <c r="C729" t="s">
        <v>36</v>
      </c>
      <c r="D729" s="4">
        <v>44868</v>
      </c>
      <c r="E729" s="5" t="str">
        <f>TEXT(D729,"dd/mm/yyyy")</f>
        <v>03/11/2022</v>
      </c>
      <c r="F729" s="5" t="str" cm="1">
        <f t="array" ref="F729">RIGHT(_xlfn.ANCHORARRAY(E729),4)</f>
        <v>2022</v>
      </c>
      <c r="G729" s="5" t="str">
        <f>TEXT(E729,"mm")</f>
        <v>03</v>
      </c>
      <c r="H729" s="6">
        <v>3311</v>
      </c>
      <c r="I729">
        <v>22</v>
      </c>
      <c r="L729" t="str">
        <f t="shared" si="11"/>
        <v>Below Average</v>
      </c>
      <c r="M729">
        <f>RANK(H729,H:H,0)</f>
        <v>2208</v>
      </c>
    </row>
    <row r="730" spans="1:13">
      <c r="A730" t="s">
        <v>28</v>
      </c>
      <c r="B730" t="s">
        <v>7</v>
      </c>
      <c r="C730" t="s">
        <v>13</v>
      </c>
      <c r="D730" s="4">
        <v>44835</v>
      </c>
      <c r="E730" s="5" t="str">
        <f>TEXT(D730,"dd/mm/yyyy")</f>
        <v>01/10/2022</v>
      </c>
      <c r="F730" s="5" t="str" cm="1">
        <f t="array" ref="F730">RIGHT(_xlfn.ANCHORARRAY(E730),4)</f>
        <v>2022</v>
      </c>
      <c r="G730" s="5" t="str">
        <f>TEXT(E730,"mm")</f>
        <v>01</v>
      </c>
      <c r="H730" s="6">
        <v>15330</v>
      </c>
      <c r="I730">
        <v>30</v>
      </c>
      <c r="L730" t="str">
        <f t="shared" si="11"/>
        <v>Above Average</v>
      </c>
      <c r="M730">
        <f>RANK(H730,H:H,0)</f>
        <v>136</v>
      </c>
    </row>
    <row r="731" spans="1:13">
      <c r="A731" t="s">
        <v>45</v>
      </c>
      <c r="B731" t="s">
        <v>7</v>
      </c>
      <c r="C731" t="s">
        <v>87</v>
      </c>
      <c r="D731" s="4">
        <v>44655</v>
      </c>
      <c r="E731" s="5" t="str">
        <f>TEXT(D731,"dd/mm/yyyy")</f>
        <v>04/04/2022</v>
      </c>
      <c r="F731" s="5" t="str" cm="1">
        <f t="array" ref="F731">RIGHT(_xlfn.ANCHORARRAY(E731),4)</f>
        <v>2022</v>
      </c>
      <c r="G731" s="5" t="str">
        <f>TEXT(E731,"mm")</f>
        <v>04</v>
      </c>
      <c r="H731" s="6">
        <v>14028</v>
      </c>
      <c r="I731">
        <v>351</v>
      </c>
      <c r="L731" t="str">
        <f t="shared" si="11"/>
        <v>Above Average</v>
      </c>
      <c r="M731">
        <f>RANK(H731,H:H,0)</f>
        <v>207</v>
      </c>
    </row>
    <row r="732" spans="1:13">
      <c r="A732" t="s">
        <v>37</v>
      </c>
      <c r="B732" t="s">
        <v>15</v>
      </c>
      <c r="C732" t="s">
        <v>26</v>
      </c>
      <c r="D732" s="3" t="s">
        <v>152</v>
      </c>
      <c r="E732" s="5" t="str">
        <f>TEXT(D732,"dd/mm/yyyy")</f>
        <v>17/01/2022</v>
      </c>
      <c r="F732" s="5" t="str" cm="1">
        <f t="array" ref="F732">RIGHT(_xlfn.ANCHORARRAY(E732),4)</f>
        <v>2022</v>
      </c>
      <c r="G732" s="5" t="str">
        <f>TEXT(E732,"mm")</f>
        <v>17/01/2022</v>
      </c>
      <c r="H732" s="6">
        <v>6678</v>
      </c>
      <c r="I732">
        <v>708</v>
      </c>
      <c r="L732" t="str">
        <f t="shared" si="11"/>
        <v>Above Average</v>
      </c>
      <c r="M732">
        <f>RANK(H732,H:H,0)</f>
        <v>1264</v>
      </c>
    </row>
    <row r="733" spans="1:13">
      <c r="A733" t="s">
        <v>40</v>
      </c>
      <c r="B733" t="s">
        <v>25</v>
      </c>
      <c r="C733" t="s">
        <v>42</v>
      </c>
      <c r="D733" s="4">
        <v>44780</v>
      </c>
      <c r="E733" s="5" t="str">
        <f>TEXT(D733,"dd/mm/yyyy")</f>
        <v>07/08/2022</v>
      </c>
      <c r="F733" s="5" t="str" cm="1">
        <f t="array" ref="F733">RIGHT(_xlfn.ANCHORARRAY(E733),4)</f>
        <v>2022</v>
      </c>
      <c r="G733" s="5" t="str">
        <f>TEXT(E733,"mm")</f>
        <v>07</v>
      </c>
      <c r="H733" s="6">
        <v>8624</v>
      </c>
      <c r="I733">
        <v>50</v>
      </c>
      <c r="L733" t="str">
        <f t="shared" si="11"/>
        <v>Above Average</v>
      </c>
      <c r="M733">
        <f>RANK(H733,H:H,0)</f>
        <v>810</v>
      </c>
    </row>
    <row r="734" spans="1:13">
      <c r="A734" t="s">
        <v>14</v>
      </c>
      <c r="B734" t="s">
        <v>7</v>
      </c>
      <c r="C734" t="s">
        <v>42</v>
      </c>
      <c r="D734" s="4">
        <v>44899</v>
      </c>
      <c r="E734" s="5" t="str">
        <f>TEXT(D734,"dd/mm/yyyy")</f>
        <v>04/12/2022</v>
      </c>
      <c r="F734" s="5" t="str" cm="1">
        <f t="array" ref="F734">RIGHT(_xlfn.ANCHORARRAY(E734),4)</f>
        <v>2022</v>
      </c>
      <c r="G734" s="5" t="str">
        <f>TEXT(E734,"mm")</f>
        <v>04</v>
      </c>
      <c r="H734" s="6">
        <v>1197</v>
      </c>
      <c r="I734">
        <v>356</v>
      </c>
      <c r="L734" t="str">
        <f t="shared" si="11"/>
        <v>Below Average</v>
      </c>
      <c r="M734">
        <f>RANK(H734,H:H,0)</f>
        <v>2907</v>
      </c>
    </row>
    <row r="735" spans="1:13">
      <c r="A735" t="s">
        <v>29</v>
      </c>
      <c r="B735" t="s">
        <v>35</v>
      </c>
      <c r="C735" t="s">
        <v>57</v>
      </c>
      <c r="D735" s="3" t="s">
        <v>69</v>
      </c>
      <c r="E735" s="5" t="str">
        <f>TEXT(D735,"dd/mm/yyyy")</f>
        <v>24/08/2022</v>
      </c>
      <c r="F735" s="5" t="str" cm="1">
        <f t="array" ref="F735">RIGHT(_xlfn.ANCHORARRAY(E735),4)</f>
        <v>2022</v>
      </c>
      <c r="G735" s="5" t="str">
        <f>TEXT(E735,"mm")</f>
        <v>24/08/2022</v>
      </c>
      <c r="H735" s="6">
        <v>483</v>
      </c>
      <c r="I735">
        <v>185</v>
      </c>
      <c r="L735" t="str">
        <f t="shared" si="11"/>
        <v>Below Average</v>
      </c>
      <c r="M735">
        <f>RANK(H735,H:H,0)</f>
        <v>3136</v>
      </c>
    </row>
    <row r="736" spans="1:13">
      <c r="A736" t="s">
        <v>83</v>
      </c>
      <c r="B736" t="s">
        <v>7</v>
      </c>
      <c r="C736" t="s">
        <v>75</v>
      </c>
      <c r="D736" s="4">
        <v>44748</v>
      </c>
      <c r="E736" s="5" t="str">
        <f>TEXT(D736,"dd/mm/yyyy")</f>
        <v>06/07/2022</v>
      </c>
      <c r="F736" s="5" t="str" cm="1">
        <f t="array" ref="F736">RIGHT(_xlfn.ANCHORARRAY(E736),4)</f>
        <v>2022</v>
      </c>
      <c r="G736" s="5" t="str">
        <f>TEXT(E736,"mm")</f>
        <v>06</v>
      </c>
      <c r="H736" s="6">
        <v>1687</v>
      </c>
      <c r="I736">
        <v>236</v>
      </c>
      <c r="L736" t="str">
        <f t="shared" si="11"/>
        <v>Below Average</v>
      </c>
      <c r="M736">
        <f>RANK(H736,H:H,0)</f>
        <v>2734</v>
      </c>
    </row>
    <row r="737" spans="1:13">
      <c r="A737" t="s">
        <v>22</v>
      </c>
      <c r="B737" t="s">
        <v>35</v>
      </c>
      <c r="C737" t="s">
        <v>65</v>
      </c>
      <c r="D737" s="3" t="s">
        <v>39</v>
      </c>
      <c r="E737" s="5" t="str">
        <f>TEXT(D737,"dd/mm/yyyy")</f>
        <v>28/07/2022</v>
      </c>
      <c r="F737" s="5" t="str" cm="1">
        <f t="array" ref="F737">RIGHT(_xlfn.ANCHORARRAY(E737),4)</f>
        <v>2022</v>
      </c>
      <c r="G737" s="5" t="str">
        <f>TEXT(E737,"mm")</f>
        <v>28/07/2022</v>
      </c>
      <c r="H737" s="6">
        <v>1309</v>
      </c>
      <c r="I737">
        <v>30</v>
      </c>
      <c r="L737" t="str">
        <f t="shared" si="11"/>
        <v>Below Average</v>
      </c>
      <c r="M737">
        <f>RANK(H737,H:H,0)</f>
        <v>2872</v>
      </c>
    </row>
    <row r="738" spans="1:13">
      <c r="A738" t="s">
        <v>53</v>
      </c>
      <c r="B738" t="s">
        <v>32</v>
      </c>
      <c r="C738" t="s">
        <v>20</v>
      </c>
      <c r="D738" s="3" t="s">
        <v>109</v>
      </c>
      <c r="E738" s="5" t="str">
        <f>TEXT(D738,"dd/mm/yyyy")</f>
        <v>21/02/2022</v>
      </c>
      <c r="F738" s="5" t="str" cm="1">
        <f t="array" ref="F738">RIGHT(_xlfn.ANCHORARRAY(E738),4)</f>
        <v>2022</v>
      </c>
      <c r="G738" s="5" t="str">
        <f>TEXT(E738,"mm")</f>
        <v>21/02/2022</v>
      </c>
      <c r="H738" s="6">
        <v>9534</v>
      </c>
      <c r="I738">
        <v>111</v>
      </c>
      <c r="L738" t="str">
        <f t="shared" si="11"/>
        <v>Above Average</v>
      </c>
      <c r="M738">
        <f>RANK(H738,H:H,0)</f>
        <v>651</v>
      </c>
    </row>
    <row r="739" spans="1:13">
      <c r="A739" t="s">
        <v>58</v>
      </c>
      <c r="B739" t="s">
        <v>35</v>
      </c>
      <c r="C739" t="s">
        <v>8</v>
      </c>
      <c r="D739" s="4">
        <v>44777</v>
      </c>
      <c r="E739" s="5" t="str">
        <f>TEXT(D739,"dd/mm/yyyy")</f>
        <v>04/08/2022</v>
      </c>
      <c r="F739" s="5" t="str" cm="1">
        <f t="array" ref="F739">RIGHT(_xlfn.ANCHORARRAY(E739),4)</f>
        <v>2022</v>
      </c>
      <c r="G739" s="5" t="str">
        <f>TEXT(E739,"mm")</f>
        <v>04</v>
      </c>
      <c r="H739" s="6">
        <v>1694</v>
      </c>
      <c r="I739">
        <v>289</v>
      </c>
      <c r="L739" t="str">
        <f t="shared" si="11"/>
        <v>Below Average</v>
      </c>
      <c r="M739">
        <f>RANK(H739,H:H,0)</f>
        <v>2732</v>
      </c>
    </row>
    <row r="740" spans="1:13">
      <c r="A740" t="s">
        <v>28</v>
      </c>
      <c r="B740" t="s">
        <v>7</v>
      </c>
      <c r="C740" t="s">
        <v>60</v>
      </c>
      <c r="D740" s="3" t="s">
        <v>85</v>
      </c>
      <c r="E740" s="5" t="str">
        <f>TEXT(D740,"dd/mm/yyyy")</f>
        <v>28/06/2022</v>
      </c>
      <c r="F740" s="5" t="str" cm="1">
        <f t="array" ref="F740">RIGHT(_xlfn.ANCHORARRAY(E740),4)</f>
        <v>2022</v>
      </c>
      <c r="G740" s="5" t="str">
        <f>TEXT(E740,"mm")</f>
        <v>28/06/2022</v>
      </c>
      <c r="H740" s="6">
        <v>70</v>
      </c>
      <c r="I740">
        <v>103</v>
      </c>
      <c r="L740" t="str">
        <f t="shared" si="11"/>
        <v>Below Average</v>
      </c>
      <c r="M740">
        <f>RANK(H740,H:H,0)</f>
        <v>3260</v>
      </c>
    </row>
    <row r="741" spans="1:13">
      <c r="A741" t="s">
        <v>9</v>
      </c>
      <c r="B741" t="s">
        <v>7</v>
      </c>
      <c r="C741" t="s">
        <v>87</v>
      </c>
      <c r="D741" s="3" t="s">
        <v>24</v>
      </c>
      <c r="E741" s="5" t="str">
        <f>TEXT(D741,"dd/mm/yyyy")</f>
        <v>24/03/2022</v>
      </c>
      <c r="F741" s="5" t="str" cm="1">
        <f t="array" ref="F741">RIGHT(_xlfn.ANCHORARRAY(E741),4)</f>
        <v>2022</v>
      </c>
      <c r="G741" s="5" t="str">
        <f>TEXT(E741,"mm")</f>
        <v>24/03/2022</v>
      </c>
      <c r="H741" s="6">
        <v>2443</v>
      </c>
      <c r="I741">
        <v>20</v>
      </c>
      <c r="L741" t="str">
        <f t="shared" si="11"/>
        <v>Below Average</v>
      </c>
      <c r="M741">
        <f>RANK(H741,H:H,0)</f>
        <v>2499</v>
      </c>
    </row>
    <row r="742" spans="1:13">
      <c r="A742" t="s">
        <v>31</v>
      </c>
      <c r="B742" t="s">
        <v>15</v>
      </c>
      <c r="C742" t="s">
        <v>90</v>
      </c>
      <c r="D742" s="3" t="s">
        <v>120</v>
      </c>
      <c r="E742" s="5" t="str">
        <f>TEXT(D742,"dd/mm/yyyy")</f>
        <v>29/07/2022</v>
      </c>
      <c r="F742" s="5" t="str" cm="1">
        <f t="array" ref="F742">RIGHT(_xlfn.ANCHORARRAY(E742),4)</f>
        <v>2022</v>
      </c>
      <c r="G742" s="5" t="str">
        <f>TEXT(E742,"mm")</f>
        <v>29/07/2022</v>
      </c>
      <c r="H742" s="6">
        <v>2933</v>
      </c>
      <c r="I742">
        <v>55</v>
      </c>
      <c r="L742" t="str">
        <f t="shared" si="11"/>
        <v>Below Average</v>
      </c>
      <c r="M742">
        <f>RANK(H742,H:H,0)</f>
        <v>2330</v>
      </c>
    </row>
    <row r="743" spans="1:13">
      <c r="A743" t="s">
        <v>58</v>
      </c>
      <c r="B743" t="s">
        <v>32</v>
      </c>
      <c r="C743" t="s">
        <v>36</v>
      </c>
      <c r="D743" s="3" t="s">
        <v>99</v>
      </c>
      <c r="E743" s="5" t="str">
        <f>TEXT(D743,"dd/mm/yyyy")</f>
        <v>25/05/2022</v>
      </c>
      <c r="F743" s="5" t="str" cm="1">
        <f t="array" ref="F743">RIGHT(_xlfn.ANCHORARRAY(E743),4)</f>
        <v>2022</v>
      </c>
      <c r="G743" s="5" t="str">
        <f>TEXT(E743,"mm")</f>
        <v>25/05/2022</v>
      </c>
      <c r="H743" s="6">
        <v>2044</v>
      </c>
      <c r="I743">
        <v>90</v>
      </c>
      <c r="L743" t="str">
        <f t="shared" si="11"/>
        <v>Below Average</v>
      </c>
      <c r="M743">
        <f>RANK(H743,H:H,0)</f>
        <v>2622</v>
      </c>
    </row>
    <row r="744" spans="1:13">
      <c r="A744" t="s">
        <v>12</v>
      </c>
      <c r="B744" t="s">
        <v>15</v>
      </c>
      <c r="C744" t="s">
        <v>73</v>
      </c>
      <c r="D744" s="3" t="s">
        <v>155</v>
      </c>
      <c r="E744" s="5" t="str">
        <f>TEXT(D744,"dd/mm/yyyy")</f>
        <v>30/03/2022</v>
      </c>
      <c r="F744" s="5" t="str" cm="1">
        <f t="array" ref="F744">RIGHT(_xlfn.ANCHORARRAY(E744),4)</f>
        <v>2022</v>
      </c>
      <c r="G744" s="5" t="str">
        <f>TEXT(E744,"mm")</f>
        <v>30/03/2022</v>
      </c>
      <c r="H744" s="6">
        <v>6524</v>
      </c>
      <c r="I744">
        <v>303</v>
      </c>
      <c r="L744" t="str">
        <f t="shared" si="11"/>
        <v>Above Average</v>
      </c>
      <c r="M744">
        <f>RANK(H744,H:H,0)</f>
        <v>1302</v>
      </c>
    </row>
    <row r="745" spans="1:13">
      <c r="A745" t="s">
        <v>58</v>
      </c>
      <c r="B745" t="s">
        <v>32</v>
      </c>
      <c r="C745" t="s">
        <v>42</v>
      </c>
      <c r="D745" s="3" t="s">
        <v>145</v>
      </c>
      <c r="E745" s="5" t="str">
        <f>TEXT(D745,"dd/mm/yyyy")</f>
        <v>18/07/2022</v>
      </c>
      <c r="F745" s="5" t="str" cm="1">
        <f t="array" ref="F745">RIGHT(_xlfn.ANCHORARRAY(E745),4)</f>
        <v>2022</v>
      </c>
      <c r="G745" s="5" t="str">
        <f>TEXT(E745,"mm")</f>
        <v>18/07/2022</v>
      </c>
      <c r="H745" s="6">
        <v>12656</v>
      </c>
      <c r="I745">
        <v>126</v>
      </c>
      <c r="L745" t="str">
        <f t="shared" si="11"/>
        <v>Above Average</v>
      </c>
      <c r="M745">
        <f>RANK(H745,H:H,0)</f>
        <v>285</v>
      </c>
    </row>
    <row r="746" spans="1:13">
      <c r="A746" t="s">
        <v>41</v>
      </c>
      <c r="B746" t="s">
        <v>35</v>
      </c>
      <c r="C746" t="s">
        <v>33</v>
      </c>
      <c r="D746" s="4">
        <v>44839</v>
      </c>
      <c r="E746" s="5" t="str">
        <f>TEXT(D746,"dd/mm/yyyy")</f>
        <v>05/10/2022</v>
      </c>
      <c r="F746" s="5" t="str" cm="1">
        <f t="array" ref="F746">RIGHT(_xlfn.ANCHORARRAY(E746),4)</f>
        <v>2022</v>
      </c>
      <c r="G746" s="5" t="str">
        <f>TEXT(E746,"mm")</f>
        <v>05</v>
      </c>
      <c r="H746" s="6">
        <v>8722</v>
      </c>
      <c r="I746">
        <v>109</v>
      </c>
      <c r="L746" t="str">
        <f t="shared" si="11"/>
        <v>Above Average</v>
      </c>
      <c r="M746">
        <f>RANK(H746,H:H,0)</f>
        <v>795</v>
      </c>
    </row>
    <row r="747" spans="1:13">
      <c r="A747" t="s">
        <v>34</v>
      </c>
      <c r="B747" t="s">
        <v>15</v>
      </c>
      <c r="C747" t="s">
        <v>75</v>
      </c>
      <c r="D747" s="3" t="s">
        <v>133</v>
      </c>
      <c r="E747" s="5" t="str">
        <f>TEXT(D747,"dd/mm/yyyy")</f>
        <v>18/03/2022</v>
      </c>
      <c r="F747" s="5" t="str" cm="1">
        <f t="array" ref="F747">RIGHT(_xlfn.ANCHORARRAY(E747),4)</f>
        <v>2022</v>
      </c>
      <c r="G747" s="5" t="str">
        <f>TEXT(E747,"mm")</f>
        <v>18/03/2022</v>
      </c>
      <c r="H747" s="6">
        <v>15750</v>
      </c>
      <c r="I747">
        <v>92</v>
      </c>
      <c r="L747" t="str">
        <f t="shared" si="11"/>
        <v>Above Average</v>
      </c>
      <c r="M747">
        <f>RANK(H747,H:H,0)</f>
        <v>111</v>
      </c>
    </row>
    <row r="748" spans="1:13">
      <c r="A748" t="s">
        <v>83</v>
      </c>
      <c r="B748" t="s">
        <v>10</v>
      </c>
      <c r="C748" t="s">
        <v>90</v>
      </c>
      <c r="D748" s="3" t="s">
        <v>61</v>
      </c>
      <c r="E748" s="5" t="str">
        <f>TEXT(D748,"dd/mm/yyyy")</f>
        <v>15/06/2022</v>
      </c>
      <c r="F748" s="5" t="str" cm="1">
        <f t="array" ref="F748">RIGHT(_xlfn.ANCHORARRAY(E748),4)</f>
        <v>2022</v>
      </c>
      <c r="G748" s="5" t="str">
        <f>TEXT(E748,"mm")</f>
        <v>15/06/2022</v>
      </c>
      <c r="H748" s="6">
        <v>6839</v>
      </c>
      <c r="I748">
        <v>56</v>
      </c>
      <c r="L748" t="str">
        <f t="shared" si="11"/>
        <v>Above Average</v>
      </c>
      <c r="M748">
        <f>RANK(H748,H:H,0)</f>
        <v>1221</v>
      </c>
    </row>
    <row r="749" spans="1:13">
      <c r="A749" t="s">
        <v>9</v>
      </c>
      <c r="B749" t="s">
        <v>35</v>
      </c>
      <c r="C749" t="s">
        <v>26</v>
      </c>
      <c r="D749" s="4">
        <v>44900</v>
      </c>
      <c r="E749" s="5" t="str">
        <f>TEXT(D749,"dd/mm/yyyy")</f>
        <v>05/12/2022</v>
      </c>
      <c r="F749" s="5" t="str" cm="1">
        <f t="array" ref="F749">RIGHT(_xlfn.ANCHORARRAY(E749),4)</f>
        <v>2022</v>
      </c>
      <c r="G749" s="5" t="str">
        <f>TEXT(E749,"mm")</f>
        <v>05</v>
      </c>
      <c r="H749" s="6">
        <v>13685</v>
      </c>
      <c r="I749">
        <v>58</v>
      </c>
      <c r="L749" t="str">
        <f t="shared" si="11"/>
        <v>Above Average</v>
      </c>
      <c r="M749">
        <f>RANK(H749,H:H,0)</f>
        <v>223</v>
      </c>
    </row>
    <row r="750" spans="1:13">
      <c r="A750" t="s">
        <v>70</v>
      </c>
      <c r="B750" t="s">
        <v>25</v>
      </c>
      <c r="C750" t="s">
        <v>87</v>
      </c>
      <c r="D750" s="3" t="s">
        <v>142</v>
      </c>
      <c r="E750" s="5" t="str">
        <f>TEXT(D750,"dd/mm/yyyy")</f>
        <v>23/06/2022</v>
      </c>
      <c r="F750" s="5" t="str" cm="1">
        <f t="array" ref="F750">RIGHT(_xlfn.ANCHORARRAY(E750),4)</f>
        <v>2022</v>
      </c>
      <c r="G750" s="5" t="str">
        <f>TEXT(E750,"mm")</f>
        <v>23/06/2022</v>
      </c>
      <c r="H750" s="6">
        <v>2912</v>
      </c>
      <c r="I750">
        <v>110</v>
      </c>
      <c r="L750" t="str">
        <f t="shared" si="11"/>
        <v>Below Average</v>
      </c>
      <c r="M750">
        <f>RANK(H750,H:H,0)</f>
        <v>2341</v>
      </c>
    </row>
    <row r="751" spans="1:13">
      <c r="A751" t="s">
        <v>41</v>
      </c>
      <c r="B751" t="s">
        <v>10</v>
      </c>
      <c r="C751" t="s">
        <v>50</v>
      </c>
      <c r="D751" s="3" t="s">
        <v>138</v>
      </c>
      <c r="E751" s="5" t="str">
        <f>TEXT(D751,"dd/mm/yyyy")</f>
        <v>21/04/2022</v>
      </c>
      <c r="F751" s="5" t="str" cm="1">
        <f t="array" ref="F751">RIGHT(_xlfn.ANCHORARRAY(E751),4)</f>
        <v>2022</v>
      </c>
      <c r="G751" s="5" t="str">
        <f>TEXT(E751,"mm")</f>
        <v>21/04/2022</v>
      </c>
      <c r="H751" s="6">
        <v>3339</v>
      </c>
      <c r="I751">
        <v>171</v>
      </c>
      <c r="L751" t="str">
        <f t="shared" si="11"/>
        <v>Below Average</v>
      </c>
      <c r="M751">
        <f>RANK(H751,H:H,0)</f>
        <v>2202</v>
      </c>
    </row>
    <row r="752" spans="1:13">
      <c r="A752" t="s">
        <v>12</v>
      </c>
      <c r="B752" t="s">
        <v>15</v>
      </c>
      <c r="C752" t="s">
        <v>65</v>
      </c>
      <c r="D752" s="3" t="s">
        <v>135</v>
      </c>
      <c r="E752" s="5" t="str">
        <f>TEXT(D752,"dd/mm/yyyy")</f>
        <v>17/08/2022</v>
      </c>
      <c r="F752" s="5" t="str" cm="1">
        <f t="array" ref="F752">RIGHT(_xlfn.ANCHORARRAY(E752),4)</f>
        <v>2022</v>
      </c>
      <c r="G752" s="5" t="str">
        <f>TEXT(E752,"mm")</f>
        <v>17/08/2022</v>
      </c>
      <c r="H752" s="6">
        <v>910</v>
      </c>
      <c r="I752">
        <v>117</v>
      </c>
      <c r="L752" t="str">
        <f t="shared" si="11"/>
        <v>Below Average</v>
      </c>
      <c r="M752">
        <f>RANK(H752,H:H,0)</f>
        <v>2999</v>
      </c>
    </row>
    <row r="753" spans="1:13">
      <c r="A753" t="s">
        <v>29</v>
      </c>
      <c r="B753" t="s">
        <v>25</v>
      </c>
      <c r="C753" t="s">
        <v>36</v>
      </c>
      <c r="D753" s="4">
        <v>44744</v>
      </c>
      <c r="E753" s="5" t="str">
        <f>TEXT(D753,"dd/mm/yyyy")</f>
        <v>02/07/2022</v>
      </c>
      <c r="F753" s="5" t="str" cm="1">
        <f t="array" ref="F753">RIGHT(_xlfn.ANCHORARRAY(E753),4)</f>
        <v>2022</v>
      </c>
      <c r="G753" s="5" t="str">
        <f>TEXT(E753,"mm")</f>
        <v>02</v>
      </c>
      <c r="H753" s="6">
        <v>19481</v>
      </c>
      <c r="I753">
        <v>51</v>
      </c>
      <c r="L753" t="str">
        <f t="shared" si="11"/>
        <v>Above Average</v>
      </c>
      <c r="M753">
        <f>RANK(H753,H:H,0)</f>
        <v>20</v>
      </c>
    </row>
    <row r="754" spans="1:13">
      <c r="A754" t="s">
        <v>70</v>
      </c>
      <c r="B754" t="s">
        <v>35</v>
      </c>
      <c r="C754" t="s">
        <v>18</v>
      </c>
      <c r="D754" s="3" t="s">
        <v>123</v>
      </c>
      <c r="E754" s="5" t="str">
        <f>TEXT(D754,"dd/mm/yyyy")</f>
        <v>17/03/2022</v>
      </c>
      <c r="F754" s="5" t="str" cm="1">
        <f t="array" ref="F754">RIGHT(_xlfn.ANCHORARRAY(E754),4)</f>
        <v>2022</v>
      </c>
      <c r="G754" s="5" t="str">
        <f>TEXT(E754,"mm")</f>
        <v>17/03/2022</v>
      </c>
      <c r="H754" s="6">
        <v>8099</v>
      </c>
      <c r="I754">
        <v>118</v>
      </c>
      <c r="L754" t="str">
        <f t="shared" si="11"/>
        <v>Above Average</v>
      </c>
      <c r="M754">
        <f>RANK(H754,H:H,0)</f>
        <v>918</v>
      </c>
    </row>
    <row r="755" spans="1:13">
      <c r="A755" t="s">
        <v>14</v>
      </c>
      <c r="B755" t="s">
        <v>10</v>
      </c>
      <c r="C755" t="s">
        <v>87</v>
      </c>
      <c r="D755" s="4">
        <v>44569</v>
      </c>
      <c r="E755" s="5" t="str">
        <f>TEXT(D755,"dd/mm/yyyy")</f>
        <v>08/01/2022</v>
      </c>
      <c r="F755" s="5" t="str" cm="1">
        <f t="array" ref="F755">RIGHT(_xlfn.ANCHORARRAY(E755),4)</f>
        <v>2022</v>
      </c>
      <c r="G755" s="5" t="str">
        <f>TEXT(E755,"mm")</f>
        <v>08</v>
      </c>
      <c r="H755" s="6">
        <v>13727</v>
      </c>
      <c r="I755">
        <v>79</v>
      </c>
      <c r="L755" t="str">
        <f t="shared" si="11"/>
        <v>Above Average</v>
      </c>
      <c r="M755">
        <f>RANK(H755,H:H,0)</f>
        <v>219</v>
      </c>
    </row>
    <row r="756" spans="1:13">
      <c r="A756" t="s">
        <v>6</v>
      </c>
      <c r="B756" t="s">
        <v>15</v>
      </c>
      <c r="C756" t="s">
        <v>46</v>
      </c>
      <c r="D756" s="3" t="s">
        <v>133</v>
      </c>
      <c r="E756" s="5" t="str">
        <f>TEXT(D756,"dd/mm/yyyy")</f>
        <v>18/03/2022</v>
      </c>
      <c r="F756" s="5" t="str" cm="1">
        <f t="array" ref="F756">RIGHT(_xlfn.ANCHORARRAY(E756),4)</f>
        <v>2022</v>
      </c>
      <c r="G756" s="5" t="str">
        <f>TEXT(E756,"mm")</f>
        <v>18/03/2022</v>
      </c>
      <c r="H756" s="6">
        <v>8659</v>
      </c>
      <c r="I756">
        <v>29</v>
      </c>
      <c r="L756" t="str">
        <f t="shared" si="11"/>
        <v>Above Average</v>
      </c>
      <c r="M756">
        <f>RANK(H756,H:H,0)</f>
        <v>806</v>
      </c>
    </row>
    <row r="757" spans="1:13">
      <c r="A757" t="s">
        <v>12</v>
      </c>
      <c r="B757" t="s">
        <v>35</v>
      </c>
      <c r="C757" t="s">
        <v>57</v>
      </c>
      <c r="D757" s="3" t="s">
        <v>127</v>
      </c>
      <c r="E757" s="5" t="str">
        <f>TEXT(D757,"dd/mm/yyyy")</f>
        <v>14/06/2022</v>
      </c>
      <c r="F757" s="5" t="str" cm="1">
        <f t="array" ref="F757">RIGHT(_xlfn.ANCHORARRAY(E757),4)</f>
        <v>2022</v>
      </c>
      <c r="G757" s="5" t="str">
        <f>TEXT(E757,"mm")</f>
        <v>14/06/2022</v>
      </c>
      <c r="H757" s="6">
        <v>5782</v>
      </c>
      <c r="I757">
        <v>103</v>
      </c>
      <c r="L757" t="str">
        <f t="shared" si="11"/>
        <v>Below Average</v>
      </c>
      <c r="M757">
        <f>RANK(H757,H:H,0)</f>
        <v>1491</v>
      </c>
    </row>
    <row r="758" spans="1:13">
      <c r="A758" t="s">
        <v>41</v>
      </c>
      <c r="B758" t="s">
        <v>7</v>
      </c>
      <c r="C758" t="s">
        <v>36</v>
      </c>
      <c r="D758" s="3" t="s">
        <v>134</v>
      </c>
      <c r="E758" s="5" t="str">
        <f>TEXT(D758,"dd/mm/yyyy")</f>
        <v>22/04/2022</v>
      </c>
      <c r="F758" s="5" t="str" cm="1">
        <f t="array" ref="F758">RIGHT(_xlfn.ANCHORARRAY(E758),4)</f>
        <v>2022</v>
      </c>
      <c r="G758" s="5" t="str">
        <f>TEXT(E758,"mm")</f>
        <v>22/04/2022</v>
      </c>
      <c r="H758" s="6">
        <v>8463</v>
      </c>
      <c r="I758">
        <v>155</v>
      </c>
      <c r="L758" t="str">
        <f t="shared" si="11"/>
        <v>Above Average</v>
      </c>
      <c r="M758">
        <f>RANK(H758,H:H,0)</f>
        <v>844</v>
      </c>
    </row>
    <row r="759" spans="1:13">
      <c r="A759" t="s">
        <v>40</v>
      </c>
      <c r="B759" t="s">
        <v>25</v>
      </c>
      <c r="C759" t="s">
        <v>36</v>
      </c>
      <c r="D759" s="3" t="s">
        <v>115</v>
      </c>
      <c r="E759" s="5" t="str">
        <f>TEXT(D759,"dd/mm/yyyy")</f>
        <v>18/01/2022</v>
      </c>
      <c r="F759" s="5" t="str" cm="1">
        <f t="array" ref="F759">RIGHT(_xlfn.ANCHORARRAY(E759),4)</f>
        <v>2022</v>
      </c>
      <c r="G759" s="5" t="str">
        <f>TEXT(E759,"mm")</f>
        <v>18/01/2022</v>
      </c>
      <c r="H759" s="6">
        <v>4914</v>
      </c>
      <c r="I759">
        <v>31</v>
      </c>
      <c r="L759" t="str">
        <f t="shared" si="11"/>
        <v>Below Average</v>
      </c>
      <c r="M759">
        <f>RANK(H759,H:H,0)</f>
        <v>1725</v>
      </c>
    </row>
    <row r="760" spans="1:13">
      <c r="A760" t="s">
        <v>53</v>
      </c>
      <c r="B760" t="s">
        <v>15</v>
      </c>
      <c r="C760" t="s">
        <v>20</v>
      </c>
      <c r="D760" s="3" t="s">
        <v>93</v>
      </c>
      <c r="E760" s="5" t="str">
        <f>TEXT(D760,"dd/mm/yyyy")</f>
        <v>26/08/2022</v>
      </c>
      <c r="F760" s="5" t="str" cm="1">
        <f t="array" ref="F760">RIGHT(_xlfn.ANCHORARRAY(E760),4)</f>
        <v>2022</v>
      </c>
      <c r="G760" s="5" t="str">
        <f>TEXT(E760,"mm")</f>
        <v>26/08/2022</v>
      </c>
      <c r="H760" s="6">
        <v>3087</v>
      </c>
      <c r="I760">
        <v>128</v>
      </c>
      <c r="L760" t="str">
        <f t="shared" si="11"/>
        <v>Below Average</v>
      </c>
      <c r="M760">
        <f>RANK(H760,H:H,0)</f>
        <v>2274</v>
      </c>
    </row>
    <row r="761" spans="1:13">
      <c r="A761" t="s">
        <v>22</v>
      </c>
      <c r="B761" t="s">
        <v>25</v>
      </c>
      <c r="C761" t="s">
        <v>57</v>
      </c>
      <c r="D761" s="4">
        <v>44840</v>
      </c>
      <c r="E761" s="5" t="str">
        <f>TEXT(D761,"dd/mm/yyyy")</f>
        <v>06/10/2022</v>
      </c>
      <c r="F761" s="5" t="str" cm="1">
        <f t="array" ref="F761">RIGHT(_xlfn.ANCHORARRAY(E761),4)</f>
        <v>2022</v>
      </c>
      <c r="G761" s="5" t="str">
        <f>TEXT(E761,"mm")</f>
        <v>06</v>
      </c>
      <c r="H761" s="6">
        <v>9205</v>
      </c>
      <c r="I761">
        <v>419</v>
      </c>
      <c r="L761" t="str">
        <f t="shared" si="11"/>
        <v>Above Average</v>
      </c>
      <c r="M761">
        <f>RANK(H761,H:H,0)</f>
        <v>703</v>
      </c>
    </row>
    <row r="762" spans="1:13">
      <c r="A762" t="s">
        <v>48</v>
      </c>
      <c r="B762" t="s">
        <v>35</v>
      </c>
      <c r="C762" t="s">
        <v>100</v>
      </c>
      <c r="D762" s="3" t="s">
        <v>96</v>
      </c>
      <c r="E762" s="5" t="str">
        <f>TEXT(D762,"dd/mm/yyyy")</f>
        <v>31/01/2022</v>
      </c>
      <c r="F762" s="5" t="str" cm="1">
        <f t="array" ref="F762">RIGHT(_xlfn.ANCHORARRAY(E762),4)</f>
        <v>2022</v>
      </c>
      <c r="G762" s="5" t="str">
        <f>TEXT(E762,"mm")</f>
        <v>31/01/2022</v>
      </c>
      <c r="H762" s="6">
        <v>2303</v>
      </c>
      <c r="I762">
        <v>7</v>
      </c>
      <c r="L762" t="str">
        <f t="shared" si="11"/>
        <v>Below Average</v>
      </c>
      <c r="M762">
        <f>RANK(H762,H:H,0)</f>
        <v>2550</v>
      </c>
    </row>
    <row r="763" spans="1:13">
      <c r="A763" t="s">
        <v>70</v>
      </c>
      <c r="B763" t="s">
        <v>25</v>
      </c>
      <c r="C763" t="s">
        <v>60</v>
      </c>
      <c r="D763" s="4">
        <v>44777</v>
      </c>
      <c r="E763" s="5" t="str">
        <f>TEXT(D763,"dd/mm/yyyy")</f>
        <v>04/08/2022</v>
      </c>
      <c r="F763" s="5" t="str" cm="1">
        <f t="array" ref="F763">RIGHT(_xlfn.ANCHORARRAY(E763),4)</f>
        <v>2022</v>
      </c>
      <c r="G763" s="5" t="str">
        <f>TEXT(E763,"mm")</f>
        <v>04</v>
      </c>
      <c r="H763" s="6">
        <v>1358</v>
      </c>
      <c r="I763">
        <v>106</v>
      </c>
      <c r="L763" t="str">
        <f t="shared" si="11"/>
        <v>Below Average</v>
      </c>
      <c r="M763">
        <f>RANK(H763,H:H,0)</f>
        <v>2858</v>
      </c>
    </row>
    <row r="764" spans="1:13">
      <c r="A764" t="s">
        <v>79</v>
      </c>
      <c r="B764" t="s">
        <v>15</v>
      </c>
      <c r="C764" t="s">
        <v>87</v>
      </c>
      <c r="D764" s="4">
        <v>44748</v>
      </c>
      <c r="E764" s="5" t="str">
        <f>TEXT(D764,"dd/mm/yyyy")</f>
        <v>06/07/2022</v>
      </c>
      <c r="F764" s="5" t="str" cm="1">
        <f t="array" ref="F764">RIGHT(_xlfn.ANCHORARRAY(E764),4)</f>
        <v>2022</v>
      </c>
      <c r="G764" s="5" t="str">
        <f>TEXT(E764,"mm")</f>
        <v>06</v>
      </c>
      <c r="H764" s="6">
        <v>3605</v>
      </c>
      <c r="I764">
        <v>68</v>
      </c>
      <c r="L764" t="str">
        <f t="shared" si="11"/>
        <v>Below Average</v>
      </c>
      <c r="M764">
        <f>RANK(H764,H:H,0)</f>
        <v>2105</v>
      </c>
    </row>
    <row r="765" spans="1:13">
      <c r="A765" t="s">
        <v>31</v>
      </c>
      <c r="B765" t="s">
        <v>15</v>
      </c>
      <c r="C765" t="s">
        <v>11</v>
      </c>
      <c r="D765" s="4">
        <v>44836</v>
      </c>
      <c r="E765" s="5" t="str">
        <f>TEXT(D765,"dd/mm/yyyy")</f>
        <v>02/10/2022</v>
      </c>
      <c r="F765" s="5" t="str" cm="1">
        <f t="array" ref="F765">RIGHT(_xlfn.ANCHORARRAY(E765),4)</f>
        <v>2022</v>
      </c>
      <c r="G765" s="5" t="str">
        <f>TEXT(E765,"mm")</f>
        <v>02</v>
      </c>
      <c r="H765" s="6">
        <v>8498</v>
      </c>
      <c r="I765">
        <v>44</v>
      </c>
      <c r="L765" t="str">
        <f t="shared" si="11"/>
        <v>Above Average</v>
      </c>
      <c r="M765">
        <f>RANK(H765,H:H,0)</f>
        <v>834</v>
      </c>
    </row>
    <row r="766" spans="1:13">
      <c r="A766" t="s">
        <v>41</v>
      </c>
      <c r="B766" t="s">
        <v>15</v>
      </c>
      <c r="C766" t="s">
        <v>26</v>
      </c>
      <c r="D766" s="3" t="s">
        <v>86</v>
      </c>
      <c r="E766" s="5" t="str">
        <f>TEXT(D766,"dd/mm/yyyy")</f>
        <v>16/05/2022</v>
      </c>
      <c r="F766" s="5" t="str" cm="1">
        <f t="array" ref="F766">RIGHT(_xlfn.ANCHORARRAY(E766),4)</f>
        <v>2022</v>
      </c>
      <c r="G766" s="5" t="str">
        <f>TEXT(E766,"mm")</f>
        <v>16/05/2022</v>
      </c>
      <c r="H766" s="6">
        <v>700</v>
      </c>
      <c r="I766">
        <v>457</v>
      </c>
      <c r="L766" t="str">
        <f t="shared" si="11"/>
        <v>Below Average</v>
      </c>
      <c r="M766">
        <f>RANK(H766,H:H,0)</f>
        <v>3064</v>
      </c>
    </row>
    <row r="767" spans="1:13">
      <c r="A767" t="s">
        <v>22</v>
      </c>
      <c r="B767" t="s">
        <v>10</v>
      </c>
      <c r="C767" t="s">
        <v>87</v>
      </c>
      <c r="D767" s="3" t="s">
        <v>133</v>
      </c>
      <c r="E767" s="5" t="str">
        <f>TEXT(D767,"dd/mm/yyyy")</f>
        <v>18/03/2022</v>
      </c>
      <c r="F767" s="5" t="str" cm="1">
        <f t="array" ref="F767">RIGHT(_xlfn.ANCHORARRAY(E767),4)</f>
        <v>2022</v>
      </c>
      <c r="G767" s="5" t="str">
        <f>TEXT(E767,"mm")</f>
        <v>18/03/2022</v>
      </c>
      <c r="H767" s="6">
        <v>2191</v>
      </c>
      <c r="I767">
        <v>524</v>
      </c>
      <c r="L767" t="str">
        <f t="shared" si="11"/>
        <v>Below Average</v>
      </c>
      <c r="M767">
        <f>RANK(H767,H:H,0)</f>
        <v>2581</v>
      </c>
    </row>
    <row r="768" spans="1:13">
      <c r="A768" t="s">
        <v>9</v>
      </c>
      <c r="B768" t="s">
        <v>15</v>
      </c>
      <c r="C768" t="s">
        <v>26</v>
      </c>
      <c r="D768" s="3" t="s">
        <v>94</v>
      </c>
      <c r="E768" s="5" t="str">
        <f>TEXT(D768,"dd/mm/yyyy")</f>
        <v>13/07/2022</v>
      </c>
      <c r="F768" s="5" t="str" cm="1">
        <f t="array" ref="F768">RIGHT(_xlfn.ANCHORARRAY(E768),4)</f>
        <v>2022</v>
      </c>
      <c r="G768" s="5" t="str">
        <f>TEXT(E768,"mm")</f>
        <v>13/07/2022</v>
      </c>
      <c r="H768" s="6">
        <v>644</v>
      </c>
      <c r="I768">
        <v>137</v>
      </c>
      <c r="L768" t="str">
        <f t="shared" si="11"/>
        <v>Below Average</v>
      </c>
      <c r="M768">
        <f>RANK(H768,H:H,0)</f>
        <v>3085</v>
      </c>
    </row>
    <row r="769" spans="1:13">
      <c r="A769" t="s">
        <v>19</v>
      </c>
      <c r="B769" t="s">
        <v>32</v>
      </c>
      <c r="C769" t="s">
        <v>60</v>
      </c>
      <c r="D769" s="3" t="s">
        <v>113</v>
      </c>
      <c r="E769" s="5" t="str">
        <f>TEXT(D769,"dd/mm/yyyy")</f>
        <v>25/07/2022</v>
      </c>
      <c r="F769" s="5" t="str" cm="1">
        <f t="array" ref="F769">RIGHT(_xlfn.ANCHORARRAY(E769),4)</f>
        <v>2022</v>
      </c>
      <c r="G769" s="5" t="str">
        <f>TEXT(E769,"mm")</f>
        <v>25/07/2022</v>
      </c>
      <c r="H769" s="6">
        <v>4340</v>
      </c>
      <c r="I769">
        <v>86</v>
      </c>
      <c r="L769" t="str">
        <f t="shared" si="11"/>
        <v>Below Average</v>
      </c>
      <c r="M769">
        <f>RANK(H769,H:H,0)</f>
        <v>1894</v>
      </c>
    </row>
    <row r="770" spans="1:13">
      <c r="A770" t="s">
        <v>9</v>
      </c>
      <c r="B770" t="s">
        <v>35</v>
      </c>
      <c r="C770" t="s">
        <v>75</v>
      </c>
      <c r="D770" s="3" t="s">
        <v>137</v>
      </c>
      <c r="E770" s="5" t="str">
        <f>TEXT(D770,"dd/mm/yyyy")</f>
        <v>19/08/2022</v>
      </c>
      <c r="F770" s="5" t="str" cm="1">
        <f t="array" ref="F770">RIGHT(_xlfn.ANCHORARRAY(E770),4)</f>
        <v>2022</v>
      </c>
      <c r="G770" s="5" t="str">
        <f>TEXT(E770,"mm")</f>
        <v>19/08/2022</v>
      </c>
      <c r="H770" s="6">
        <v>2282</v>
      </c>
      <c r="I770">
        <v>296</v>
      </c>
      <c r="L770" t="str">
        <f t="shared" si="11"/>
        <v>Below Average</v>
      </c>
      <c r="M770">
        <f>RANK(H770,H:H,0)</f>
        <v>2556</v>
      </c>
    </row>
    <row r="771" spans="1:13">
      <c r="A771" t="s">
        <v>37</v>
      </c>
      <c r="B771" t="s">
        <v>35</v>
      </c>
      <c r="C771" t="s">
        <v>100</v>
      </c>
      <c r="D771" s="3" t="s">
        <v>143</v>
      </c>
      <c r="E771" s="5" t="str">
        <f>TEXT(D771,"dd/mm/yyyy")</f>
        <v>24/06/2022</v>
      </c>
      <c r="F771" s="5" t="str" cm="1">
        <f t="array" ref="F771">RIGHT(_xlfn.ANCHORARRAY(E771),4)</f>
        <v>2022</v>
      </c>
      <c r="G771" s="5" t="str">
        <f>TEXT(E771,"mm")</f>
        <v>24/06/2022</v>
      </c>
      <c r="H771" s="6">
        <v>7714</v>
      </c>
      <c r="I771">
        <v>597</v>
      </c>
      <c r="L771" t="str">
        <f t="shared" ref="L771:L834" si="12">IF(H771&gt;6030.34,"Above Average","Below Average")</f>
        <v>Above Average</v>
      </c>
      <c r="M771">
        <f>RANK(H771,H:H,0)</f>
        <v>1010</v>
      </c>
    </row>
    <row r="772" spans="1:13">
      <c r="A772" t="s">
        <v>70</v>
      </c>
      <c r="B772" t="s">
        <v>35</v>
      </c>
      <c r="C772" t="s">
        <v>57</v>
      </c>
      <c r="D772" s="3" t="s">
        <v>92</v>
      </c>
      <c r="E772" s="5" t="str">
        <f>TEXT(D772,"dd/mm/yyyy")</f>
        <v>20/06/2022</v>
      </c>
      <c r="F772" s="5" t="str" cm="1">
        <f t="array" ref="F772">RIGHT(_xlfn.ANCHORARRAY(E772),4)</f>
        <v>2022</v>
      </c>
      <c r="G772" s="5" t="str">
        <f>TEXT(E772,"mm")</f>
        <v>20/06/2022</v>
      </c>
      <c r="H772" s="6">
        <v>826</v>
      </c>
      <c r="I772">
        <v>149</v>
      </c>
      <c r="L772" t="str">
        <f t="shared" si="12"/>
        <v>Below Average</v>
      </c>
      <c r="M772">
        <f>RANK(H772,H:H,0)</f>
        <v>3021</v>
      </c>
    </row>
    <row r="773" spans="1:13">
      <c r="A773" t="s">
        <v>71</v>
      </c>
      <c r="B773" t="s">
        <v>10</v>
      </c>
      <c r="C773" t="s">
        <v>20</v>
      </c>
      <c r="D773" s="4">
        <v>44600</v>
      </c>
      <c r="E773" s="5" t="str">
        <f>TEXT(D773,"dd/mm/yyyy")</f>
        <v>08/02/2022</v>
      </c>
      <c r="F773" s="5" t="str" cm="1">
        <f t="array" ref="F773">RIGHT(_xlfn.ANCHORARRAY(E773),4)</f>
        <v>2022</v>
      </c>
      <c r="G773" s="5" t="str">
        <f>TEXT(E773,"mm")</f>
        <v>08</v>
      </c>
      <c r="H773" s="6">
        <v>203</v>
      </c>
      <c r="I773">
        <v>207</v>
      </c>
      <c r="L773" t="str">
        <f t="shared" si="12"/>
        <v>Below Average</v>
      </c>
      <c r="M773">
        <f>RANK(H773,H:H,0)</f>
        <v>3216</v>
      </c>
    </row>
    <row r="774" spans="1:13">
      <c r="A774" t="s">
        <v>77</v>
      </c>
      <c r="B774" t="s">
        <v>25</v>
      </c>
      <c r="C774" t="s">
        <v>100</v>
      </c>
      <c r="D774" s="3" t="s">
        <v>125</v>
      </c>
      <c r="E774" s="5" t="str">
        <f>TEXT(D774,"dd/mm/yyyy")</f>
        <v>22/02/2022</v>
      </c>
      <c r="F774" s="5" t="str" cm="1">
        <f t="array" ref="F774">RIGHT(_xlfn.ANCHORARRAY(E774),4)</f>
        <v>2022</v>
      </c>
      <c r="G774" s="5" t="str">
        <f>TEXT(E774,"mm")</f>
        <v>22/02/2022</v>
      </c>
      <c r="H774" s="6">
        <v>13356</v>
      </c>
      <c r="I774">
        <v>93</v>
      </c>
      <c r="L774" t="str">
        <f t="shared" si="12"/>
        <v>Above Average</v>
      </c>
      <c r="M774">
        <f>RANK(H774,H:H,0)</f>
        <v>245</v>
      </c>
    </row>
    <row r="775" spans="1:13">
      <c r="A775" t="s">
        <v>34</v>
      </c>
      <c r="B775" t="s">
        <v>25</v>
      </c>
      <c r="C775" t="s">
        <v>33</v>
      </c>
      <c r="D775" s="4">
        <v>44563</v>
      </c>
      <c r="E775" s="5" t="str">
        <f>TEXT(D775,"dd/mm/yyyy")</f>
        <v>02/01/2022</v>
      </c>
      <c r="F775" s="5" t="str" cm="1">
        <f t="array" ref="F775">RIGHT(_xlfn.ANCHORARRAY(E775),4)</f>
        <v>2022</v>
      </c>
      <c r="G775" s="5" t="str">
        <f>TEXT(E775,"mm")</f>
        <v>02</v>
      </c>
      <c r="H775" s="6">
        <v>6510</v>
      </c>
      <c r="I775">
        <v>23</v>
      </c>
      <c r="L775" t="str">
        <f t="shared" si="12"/>
        <v>Above Average</v>
      </c>
      <c r="M775">
        <f>RANK(H775,H:H,0)</f>
        <v>1305</v>
      </c>
    </row>
    <row r="776" spans="1:13">
      <c r="A776" t="s">
        <v>14</v>
      </c>
      <c r="B776" t="s">
        <v>35</v>
      </c>
      <c r="C776" t="s">
        <v>100</v>
      </c>
      <c r="D776" s="3" t="s">
        <v>44</v>
      </c>
      <c r="E776" s="5" t="str">
        <f>TEXT(D776,"dd/mm/yyyy")</f>
        <v>14/02/2022</v>
      </c>
      <c r="F776" s="5" t="str" cm="1">
        <f t="array" ref="F776">RIGHT(_xlfn.ANCHORARRAY(E776),4)</f>
        <v>2022</v>
      </c>
      <c r="G776" s="5" t="str">
        <f>TEXT(E776,"mm")</f>
        <v>14/02/2022</v>
      </c>
      <c r="H776" s="6">
        <v>5894</v>
      </c>
      <c r="I776">
        <v>305</v>
      </c>
      <c r="L776" t="str">
        <f t="shared" si="12"/>
        <v>Below Average</v>
      </c>
      <c r="M776">
        <f>RANK(H776,H:H,0)</f>
        <v>1461</v>
      </c>
    </row>
    <row r="777" spans="1:13">
      <c r="A777" t="s">
        <v>70</v>
      </c>
      <c r="B777" t="s">
        <v>15</v>
      </c>
      <c r="C777" t="s">
        <v>46</v>
      </c>
      <c r="D777" s="3" t="s">
        <v>17</v>
      </c>
      <c r="E777" s="5" t="str">
        <f>TEXT(D777,"dd/mm/yyyy")</f>
        <v>24/02/2022</v>
      </c>
      <c r="F777" s="5" t="str" cm="1">
        <f t="array" ref="F777">RIGHT(_xlfn.ANCHORARRAY(E777),4)</f>
        <v>2022</v>
      </c>
      <c r="G777" s="5" t="str">
        <f>TEXT(E777,"mm")</f>
        <v>24/02/2022</v>
      </c>
      <c r="H777" s="6">
        <v>7910</v>
      </c>
      <c r="I777">
        <v>125</v>
      </c>
      <c r="L777" t="str">
        <f t="shared" si="12"/>
        <v>Above Average</v>
      </c>
      <c r="M777">
        <f>RANK(H777,H:H,0)</f>
        <v>964</v>
      </c>
    </row>
    <row r="778" spans="1:13">
      <c r="A778" t="s">
        <v>58</v>
      </c>
      <c r="B778" t="s">
        <v>10</v>
      </c>
      <c r="C778" t="s">
        <v>33</v>
      </c>
      <c r="D778" s="3" t="s">
        <v>133</v>
      </c>
      <c r="E778" s="5" t="str">
        <f>TEXT(D778,"dd/mm/yyyy")</f>
        <v>18/03/2022</v>
      </c>
      <c r="F778" s="5" t="str" cm="1">
        <f t="array" ref="F778">RIGHT(_xlfn.ANCHORARRAY(E778),4)</f>
        <v>2022</v>
      </c>
      <c r="G778" s="5" t="str">
        <f>TEXT(E778,"mm")</f>
        <v>18/03/2022</v>
      </c>
      <c r="H778" s="6">
        <v>784</v>
      </c>
      <c r="I778">
        <v>129</v>
      </c>
      <c r="L778" t="str">
        <f t="shared" si="12"/>
        <v>Below Average</v>
      </c>
      <c r="M778">
        <f>RANK(H778,H:H,0)</f>
        <v>3032</v>
      </c>
    </row>
    <row r="779" spans="1:13">
      <c r="A779" t="s">
        <v>53</v>
      </c>
      <c r="B779" t="s">
        <v>7</v>
      </c>
      <c r="C779" t="s">
        <v>36</v>
      </c>
      <c r="D779" s="3" t="s">
        <v>140</v>
      </c>
      <c r="E779" s="5" t="str">
        <f>TEXT(D779,"dd/mm/yyyy")</f>
        <v>30/08/2022</v>
      </c>
      <c r="F779" s="5" t="str" cm="1">
        <f t="array" ref="F779">RIGHT(_xlfn.ANCHORARRAY(E779),4)</f>
        <v>2022</v>
      </c>
      <c r="G779" s="5" t="str">
        <f>TEXT(E779,"mm")</f>
        <v>30/08/2022</v>
      </c>
      <c r="H779" s="6">
        <v>1750</v>
      </c>
      <c r="I779">
        <v>252</v>
      </c>
      <c r="L779" t="str">
        <f t="shared" si="12"/>
        <v>Below Average</v>
      </c>
      <c r="M779">
        <f>RANK(H779,H:H,0)</f>
        <v>2711</v>
      </c>
    </row>
    <row r="780" spans="1:13">
      <c r="A780" t="s">
        <v>12</v>
      </c>
      <c r="B780" t="s">
        <v>32</v>
      </c>
      <c r="C780" t="s">
        <v>13</v>
      </c>
      <c r="D780" s="4">
        <v>44809</v>
      </c>
      <c r="E780" s="5" t="str">
        <f>TEXT(D780,"dd/mm/yyyy")</f>
        <v>05/09/2022</v>
      </c>
      <c r="F780" s="5" t="str" cm="1">
        <f t="array" ref="F780">RIGHT(_xlfn.ANCHORARRAY(E780),4)</f>
        <v>2022</v>
      </c>
      <c r="G780" s="5" t="str">
        <f>TEXT(E780,"mm")</f>
        <v>05</v>
      </c>
      <c r="H780" s="6">
        <v>280</v>
      </c>
      <c r="I780">
        <v>75</v>
      </c>
      <c r="L780" t="str">
        <f t="shared" si="12"/>
        <v>Below Average</v>
      </c>
      <c r="M780">
        <f>RANK(H780,H:H,0)</f>
        <v>3199</v>
      </c>
    </row>
    <row r="781" spans="1:13">
      <c r="A781" t="s">
        <v>64</v>
      </c>
      <c r="B781" t="s">
        <v>32</v>
      </c>
      <c r="C781" t="s">
        <v>18</v>
      </c>
      <c r="D781" s="3" t="s">
        <v>115</v>
      </c>
      <c r="E781" s="5" t="str">
        <f>TEXT(D781,"dd/mm/yyyy")</f>
        <v>18/01/2022</v>
      </c>
      <c r="F781" s="5" t="str" cm="1">
        <f t="array" ref="F781">RIGHT(_xlfn.ANCHORARRAY(E781),4)</f>
        <v>2022</v>
      </c>
      <c r="G781" s="5" t="str">
        <f>TEXT(E781,"mm")</f>
        <v>18/01/2022</v>
      </c>
      <c r="H781" s="6">
        <v>504</v>
      </c>
      <c r="I781">
        <v>87</v>
      </c>
      <c r="L781" t="str">
        <f t="shared" si="12"/>
        <v>Below Average</v>
      </c>
      <c r="M781">
        <f>RANK(H781,H:H,0)</f>
        <v>3123</v>
      </c>
    </row>
    <row r="782" spans="1:13">
      <c r="A782" t="s">
        <v>48</v>
      </c>
      <c r="B782" t="s">
        <v>10</v>
      </c>
      <c r="C782" t="s">
        <v>59</v>
      </c>
      <c r="D782" s="4">
        <v>44658</v>
      </c>
      <c r="E782" s="5" t="str">
        <f>TEXT(D782,"dd/mm/yyyy")</f>
        <v>07/04/2022</v>
      </c>
      <c r="F782" s="5" t="str" cm="1">
        <f t="array" ref="F782">RIGHT(_xlfn.ANCHORARRAY(E782),4)</f>
        <v>2022</v>
      </c>
      <c r="G782" s="5" t="str">
        <f>TEXT(E782,"mm")</f>
        <v>07</v>
      </c>
      <c r="H782" s="6">
        <v>7154</v>
      </c>
      <c r="I782">
        <v>342</v>
      </c>
      <c r="L782" t="str">
        <f t="shared" si="12"/>
        <v>Above Average</v>
      </c>
      <c r="M782">
        <f>RANK(H782,H:H,0)</f>
        <v>1144</v>
      </c>
    </row>
    <row r="783" spans="1:13">
      <c r="A783" t="s">
        <v>19</v>
      </c>
      <c r="B783" t="s">
        <v>25</v>
      </c>
      <c r="C783" t="s">
        <v>50</v>
      </c>
      <c r="D783" s="4">
        <v>44626</v>
      </c>
      <c r="E783" s="5" t="str">
        <f>TEXT(D783,"dd/mm/yyyy")</f>
        <v>06/03/2022</v>
      </c>
      <c r="F783" s="5" t="str" cm="1">
        <f t="array" ref="F783">RIGHT(_xlfn.ANCHORARRAY(E783),4)</f>
        <v>2022</v>
      </c>
      <c r="G783" s="5" t="str">
        <f>TEXT(E783,"mm")</f>
        <v>06</v>
      </c>
      <c r="H783" s="6">
        <v>1617</v>
      </c>
      <c r="I783">
        <v>13</v>
      </c>
      <c r="L783" t="str">
        <f t="shared" si="12"/>
        <v>Below Average</v>
      </c>
      <c r="M783">
        <f>RANK(H783,H:H,0)</f>
        <v>2764</v>
      </c>
    </row>
    <row r="784" spans="1:13">
      <c r="A784" t="s">
        <v>41</v>
      </c>
      <c r="B784" t="s">
        <v>25</v>
      </c>
      <c r="C784" t="s">
        <v>13</v>
      </c>
      <c r="D784" s="3" t="s">
        <v>76</v>
      </c>
      <c r="E784" s="5" t="str">
        <f>TEXT(D784,"dd/mm/yyyy")</f>
        <v>23/02/2022</v>
      </c>
      <c r="F784" s="5" t="str" cm="1">
        <f t="array" ref="F784">RIGHT(_xlfn.ANCHORARRAY(E784),4)</f>
        <v>2022</v>
      </c>
      <c r="G784" s="5" t="str">
        <f>TEXT(E784,"mm")</f>
        <v>23/02/2022</v>
      </c>
      <c r="H784" s="6">
        <v>10822</v>
      </c>
      <c r="I784">
        <v>30</v>
      </c>
      <c r="L784" t="str">
        <f t="shared" si="12"/>
        <v>Above Average</v>
      </c>
      <c r="M784">
        <f>RANK(H784,H:H,0)</f>
        <v>467</v>
      </c>
    </row>
    <row r="785" spans="1:13">
      <c r="A785" t="s">
        <v>79</v>
      </c>
      <c r="B785" t="s">
        <v>25</v>
      </c>
      <c r="C785" t="s">
        <v>20</v>
      </c>
      <c r="D785" s="4">
        <v>44809</v>
      </c>
      <c r="E785" s="5" t="str">
        <f>TEXT(D785,"dd/mm/yyyy")</f>
        <v>05/09/2022</v>
      </c>
      <c r="F785" s="5" t="str" cm="1">
        <f t="array" ref="F785">RIGHT(_xlfn.ANCHORARRAY(E785),4)</f>
        <v>2022</v>
      </c>
      <c r="G785" s="5" t="str">
        <f>TEXT(E785,"mm")</f>
        <v>05</v>
      </c>
      <c r="H785" s="6">
        <v>10724</v>
      </c>
      <c r="I785">
        <v>203</v>
      </c>
      <c r="L785" t="str">
        <f t="shared" si="12"/>
        <v>Above Average</v>
      </c>
      <c r="M785">
        <f>RANK(H785,H:H,0)</f>
        <v>487</v>
      </c>
    </row>
    <row r="786" spans="1:13">
      <c r="A786" t="s">
        <v>70</v>
      </c>
      <c r="B786" t="s">
        <v>10</v>
      </c>
      <c r="C786" t="s">
        <v>100</v>
      </c>
      <c r="D786" s="4">
        <v>44718</v>
      </c>
      <c r="E786" s="5" t="str">
        <f>TEXT(D786,"dd/mm/yyyy")</f>
        <v>06/06/2022</v>
      </c>
      <c r="F786" s="5" t="str" cm="1">
        <f t="array" ref="F786">RIGHT(_xlfn.ANCHORARRAY(E786),4)</f>
        <v>2022</v>
      </c>
      <c r="G786" s="5" t="str">
        <f>TEXT(E786,"mm")</f>
        <v>06</v>
      </c>
      <c r="H786" s="6">
        <v>3640</v>
      </c>
      <c r="I786">
        <v>106</v>
      </c>
      <c r="L786" t="str">
        <f t="shared" si="12"/>
        <v>Below Average</v>
      </c>
      <c r="M786">
        <f>RANK(H786,H:H,0)</f>
        <v>2091</v>
      </c>
    </row>
    <row r="787" spans="1:13">
      <c r="A787" t="s">
        <v>70</v>
      </c>
      <c r="B787" t="s">
        <v>10</v>
      </c>
      <c r="C787" t="s">
        <v>38</v>
      </c>
      <c r="D787" s="4">
        <v>44658</v>
      </c>
      <c r="E787" s="5" t="str">
        <f>TEXT(D787,"dd/mm/yyyy")</f>
        <v>07/04/2022</v>
      </c>
      <c r="F787" s="5" t="str" cm="1">
        <f t="array" ref="F787">RIGHT(_xlfn.ANCHORARRAY(E787),4)</f>
        <v>2022</v>
      </c>
      <c r="G787" s="5" t="str">
        <f>TEXT(E787,"mm")</f>
        <v>07</v>
      </c>
      <c r="H787" s="6">
        <v>7532</v>
      </c>
      <c r="I787">
        <v>234</v>
      </c>
      <c r="L787" t="str">
        <f t="shared" si="12"/>
        <v>Above Average</v>
      </c>
      <c r="M787">
        <f>RANK(H787,H:H,0)</f>
        <v>1056</v>
      </c>
    </row>
    <row r="788" spans="1:13">
      <c r="A788" t="s">
        <v>28</v>
      </c>
      <c r="B788" t="s">
        <v>25</v>
      </c>
      <c r="C788" t="s">
        <v>38</v>
      </c>
      <c r="D788" s="4">
        <v>44718</v>
      </c>
      <c r="E788" s="5" t="str">
        <f>TEXT(D788,"dd/mm/yyyy")</f>
        <v>06/06/2022</v>
      </c>
      <c r="F788" s="5" t="str" cm="1">
        <f t="array" ref="F788">RIGHT(_xlfn.ANCHORARRAY(E788),4)</f>
        <v>2022</v>
      </c>
      <c r="G788" s="5" t="str">
        <f>TEXT(E788,"mm")</f>
        <v>06</v>
      </c>
      <c r="H788" s="6">
        <v>1582</v>
      </c>
      <c r="I788">
        <v>100</v>
      </c>
      <c r="L788" t="str">
        <f t="shared" si="12"/>
        <v>Below Average</v>
      </c>
      <c r="M788">
        <f>RANK(H788,H:H,0)</f>
        <v>2778</v>
      </c>
    </row>
    <row r="789" spans="1:13">
      <c r="A789" t="s">
        <v>79</v>
      </c>
      <c r="B789" t="s">
        <v>15</v>
      </c>
      <c r="C789" t="s">
        <v>65</v>
      </c>
      <c r="D789" s="3" t="s">
        <v>130</v>
      </c>
      <c r="E789" s="5" t="str">
        <f>TEXT(D789,"dd/mm/yyyy")</f>
        <v>13/05/2022</v>
      </c>
      <c r="F789" s="5" t="str" cm="1">
        <f t="array" ref="F789">RIGHT(_xlfn.ANCHORARRAY(E789),4)</f>
        <v>2022</v>
      </c>
      <c r="G789" s="5" t="str">
        <f>TEXT(E789,"mm")</f>
        <v>13/05/2022</v>
      </c>
      <c r="H789" s="6">
        <v>1456</v>
      </c>
      <c r="I789">
        <v>91</v>
      </c>
      <c r="L789" t="str">
        <f t="shared" si="12"/>
        <v>Below Average</v>
      </c>
      <c r="M789">
        <f>RANK(H789,H:H,0)</f>
        <v>2816</v>
      </c>
    </row>
    <row r="790" spans="1:13">
      <c r="A790" t="s">
        <v>64</v>
      </c>
      <c r="B790" t="s">
        <v>25</v>
      </c>
      <c r="C790" t="s">
        <v>42</v>
      </c>
      <c r="D790" s="3" t="s">
        <v>96</v>
      </c>
      <c r="E790" s="5" t="str">
        <f>TEXT(D790,"dd/mm/yyyy")</f>
        <v>31/01/2022</v>
      </c>
      <c r="F790" s="5" t="str" cm="1">
        <f t="array" ref="F790">RIGHT(_xlfn.ANCHORARRAY(E790),4)</f>
        <v>2022</v>
      </c>
      <c r="G790" s="5" t="str">
        <f>TEXT(E790,"mm")</f>
        <v>31/01/2022</v>
      </c>
      <c r="H790" s="6">
        <v>2016</v>
      </c>
      <c r="I790">
        <v>277</v>
      </c>
      <c r="L790" t="str">
        <f t="shared" si="12"/>
        <v>Below Average</v>
      </c>
      <c r="M790">
        <f>RANK(H790,H:H,0)</f>
        <v>2629</v>
      </c>
    </row>
    <row r="791" spans="1:13">
      <c r="A791" t="s">
        <v>83</v>
      </c>
      <c r="B791" t="s">
        <v>25</v>
      </c>
      <c r="C791" t="s">
        <v>90</v>
      </c>
      <c r="D791" s="3" t="s">
        <v>66</v>
      </c>
      <c r="E791" s="5" t="str">
        <f>TEXT(D791,"dd/mm/yyyy")</f>
        <v>30/06/2022</v>
      </c>
      <c r="F791" s="5" t="str" cm="1">
        <f t="array" ref="F791">RIGHT(_xlfn.ANCHORARRAY(E791),4)</f>
        <v>2022</v>
      </c>
      <c r="G791" s="5" t="str">
        <f>TEXT(E791,"mm")</f>
        <v>30/06/2022</v>
      </c>
      <c r="H791" s="6">
        <v>7588</v>
      </c>
      <c r="I791">
        <v>42</v>
      </c>
      <c r="L791" t="str">
        <f t="shared" si="12"/>
        <v>Above Average</v>
      </c>
      <c r="M791">
        <f>RANK(H791,H:H,0)</f>
        <v>1048</v>
      </c>
    </row>
    <row r="792" spans="1:13">
      <c r="A792" t="s">
        <v>31</v>
      </c>
      <c r="B792" t="s">
        <v>35</v>
      </c>
      <c r="C792" t="s">
        <v>60</v>
      </c>
      <c r="D792" s="3" t="s">
        <v>103</v>
      </c>
      <c r="E792" s="5" t="str">
        <f>TEXT(D792,"dd/mm/yyyy")</f>
        <v>25/08/2022</v>
      </c>
      <c r="F792" s="5" t="str" cm="1">
        <f t="array" ref="F792">RIGHT(_xlfn.ANCHORARRAY(E792),4)</f>
        <v>2022</v>
      </c>
      <c r="G792" s="5" t="str">
        <f>TEXT(E792,"mm")</f>
        <v>25/08/2022</v>
      </c>
      <c r="H792" s="6">
        <v>3402</v>
      </c>
      <c r="I792">
        <v>249</v>
      </c>
      <c r="L792" t="str">
        <f t="shared" si="12"/>
        <v>Below Average</v>
      </c>
      <c r="M792">
        <f>RANK(H792,H:H,0)</f>
        <v>2171</v>
      </c>
    </row>
    <row r="793" spans="1:13">
      <c r="A793" t="s">
        <v>12</v>
      </c>
      <c r="B793" t="s">
        <v>25</v>
      </c>
      <c r="C793" t="s">
        <v>18</v>
      </c>
      <c r="D793" s="4">
        <v>44835</v>
      </c>
      <c r="E793" s="5" t="str">
        <f>TEXT(D793,"dd/mm/yyyy")</f>
        <v>01/10/2022</v>
      </c>
      <c r="F793" s="5" t="str" cm="1">
        <f t="array" ref="F793">RIGHT(_xlfn.ANCHORARRAY(E793),4)</f>
        <v>2022</v>
      </c>
      <c r="G793" s="5" t="str">
        <f>TEXT(E793,"mm")</f>
        <v>01</v>
      </c>
      <c r="H793" s="6">
        <v>700</v>
      </c>
      <c r="I793">
        <v>97</v>
      </c>
      <c r="L793" t="str">
        <f t="shared" si="12"/>
        <v>Below Average</v>
      </c>
      <c r="M793">
        <f>RANK(H793,H:H,0)</f>
        <v>3064</v>
      </c>
    </row>
    <row r="794" spans="1:13">
      <c r="A794" t="s">
        <v>28</v>
      </c>
      <c r="B794" t="s">
        <v>32</v>
      </c>
      <c r="C794" t="s">
        <v>60</v>
      </c>
      <c r="D794" s="3" t="s">
        <v>78</v>
      </c>
      <c r="E794" s="5" t="str">
        <f>TEXT(D794,"dd/mm/yyyy")</f>
        <v>22/08/2022</v>
      </c>
      <c r="F794" s="5" t="str" cm="1">
        <f t="array" ref="F794">RIGHT(_xlfn.ANCHORARRAY(E794),4)</f>
        <v>2022</v>
      </c>
      <c r="G794" s="5" t="str">
        <f>TEXT(E794,"mm")</f>
        <v>22/08/2022</v>
      </c>
      <c r="H794" s="6">
        <v>1904</v>
      </c>
      <c r="I794">
        <v>8</v>
      </c>
      <c r="L794" t="str">
        <f t="shared" si="12"/>
        <v>Below Average</v>
      </c>
      <c r="M794">
        <f>RANK(H794,H:H,0)</f>
        <v>2661</v>
      </c>
    </row>
    <row r="795" spans="1:13">
      <c r="A795" t="s">
        <v>45</v>
      </c>
      <c r="B795" t="s">
        <v>25</v>
      </c>
      <c r="C795" t="s">
        <v>11</v>
      </c>
      <c r="D795" s="3" t="s">
        <v>91</v>
      </c>
      <c r="E795" s="5" t="str">
        <f>TEXT(D795,"dd/mm/yyyy")</f>
        <v>14/04/2022</v>
      </c>
      <c r="F795" s="5" t="str" cm="1">
        <f t="array" ref="F795">RIGHT(_xlfn.ANCHORARRAY(E795),4)</f>
        <v>2022</v>
      </c>
      <c r="G795" s="5" t="str">
        <f>TEXT(E795,"mm")</f>
        <v>14/04/2022</v>
      </c>
      <c r="H795" s="6">
        <v>4844</v>
      </c>
      <c r="I795">
        <v>275</v>
      </c>
      <c r="L795" t="str">
        <f t="shared" si="12"/>
        <v>Below Average</v>
      </c>
      <c r="M795">
        <f>RANK(H795,H:H,0)</f>
        <v>1754</v>
      </c>
    </row>
    <row r="796" spans="1:13">
      <c r="A796" t="s">
        <v>19</v>
      </c>
      <c r="B796" t="s">
        <v>7</v>
      </c>
      <c r="C796" t="s">
        <v>18</v>
      </c>
      <c r="D796" s="3" t="s">
        <v>126</v>
      </c>
      <c r="E796" s="5" t="str">
        <f>TEXT(D796,"dd/mm/yyyy")</f>
        <v>31/05/2022</v>
      </c>
      <c r="F796" s="5" t="str" cm="1">
        <f t="array" ref="F796">RIGHT(_xlfn.ANCHORARRAY(E796),4)</f>
        <v>2022</v>
      </c>
      <c r="G796" s="5" t="str">
        <f>TEXT(E796,"mm")</f>
        <v>31/05/2022</v>
      </c>
      <c r="H796" s="6">
        <v>9625</v>
      </c>
      <c r="I796">
        <v>313</v>
      </c>
      <c r="L796" t="str">
        <f t="shared" si="12"/>
        <v>Above Average</v>
      </c>
      <c r="M796">
        <f>RANK(H796,H:H,0)</f>
        <v>639</v>
      </c>
    </row>
    <row r="797" spans="1:13">
      <c r="A797" t="s">
        <v>19</v>
      </c>
      <c r="B797" t="s">
        <v>7</v>
      </c>
      <c r="C797" t="s">
        <v>73</v>
      </c>
      <c r="D797" s="4">
        <v>44777</v>
      </c>
      <c r="E797" s="5" t="str">
        <f>TEXT(D797,"dd/mm/yyyy")</f>
        <v>04/08/2022</v>
      </c>
      <c r="F797" s="5" t="str" cm="1">
        <f t="array" ref="F797">RIGHT(_xlfn.ANCHORARRAY(E797),4)</f>
        <v>2022</v>
      </c>
      <c r="G797" s="5" t="str">
        <f>TEXT(E797,"mm")</f>
        <v>04</v>
      </c>
      <c r="H797" s="6">
        <v>4599</v>
      </c>
      <c r="I797">
        <v>323</v>
      </c>
      <c r="L797" t="str">
        <f t="shared" si="12"/>
        <v>Below Average</v>
      </c>
      <c r="M797">
        <f>RANK(H797,H:H,0)</f>
        <v>1822</v>
      </c>
    </row>
    <row r="798" spans="1:13">
      <c r="A798" t="s">
        <v>45</v>
      </c>
      <c r="B798" t="s">
        <v>32</v>
      </c>
      <c r="C798" t="s">
        <v>38</v>
      </c>
      <c r="D798" s="3" t="s">
        <v>109</v>
      </c>
      <c r="E798" s="5" t="str">
        <f>TEXT(D798,"dd/mm/yyyy")</f>
        <v>21/02/2022</v>
      </c>
      <c r="F798" s="5" t="str" cm="1">
        <f t="array" ref="F798">RIGHT(_xlfn.ANCHORARRAY(E798),4)</f>
        <v>2022</v>
      </c>
      <c r="G798" s="5" t="str">
        <f>TEXT(E798,"mm")</f>
        <v>21/02/2022</v>
      </c>
      <c r="H798" s="6">
        <v>3003</v>
      </c>
      <c r="I798">
        <v>155</v>
      </c>
      <c r="L798" t="str">
        <f t="shared" si="12"/>
        <v>Below Average</v>
      </c>
      <c r="M798">
        <f>RANK(H798,H:H,0)</f>
        <v>2306</v>
      </c>
    </row>
    <row r="799" spans="1:13">
      <c r="A799" t="s">
        <v>67</v>
      </c>
      <c r="B799" t="s">
        <v>15</v>
      </c>
      <c r="C799" t="s">
        <v>60</v>
      </c>
      <c r="D799" s="3" t="s">
        <v>155</v>
      </c>
      <c r="E799" s="5" t="str">
        <f>TEXT(D799,"dd/mm/yyyy")</f>
        <v>30/03/2022</v>
      </c>
      <c r="F799" s="5" t="str" cm="1">
        <f t="array" ref="F799">RIGHT(_xlfn.ANCHORARRAY(E799),4)</f>
        <v>2022</v>
      </c>
      <c r="G799" s="5" t="str">
        <f>TEXT(E799,"mm")</f>
        <v>30/03/2022</v>
      </c>
      <c r="H799" s="6">
        <v>9744</v>
      </c>
      <c r="I799">
        <v>377</v>
      </c>
      <c r="L799" t="str">
        <f t="shared" si="12"/>
        <v>Above Average</v>
      </c>
      <c r="M799">
        <f>RANK(H799,H:H,0)</f>
        <v>624</v>
      </c>
    </row>
    <row r="800" spans="1:13">
      <c r="A800" t="s">
        <v>34</v>
      </c>
      <c r="B800" t="s">
        <v>10</v>
      </c>
      <c r="C800" t="s">
        <v>73</v>
      </c>
      <c r="D800" s="4">
        <v>44595</v>
      </c>
      <c r="E800" s="5" t="str">
        <f>TEXT(D800,"dd/mm/yyyy")</f>
        <v>03/02/2022</v>
      </c>
      <c r="F800" s="5" t="str" cm="1">
        <f t="array" ref="F800">RIGHT(_xlfn.ANCHORARRAY(E800),4)</f>
        <v>2022</v>
      </c>
      <c r="G800" s="5" t="str">
        <f>TEXT(E800,"mm")</f>
        <v>03</v>
      </c>
      <c r="H800" s="6">
        <v>1400</v>
      </c>
      <c r="I800">
        <v>2</v>
      </c>
      <c r="L800" t="str">
        <f t="shared" si="12"/>
        <v>Below Average</v>
      </c>
      <c r="M800">
        <f>RANK(H800,H:H,0)</f>
        <v>2840</v>
      </c>
    </row>
    <row r="801" spans="1:13">
      <c r="A801" t="s">
        <v>6</v>
      </c>
      <c r="B801" t="s">
        <v>32</v>
      </c>
      <c r="C801" t="s">
        <v>33</v>
      </c>
      <c r="D801" s="3" t="s">
        <v>39</v>
      </c>
      <c r="E801" s="5" t="str">
        <f>TEXT(D801,"dd/mm/yyyy")</f>
        <v>28/07/2022</v>
      </c>
      <c r="F801" s="5" t="str" cm="1">
        <f t="array" ref="F801">RIGHT(_xlfn.ANCHORARRAY(E801),4)</f>
        <v>2022</v>
      </c>
      <c r="G801" s="5" t="str">
        <f>TEXT(E801,"mm")</f>
        <v>28/07/2022</v>
      </c>
      <c r="H801" s="6">
        <v>364</v>
      </c>
      <c r="I801">
        <v>170</v>
      </c>
      <c r="L801" t="str">
        <f t="shared" si="12"/>
        <v>Below Average</v>
      </c>
      <c r="M801">
        <f>RANK(H801,H:H,0)</f>
        <v>3171</v>
      </c>
    </row>
    <row r="802" spans="1:13">
      <c r="A802" t="s">
        <v>55</v>
      </c>
      <c r="B802" t="s">
        <v>25</v>
      </c>
      <c r="C802" t="s">
        <v>100</v>
      </c>
      <c r="D802" s="3" t="s">
        <v>24</v>
      </c>
      <c r="E802" s="5" t="str">
        <f>TEXT(D802,"dd/mm/yyyy")</f>
        <v>24/03/2022</v>
      </c>
      <c r="F802" s="5" t="str" cm="1">
        <f t="array" ref="F802">RIGHT(_xlfn.ANCHORARRAY(E802),4)</f>
        <v>2022</v>
      </c>
      <c r="G802" s="5" t="str">
        <f>TEXT(E802,"mm")</f>
        <v>24/03/2022</v>
      </c>
      <c r="H802" s="6">
        <v>7231</v>
      </c>
      <c r="I802">
        <v>38</v>
      </c>
      <c r="L802" t="str">
        <f t="shared" si="12"/>
        <v>Above Average</v>
      </c>
      <c r="M802">
        <f>RANK(H802,H:H,0)</f>
        <v>1122</v>
      </c>
    </row>
    <row r="803" spans="1:13">
      <c r="A803" t="s">
        <v>48</v>
      </c>
      <c r="B803" t="s">
        <v>15</v>
      </c>
      <c r="C803" t="s">
        <v>23</v>
      </c>
      <c r="D803" s="4">
        <v>44873</v>
      </c>
      <c r="E803" s="5" t="str">
        <f>TEXT(D803,"dd/mm/yyyy")</f>
        <v>08/11/2022</v>
      </c>
      <c r="F803" s="5" t="str" cm="1">
        <f t="array" ref="F803">RIGHT(_xlfn.ANCHORARRAY(E803),4)</f>
        <v>2022</v>
      </c>
      <c r="G803" s="5" t="str">
        <f>TEXT(E803,"mm")</f>
        <v>08</v>
      </c>
      <c r="H803" s="6">
        <v>63</v>
      </c>
      <c r="I803">
        <v>105</v>
      </c>
      <c r="L803" t="str">
        <f t="shared" si="12"/>
        <v>Below Average</v>
      </c>
      <c r="M803">
        <f>RANK(H803,H:H,0)</f>
        <v>3265</v>
      </c>
    </row>
    <row r="804" spans="1:13">
      <c r="A804" t="s">
        <v>53</v>
      </c>
      <c r="B804" t="s">
        <v>7</v>
      </c>
      <c r="C804" t="s">
        <v>65</v>
      </c>
      <c r="D804" s="3" t="s">
        <v>144</v>
      </c>
      <c r="E804" s="5" t="str">
        <f>TEXT(D804,"dd/mm/yyyy")</f>
        <v>17/05/2022</v>
      </c>
      <c r="F804" s="5" t="str" cm="1">
        <f t="array" ref="F804">RIGHT(_xlfn.ANCHORARRAY(E804),4)</f>
        <v>2022</v>
      </c>
      <c r="G804" s="5" t="str">
        <f>TEXT(E804,"mm")</f>
        <v>17/05/2022</v>
      </c>
      <c r="H804" s="6">
        <v>8309</v>
      </c>
      <c r="I804">
        <v>166</v>
      </c>
      <c r="L804" t="str">
        <f t="shared" si="12"/>
        <v>Above Average</v>
      </c>
      <c r="M804">
        <f>RANK(H804,H:H,0)</f>
        <v>870</v>
      </c>
    </row>
    <row r="805" spans="1:13">
      <c r="A805" t="s">
        <v>55</v>
      </c>
      <c r="B805" t="s">
        <v>35</v>
      </c>
      <c r="C805" t="s">
        <v>75</v>
      </c>
      <c r="D805" s="3" t="s">
        <v>84</v>
      </c>
      <c r="E805" s="5" t="str">
        <f>TEXT(D805,"dd/mm/yyyy")</f>
        <v>18/05/2022</v>
      </c>
      <c r="F805" s="5" t="str" cm="1">
        <f t="array" ref="F805">RIGHT(_xlfn.ANCHORARRAY(E805),4)</f>
        <v>2022</v>
      </c>
      <c r="G805" s="5" t="str">
        <f>TEXT(E805,"mm")</f>
        <v>18/05/2022</v>
      </c>
      <c r="H805" s="6">
        <v>3164</v>
      </c>
      <c r="I805">
        <v>164</v>
      </c>
      <c r="L805" t="str">
        <f t="shared" si="12"/>
        <v>Below Average</v>
      </c>
      <c r="M805">
        <f>RANK(H805,H:H,0)</f>
        <v>2250</v>
      </c>
    </row>
    <row r="806" spans="1:13">
      <c r="A806" t="s">
        <v>45</v>
      </c>
      <c r="B806" t="s">
        <v>7</v>
      </c>
      <c r="C806" t="s">
        <v>13</v>
      </c>
      <c r="D806" s="3" t="s">
        <v>135</v>
      </c>
      <c r="E806" s="5" t="str">
        <f>TEXT(D806,"dd/mm/yyyy")</f>
        <v>17/08/2022</v>
      </c>
      <c r="F806" s="5" t="str" cm="1">
        <f t="array" ref="F806">RIGHT(_xlfn.ANCHORARRAY(E806),4)</f>
        <v>2022</v>
      </c>
      <c r="G806" s="5" t="str">
        <f>TEXT(E806,"mm")</f>
        <v>17/08/2022</v>
      </c>
      <c r="H806" s="6">
        <v>5691</v>
      </c>
      <c r="I806">
        <v>171</v>
      </c>
      <c r="L806" t="str">
        <f t="shared" si="12"/>
        <v>Below Average</v>
      </c>
      <c r="M806">
        <f>RANK(H806,H:H,0)</f>
        <v>1518</v>
      </c>
    </row>
    <row r="807" spans="1:13">
      <c r="A807" t="s">
        <v>83</v>
      </c>
      <c r="B807" t="s">
        <v>25</v>
      </c>
      <c r="C807" t="s">
        <v>36</v>
      </c>
      <c r="D807" s="4">
        <v>44655</v>
      </c>
      <c r="E807" s="5" t="str">
        <f>TEXT(D807,"dd/mm/yyyy")</f>
        <v>04/04/2022</v>
      </c>
      <c r="F807" s="5" t="str" cm="1">
        <f t="array" ref="F807">RIGHT(_xlfn.ANCHORARRAY(E807),4)</f>
        <v>2022</v>
      </c>
      <c r="G807" s="5" t="str">
        <f>TEXT(E807,"mm")</f>
        <v>04</v>
      </c>
      <c r="H807" s="6">
        <v>490</v>
      </c>
      <c r="I807">
        <v>49</v>
      </c>
      <c r="L807" t="str">
        <f t="shared" si="12"/>
        <v>Below Average</v>
      </c>
      <c r="M807">
        <f>RANK(H807,H:H,0)</f>
        <v>3133</v>
      </c>
    </row>
    <row r="808" spans="1:13">
      <c r="A808" t="s">
        <v>28</v>
      </c>
      <c r="B808" t="s">
        <v>10</v>
      </c>
      <c r="C808" t="s">
        <v>11</v>
      </c>
      <c r="D808" s="4">
        <v>44812</v>
      </c>
      <c r="E808" s="5" t="str">
        <f>TEXT(D808,"dd/mm/yyyy")</f>
        <v>08/09/2022</v>
      </c>
      <c r="F808" s="5" t="str" cm="1">
        <f t="array" ref="F808">RIGHT(_xlfn.ANCHORARRAY(E808),4)</f>
        <v>2022</v>
      </c>
      <c r="G808" s="5" t="str">
        <f>TEXT(E808,"mm")</f>
        <v>08</v>
      </c>
      <c r="H808" s="6">
        <v>18032</v>
      </c>
      <c r="I808">
        <v>205</v>
      </c>
      <c r="L808" t="str">
        <f t="shared" si="12"/>
        <v>Above Average</v>
      </c>
      <c r="M808">
        <f>RANK(H808,H:H,0)</f>
        <v>41</v>
      </c>
    </row>
    <row r="809" spans="1:13">
      <c r="A809" t="s">
        <v>28</v>
      </c>
      <c r="B809" t="s">
        <v>25</v>
      </c>
      <c r="C809" t="s">
        <v>42</v>
      </c>
      <c r="D809" s="3" t="s">
        <v>152</v>
      </c>
      <c r="E809" s="5" t="str">
        <f>TEXT(D809,"dd/mm/yyyy")</f>
        <v>17/01/2022</v>
      </c>
      <c r="F809" s="5" t="str" cm="1">
        <f t="array" ref="F809">RIGHT(_xlfn.ANCHORARRAY(E809),4)</f>
        <v>2022</v>
      </c>
      <c r="G809" s="5" t="str">
        <f>TEXT(E809,"mm")</f>
        <v>17/01/2022</v>
      </c>
      <c r="H809" s="6">
        <v>637</v>
      </c>
      <c r="I809">
        <v>313</v>
      </c>
      <c r="L809" t="str">
        <f t="shared" si="12"/>
        <v>Below Average</v>
      </c>
      <c r="M809">
        <f>RANK(H809,H:H,0)</f>
        <v>3087</v>
      </c>
    </row>
    <row r="810" spans="1:13">
      <c r="A810" t="s">
        <v>67</v>
      </c>
      <c r="B810" t="s">
        <v>35</v>
      </c>
      <c r="C810" t="s">
        <v>59</v>
      </c>
      <c r="D810" s="3" t="s">
        <v>44</v>
      </c>
      <c r="E810" s="5" t="str">
        <f>TEXT(D810,"dd/mm/yyyy")</f>
        <v>14/02/2022</v>
      </c>
      <c r="F810" s="5" t="str" cm="1">
        <f t="array" ref="F810">RIGHT(_xlfn.ANCHORARRAY(E810),4)</f>
        <v>2022</v>
      </c>
      <c r="G810" s="5" t="str">
        <f>TEXT(E810,"mm")</f>
        <v>14/02/2022</v>
      </c>
      <c r="H810" s="6">
        <v>4067</v>
      </c>
      <c r="I810">
        <v>29</v>
      </c>
      <c r="L810" t="str">
        <f t="shared" si="12"/>
        <v>Below Average</v>
      </c>
      <c r="M810">
        <f>RANK(H810,H:H,0)</f>
        <v>1963</v>
      </c>
    </row>
    <row r="811" spans="1:13">
      <c r="A811" t="s">
        <v>12</v>
      </c>
      <c r="B811" t="s">
        <v>25</v>
      </c>
      <c r="C811" t="s">
        <v>33</v>
      </c>
      <c r="D811" s="3" t="s">
        <v>86</v>
      </c>
      <c r="E811" s="5" t="str">
        <f>TEXT(D811,"dd/mm/yyyy")</f>
        <v>16/05/2022</v>
      </c>
      <c r="F811" s="5" t="str" cm="1">
        <f t="array" ref="F811">RIGHT(_xlfn.ANCHORARRAY(E811),4)</f>
        <v>2022</v>
      </c>
      <c r="G811" s="5" t="str">
        <f>TEXT(E811,"mm")</f>
        <v>16/05/2022</v>
      </c>
      <c r="H811" s="6">
        <v>8204</v>
      </c>
      <c r="I811">
        <v>307</v>
      </c>
      <c r="L811" t="str">
        <f t="shared" si="12"/>
        <v>Above Average</v>
      </c>
      <c r="M811">
        <f>RANK(H811,H:H,0)</f>
        <v>891</v>
      </c>
    </row>
    <row r="812" spans="1:13">
      <c r="A812" t="s">
        <v>83</v>
      </c>
      <c r="B812" t="s">
        <v>35</v>
      </c>
      <c r="C812" t="s">
        <v>18</v>
      </c>
      <c r="D812" s="3" t="s">
        <v>108</v>
      </c>
      <c r="E812" s="5" t="str">
        <f>TEXT(D812,"dd/mm/yyyy")</f>
        <v>16/03/2022</v>
      </c>
      <c r="F812" s="5" t="str" cm="1">
        <f t="array" ref="F812">RIGHT(_xlfn.ANCHORARRAY(E812),4)</f>
        <v>2022</v>
      </c>
      <c r="G812" s="5" t="str">
        <f>TEXT(E812,"mm")</f>
        <v>16/03/2022</v>
      </c>
      <c r="H812" s="6">
        <v>9870</v>
      </c>
      <c r="I812">
        <v>121</v>
      </c>
      <c r="L812" t="str">
        <f t="shared" si="12"/>
        <v>Above Average</v>
      </c>
      <c r="M812">
        <f>RANK(H812,H:H,0)</f>
        <v>600</v>
      </c>
    </row>
    <row r="813" spans="1:13">
      <c r="A813" t="s">
        <v>53</v>
      </c>
      <c r="B813" t="s">
        <v>35</v>
      </c>
      <c r="C813" t="s">
        <v>100</v>
      </c>
      <c r="D813" s="3" t="s">
        <v>96</v>
      </c>
      <c r="E813" s="5" t="str">
        <f>TEXT(D813,"dd/mm/yyyy")</f>
        <v>31/01/2022</v>
      </c>
      <c r="F813" s="5" t="str" cm="1">
        <f t="array" ref="F813">RIGHT(_xlfn.ANCHORARRAY(E813),4)</f>
        <v>2022</v>
      </c>
      <c r="G813" s="5" t="str">
        <f>TEXT(E813,"mm")</f>
        <v>31/01/2022</v>
      </c>
      <c r="H813" s="6">
        <v>5131</v>
      </c>
      <c r="I813">
        <v>285</v>
      </c>
      <c r="L813" t="str">
        <f t="shared" si="12"/>
        <v>Below Average</v>
      </c>
      <c r="M813">
        <f>RANK(H813,H:H,0)</f>
        <v>1663</v>
      </c>
    </row>
    <row r="814" spans="1:13">
      <c r="A814" t="s">
        <v>31</v>
      </c>
      <c r="B814" t="s">
        <v>35</v>
      </c>
      <c r="C814" t="s">
        <v>42</v>
      </c>
      <c r="D814" s="4">
        <v>44837</v>
      </c>
      <c r="E814" s="5" t="str">
        <f>TEXT(D814,"dd/mm/yyyy")</f>
        <v>03/10/2022</v>
      </c>
      <c r="F814" s="5" t="str" cm="1">
        <f t="array" ref="F814">RIGHT(_xlfn.ANCHORARRAY(E814),4)</f>
        <v>2022</v>
      </c>
      <c r="G814" s="5" t="str">
        <f>TEXT(E814,"mm")</f>
        <v>03</v>
      </c>
      <c r="H814" s="6">
        <v>1141</v>
      </c>
      <c r="I814">
        <v>205</v>
      </c>
      <c r="L814" t="str">
        <f t="shared" si="12"/>
        <v>Below Average</v>
      </c>
      <c r="M814">
        <f>RANK(H814,H:H,0)</f>
        <v>2922</v>
      </c>
    </row>
    <row r="815" spans="1:13">
      <c r="A815" t="s">
        <v>19</v>
      </c>
      <c r="B815" t="s">
        <v>7</v>
      </c>
      <c r="C815" t="s">
        <v>42</v>
      </c>
      <c r="D815" s="3" t="s">
        <v>66</v>
      </c>
      <c r="E815" s="5" t="str">
        <f>TEXT(D815,"dd/mm/yyyy")</f>
        <v>30/06/2022</v>
      </c>
      <c r="F815" s="5" t="str" cm="1">
        <f t="array" ref="F815">RIGHT(_xlfn.ANCHORARRAY(E815),4)</f>
        <v>2022</v>
      </c>
      <c r="G815" s="5" t="str">
        <f>TEXT(E815,"mm")</f>
        <v>30/06/2022</v>
      </c>
      <c r="H815" s="6">
        <v>7980</v>
      </c>
      <c r="I815">
        <v>157</v>
      </c>
      <c r="L815" t="str">
        <f t="shared" si="12"/>
        <v>Above Average</v>
      </c>
      <c r="M815">
        <f>RANK(H815,H:H,0)</f>
        <v>941</v>
      </c>
    </row>
    <row r="816" spans="1:13">
      <c r="A816" t="s">
        <v>9</v>
      </c>
      <c r="B816" t="s">
        <v>25</v>
      </c>
      <c r="C816" t="s">
        <v>36</v>
      </c>
      <c r="D816" s="4">
        <v>44564</v>
      </c>
      <c r="E816" s="5" t="str">
        <f>TEXT(D816,"dd/mm/yyyy")</f>
        <v>03/01/2022</v>
      </c>
      <c r="F816" s="5" t="str" cm="1">
        <f t="array" ref="F816">RIGHT(_xlfn.ANCHORARRAY(E816),4)</f>
        <v>2022</v>
      </c>
      <c r="G816" s="5" t="str">
        <f>TEXT(E816,"mm")</f>
        <v>03</v>
      </c>
      <c r="H816" s="6">
        <v>5229</v>
      </c>
      <c r="I816">
        <v>182</v>
      </c>
      <c r="L816" t="str">
        <f t="shared" si="12"/>
        <v>Below Average</v>
      </c>
      <c r="M816">
        <f>RANK(H816,H:H,0)</f>
        <v>1641</v>
      </c>
    </row>
    <row r="817" spans="1:13">
      <c r="A817" t="s">
        <v>34</v>
      </c>
      <c r="B817" t="s">
        <v>7</v>
      </c>
      <c r="C817" t="s">
        <v>38</v>
      </c>
      <c r="D817" s="3" t="s">
        <v>89</v>
      </c>
      <c r="E817" s="5" t="str">
        <f>TEXT(D817,"dd/mm/yyyy")</f>
        <v>27/05/2022</v>
      </c>
      <c r="F817" s="5" t="str" cm="1">
        <f t="array" ref="F817">RIGHT(_xlfn.ANCHORARRAY(E817),4)</f>
        <v>2022</v>
      </c>
      <c r="G817" s="5" t="str">
        <f>TEXT(E817,"mm")</f>
        <v>27/05/2022</v>
      </c>
      <c r="H817" s="6">
        <v>3423</v>
      </c>
      <c r="I817">
        <v>100</v>
      </c>
      <c r="L817" t="str">
        <f t="shared" si="12"/>
        <v>Below Average</v>
      </c>
      <c r="M817">
        <f>RANK(H817,H:H,0)</f>
        <v>2167</v>
      </c>
    </row>
    <row r="818" spans="1:13">
      <c r="A818" t="s">
        <v>19</v>
      </c>
      <c r="B818" t="s">
        <v>7</v>
      </c>
      <c r="C818" t="s">
        <v>46</v>
      </c>
      <c r="D818" s="4">
        <v>44872</v>
      </c>
      <c r="E818" s="5" t="str">
        <f>TEXT(D818,"dd/mm/yyyy")</f>
        <v>07/11/2022</v>
      </c>
      <c r="F818" s="5" t="str" cm="1">
        <f t="array" ref="F818">RIGHT(_xlfn.ANCHORARRAY(E818),4)</f>
        <v>2022</v>
      </c>
      <c r="G818" s="5" t="str">
        <f>TEXT(E818,"mm")</f>
        <v>07</v>
      </c>
      <c r="H818" s="6">
        <v>6468</v>
      </c>
      <c r="I818">
        <v>223</v>
      </c>
      <c r="L818" t="str">
        <f t="shared" si="12"/>
        <v>Above Average</v>
      </c>
      <c r="M818">
        <f>RANK(H818,H:H,0)</f>
        <v>1314</v>
      </c>
    </row>
    <row r="819" spans="1:13">
      <c r="A819" t="s">
        <v>37</v>
      </c>
      <c r="B819" t="s">
        <v>25</v>
      </c>
      <c r="C819" t="s">
        <v>8</v>
      </c>
      <c r="D819" s="4">
        <v>44595</v>
      </c>
      <c r="E819" s="5" t="str">
        <f>TEXT(D819,"dd/mm/yyyy")</f>
        <v>03/02/2022</v>
      </c>
      <c r="F819" s="5" t="str" cm="1">
        <f t="array" ref="F819">RIGHT(_xlfn.ANCHORARRAY(E819),4)</f>
        <v>2022</v>
      </c>
      <c r="G819" s="5" t="str">
        <f>TEXT(E819,"mm")</f>
        <v>03</v>
      </c>
      <c r="H819" s="6">
        <v>4326</v>
      </c>
      <c r="I819">
        <v>61</v>
      </c>
      <c r="L819" t="str">
        <f t="shared" si="12"/>
        <v>Below Average</v>
      </c>
      <c r="M819">
        <f>RANK(H819,H:H,0)</f>
        <v>1899</v>
      </c>
    </row>
    <row r="820" spans="1:13">
      <c r="A820" t="s">
        <v>6</v>
      </c>
      <c r="B820" t="s">
        <v>32</v>
      </c>
      <c r="C820" t="s">
        <v>73</v>
      </c>
      <c r="D820" s="4">
        <v>44654</v>
      </c>
      <c r="E820" s="5" t="str">
        <f>TEXT(D820,"dd/mm/yyyy")</f>
        <v>03/04/2022</v>
      </c>
      <c r="F820" s="5" t="str" cm="1">
        <f t="array" ref="F820">RIGHT(_xlfn.ANCHORARRAY(E820),4)</f>
        <v>2022</v>
      </c>
      <c r="G820" s="5" t="str">
        <f>TEXT(E820,"mm")</f>
        <v>03</v>
      </c>
      <c r="H820" s="6">
        <v>7154</v>
      </c>
      <c r="I820">
        <v>133</v>
      </c>
      <c r="L820" t="str">
        <f t="shared" si="12"/>
        <v>Above Average</v>
      </c>
      <c r="M820">
        <f>RANK(H820,H:H,0)</f>
        <v>1144</v>
      </c>
    </row>
    <row r="821" spans="1:13">
      <c r="A821" t="s">
        <v>70</v>
      </c>
      <c r="B821" t="s">
        <v>7</v>
      </c>
      <c r="C821" t="s">
        <v>11</v>
      </c>
      <c r="D821" s="3" t="s">
        <v>142</v>
      </c>
      <c r="E821" s="5" t="str">
        <f>TEXT(D821,"dd/mm/yyyy")</f>
        <v>23/06/2022</v>
      </c>
      <c r="F821" s="5" t="str" cm="1">
        <f t="array" ref="F821">RIGHT(_xlfn.ANCHORARRAY(E821),4)</f>
        <v>2022</v>
      </c>
      <c r="G821" s="5" t="str">
        <f>TEXT(E821,"mm")</f>
        <v>23/06/2022</v>
      </c>
      <c r="H821" s="6">
        <v>3997</v>
      </c>
      <c r="I821">
        <v>228</v>
      </c>
      <c r="L821" t="str">
        <f t="shared" si="12"/>
        <v>Below Average</v>
      </c>
      <c r="M821">
        <f>RANK(H821,H:H,0)</f>
        <v>1988</v>
      </c>
    </row>
    <row r="822" spans="1:13">
      <c r="A822" t="s">
        <v>70</v>
      </c>
      <c r="B822" t="s">
        <v>32</v>
      </c>
      <c r="C822" t="s">
        <v>65</v>
      </c>
      <c r="D822" s="3" t="s">
        <v>95</v>
      </c>
      <c r="E822" s="5" t="str">
        <f>TEXT(D822,"dd/mm/yyyy")</f>
        <v>27/01/2022</v>
      </c>
      <c r="F822" s="5" t="str" cm="1">
        <f t="array" ref="F822">RIGHT(_xlfn.ANCHORARRAY(E822),4)</f>
        <v>2022</v>
      </c>
      <c r="G822" s="5" t="str">
        <f>TEXT(E822,"mm")</f>
        <v>27/01/2022</v>
      </c>
      <c r="H822" s="6">
        <v>5180</v>
      </c>
      <c r="I822">
        <v>233</v>
      </c>
      <c r="L822" t="str">
        <f t="shared" si="12"/>
        <v>Below Average</v>
      </c>
      <c r="M822">
        <f>RANK(H822,H:H,0)</f>
        <v>1655</v>
      </c>
    </row>
    <row r="823" spans="1:13">
      <c r="A823" t="s">
        <v>40</v>
      </c>
      <c r="B823" t="s">
        <v>35</v>
      </c>
      <c r="C823" t="s">
        <v>33</v>
      </c>
      <c r="D823" s="3" t="s">
        <v>122</v>
      </c>
      <c r="E823" s="5" t="str">
        <f>TEXT(D823,"dd/mm/yyyy")</f>
        <v>14/01/2022</v>
      </c>
      <c r="F823" s="5" t="str" cm="1">
        <f t="array" ref="F823">RIGHT(_xlfn.ANCHORARRAY(E823),4)</f>
        <v>2022</v>
      </c>
      <c r="G823" s="5" t="str">
        <f>TEXT(E823,"mm")</f>
        <v>14/01/2022</v>
      </c>
      <c r="H823" s="6">
        <v>2723</v>
      </c>
      <c r="I823">
        <v>425</v>
      </c>
      <c r="L823" t="str">
        <f t="shared" si="12"/>
        <v>Below Average</v>
      </c>
      <c r="M823">
        <f>RANK(H823,H:H,0)</f>
        <v>2396</v>
      </c>
    </row>
    <row r="824" spans="1:13">
      <c r="A824" t="s">
        <v>58</v>
      </c>
      <c r="B824" t="s">
        <v>10</v>
      </c>
      <c r="C824" t="s">
        <v>57</v>
      </c>
      <c r="D824" s="3" t="s">
        <v>120</v>
      </c>
      <c r="E824" s="5" t="str">
        <f>TEXT(D824,"dd/mm/yyyy")</f>
        <v>29/07/2022</v>
      </c>
      <c r="F824" s="5" t="str" cm="1">
        <f t="array" ref="F824">RIGHT(_xlfn.ANCHORARRAY(E824),4)</f>
        <v>2022</v>
      </c>
      <c r="G824" s="5" t="str">
        <f>TEXT(E824,"mm")</f>
        <v>29/07/2022</v>
      </c>
      <c r="H824" s="6">
        <v>952</v>
      </c>
      <c r="I824">
        <v>24</v>
      </c>
      <c r="L824" t="str">
        <f t="shared" si="12"/>
        <v>Below Average</v>
      </c>
      <c r="M824">
        <f>RANK(H824,H:H,0)</f>
        <v>2988</v>
      </c>
    </row>
    <row r="825" spans="1:13">
      <c r="A825" t="s">
        <v>28</v>
      </c>
      <c r="B825" t="s">
        <v>35</v>
      </c>
      <c r="C825" t="s">
        <v>18</v>
      </c>
      <c r="D825" s="3" t="s">
        <v>130</v>
      </c>
      <c r="E825" s="5" t="str">
        <f>TEXT(D825,"dd/mm/yyyy")</f>
        <v>13/05/2022</v>
      </c>
      <c r="F825" s="5" t="str" cm="1">
        <f t="array" ref="F825">RIGHT(_xlfn.ANCHORARRAY(E825),4)</f>
        <v>2022</v>
      </c>
      <c r="G825" s="5" t="str">
        <f>TEXT(E825,"mm")</f>
        <v>13/05/2022</v>
      </c>
      <c r="H825" s="6">
        <v>5691</v>
      </c>
      <c r="I825">
        <v>495</v>
      </c>
      <c r="L825" t="str">
        <f t="shared" si="12"/>
        <v>Below Average</v>
      </c>
      <c r="M825">
        <f>RANK(H825,H:H,0)</f>
        <v>1518</v>
      </c>
    </row>
    <row r="826" spans="1:13">
      <c r="A826" t="s">
        <v>31</v>
      </c>
      <c r="B826" t="s">
        <v>35</v>
      </c>
      <c r="C826" t="s">
        <v>87</v>
      </c>
      <c r="D826" s="4">
        <v>44622</v>
      </c>
      <c r="E826" s="5" t="str">
        <f>TEXT(D826,"dd/mm/yyyy")</f>
        <v>02/03/2022</v>
      </c>
      <c r="F826" s="5" t="str" cm="1">
        <f t="array" ref="F826">RIGHT(_xlfn.ANCHORARRAY(E826),4)</f>
        <v>2022</v>
      </c>
      <c r="G826" s="5" t="str">
        <f>TEXT(E826,"mm")</f>
        <v>02</v>
      </c>
      <c r="H826" s="6">
        <v>10969</v>
      </c>
      <c r="I826">
        <v>170</v>
      </c>
      <c r="L826" t="str">
        <f t="shared" si="12"/>
        <v>Above Average</v>
      </c>
      <c r="M826">
        <f>RANK(H826,H:H,0)</f>
        <v>443</v>
      </c>
    </row>
    <row r="827" spans="1:13">
      <c r="A827" t="s">
        <v>28</v>
      </c>
      <c r="B827" t="s">
        <v>10</v>
      </c>
      <c r="C827" t="s">
        <v>18</v>
      </c>
      <c r="D827" s="3" t="s">
        <v>89</v>
      </c>
      <c r="E827" s="5" t="str">
        <f>TEXT(D827,"dd/mm/yyyy")</f>
        <v>27/05/2022</v>
      </c>
      <c r="F827" s="5" t="str" cm="1">
        <f t="array" ref="F827">RIGHT(_xlfn.ANCHORARRAY(E827),4)</f>
        <v>2022</v>
      </c>
      <c r="G827" s="5" t="str">
        <f>TEXT(E827,"mm")</f>
        <v>27/05/2022</v>
      </c>
      <c r="H827" s="6">
        <v>5964</v>
      </c>
      <c r="I827">
        <v>26</v>
      </c>
      <c r="L827" t="str">
        <f t="shared" si="12"/>
        <v>Below Average</v>
      </c>
      <c r="M827">
        <f>RANK(H827,H:H,0)</f>
        <v>1441</v>
      </c>
    </row>
    <row r="828" spans="1:13">
      <c r="A828" t="s">
        <v>14</v>
      </c>
      <c r="B828" t="s">
        <v>15</v>
      </c>
      <c r="C828" t="s">
        <v>38</v>
      </c>
      <c r="D828" s="3" t="s">
        <v>157</v>
      </c>
      <c r="E828" s="5" t="str">
        <f>TEXT(D828,"dd/mm/yyyy")</f>
        <v>18/02/2022</v>
      </c>
      <c r="F828" s="5" t="str" cm="1">
        <f t="array" ref="F828">RIGHT(_xlfn.ANCHORARRAY(E828),4)</f>
        <v>2022</v>
      </c>
      <c r="G828" s="5" t="str">
        <f>TEXT(E828,"mm")</f>
        <v>18/02/2022</v>
      </c>
      <c r="H828" s="6">
        <v>2821</v>
      </c>
      <c r="I828">
        <v>24</v>
      </c>
      <c r="L828" t="str">
        <f t="shared" si="12"/>
        <v>Below Average</v>
      </c>
      <c r="M828">
        <f>RANK(H828,H:H,0)</f>
        <v>2363</v>
      </c>
    </row>
    <row r="829" spans="1:13">
      <c r="A829" t="s">
        <v>28</v>
      </c>
      <c r="B829" t="s">
        <v>10</v>
      </c>
      <c r="C829" t="s">
        <v>50</v>
      </c>
      <c r="D829" s="3" t="s">
        <v>107</v>
      </c>
      <c r="E829" s="5" t="str">
        <f>TEXT(D829,"dd/mm/yyyy")</f>
        <v>28/01/2022</v>
      </c>
      <c r="F829" s="5" t="str" cm="1">
        <f t="array" ref="F829">RIGHT(_xlfn.ANCHORARRAY(E829),4)</f>
        <v>2022</v>
      </c>
      <c r="G829" s="5" t="str">
        <f>TEXT(E829,"mm")</f>
        <v>28/01/2022</v>
      </c>
      <c r="H829" s="6">
        <v>1302</v>
      </c>
      <c r="I829">
        <v>33</v>
      </c>
      <c r="L829" t="str">
        <f t="shared" si="12"/>
        <v>Below Average</v>
      </c>
      <c r="M829">
        <f>RANK(H829,H:H,0)</f>
        <v>2875</v>
      </c>
    </row>
    <row r="830" spans="1:13">
      <c r="A830" t="s">
        <v>9</v>
      </c>
      <c r="B830" t="s">
        <v>7</v>
      </c>
      <c r="C830" t="s">
        <v>36</v>
      </c>
      <c r="D830" s="3" t="s">
        <v>63</v>
      </c>
      <c r="E830" s="5" t="str">
        <f>TEXT(D830,"dd/mm/yyyy")</f>
        <v>29/06/2022</v>
      </c>
      <c r="F830" s="5" t="str" cm="1">
        <f t="array" ref="F830">RIGHT(_xlfn.ANCHORARRAY(E830),4)</f>
        <v>2022</v>
      </c>
      <c r="G830" s="5" t="str">
        <f>TEXT(E830,"mm")</f>
        <v>29/06/2022</v>
      </c>
      <c r="H830" s="6">
        <v>5474</v>
      </c>
      <c r="I830">
        <v>109</v>
      </c>
      <c r="L830" t="str">
        <f t="shared" si="12"/>
        <v>Below Average</v>
      </c>
      <c r="M830">
        <f>RANK(H830,H:H,0)</f>
        <v>1575</v>
      </c>
    </row>
    <row r="831" spans="1:13">
      <c r="A831" t="s">
        <v>64</v>
      </c>
      <c r="B831" t="s">
        <v>10</v>
      </c>
      <c r="C831" t="s">
        <v>90</v>
      </c>
      <c r="D831" s="3" t="s">
        <v>30</v>
      </c>
      <c r="E831" s="5" t="str">
        <f>TEXT(D831,"dd/mm/yyyy")</f>
        <v>13/01/2022</v>
      </c>
      <c r="F831" s="5" t="str" cm="1">
        <f t="array" ref="F831">RIGHT(_xlfn.ANCHORARRAY(E831),4)</f>
        <v>2022</v>
      </c>
      <c r="G831" s="5" t="str">
        <f>TEXT(E831,"mm")</f>
        <v>13/01/2022</v>
      </c>
      <c r="H831" s="6">
        <v>4179</v>
      </c>
      <c r="I831">
        <v>276</v>
      </c>
      <c r="L831" t="str">
        <f t="shared" si="12"/>
        <v>Below Average</v>
      </c>
      <c r="M831">
        <f>RANK(H831,H:H,0)</f>
        <v>1936</v>
      </c>
    </row>
    <row r="832" spans="1:13">
      <c r="A832" t="s">
        <v>6</v>
      </c>
      <c r="B832" t="s">
        <v>7</v>
      </c>
      <c r="C832" t="s">
        <v>23</v>
      </c>
      <c r="D832" s="3" t="s">
        <v>49</v>
      </c>
      <c r="E832" s="5" t="str">
        <f>TEXT(D832,"dd/mm/yyyy")</f>
        <v>27/06/2022</v>
      </c>
      <c r="F832" s="5" t="str" cm="1">
        <f t="array" ref="F832">RIGHT(_xlfn.ANCHORARRAY(E832),4)</f>
        <v>2022</v>
      </c>
      <c r="G832" s="5" t="str">
        <f>TEXT(E832,"mm")</f>
        <v>27/06/2022</v>
      </c>
      <c r="H832" s="6">
        <v>1946</v>
      </c>
      <c r="I832">
        <v>164</v>
      </c>
      <c r="L832" t="str">
        <f t="shared" si="12"/>
        <v>Below Average</v>
      </c>
      <c r="M832">
        <f>RANK(H832,H:H,0)</f>
        <v>2649</v>
      </c>
    </row>
    <row r="833" spans="1:13">
      <c r="A833" t="s">
        <v>31</v>
      </c>
      <c r="B833" t="s">
        <v>35</v>
      </c>
      <c r="C833" t="s">
        <v>59</v>
      </c>
      <c r="D833" s="3" t="s">
        <v>118</v>
      </c>
      <c r="E833" s="5" t="str">
        <f>TEXT(D833,"dd/mm/yyyy")</f>
        <v>29/03/2022</v>
      </c>
      <c r="F833" s="5" t="str" cm="1">
        <f t="array" ref="F833">RIGHT(_xlfn.ANCHORARRAY(E833),4)</f>
        <v>2022</v>
      </c>
      <c r="G833" s="5" t="str">
        <f>TEXT(E833,"mm")</f>
        <v>29/03/2022</v>
      </c>
      <c r="H833" s="6">
        <v>4291</v>
      </c>
      <c r="I833">
        <v>1</v>
      </c>
      <c r="L833" t="str">
        <f t="shared" si="12"/>
        <v>Below Average</v>
      </c>
      <c r="M833">
        <f>RANK(H833,H:H,0)</f>
        <v>1904</v>
      </c>
    </row>
    <row r="834" spans="1:13">
      <c r="A834" t="s">
        <v>22</v>
      </c>
      <c r="B834" t="s">
        <v>10</v>
      </c>
      <c r="C834" t="s">
        <v>42</v>
      </c>
      <c r="D834" s="4">
        <v>44626</v>
      </c>
      <c r="E834" s="5" t="str">
        <f>TEXT(D834,"dd/mm/yyyy")</f>
        <v>06/03/2022</v>
      </c>
      <c r="F834" s="5" t="str" cm="1">
        <f t="array" ref="F834">RIGHT(_xlfn.ANCHORARRAY(E834),4)</f>
        <v>2022</v>
      </c>
      <c r="G834" s="5" t="str">
        <f>TEXT(E834,"mm")</f>
        <v>06</v>
      </c>
      <c r="H834" s="6">
        <v>7196</v>
      </c>
      <c r="I834">
        <v>160</v>
      </c>
      <c r="L834" t="str">
        <f t="shared" si="12"/>
        <v>Above Average</v>
      </c>
      <c r="M834">
        <f>RANK(H834,H:H,0)</f>
        <v>1132</v>
      </c>
    </row>
    <row r="835" spans="1:13">
      <c r="A835" t="s">
        <v>34</v>
      </c>
      <c r="B835" t="s">
        <v>35</v>
      </c>
      <c r="C835" t="s">
        <v>18</v>
      </c>
      <c r="D835" s="3" t="s">
        <v>148</v>
      </c>
      <c r="E835" s="5" t="str">
        <f>TEXT(D835,"dd/mm/yyyy")</f>
        <v>21/03/2022</v>
      </c>
      <c r="F835" s="5" t="str" cm="1">
        <f t="array" ref="F835">RIGHT(_xlfn.ANCHORARRAY(E835),4)</f>
        <v>2022</v>
      </c>
      <c r="G835" s="5" t="str">
        <f>TEXT(E835,"mm")</f>
        <v>21/03/2022</v>
      </c>
      <c r="H835" s="6">
        <v>1939</v>
      </c>
      <c r="I835">
        <v>98</v>
      </c>
      <c r="L835" t="str">
        <f t="shared" ref="L835:L898" si="13">IF(H835&gt;6030.34,"Above Average","Below Average")</f>
        <v>Below Average</v>
      </c>
      <c r="M835">
        <f>RANK(H835,H:H,0)</f>
        <v>2653</v>
      </c>
    </row>
    <row r="836" spans="1:13">
      <c r="A836" t="s">
        <v>34</v>
      </c>
      <c r="B836" t="s">
        <v>10</v>
      </c>
      <c r="C836" t="s">
        <v>36</v>
      </c>
      <c r="D836" s="4">
        <v>44899</v>
      </c>
      <c r="E836" s="5" t="str">
        <f>TEXT(D836,"dd/mm/yyyy")</f>
        <v>04/12/2022</v>
      </c>
      <c r="F836" s="5" t="str" cm="1">
        <f t="array" ref="F836">RIGHT(_xlfn.ANCHORARRAY(E836),4)</f>
        <v>2022</v>
      </c>
      <c r="G836" s="5" t="str">
        <f>TEXT(E836,"mm")</f>
        <v>04</v>
      </c>
      <c r="H836" s="6">
        <v>10437</v>
      </c>
      <c r="I836">
        <v>46</v>
      </c>
      <c r="L836" t="str">
        <f t="shared" si="13"/>
        <v>Above Average</v>
      </c>
      <c r="M836">
        <f>RANK(H836,H:H,0)</f>
        <v>518</v>
      </c>
    </row>
    <row r="837" spans="1:13">
      <c r="A837" t="s">
        <v>29</v>
      </c>
      <c r="B837" t="s">
        <v>15</v>
      </c>
      <c r="C837" t="s">
        <v>73</v>
      </c>
      <c r="D837" s="3" t="s">
        <v>105</v>
      </c>
      <c r="E837" s="5" t="str">
        <f>TEXT(D837,"dd/mm/yyyy")</f>
        <v>19/01/2022</v>
      </c>
      <c r="F837" s="5" t="str" cm="1">
        <f t="array" ref="F837">RIGHT(_xlfn.ANCHORARRAY(E837),4)</f>
        <v>2022</v>
      </c>
      <c r="G837" s="5" t="str">
        <f>TEXT(E837,"mm")</f>
        <v>19/01/2022</v>
      </c>
      <c r="H837" s="6">
        <v>6916</v>
      </c>
      <c r="I837">
        <v>259</v>
      </c>
      <c r="L837" t="str">
        <f t="shared" si="13"/>
        <v>Above Average</v>
      </c>
      <c r="M837">
        <f>RANK(H837,H:H,0)</f>
        <v>1201</v>
      </c>
    </row>
    <row r="838" spans="1:13">
      <c r="A838" t="s">
        <v>37</v>
      </c>
      <c r="B838" t="s">
        <v>7</v>
      </c>
      <c r="C838" t="s">
        <v>26</v>
      </c>
      <c r="D838" s="4">
        <v>44716</v>
      </c>
      <c r="E838" s="5" t="str">
        <f>TEXT(D838,"dd/mm/yyyy")</f>
        <v>04/06/2022</v>
      </c>
      <c r="F838" s="5" t="str" cm="1">
        <f t="array" ref="F838">RIGHT(_xlfn.ANCHORARRAY(E838),4)</f>
        <v>2022</v>
      </c>
      <c r="G838" s="5" t="str">
        <f>TEXT(E838,"mm")</f>
        <v>04</v>
      </c>
      <c r="H838" s="6">
        <v>3647</v>
      </c>
      <c r="I838">
        <v>310</v>
      </c>
      <c r="L838" t="str">
        <f t="shared" si="13"/>
        <v>Below Average</v>
      </c>
      <c r="M838">
        <f>RANK(H838,H:H,0)</f>
        <v>2089</v>
      </c>
    </row>
    <row r="839" spans="1:13">
      <c r="A839" t="s">
        <v>55</v>
      </c>
      <c r="B839" t="s">
        <v>15</v>
      </c>
      <c r="C839" t="s">
        <v>26</v>
      </c>
      <c r="D839" s="4">
        <v>44600</v>
      </c>
      <c r="E839" s="5" t="str">
        <f>TEXT(D839,"dd/mm/yyyy")</f>
        <v>08/02/2022</v>
      </c>
      <c r="F839" s="5" t="str" cm="1">
        <f t="array" ref="F839">RIGHT(_xlfn.ANCHORARRAY(E839),4)</f>
        <v>2022</v>
      </c>
      <c r="G839" s="5" t="str">
        <f>TEXT(E839,"mm")</f>
        <v>08</v>
      </c>
      <c r="H839" s="6">
        <v>8995</v>
      </c>
      <c r="I839">
        <v>78</v>
      </c>
      <c r="L839" t="str">
        <f t="shared" si="13"/>
        <v>Above Average</v>
      </c>
      <c r="M839">
        <f>RANK(H839,H:H,0)</f>
        <v>739</v>
      </c>
    </row>
    <row r="840" spans="1:13">
      <c r="A840" t="s">
        <v>12</v>
      </c>
      <c r="B840" t="s">
        <v>15</v>
      </c>
      <c r="C840" t="s">
        <v>36</v>
      </c>
      <c r="D840" s="4">
        <v>44899</v>
      </c>
      <c r="E840" s="5" t="str">
        <f>TEXT(D840,"dd/mm/yyyy")</f>
        <v>04/12/2022</v>
      </c>
      <c r="F840" s="5" t="str" cm="1">
        <f t="array" ref="F840">RIGHT(_xlfn.ANCHORARRAY(E840),4)</f>
        <v>2022</v>
      </c>
      <c r="G840" s="5" t="str">
        <f>TEXT(E840,"mm")</f>
        <v>04</v>
      </c>
      <c r="H840" s="6">
        <v>7252</v>
      </c>
      <c r="I840">
        <v>136</v>
      </c>
      <c r="L840" t="str">
        <f t="shared" si="13"/>
        <v>Above Average</v>
      </c>
      <c r="M840">
        <f>RANK(H840,H:H,0)</f>
        <v>1118</v>
      </c>
    </row>
    <row r="841" spans="1:13">
      <c r="A841" t="s">
        <v>19</v>
      </c>
      <c r="B841" t="s">
        <v>10</v>
      </c>
      <c r="C841" t="s">
        <v>38</v>
      </c>
      <c r="D841" s="3" t="s">
        <v>141</v>
      </c>
      <c r="E841" s="5" t="str">
        <f>TEXT(D841,"dd/mm/yyyy")</f>
        <v>21/07/2022</v>
      </c>
      <c r="F841" s="5" t="str" cm="1">
        <f t="array" ref="F841">RIGHT(_xlfn.ANCHORARRAY(E841),4)</f>
        <v>2022</v>
      </c>
      <c r="G841" s="5" t="str">
        <f>TEXT(E841,"mm")</f>
        <v>21/07/2022</v>
      </c>
      <c r="H841" s="6">
        <v>16380</v>
      </c>
      <c r="I841">
        <v>130</v>
      </c>
      <c r="L841" t="str">
        <f t="shared" si="13"/>
        <v>Above Average</v>
      </c>
      <c r="M841">
        <f>RANK(H841,H:H,0)</f>
        <v>90</v>
      </c>
    </row>
    <row r="842" spans="1:13">
      <c r="A842" t="s">
        <v>9</v>
      </c>
      <c r="B842" t="s">
        <v>25</v>
      </c>
      <c r="C842" t="s">
        <v>87</v>
      </c>
      <c r="D842" s="3" t="s">
        <v>139</v>
      </c>
      <c r="E842" s="5" t="str">
        <f>TEXT(D842,"dd/mm/yyyy")</f>
        <v>22/03/2022</v>
      </c>
      <c r="F842" s="5" t="str" cm="1">
        <f t="array" ref="F842">RIGHT(_xlfn.ANCHORARRAY(E842),4)</f>
        <v>2022</v>
      </c>
      <c r="G842" s="5" t="str">
        <f>TEXT(E842,"mm")</f>
        <v>22/03/2022</v>
      </c>
      <c r="H842" s="6">
        <v>9660</v>
      </c>
      <c r="I842">
        <v>24</v>
      </c>
      <c r="L842" t="str">
        <f t="shared" si="13"/>
        <v>Above Average</v>
      </c>
      <c r="M842">
        <f>RANK(H842,H:H,0)</f>
        <v>634</v>
      </c>
    </row>
    <row r="843" spans="1:13">
      <c r="A843" t="s">
        <v>53</v>
      </c>
      <c r="B843" t="s">
        <v>10</v>
      </c>
      <c r="C843" t="s">
        <v>13</v>
      </c>
      <c r="D843" s="4">
        <v>44809</v>
      </c>
      <c r="E843" s="5" t="str">
        <f>TEXT(D843,"dd/mm/yyyy")</f>
        <v>05/09/2022</v>
      </c>
      <c r="F843" s="5" t="str" cm="1">
        <f t="array" ref="F843">RIGHT(_xlfn.ANCHORARRAY(E843),4)</f>
        <v>2022</v>
      </c>
      <c r="G843" s="5" t="str">
        <f>TEXT(E843,"mm")</f>
        <v>05</v>
      </c>
      <c r="H843" s="6">
        <v>4522</v>
      </c>
      <c r="I843">
        <v>5</v>
      </c>
      <c r="L843" t="str">
        <f t="shared" si="13"/>
        <v>Below Average</v>
      </c>
      <c r="M843">
        <f>RANK(H843,H:H,0)</f>
        <v>1841</v>
      </c>
    </row>
    <row r="844" spans="1:13">
      <c r="A844" t="s">
        <v>67</v>
      </c>
      <c r="B844" t="s">
        <v>15</v>
      </c>
      <c r="C844" t="s">
        <v>87</v>
      </c>
      <c r="D844" s="4">
        <v>44812</v>
      </c>
      <c r="E844" s="5" t="str">
        <f>TEXT(D844,"dd/mm/yyyy")</f>
        <v>08/09/2022</v>
      </c>
      <c r="F844" s="5" t="str" cm="1">
        <f t="array" ref="F844">RIGHT(_xlfn.ANCHORARRAY(E844),4)</f>
        <v>2022</v>
      </c>
      <c r="G844" s="5" t="str">
        <f>TEXT(E844,"mm")</f>
        <v>08</v>
      </c>
      <c r="H844" s="6">
        <v>329</v>
      </c>
      <c r="I844">
        <v>109</v>
      </c>
      <c r="L844" t="str">
        <f t="shared" si="13"/>
        <v>Below Average</v>
      </c>
      <c r="M844">
        <f>RANK(H844,H:H,0)</f>
        <v>3179</v>
      </c>
    </row>
    <row r="845" spans="1:13">
      <c r="A845" t="s">
        <v>77</v>
      </c>
      <c r="B845" t="s">
        <v>35</v>
      </c>
      <c r="C845" t="s">
        <v>75</v>
      </c>
      <c r="D845" s="3" t="s">
        <v>158</v>
      </c>
      <c r="E845" s="5" t="str">
        <f>TEXT(D845,"dd/mm/yyyy")</f>
        <v>20/07/2022</v>
      </c>
      <c r="F845" s="5" t="str" cm="1">
        <f t="array" ref="F845">RIGHT(_xlfn.ANCHORARRAY(E845),4)</f>
        <v>2022</v>
      </c>
      <c r="G845" s="5" t="str">
        <f>TEXT(E845,"mm")</f>
        <v>20/07/2022</v>
      </c>
      <c r="H845" s="6">
        <v>3458</v>
      </c>
      <c r="I845">
        <v>294</v>
      </c>
      <c r="L845" t="str">
        <f t="shared" si="13"/>
        <v>Below Average</v>
      </c>
      <c r="M845">
        <f>RANK(H845,H:H,0)</f>
        <v>2153</v>
      </c>
    </row>
    <row r="846" spans="1:13">
      <c r="A846" t="s">
        <v>28</v>
      </c>
      <c r="B846" t="s">
        <v>10</v>
      </c>
      <c r="C846" t="s">
        <v>100</v>
      </c>
      <c r="D846" s="3" t="s">
        <v>91</v>
      </c>
      <c r="E846" s="5" t="str">
        <f>TEXT(D846,"dd/mm/yyyy")</f>
        <v>14/04/2022</v>
      </c>
      <c r="F846" s="5" t="str" cm="1">
        <f t="array" ref="F846">RIGHT(_xlfn.ANCHORARRAY(E846),4)</f>
        <v>2022</v>
      </c>
      <c r="G846" s="5" t="str">
        <f>TEXT(E846,"mm")</f>
        <v>14/04/2022</v>
      </c>
      <c r="H846" s="6">
        <v>4641</v>
      </c>
      <c r="I846">
        <v>413</v>
      </c>
      <c r="L846" t="str">
        <f t="shared" si="13"/>
        <v>Below Average</v>
      </c>
      <c r="M846">
        <f>RANK(H846,H:H,0)</f>
        <v>1814</v>
      </c>
    </row>
    <row r="847" spans="1:13">
      <c r="A847" t="s">
        <v>6</v>
      </c>
      <c r="B847" t="s">
        <v>35</v>
      </c>
      <c r="C847" t="s">
        <v>59</v>
      </c>
      <c r="D847" s="3" t="s">
        <v>21</v>
      </c>
      <c r="E847" s="5" t="str">
        <f>TEXT(D847,"dd/mm/yyyy")</f>
        <v>25/01/2022</v>
      </c>
      <c r="F847" s="5" t="str" cm="1">
        <f t="array" ref="F847">RIGHT(_xlfn.ANCHORARRAY(E847),4)</f>
        <v>2022</v>
      </c>
      <c r="G847" s="5" t="str">
        <f>TEXT(E847,"mm")</f>
        <v>25/01/2022</v>
      </c>
      <c r="H847" s="6">
        <v>4627</v>
      </c>
      <c r="I847">
        <v>136</v>
      </c>
      <c r="L847" t="str">
        <f t="shared" si="13"/>
        <v>Below Average</v>
      </c>
      <c r="M847">
        <f>RANK(H847,H:H,0)</f>
        <v>1815</v>
      </c>
    </row>
    <row r="848" spans="1:13">
      <c r="A848" t="s">
        <v>67</v>
      </c>
      <c r="B848" t="s">
        <v>15</v>
      </c>
      <c r="C848" t="s">
        <v>65</v>
      </c>
      <c r="D848" s="3" t="s">
        <v>114</v>
      </c>
      <c r="E848" s="5" t="str">
        <f>TEXT(D848,"dd/mm/yyyy")</f>
        <v>25/04/2022</v>
      </c>
      <c r="F848" s="5" t="str" cm="1">
        <f t="array" ref="F848">RIGHT(_xlfn.ANCHORARRAY(E848),4)</f>
        <v>2022</v>
      </c>
      <c r="G848" s="5" t="str">
        <f>TEXT(E848,"mm")</f>
        <v>25/04/2022</v>
      </c>
      <c r="H848" s="6">
        <v>3192</v>
      </c>
      <c r="I848">
        <v>175</v>
      </c>
      <c r="L848" t="str">
        <f t="shared" si="13"/>
        <v>Below Average</v>
      </c>
      <c r="M848">
        <f>RANK(H848,H:H,0)</f>
        <v>2235</v>
      </c>
    </row>
    <row r="849" spans="1:13">
      <c r="A849" t="s">
        <v>79</v>
      </c>
      <c r="B849" t="s">
        <v>35</v>
      </c>
      <c r="C849" t="s">
        <v>23</v>
      </c>
      <c r="D849" s="3" t="s">
        <v>152</v>
      </c>
      <c r="E849" s="5" t="str">
        <f>TEXT(D849,"dd/mm/yyyy")</f>
        <v>17/01/2022</v>
      </c>
      <c r="F849" s="5" t="str" cm="1">
        <f t="array" ref="F849">RIGHT(_xlfn.ANCHORARRAY(E849),4)</f>
        <v>2022</v>
      </c>
      <c r="G849" s="5" t="str">
        <f>TEXT(E849,"mm")</f>
        <v>17/01/2022</v>
      </c>
      <c r="H849" s="6">
        <v>252</v>
      </c>
      <c r="I849">
        <v>237</v>
      </c>
      <c r="L849" t="str">
        <f t="shared" si="13"/>
        <v>Below Average</v>
      </c>
      <c r="M849">
        <f>RANK(H849,H:H,0)</f>
        <v>3207</v>
      </c>
    </row>
    <row r="850" spans="1:13">
      <c r="A850" t="s">
        <v>37</v>
      </c>
      <c r="B850" t="s">
        <v>32</v>
      </c>
      <c r="C850" t="s">
        <v>36</v>
      </c>
      <c r="D850" s="3" t="s">
        <v>112</v>
      </c>
      <c r="E850" s="5" t="str">
        <f>TEXT(D850,"dd/mm/yyyy")</f>
        <v>15/08/2022</v>
      </c>
      <c r="F850" s="5" t="str" cm="1">
        <f t="array" ref="F850">RIGHT(_xlfn.ANCHORARRAY(E850),4)</f>
        <v>2022</v>
      </c>
      <c r="G850" s="5" t="str">
        <f>TEXT(E850,"mm")</f>
        <v>15/08/2022</v>
      </c>
      <c r="H850" s="6">
        <v>868</v>
      </c>
      <c r="I850">
        <v>125</v>
      </c>
      <c r="L850" t="str">
        <f t="shared" si="13"/>
        <v>Below Average</v>
      </c>
      <c r="M850">
        <f>RANK(H850,H:H,0)</f>
        <v>3011</v>
      </c>
    </row>
    <row r="851" spans="1:13">
      <c r="A851" t="s">
        <v>37</v>
      </c>
      <c r="B851" t="s">
        <v>35</v>
      </c>
      <c r="C851" t="s">
        <v>57</v>
      </c>
      <c r="D851" s="4">
        <v>44598</v>
      </c>
      <c r="E851" s="5" t="str">
        <f>TEXT(D851,"dd/mm/yyyy")</f>
        <v>06/02/2022</v>
      </c>
      <c r="F851" s="5" t="str" cm="1">
        <f t="array" ref="F851">RIGHT(_xlfn.ANCHORARRAY(E851),4)</f>
        <v>2022</v>
      </c>
      <c r="G851" s="5" t="str">
        <f>TEXT(E851,"mm")</f>
        <v>06</v>
      </c>
      <c r="H851" s="6">
        <v>210</v>
      </c>
      <c r="I851">
        <v>16</v>
      </c>
      <c r="L851" t="str">
        <f t="shared" si="13"/>
        <v>Below Average</v>
      </c>
      <c r="M851">
        <f>RANK(H851,H:H,0)</f>
        <v>3214</v>
      </c>
    </row>
    <row r="852" spans="1:13">
      <c r="A852" t="s">
        <v>22</v>
      </c>
      <c r="B852" t="s">
        <v>32</v>
      </c>
      <c r="C852" t="s">
        <v>11</v>
      </c>
      <c r="D852" s="3" t="s">
        <v>66</v>
      </c>
      <c r="E852" s="5" t="str">
        <f>TEXT(D852,"dd/mm/yyyy")</f>
        <v>30/06/2022</v>
      </c>
      <c r="F852" s="5" t="str" cm="1">
        <f t="array" ref="F852">RIGHT(_xlfn.ANCHORARRAY(E852),4)</f>
        <v>2022</v>
      </c>
      <c r="G852" s="5" t="str">
        <f>TEXT(E852,"mm")</f>
        <v>30/06/2022</v>
      </c>
      <c r="H852" s="6">
        <v>7007</v>
      </c>
      <c r="I852">
        <v>135</v>
      </c>
      <c r="L852" t="str">
        <f t="shared" si="13"/>
        <v>Above Average</v>
      </c>
      <c r="M852">
        <f>RANK(H852,H:H,0)</f>
        <v>1178</v>
      </c>
    </row>
    <row r="853" spans="1:13">
      <c r="A853" t="s">
        <v>79</v>
      </c>
      <c r="B853" t="s">
        <v>25</v>
      </c>
      <c r="C853" t="s">
        <v>73</v>
      </c>
      <c r="D853" s="4">
        <v>44836</v>
      </c>
      <c r="E853" s="5" t="str">
        <f>TEXT(D853,"dd/mm/yyyy")</f>
        <v>02/10/2022</v>
      </c>
      <c r="F853" s="5" t="str" cm="1">
        <f t="array" ref="F853">RIGHT(_xlfn.ANCHORARRAY(E853),4)</f>
        <v>2022</v>
      </c>
      <c r="G853" s="5" t="str">
        <f>TEXT(E853,"mm")</f>
        <v>02</v>
      </c>
      <c r="H853" s="6">
        <v>5845</v>
      </c>
      <c r="I853">
        <v>91</v>
      </c>
      <c r="L853" t="str">
        <f t="shared" si="13"/>
        <v>Below Average</v>
      </c>
      <c r="M853">
        <f>RANK(H853,H:H,0)</f>
        <v>1474</v>
      </c>
    </row>
    <row r="854" spans="1:13">
      <c r="A854" t="s">
        <v>40</v>
      </c>
      <c r="B854" t="s">
        <v>35</v>
      </c>
      <c r="C854" t="s">
        <v>90</v>
      </c>
      <c r="D854" s="3" t="s">
        <v>76</v>
      </c>
      <c r="E854" s="5" t="str">
        <f>TEXT(D854,"dd/mm/yyyy")</f>
        <v>23/02/2022</v>
      </c>
      <c r="F854" s="5" t="str" cm="1">
        <f t="array" ref="F854">RIGHT(_xlfn.ANCHORARRAY(E854),4)</f>
        <v>2022</v>
      </c>
      <c r="G854" s="5" t="str">
        <f>TEXT(E854,"mm")</f>
        <v>23/02/2022</v>
      </c>
      <c r="H854" s="6">
        <v>1372</v>
      </c>
      <c r="I854">
        <v>614</v>
      </c>
      <c r="L854" t="str">
        <f t="shared" si="13"/>
        <v>Below Average</v>
      </c>
      <c r="M854">
        <f>RANK(H854,H:H,0)</f>
        <v>2850</v>
      </c>
    </row>
    <row r="855" spans="1:13">
      <c r="A855" t="s">
        <v>58</v>
      </c>
      <c r="B855" t="s">
        <v>10</v>
      </c>
      <c r="C855" t="s">
        <v>42</v>
      </c>
      <c r="D855" s="3" t="s">
        <v>95</v>
      </c>
      <c r="E855" s="5" t="str">
        <f>TEXT(D855,"dd/mm/yyyy")</f>
        <v>27/01/2022</v>
      </c>
      <c r="F855" s="5" t="str" cm="1">
        <f t="array" ref="F855">RIGHT(_xlfn.ANCHORARRAY(E855),4)</f>
        <v>2022</v>
      </c>
      <c r="G855" s="5" t="str">
        <f>TEXT(E855,"mm")</f>
        <v>27/01/2022</v>
      </c>
      <c r="H855" s="6">
        <v>8428</v>
      </c>
      <c r="I855">
        <v>216</v>
      </c>
      <c r="L855" t="str">
        <f t="shared" si="13"/>
        <v>Above Average</v>
      </c>
      <c r="M855">
        <f>RANK(H855,H:H,0)</f>
        <v>849</v>
      </c>
    </row>
    <row r="856" spans="1:13">
      <c r="A856" t="s">
        <v>71</v>
      </c>
      <c r="B856" t="s">
        <v>7</v>
      </c>
      <c r="C856" t="s">
        <v>8</v>
      </c>
      <c r="D856" s="3" t="s">
        <v>88</v>
      </c>
      <c r="E856" s="5" t="str">
        <f>TEXT(D856,"dd/mm/yyyy")</f>
        <v>26/05/2022</v>
      </c>
      <c r="F856" s="5" t="str" cm="1">
        <f t="array" ref="F856">RIGHT(_xlfn.ANCHORARRAY(E856),4)</f>
        <v>2022</v>
      </c>
      <c r="G856" s="5" t="str">
        <f>TEXT(E856,"mm")</f>
        <v>26/05/2022</v>
      </c>
      <c r="H856" s="6">
        <v>4977</v>
      </c>
      <c r="I856">
        <v>317</v>
      </c>
      <c r="L856" t="str">
        <f t="shared" si="13"/>
        <v>Below Average</v>
      </c>
      <c r="M856">
        <f>RANK(H856,H:H,0)</f>
        <v>1713</v>
      </c>
    </row>
    <row r="857" spans="1:13">
      <c r="A857" t="s">
        <v>28</v>
      </c>
      <c r="B857" t="s">
        <v>32</v>
      </c>
      <c r="C857" t="s">
        <v>100</v>
      </c>
      <c r="D857" s="3" t="s">
        <v>91</v>
      </c>
      <c r="E857" s="5" t="str">
        <f>TEXT(D857,"dd/mm/yyyy")</f>
        <v>14/04/2022</v>
      </c>
      <c r="F857" s="5" t="str" cm="1">
        <f t="array" ref="F857">RIGHT(_xlfn.ANCHORARRAY(E857),4)</f>
        <v>2022</v>
      </c>
      <c r="G857" s="5" t="str">
        <f>TEXT(E857,"mm")</f>
        <v>14/04/2022</v>
      </c>
      <c r="H857" s="6">
        <v>1694</v>
      </c>
      <c r="I857">
        <v>21</v>
      </c>
      <c r="L857" t="str">
        <f t="shared" si="13"/>
        <v>Below Average</v>
      </c>
      <c r="M857">
        <f>RANK(H857,H:H,0)</f>
        <v>2732</v>
      </c>
    </row>
    <row r="858" spans="1:13">
      <c r="A858" t="s">
        <v>77</v>
      </c>
      <c r="B858" t="s">
        <v>15</v>
      </c>
      <c r="C858" t="s">
        <v>20</v>
      </c>
      <c r="D858" s="4">
        <v>44569</v>
      </c>
      <c r="E858" s="5" t="str">
        <f>TEXT(D858,"dd/mm/yyyy")</f>
        <v>08/01/2022</v>
      </c>
      <c r="F858" s="5" t="str" cm="1">
        <f t="array" ref="F858">RIGHT(_xlfn.ANCHORARRAY(E858),4)</f>
        <v>2022</v>
      </c>
      <c r="G858" s="5" t="str">
        <f>TEXT(E858,"mm")</f>
        <v>08</v>
      </c>
      <c r="H858" s="6">
        <v>4326</v>
      </c>
      <c r="I858">
        <v>154</v>
      </c>
      <c r="L858" t="str">
        <f t="shared" si="13"/>
        <v>Below Average</v>
      </c>
      <c r="M858">
        <f>RANK(H858,H:H,0)</f>
        <v>1899</v>
      </c>
    </row>
    <row r="859" spans="1:13">
      <c r="A859" t="s">
        <v>34</v>
      </c>
      <c r="B859" t="s">
        <v>15</v>
      </c>
      <c r="C859" t="s">
        <v>36</v>
      </c>
      <c r="D859" s="3" t="s">
        <v>78</v>
      </c>
      <c r="E859" s="5" t="str">
        <f>TEXT(D859,"dd/mm/yyyy")</f>
        <v>22/08/2022</v>
      </c>
      <c r="F859" s="5" t="str" cm="1">
        <f t="array" ref="F859">RIGHT(_xlfn.ANCHORARRAY(E859),4)</f>
        <v>2022</v>
      </c>
      <c r="G859" s="5" t="str">
        <f>TEXT(E859,"mm")</f>
        <v>22/08/2022</v>
      </c>
      <c r="H859" s="6">
        <v>9527</v>
      </c>
      <c r="I859">
        <v>222</v>
      </c>
      <c r="L859" t="str">
        <f t="shared" si="13"/>
        <v>Above Average</v>
      </c>
      <c r="M859">
        <f>RANK(H859,H:H,0)</f>
        <v>652</v>
      </c>
    </row>
    <row r="860" spans="1:13">
      <c r="A860" t="s">
        <v>40</v>
      </c>
      <c r="B860" t="s">
        <v>10</v>
      </c>
      <c r="C860" t="s">
        <v>20</v>
      </c>
      <c r="D860" s="3" t="s">
        <v>68</v>
      </c>
      <c r="E860" s="5" t="str">
        <f>TEXT(D860,"dd/mm/yyyy")</f>
        <v>22/07/2022</v>
      </c>
      <c r="F860" s="5" t="str" cm="1">
        <f t="array" ref="F860">RIGHT(_xlfn.ANCHORARRAY(E860),4)</f>
        <v>2022</v>
      </c>
      <c r="G860" s="5" t="str">
        <f>TEXT(E860,"mm")</f>
        <v>22/07/2022</v>
      </c>
      <c r="H860" s="6">
        <v>10766</v>
      </c>
      <c r="I860">
        <v>157</v>
      </c>
      <c r="L860" t="str">
        <f t="shared" si="13"/>
        <v>Above Average</v>
      </c>
      <c r="M860">
        <f>RANK(H860,H:H,0)</f>
        <v>481</v>
      </c>
    </row>
    <row r="861" spans="1:13">
      <c r="A861" t="s">
        <v>53</v>
      </c>
      <c r="B861" t="s">
        <v>32</v>
      </c>
      <c r="C861" t="s">
        <v>57</v>
      </c>
      <c r="D861" s="3" t="s">
        <v>159</v>
      </c>
      <c r="E861" s="5" t="str">
        <f>TEXT(D861,"dd/mm/yyyy")</f>
        <v>28/04/2022</v>
      </c>
      <c r="F861" s="5" t="str" cm="1">
        <f t="array" ref="F861">RIGHT(_xlfn.ANCHORARRAY(E861),4)</f>
        <v>2022</v>
      </c>
      <c r="G861" s="5" t="str">
        <f>TEXT(E861,"mm")</f>
        <v>28/04/2022</v>
      </c>
      <c r="H861" s="6">
        <v>1288</v>
      </c>
      <c r="I861">
        <v>27</v>
      </c>
      <c r="L861" t="str">
        <f t="shared" si="13"/>
        <v>Below Average</v>
      </c>
      <c r="M861">
        <f>RANK(H861,H:H,0)</f>
        <v>2878</v>
      </c>
    </row>
    <row r="862" spans="1:13">
      <c r="A862" t="s">
        <v>70</v>
      </c>
      <c r="B862" t="s">
        <v>15</v>
      </c>
      <c r="C862" t="s">
        <v>65</v>
      </c>
      <c r="D862" s="3" t="s">
        <v>52</v>
      </c>
      <c r="E862" s="5" t="str">
        <f>TEXT(D862,"dd/mm/yyyy")</f>
        <v>30/05/2022</v>
      </c>
      <c r="F862" s="5" t="str" cm="1">
        <f t="array" ref="F862">RIGHT(_xlfn.ANCHORARRAY(E862),4)</f>
        <v>2022</v>
      </c>
      <c r="G862" s="5" t="str">
        <f>TEXT(E862,"mm")</f>
        <v>30/05/2022</v>
      </c>
      <c r="H862" s="6">
        <v>4879</v>
      </c>
      <c r="I862">
        <v>350</v>
      </c>
      <c r="L862" t="str">
        <f t="shared" si="13"/>
        <v>Below Average</v>
      </c>
      <c r="M862">
        <f>RANK(H862,H:H,0)</f>
        <v>1740</v>
      </c>
    </row>
    <row r="863" spans="1:13">
      <c r="A863" t="s">
        <v>83</v>
      </c>
      <c r="B863" t="s">
        <v>32</v>
      </c>
      <c r="C863" t="s">
        <v>46</v>
      </c>
      <c r="D863" s="3" t="s">
        <v>141</v>
      </c>
      <c r="E863" s="5" t="str">
        <f>TEXT(D863,"dd/mm/yyyy")</f>
        <v>21/07/2022</v>
      </c>
      <c r="F863" s="5" t="str" cm="1">
        <f t="array" ref="F863">RIGHT(_xlfn.ANCHORARRAY(E863),4)</f>
        <v>2022</v>
      </c>
      <c r="G863" s="5" t="str">
        <f>TEXT(E863,"mm")</f>
        <v>21/07/2022</v>
      </c>
      <c r="H863" s="6">
        <v>2408</v>
      </c>
      <c r="I863">
        <v>157</v>
      </c>
      <c r="L863" t="str">
        <f t="shared" si="13"/>
        <v>Below Average</v>
      </c>
      <c r="M863">
        <f>RANK(H863,H:H,0)</f>
        <v>2514</v>
      </c>
    </row>
    <row r="864" spans="1:13">
      <c r="A864" t="s">
        <v>14</v>
      </c>
      <c r="B864" t="s">
        <v>7</v>
      </c>
      <c r="C864" t="s">
        <v>90</v>
      </c>
      <c r="D864" s="4">
        <v>44600</v>
      </c>
      <c r="E864" s="5" t="str">
        <f>TEXT(D864,"dd/mm/yyyy")</f>
        <v>08/02/2022</v>
      </c>
      <c r="F864" s="5" t="str" cm="1">
        <f t="array" ref="F864">RIGHT(_xlfn.ANCHORARRAY(E864),4)</f>
        <v>2022</v>
      </c>
      <c r="G864" s="5" t="str">
        <f>TEXT(E864,"mm")</f>
        <v>08</v>
      </c>
      <c r="H864" s="6">
        <v>3094</v>
      </c>
      <c r="I864">
        <v>468</v>
      </c>
      <c r="L864" t="str">
        <f t="shared" si="13"/>
        <v>Below Average</v>
      </c>
      <c r="M864">
        <f>RANK(H864,H:H,0)</f>
        <v>2271</v>
      </c>
    </row>
    <row r="865" spans="1:13">
      <c r="A865" t="s">
        <v>28</v>
      </c>
      <c r="B865" t="s">
        <v>25</v>
      </c>
      <c r="C865" t="s">
        <v>100</v>
      </c>
      <c r="D865" s="3" t="s">
        <v>61</v>
      </c>
      <c r="E865" s="5" t="str">
        <f>TEXT(D865,"dd/mm/yyyy")</f>
        <v>15/06/2022</v>
      </c>
      <c r="F865" s="5" t="str" cm="1">
        <f t="array" ref="F865">RIGHT(_xlfn.ANCHORARRAY(E865),4)</f>
        <v>2022</v>
      </c>
      <c r="G865" s="5" t="str">
        <f>TEXT(E865,"mm")</f>
        <v>15/06/2022</v>
      </c>
      <c r="H865" s="6">
        <v>7231</v>
      </c>
      <c r="I865">
        <v>130</v>
      </c>
      <c r="L865" t="str">
        <f t="shared" si="13"/>
        <v>Above Average</v>
      </c>
      <c r="M865">
        <f>RANK(H865,H:H,0)</f>
        <v>1122</v>
      </c>
    </row>
    <row r="866" spans="1:13">
      <c r="A866" t="s">
        <v>19</v>
      </c>
      <c r="B866" t="s">
        <v>10</v>
      </c>
      <c r="C866" t="s">
        <v>11</v>
      </c>
      <c r="D866" s="4">
        <v>44688</v>
      </c>
      <c r="E866" s="5" t="str">
        <f>TEXT(D866,"dd/mm/yyyy")</f>
        <v>07/05/2022</v>
      </c>
      <c r="F866" s="5" t="str" cm="1">
        <f t="array" ref="F866">RIGHT(_xlfn.ANCHORARRAY(E866),4)</f>
        <v>2022</v>
      </c>
      <c r="G866" s="5" t="str">
        <f>TEXT(E866,"mm")</f>
        <v>07</v>
      </c>
      <c r="H866" s="6">
        <v>8981</v>
      </c>
      <c r="I866">
        <v>130</v>
      </c>
      <c r="L866" t="str">
        <f t="shared" si="13"/>
        <v>Above Average</v>
      </c>
      <c r="M866">
        <f>RANK(H866,H:H,0)</f>
        <v>741</v>
      </c>
    </row>
    <row r="867" spans="1:13">
      <c r="A867" t="s">
        <v>55</v>
      </c>
      <c r="B867" t="s">
        <v>25</v>
      </c>
      <c r="C867" t="s">
        <v>18</v>
      </c>
      <c r="D867" s="4">
        <v>44899</v>
      </c>
      <c r="E867" s="5" t="str">
        <f>TEXT(D867,"dd/mm/yyyy")</f>
        <v>04/12/2022</v>
      </c>
      <c r="F867" s="5" t="str" cm="1">
        <f t="array" ref="F867">RIGHT(_xlfn.ANCHORARRAY(E867),4)</f>
        <v>2022</v>
      </c>
      <c r="G867" s="5" t="str">
        <f>TEXT(E867,"mm")</f>
        <v>04</v>
      </c>
      <c r="H867" s="6">
        <v>7</v>
      </c>
      <c r="I867">
        <v>518</v>
      </c>
      <c r="L867" t="str">
        <f t="shared" si="13"/>
        <v>Below Average</v>
      </c>
      <c r="M867">
        <f>RANK(H867,H:H,0)</f>
        <v>3281</v>
      </c>
    </row>
    <row r="868" spans="1:13">
      <c r="A868" t="s">
        <v>12</v>
      </c>
      <c r="B868" t="s">
        <v>15</v>
      </c>
      <c r="C868" t="s">
        <v>100</v>
      </c>
      <c r="D868" s="3" t="s">
        <v>97</v>
      </c>
      <c r="E868" s="5" t="str">
        <f>TEXT(D868,"dd/mm/yyyy")</f>
        <v>18/08/2022</v>
      </c>
      <c r="F868" s="5" t="str" cm="1">
        <f t="array" ref="F868">RIGHT(_xlfn.ANCHORARRAY(E868),4)</f>
        <v>2022</v>
      </c>
      <c r="G868" s="5" t="str">
        <f>TEXT(E868,"mm")</f>
        <v>18/08/2022</v>
      </c>
      <c r="H868" s="6">
        <v>1372</v>
      </c>
      <c r="I868">
        <v>105</v>
      </c>
      <c r="L868" t="str">
        <f t="shared" si="13"/>
        <v>Below Average</v>
      </c>
      <c r="M868">
        <f>RANK(H868,H:H,0)</f>
        <v>2850</v>
      </c>
    </row>
    <row r="869" spans="1:13">
      <c r="A869" t="s">
        <v>14</v>
      </c>
      <c r="B869" t="s">
        <v>7</v>
      </c>
      <c r="C869" t="s">
        <v>26</v>
      </c>
      <c r="D869" s="4">
        <v>44896</v>
      </c>
      <c r="E869" s="5" t="str">
        <f>TEXT(D869,"dd/mm/yyyy")</f>
        <v>01/12/2022</v>
      </c>
      <c r="F869" s="5" t="str" cm="1">
        <f t="array" ref="F869">RIGHT(_xlfn.ANCHORARRAY(E869),4)</f>
        <v>2022</v>
      </c>
      <c r="G869" s="5" t="str">
        <f>TEXT(E869,"mm")</f>
        <v>01</v>
      </c>
      <c r="H869" s="6">
        <v>5250</v>
      </c>
      <c r="I869">
        <v>293</v>
      </c>
      <c r="L869" t="str">
        <f t="shared" si="13"/>
        <v>Below Average</v>
      </c>
      <c r="M869">
        <f>RANK(H869,H:H,0)</f>
        <v>1632</v>
      </c>
    </row>
    <row r="870" spans="1:13">
      <c r="A870" t="s">
        <v>22</v>
      </c>
      <c r="B870" t="s">
        <v>35</v>
      </c>
      <c r="C870" t="s">
        <v>59</v>
      </c>
      <c r="D870" s="4">
        <v>44873</v>
      </c>
      <c r="E870" s="5" t="str">
        <f>TEXT(D870,"dd/mm/yyyy")</f>
        <v>08/11/2022</v>
      </c>
      <c r="F870" s="5" t="str" cm="1">
        <f t="array" ref="F870">RIGHT(_xlfn.ANCHORARRAY(E870),4)</f>
        <v>2022</v>
      </c>
      <c r="G870" s="5" t="str">
        <f>TEXT(E870,"mm")</f>
        <v>08</v>
      </c>
      <c r="H870" s="6">
        <v>7560</v>
      </c>
      <c r="I870">
        <v>15</v>
      </c>
      <c r="L870" t="str">
        <f t="shared" si="13"/>
        <v>Above Average</v>
      </c>
      <c r="M870">
        <f>RANK(H870,H:H,0)</f>
        <v>1053</v>
      </c>
    </row>
    <row r="871" spans="1:13">
      <c r="A871" t="s">
        <v>6</v>
      </c>
      <c r="B871" t="s">
        <v>15</v>
      </c>
      <c r="C871" t="s">
        <v>50</v>
      </c>
      <c r="D871" s="3" t="s">
        <v>30</v>
      </c>
      <c r="E871" s="5" t="str">
        <f>TEXT(D871,"dd/mm/yyyy")</f>
        <v>13/01/2022</v>
      </c>
      <c r="F871" s="5" t="str" cm="1">
        <f t="array" ref="F871">RIGHT(_xlfn.ANCHORARRAY(E871),4)</f>
        <v>2022</v>
      </c>
      <c r="G871" s="5" t="str">
        <f>TEXT(E871,"mm")</f>
        <v>13/01/2022</v>
      </c>
      <c r="H871" s="6">
        <v>5012</v>
      </c>
      <c r="I871">
        <v>384</v>
      </c>
      <c r="L871" t="str">
        <f t="shared" si="13"/>
        <v>Below Average</v>
      </c>
      <c r="M871">
        <f>RANK(H871,H:H,0)</f>
        <v>1701</v>
      </c>
    </row>
    <row r="872" spans="1:13">
      <c r="A872" t="s">
        <v>53</v>
      </c>
      <c r="B872" t="s">
        <v>7</v>
      </c>
      <c r="C872" t="s">
        <v>87</v>
      </c>
      <c r="D872" s="3" t="s">
        <v>116</v>
      </c>
      <c r="E872" s="5" t="str">
        <f>TEXT(D872,"dd/mm/yyyy")</f>
        <v>29/04/2022</v>
      </c>
      <c r="F872" s="5" t="str" cm="1">
        <f t="array" ref="F872">RIGHT(_xlfn.ANCHORARRAY(E872),4)</f>
        <v>2022</v>
      </c>
      <c r="G872" s="5" t="str">
        <f>TEXT(E872,"mm")</f>
        <v>29/04/2022</v>
      </c>
      <c r="H872" s="6">
        <v>3038</v>
      </c>
      <c r="I872">
        <v>135</v>
      </c>
      <c r="L872" t="str">
        <f t="shared" si="13"/>
        <v>Below Average</v>
      </c>
      <c r="M872">
        <f>RANK(H872,H:H,0)</f>
        <v>2292</v>
      </c>
    </row>
    <row r="873" spans="1:13">
      <c r="A873" t="s">
        <v>29</v>
      </c>
      <c r="B873" t="s">
        <v>25</v>
      </c>
      <c r="C873" t="s">
        <v>23</v>
      </c>
      <c r="D873" s="4">
        <v>44749</v>
      </c>
      <c r="E873" s="5" t="str">
        <f>TEXT(D873,"dd/mm/yyyy")</f>
        <v>07/07/2022</v>
      </c>
      <c r="F873" s="5" t="str" cm="1">
        <f t="array" ref="F873">RIGHT(_xlfn.ANCHORARRAY(E873),4)</f>
        <v>2022</v>
      </c>
      <c r="G873" s="5" t="str">
        <f>TEXT(E873,"mm")</f>
        <v>07</v>
      </c>
      <c r="H873" s="6">
        <v>1099</v>
      </c>
      <c r="I873">
        <v>92</v>
      </c>
      <c r="L873" t="str">
        <f t="shared" si="13"/>
        <v>Below Average</v>
      </c>
      <c r="M873">
        <f>RANK(H873,H:H,0)</f>
        <v>2941</v>
      </c>
    </row>
    <row r="874" spans="1:13">
      <c r="A874" t="s">
        <v>77</v>
      </c>
      <c r="B874" t="s">
        <v>25</v>
      </c>
      <c r="C874" t="s">
        <v>8</v>
      </c>
      <c r="D874" s="4">
        <v>44868</v>
      </c>
      <c r="E874" s="5" t="str">
        <f>TEXT(D874,"dd/mm/yyyy")</f>
        <v>03/11/2022</v>
      </c>
      <c r="F874" s="5" t="str" cm="1">
        <f t="array" ref="F874">RIGHT(_xlfn.ANCHORARRAY(E874),4)</f>
        <v>2022</v>
      </c>
      <c r="G874" s="5" t="str">
        <f>TEXT(E874,"mm")</f>
        <v>03</v>
      </c>
      <c r="H874" s="6">
        <v>7413</v>
      </c>
      <c r="I874">
        <v>4</v>
      </c>
      <c r="L874" t="str">
        <f t="shared" si="13"/>
        <v>Above Average</v>
      </c>
      <c r="M874">
        <f>RANK(H874,H:H,0)</f>
        <v>1086</v>
      </c>
    </row>
    <row r="875" spans="1:13">
      <c r="A875" t="s">
        <v>77</v>
      </c>
      <c r="B875" t="s">
        <v>7</v>
      </c>
      <c r="C875" t="s">
        <v>100</v>
      </c>
      <c r="D875" s="3" t="s">
        <v>47</v>
      </c>
      <c r="E875" s="5" t="str">
        <f>TEXT(D875,"dd/mm/yyyy")</f>
        <v>16/02/2022</v>
      </c>
      <c r="F875" s="5" t="str" cm="1">
        <f t="array" ref="F875">RIGHT(_xlfn.ANCHORARRAY(E875),4)</f>
        <v>2022</v>
      </c>
      <c r="G875" s="5" t="str">
        <f>TEXT(E875,"mm")</f>
        <v>16/02/2022</v>
      </c>
      <c r="H875" s="6">
        <v>5397</v>
      </c>
      <c r="I875">
        <v>239</v>
      </c>
      <c r="L875" t="str">
        <f t="shared" si="13"/>
        <v>Below Average</v>
      </c>
      <c r="M875">
        <f>RANK(H875,H:H,0)</f>
        <v>1594</v>
      </c>
    </row>
    <row r="876" spans="1:13">
      <c r="A876" t="s">
        <v>31</v>
      </c>
      <c r="B876" t="s">
        <v>15</v>
      </c>
      <c r="C876" t="s">
        <v>42</v>
      </c>
      <c r="D876" s="4">
        <v>44743</v>
      </c>
      <c r="E876" s="5" t="str">
        <f>TEXT(D876,"dd/mm/yyyy")</f>
        <v>01/07/2022</v>
      </c>
      <c r="F876" s="5" t="str" cm="1">
        <f t="array" ref="F876">RIGHT(_xlfn.ANCHORARRAY(E876),4)</f>
        <v>2022</v>
      </c>
      <c r="G876" s="5" t="str">
        <f>TEXT(E876,"mm")</f>
        <v>01</v>
      </c>
      <c r="H876" s="6">
        <v>2303</v>
      </c>
      <c r="I876">
        <v>33</v>
      </c>
      <c r="L876" t="str">
        <f t="shared" si="13"/>
        <v>Below Average</v>
      </c>
      <c r="M876">
        <f>RANK(H876,H:H,0)</f>
        <v>2550</v>
      </c>
    </row>
    <row r="877" spans="1:13">
      <c r="A877" t="s">
        <v>41</v>
      </c>
      <c r="B877" t="s">
        <v>25</v>
      </c>
      <c r="C877" t="s">
        <v>38</v>
      </c>
      <c r="D877" s="4">
        <v>44896</v>
      </c>
      <c r="E877" s="5" t="str">
        <f>TEXT(D877,"dd/mm/yyyy")</f>
        <v>01/12/2022</v>
      </c>
      <c r="F877" s="5" t="str" cm="1">
        <f t="array" ref="F877">RIGHT(_xlfn.ANCHORARRAY(E877),4)</f>
        <v>2022</v>
      </c>
      <c r="G877" s="5" t="str">
        <f>TEXT(E877,"mm")</f>
        <v>01</v>
      </c>
      <c r="H877" s="6">
        <v>1141</v>
      </c>
      <c r="I877">
        <v>518</v>
      </c>
      <c r="L877" t="str">
        <f t="shared" si="13"/>
        <v>Below Average</v>
      </c>
      <c r="M877">
        <f>RANK(H877,H:H,0)</f>
        <v>2922</v>
      </c>
    </row>
    <row r="878" spans="1:13">
      <c r="A878" t="s">
        <v>41</v>
      </c>
      <c r="B878" t="s">
        <v>10</v>
      </c>
      <c r="C878" t="s">
        <v>36</v>
      </c>
      <c r="D878" s="4">
        <v>44810</v>
      </c>
      <c r="E878" s="5" t="str">
        <f>TEXT(D878,"dd/mm/yyyy")</f>
        <v>06/09/2022</v>
      </c>
      <c r="F878" s="5" t="str" cm="1">
        <f t="array" ref="F878">RIGHT(_xlfn.ANCHORARRAY(E878),4)</f>
        <v>2022</v>
      </c>
      <c r="G878" s="5" t="str">
        <f>TEXT(E878,"mm")</f>
        <v>06</v>
      </c>
      <c r="H878" s="6">
        <v>10325</v>
      </c>
      <c r="I878">
        <v>147</v>
      </c>
      <c r="L878" t="str">
        <f t="shared" si="13"/>
        <v>Above Average</v>
      </c>
      <c r="M878">
        <f>RANK(H878,H:H,0)</f>
        <v>531</v>
      </c>
    </row>
    <row r="879" spans="1:13">
      <c r="A879" t="s">
        <v>67</v>
      </c>
      <c r="B879" t="s">
        <v>10</v>
      </c>
      <c r="C879" t="s">
        <v>36</v>
      </c>
      <c r="D879" s="3" t="s">
        <v>86</v>
      </c>
      <c r="E879" s="5" t="str">
        <f>TEXT(D879,"dd/mm/yyyy")</f>
        <v>16/05/2022</v>
      </c>
      <c r="F879" s="5" t="str" cm="1">
        <f t="array" ref="F879">RIGHT(_xlfn.ANCHORARRAY(E879),4)</f>
        <v>2022</v>
      </c>
      <c r="G879" s="5" t="str">
        <f>TEXT(E879,"mm")</f>
        <v>16/05/2022</v>
      </c>
      <c r="H879" s="6">
        <v>2149</v>
      </c>
      <c r="I879">
        <v>84</v>
      </c>
      <c r="L879" t="str">
        <f t="shared" si="13"/>
        <v>Below Average</v>
      </c>
      <c r="M879">
        <f>RANK(H879,H:H,0)</f>
        <v>2593</v>
      </c>
    </row>
    <row r="880" spans="1:13">
      <c r="A880" t="s">
        <v>12</v>
      </c>
      <c r="B880" t="s">
        <v>7</v>
      </c>
      <c r="C880" t="s">
        <v>11</v>
      </c>
      <c r="D880" s="3" t="s">
        <v>142</v>
      </c>
      <c r="E880" s="5" t="str">
        <f>TEXT(D880,"dd/mm/yyyy")</f>
        <v>23/06/2022</v>
      </c>
      <c r="F880" s="5" t="str" cm="1">
        <f t="array" ref="F880">RIGHT(_xlfn.ANCHORARRAY(E880),4)</f>
        <v>2022</v>
      </c>
      <c r="G880" s="5" t="str">
        <f>TEXT(E880,"mm")</f>
        <v>23/06/2022</v>
      </c>
      <c r="H880" s="6">
        <v>12362</v>
      </c>
      <c r="I880">
        <v>94</v>
      </c>
      <c r="L880" t="str">
        <f t="shared" si="13"/>
        <v>Above Average</v>
      </c>
      <c r="M880">
        <f>RANK(H880,H:H,0)</f>
        <v>314</v>
      </c>
    </row>
    <row r="881" spans="1:13">
      <c r="A881" t="s">
        <v>45</v>
      </c>
      <c r="B881" t="s">
        <v>7</v>
      </c>
      <c r="C881" t="s">
        <v>73</v>
      </c>
      <c r="D881" s="3" t="s">
        <v>107</v>
      </c>
      <c r="E881" s="5" t="str">
        <f>TEXT(D881,"dd/mm/yyyy")</f>
        <v>28/01/2022</v>
      </c>
      <c r="F881" s="5" t="str" cm="1">
        <f t="array" ref="F881">RIGHT(_xlfn.ANCHORARRAY(E881),4)</f>
        <v>2022</v>
      </c>
      <c r="G881" s="5" t="str">
        <f>TEXT(E881,"mm")</f>
        <v>28/01/2022</v>
      </c>
      <c r="H881" s="6">
        <v>12635</v>
      </c>
      <c r="I881">
        <v>194</v>
      </c>
      <c r="L881" t="str">
        <f t="shared" si="13"/>
        <v>Above Average</v>
      </c>
      <c r="M881">
        <f>RANK(H881,H:H,0)</f>
        <v>287</v>
      </c>
    </row>
    <row r="882" spans="1:13">
      <c r="A882" t="s">
        <v>79</v>
      </c>
      <c r="B882" t="s">
        <v>7</v>
      </c>
      <c r="C882" t="s">
        <v>8</v>
      </c>
      <c r="D882" s="3" t="s">
        <v>160</v>
      </c>
      <c r="E882" s="5" t="str">
        <f>TEXT(D882,"dd/mm/yyyy")</f>
        <v>14/07/2022</v>
      </c>
      <c r="F882" s="5" t="str" cm="1">
        <f t="array" ref="F882">RIGHT(_xlfn.ANCHORARRAY(E882),4)</f>
        <v>2022</v>
      </c>
      <c r="G882" s="5" t="str">
        <f>TEXT(E882,"mm")</f>
        <v>14/07/2022</v>
      </c>
      <c r="H882" s="6">
        <v>2443</v>
      </c>
      <c r="I882">
        <v>216</v>
      </c>
      <c r="L882" t="str">
        <f t="shared" si="13"/>
        <v>Below Average</v>
      </c>
      <c r="M882">
        <f>RANK(H882,H:H,0)</f>
        <v>2499</v>
      </c>
    </row>
    <row r="883" spans="1:13">
      <c r="A883" t="s">
        <v>31</v>
      </c>
      <c r="B883" t="s">
        <v>35</v>
      </c>
      <c r="C883" t="s">
        <v>38</v>
      </c>
      <c r="D883" s="3" t="s">
        <v>154</v>
      </c>
      <c r="E883" s="5" t="str">
        <f>TEXT(D883,"dd/mm/yyyy")</f>
        <v>18/04/2022</v>
      </c>
      <c r="F883" s="5" t="str" cm="1">
        <f t="array" ref="F883">RIGHT(_xlfn.ANCHORARRAY(E883),4)</f>
        <v>2022</v>
      </c>
      <c r="G883" s="5" t="str">
        <f>TEXT(E883,"mm")</f>
        <v>18/04/2022</v>
      </c>
      <c r="H883" s="6">
        <v>6237</v>
      </c>
      <c r="I883">
        <v>247</v>
      </c>
      <c r="L883" t="str">
        <f t="shared" si="13"/>
        <v>Above Average</v>
      </c>
      <c r="M883">
        <f>RANK(H883,H:H,0)</f>
        <v>1370</v>
      </c>
    </row>
    <row r="884" spans="1:13">
      <c r="A884" t="s">
        <v>19</v>
      </c>
      <c r="B884" t="s">
        <v>32</v>
      </c>
      <c r="C884" t="s">
        <v>46</v>
      </c>
      <c r="D884" s="3" t="s">
        <v>127</v>
      </c>
      <c r="E884" s="5" t="str">
        <f>TEXT(D884,"dd/mm/yyyy")</f>
        <v>14/06/2022</v>
      </c>
      <c r="F884" s="5" t="str" cm="1">
        <f t="array" ref="F884">RIGHT(_xlfn.ANCHORARRAY(E884),4)</f>
        <v>2022</v>
      </c>
      <c r="G884" s="5" t="str">
        <f>TEXT(E884,"mm")</f>
        <v>14/06/2022</v>
      </c>
      <c r="H884" s="6">
        <v>1736</v>
      </c>
      <c r="I884">
        <v>79</v>
      </c>
      <c r="L884" t="str">
        <f t="shared" si="13"/>
        <v>Below Average</v>
      </c>
      <c r="M884">
        <f>RANK(H884,H:H,0)</f>
        <v>2720</v>
      </c>
    </row>
    <row r="885" spans="1:13">
      <c r="A885" t="s">
        <v>19</v>
      </c>
      <c r="B885" t="s">
        <v>7</v>
      </c>
      <c r="C885" t="s">
        <v>33</v>
      </c>
      <c r="D885" s="3" t="s">
        <v>74</v>
      </c>
      <c r="E885" s="5" t="str">
        <f>TEXT(D885,"dd/mm/yyyy")</f>
        <v>15/04/2022</v>
      </c>
      <c r="F885" s="5" t="str" cm="1">
        <f t="array" ref="F885">RIGHT(_xlfn.ANCHORARRAY(E885),4)</f>
        <v>2022</v>
      </c>
      <c r="G885" s="5" t="str">
        <f>TEXT(E885,"mm")</f>
        <v>15/04/2022</v>
      </c>
      <c r="H885" s="6">
        <v>7315</v>
      </c>
      <c r="I885">
        <v>237</v>
      </c>
      <c r="L885" t="str">
        <f t="shared" si="13"/>
        <v>Above Average</v>
      </c>
      <c r="M885">
        <f>RANK(H885,H:H,0)</f>
        <v>1105</v>
      </c>
    </row>
    <row r="886" spans="1:13">
      <c r="A886" t="s">
        <v>48</v>
      </c>
      <c r="B886" t="s">
        <v>35</v>
      </c>
      <c r="C886" t="s">
        <v>13</v>
      </c>
      <c r="D886" s="3" t="s">
        <v>72</v>
      </c>
      <c r="E886" s="5" t="str">
        <f>TEXT(D886,"dd/mm/yyyy")</f>
        <v>19/05/2022</v>
      </c>
      <c r="F886" s="5" t="str" cm="1">
        <f t="array" ref="F886">RIGHT(_xlfn.ANCHORARRAY(E886),4)</f>
        <v>2022</v>
      </c>
      <c r="G886" s="5" t="str">
        <f>TEXT(E886,"mm")</f>
        <v>19/05/2022</v>
      </c>
      <c r="H886" s="6">
        <v>4935</v>
      </c>
      <c r="I886">
        <v>63</v>
      </c>
      <c r="L886" t="str">
        <f t="shared" si="13"/>
        <v>Below Average</v>
      </c>
      <c r="M886">
        <f>RANK(H886,H:H,0)</f>
        <v>1719</v>
      </c>
    </row>
    <row r="887" spans="1:13">
      <c r="A887" t="s">
        <v>12</v>
      </c>
      <c r="B887" t="s">
        <v>10</v>
      </c>
      <c r="C887" t="s">
        <v>59</v>
      </c>
      <c r="D887" s="3" t="s">
        <v>121</v>
      </c>
      <c r="E887" s="5" t="str">
        <f>TEXT(D887,"dd/mm/yyyy")</f>
        <v>13/04/2022</v>
      </c>
      <c r="F887" s="5" t="str" cm="1">
        <f t="array" ref="F887">RIGHT(_xlfn.ANCHORARRAY(E887),4)</f>
        <v>2022</v>
      </c>
      <c r="G887" s="5" t="str">
        <f>TEXT(E887,"mm")</f>
        <v>13/04/2022</v>
      </c>
      <c r="H887" s="6">
        <v>1393</v>
      </c>
      <c r="I887">
        <v>172</v>
      </c>
      <c r="L887" t="str">
        <f t="shared" si="13"/>
        <v>Below Average</v>
      </c>
      <c r="M887">
        <f>RANK(H887,H:H,0)</f>
        <v>2841</v>
      </c>
    </row>
    <row r="888" spans="1:13">
      <c r="A888" t="s">
        <v>53</v>
      </c>
      <c r="B888" t="s">
        <v>35</v>
      </c>
      <c r="C888" t="s">
        <v>75</v>
      </c>
      <c r="D888" s="3" t="s">
        <v>112</v>
      </c>
      <c r="E888" s="5" t="str">
        <f>TEXT(D888,"dd/mm/yyyy")</f>
        <v>15/08/2022</v>
      </c>
      <c r="F888" s="5" t="str" cm="1">
        <f t="array" ref="F888">RIGHT(_xlfn.ANCHORARRAY(E888),4)</f>
        <v>2022</v>
      </c>
      <c r="G888" s="5" t="str">
        <f>TEXT(E888,"mm")</f>
        <v>15/08/2022</v>
      </c>
      <c r="H888" s="6">
        <v>3381</v>
      </c>
      <c r="I888">
        <v>408</v>
      </c>
      <c r="L888" t="str">
        <f t="shared" si="13"/>
        <v>Below Average</v>
      </c>
      <c r="M888">
        <f>RANK(H888,H:H,0)</f>
        <v>2183</v>
      </c>
    </row>
    <row r="889" spans="1:13">
      <c r="A889" t="s">
        <v>64</v>
      </c>
      <c r="B889" t="s">
        <v>10</v>
      </c>
      <c r="C889" t="s">
        <v>75</v>
      </c>
      <c r="D889" s="3" t="s">
        <v>78</v>
      </c>
      <c r="E889" s="5" t="str">
        <f>TEXT(D889,"dd/mm/yyyy")</f>
        <v>22/08/2022</v>
      </c>
      <c r="F889" s="5" t="str" cm="1">
        <f t="array" ref="F889">RIGHT(_xlfn.ANCHORARRAY(E889),4)</f>
        <v>2022</v>
      </c>
      <c r="G889" s="5" t="str">
        <f>TEXT(E889,"mm")</f>
        <v>22/08/2022</v>
      </c>
      <c r="H889" s="6">
        <v>2933</v>
      </c>
      <c r="I889">
        <v>233</v>
      </c>
      <c r="L889" t="str">
        <f t="shared" si="13"/>
        <v>Below Average</v>
      </c>
      <c r="M889">
        <f>RANK(H889,H:H,0)</f>
        <v>2330</v>
      </c>
    </row>
    <row r="890" spans="1:13">
      <c r="A890" t="s">
        <v>64</v>
      </c>
      <c r="B890" t="s">
        <v>25</v>
      </c>
      <c r="C890" t="s">
        <v>87</v>
      </c>
      <c r="D890" s="3" t="s">
        <v>134</v>
      </c>
      <c r="E890" s="5" t="str">
        <f>TEXT(D890,"dd/mm/yyyy")</f>
        <v>22/04/2022</v>
      </c>
      <c r="F890" s="5" t="str" cm="1">
        <f t="array" ref="F890">RIGHT(_xlfn.ANCHORARRAY(E890),4)</f>
        <v>2022</v>
      </c>
      <c r="G890" s="5" t="str">
        <f>TEXT(E890,"mm")</f>
        <v>22/04/2022</v>
      </c>
      <c r="H890" s="6">
        <v>3836</v>
      </c>
      <c r="I890">
        <v>59</v>
      </c>
      <c r="L890" t="str">
        <f t="shared" si="13"/>
        <v>Below Average</v>
      </c>
      <c r="M890">
        <f>RANK(H890,H:H,0)</f>
        <v>2029</v>
      </c>
    </row>
    <row r="891" spans="1:13">
      <c r="A891" t="s">
        <v>55</v>
      </c>
      <c r="B891" t="s">
        <v>7</v>
      </c>
      <c r="C891" t="s">
        <v>75</v>
      </c>
      <c r="D891" s="4">
        <v>44628</v>
      </c>
      <c r="E891" s="5" t="str">
        <f>TEXT(D891,"dd/mm/yyyy")</f>
        <v>08/03/2022</v>
      </c>
      <c r="F891" s="5" t="str" cm="1">
        <f t="array" ref="F891">RIGHT(_xlfn.ANCHORARRAY(E891),4)</f>
        <v>2022</v>
      </c>
      <c r="G891" s="5" t="str">
        <f>TEXT(E891,"mm")</f>
        <v>08</v>
      </c>
      <c r="H891" s="6">
        <v>8022</v>
      </c>
      <c r="I891">
        <v>123</v>
      </c>
      <c r="L891" t="str">
        <f t="shared" si="13"/>
        <v>Above Average</v>
      </c>
      <c r="M891">
        <f>RANK(H891,H:H,0)</f>
        <v>933</v>
      </c>
    </row>
    <row r="892" spans="1:13">
      <c r="A892" t="s">
        <v>58</v>
      </c>
      <c r="B892" t="s">
        <v>25</v>
      </c>
      <c r="C892" t="s">
        <v>42</v>
      </c>
      <c r="D892" s="4">
        <v>44652</v>
      </c>
      <c r="E892" s="5" t="str">
        <f>TEXT(D892,"dd/mm/yyyy")</f>
        <v>01/04/2022</v>
      </c>
      <c r="F892" s="5" t="str" cm="1">
        <f t="array" ref="F892">RIGHT(_xlfn.ANCHORARRAY(E892),4)</f>
        <v>2022</v>
      </c>
      <c r="G892" s="5" t="str">
        <f>TEXT(E892,"mm")</f>
        <v>01</v>
      </c>
      <c r="H892" s="6">
        <v>371</v>
      </c>
      <c r="I892">
        <v>229</v>
      </c>
      <c r="L892" t="str">
        <f t="shared" si="13"/>
        <v>Below Average</v>
      </c>
      <c r="M892">
        <f>RANK(H892,H:H,0)</f>
        <v>3170</v>
      </c>
    </row>
    <row r="893" spans="1:13">
      <c r="A893" t="s">
        <v>70</v>
      </c>
      <c r="B893" t="s">
        <v>35</v>
      </c>
      <c r="C893" t="s">
        <v>23</v>
      </c>
      <c r="D893" s="3" t="s">
        <v>30</v>
      </c>
      <c r="E893" s="5" t="str">
        <f>TEXT(D893,"dd/mm/yyyy")</f>
        <v>13/01/2022</v>
      </c>
      <c r="F893" s="5" t="str" cm="1">
        <f t="array" ref="F893">RIGHT(_xlfn.ANCHORARRAY(E893),4)</f>
        <v>2022</v>
      </c>
      <c r="G893" s="5" t="str">
        <f>TEXT(E893,"mm")</f>
        <v>13/01/2022</v>
      </c>
      <c r="H893" s="6">
        <v>16702</v>
      </c>
      <c r="I893">
        <v>198</v>
      </c>
      <c r="L893" t="str">
        <f t="shared" si="13"/>
        <v>Above Average</v>
      </c>
      <c r="M893">
        <f>RANK(H893,H:H,0)</f>
        <v>78</v>
      </c>
    </row>
    <row r="894" spans="1:13">
      <c r="A894" t="s">
        <v>9</v>
      </c>
      <c r="B894" t="s">
        <v>15</v>
      </c>
      <c r="C894" t="s">
        <v>87</v>
      </c>
      <c r="D894" s="4">
        <v>44870</v>
      </c>
      <c r="E894" s="5" t="str">
        <f>TEXT(D894,"dd/mm/yyyy")</f>
        <v>05/11/2022</v>
      </c>
      <c r="F894" s="5" t="str" cm="1">
        <f t="array" ref="F894">RIGHT(_xlfn.ANCHORARRAY(E894),4)</f>
        <v>2022</v>
      </c>
      <c r="G894" s="5" t="str">
        <f>TEXT(E894,"mm")</f>
        <v>05</v>
      </c>
      <c r="H894" s="6">
        <v>13258</v>
      </c>
      <c r="I894">
        <v>32</v>
      </c>
      <c r="L894" t="str">
        <f t="shared" si="13"/>
        <v>Above Average</v>
      </c>
      <c r="M894">
        <f>RANK(H894,H:H,0)</f>
        <v>250</v>
      </c>
    </row>
    <row r="895" spans="1:13">
      <c r="A895" t="s">
        <v>53</v>
      </c>
      <c r="B895" t="s">
        <v>25</v>
      </c>
      <c r="C895" t="s">
        <v>13</v>
      </c>
      <c r="D895" s="3" t="s">
        <v>47</v>
      </c>
      <c r="E895" s="5" t="str">
        <f>TEXT(D895,"dd/mm/yyyy")</f>
        <v>16/02/2022</v>
      </c>
      <c r="F895" s="5" t="str" cm="1">
        <f t="array" ref="F895">RIGHT(_xlfn.ANCHORARRAY(E895),4)</f>
        <v>2022</v>
      </c>
      <c r="G895" s="5" t="str">
        <f>TEXT(E895,"mm")</f>
        <v>16/02/2022</v>
      </c>
      <c r="H895" s="6">
        <v>2058</v>
      </c>
      <c r="I895">
        <v>236</v>
      </c>
      <c r="L895" t="str">
        <f t="shared" si="13"/>
        <v>Below Average</v>
      </c>
      <c r="M895">
        <f>RANK(H895,H:H,0)</f>
        <v>2613</v>
      </c>
    </row>
    <row r="896" spans="1:13">
      <c r="A896" t="s">
        <v>55</v>
      </c>
      <c r="B896" t="s">
        <v>7</v>
      </c>
      <c r="C896" t="s">
        <v>90</v>
      </c>
      <c r="D896" s="3" t="s">
        <v>119</v>
      </c>
      <c r="E896" s="5" t="str">
        <f>TEXT(D896,"dd/mm/yyyy")</f>
        <v>20/05/2022</v>
      </c>
      <c r="F896" s="5" t="str" cm="1">
        <f t="array" ref="F896">RIGHT(_xlfn.ANCHORARRAY(E896),4)</f>
        <v>2022</v>
      </c>
      <c r="G896" s="5" t="str">
        <f>TEXT(E896,"mm")</f>
        <v>20/05/2022</v>
      </c>
      <c r="H896" s="6">
        <v>10192</v>
      </c>
      <c r="I896">
        <v>67</v>
      </c>
      <c r="L896" t="str">
        <f t="shared" si="13"/>
        <v>Above Average</v>
      </c>
      <c r="M896">
        <f>RANK(H896,H:H,0)</f>
        <v>553</v>
      </c>
    </row>
    <row r="897" spans="1:13">
      <c r="A897" t="s">
        <v>6</v>
      </c>
      <c r="B897" t="s">
        <v>7</v>
      </c>
      <c r="C897" t="s">
        <v>38</v>
      </c>
      <c r="D897" s="4">
        <v>44622</v>
      </c>
      <c r="E897" s="5" t="str">
        <f>TEXT(D897,"dd/mm/yyyy")</f>
        <v>02/03/2022</v>
      </c>
      <c r="F897" s="5" t="str" cm="1">
        <f t="array" ref="F897">RIGHT(_xlfn.ANCHORARRAY(E897),4)</f>
        <v>2022</v>
      </c>
      <c r="G897" s="5" t="str">
        <f>TEXT(E897,"mm")</f>
        <v>02</v>
      </c>
      <c r="H897" s="6">
        <v>7140</v>
      </c>
      <c r="I897">
        <v>438</v>
      </c>
      <c r="L897" t="str">
        <f t="shared" si="13"/>
        <v>Above Average</v>
      </c>
      <c r="M897">
        <f>RANK(H897,H:H,0)</f>
        <v>1150</v>
      </c>
    </row>
    <row r="898" spans="1:13">
      <c r="A898" t="s">
        <v>41</v>
      </c>
      <c r="B898" t="s">
        <v>10</v>
      </c>
      <c r="C898" t="s">
        <v>60</v>
      </c>
      <c r="D898" s="4">
        <v>44717</v>
      </c>
      <c r="E898" s="5" t="str">
        <f>TEXT(D898,"dd/mm/yyyy")</f>
        <v>05/06/2022</v>
      </c>
      <c r="F898" s="5" t="str" cm="1">
        <f t="array" ref="F898">RIGHT(_xlfn.ANCHORARRAY(E898),4)</f>
        <v>2022</v>
      </c>
      <c r="G898" s="5" t="str">
        <f>TEXT(E898,"mm")</f>
        <v>05</v>
      </c>
      <c r="H898" s="6">
        <v>9835</v>
      </c>
      <c r="I898">
        <v>167</v>
      </c>
      <c r="L898" t="str">
        <f t="shared" si="13"/>
        <v>Above Average</v>
      </c>
      <c r="M898">
        <f>RANK(H898,H:H,0)</f>
        <v>608</v>
      </c>
    </row>
    <row r="899" spans="1:13">
      <c r="A899" t="s">
        <v>22</v>
      </c>
      <c r="B899" t="s">
        <v>7</v>
      </c>
      <c r="C899" t="s">
        <v>75</v>
      </c>
      <c r="D899" s="3" t="s">
        <v>66</v>
      </c>
      <c r="E899" s="5" t="str">
        <f>TEXT(D899,"dd/mm/yyyy")</f>
        <v>30/06/2022</v>
      </c>
      <c r="F899" s="5" t="str" cm="1">
        <f t="array" ref="F899">RIGHT(_xlfn.ANCHORARRAY(E899),4)</f>
        <v>2022</v>
      </c>
      <c r="G899" s="5" t="str">
        <f>TEXT(E899,"mm")</f>
        <v>30/06/2022</v>
      </c>
      <c r="H899" s="6">
        <v>5775</v>
      </c>
      <c r="I899">
        <v>135</v>
      </c>
      <c r="L899" t="str">
        <f t="shared" ref="L899:L962" si="14">IF(H899&gt;6030.34,"Above Average","Below Average")</f>
        <v>Below Average</v>
      </c>
      <c r="M899">
        <f>RANK(H899,H:H,0)</f>
        <v>1494</v>
      </c>
    </row>
    <row r="900" spans="1:13">
      <c r="A900" t="s">
        <v>22</v>
      </c>
      <c r="B900" t="s">
        <v>7</v>
      </c>
      <c r="C900" t="s">
        <v>18</v>
      </c>
      <c r="D900" s="3" t="s">
        <v>139</v>
      </c>
      <c r="E900" s="5" t="str">
        <f>TEXT(D900,"dd/mm/yyyy")</f>
        <v>22/03/2022</v>
      </c>
      <c r="F900" s="5" t="str" cm="1">
        <f t="array" ref="F900">RIGHT(_xlfn.ANCHORARRAY(E900),4)</f>
        <v>2022</v>
      </c>
      <c r="G900" s="5" t="str">
        <f>TEXT(E900,"mm")</f>
        <v>22/03/2022</v>
      </c>
      <c r="H900" s="6">
        <v>749</v>
      </c>
      <c r="I900">
        <v>148</v>
      </c>
      <c r="L900" t="str">
        <f t="shared" si="14"/>
        <v>Below Average</v>
      </c>
      <c r="M900">
        <f>RANK(H900,H:H,0)</f>
        <v>3045</v>
      </c>
    </row>
    <row r="901" spans="1:13">
      <c r="A901" t="s">
        <v>71</v>
      </c>
      <c r="B901" t="s">
        <v>35</v>
      </c>
      <c r="C901" t="s">
        <v>33</v>
      </c>
      <c r="D901" s="3" t="s">
        <v>51</v>
      </c>
      <c r="E901" s="5" t="str">
        <f>TEXT(D901,"dd/mm/yyyy")</f>
        <v>17/02/2022</v>
      </c>
      <c r="F901" s="5" t="str" cm="1">
        <f t="array" ref="F901">RIGHT(_xlfn.ANCHORARRAY(E901),4)</f>
        <v>2022</v>
      </c>
      <c r="G901" s="5" t="str">
        <f>TEXT(E901,"mm")</f>
        <v>17/02/2022</v>
      </c>
      <c r="H901" s="6">
        <v>7770</v>
      </c>
      <c r="I901">
        <v>54</v>
      </c>
      <c r="L901" t="str">
        <f t="shared" si="14"/>
        <v>Above Average</v>
      </c>
      <c r="M901">
        <f>RANK(H901,H:H,0)</f>
        <v>996</v>
      </c>
    </row>
    <row r="902" spans="1:13">
      <c r="A902" t="s">
        <v>6</v>
      </c>
      <c r="B902" t="s">
        <v>7</v>
      </c>
      <c r="C902" t="s">
        <v>11</v>
      </c>
      <c r="D902" s="4">
        <v>44749</v>
      </c>
      <c r="E902" s="5" t="str">
        <f>TEXT(D902,"dd/mm/yyyy")</f>
        <v>07/07/2022</v>
      </c>
      <c r="F902" s="5" t="str" cm="1">
        <f t="array" ref="F902">RIGHT(_xlfn.ANCHORARRAY(E902),4)</f>
        <v>2022</v>
      </c>
      <c r="G902" s="5" t="str">
        <f>TEXT(E902,"mm")</f>
        <v>07</v>
      </c>
      <c r="H902" s="6">
        <v>5502</v>
      </c>
      <c r="I902">
        <v>64</v>
      </c>
      <c r="L902" t="str">
        <f t="shared" si="14"/>
        <v>Below Average</v>
      </c>
      <c r="M902">
        <f>RANK(H902,H:H,0)</f>
        <v>1567</v>
      </c>
    </row>
    <row r="903" spans="1:13">
      <c r="A903" t="s">
        <v>19</v>
      </c>
      <c r="B903" t="s">
        <v>7</v>
      </c>
      <c r="C903" t="s">
        <v>100</v>
      </c>
      <c r="D903" s="3" t="s">
        <v>108</v>
      </c>
      <c r="E903" s="5" t="str">
        <f>TEXT(D903,"dd/mm/yyyy")</f>
        <v>16/03/2022</v>
      </c>
      <c r="F903" s="5" t="str" cm="1">
        <f t="array" ref="F903">RIGHT(_xlfn.ANCHORARRAY(E903),4)</f>
        <v>2022</v>
      </c>
      <c r="G903" s="5" t="str">
        <f>TEXT(E903,"mm")</f>
        <v>16/03/2022</v>
      </c>
      <c r="H903" s="6">
        <v>6223</v>
      </c>
      <c r="I903">
        <v>181</v>
      </c>
      <c r="L903" t="str">
        <f t="shared" si="14"/>
        <v>Above Average</v>
      </c>
      <c r="M903">
        <f>RANK(H903,H:H,0)</f>
        <v>1374</v>
      </c>
    </row>
    <row r="904" spans="1:13">
      <c r="A904" t="s">
        <v>70</v>
      </c>
      <c r="B904" t="s">
        <v>7</v>
      </c>
      <c r="C904" t="s">
        <v>20</v>
      </c>
      <c r="D904" s="4">
        <v>44903</v>
      </c>
      <c r="E904" s="5" t="str">
        <f>TEXT(D904,"dd/mm/yyyy")</f>
        <v>08/12/2022</v>
      </c>
      <c r="F904" s="5" t="str" cm="1">
        <f t="array" ref="F904">RIGHT(_xlfn.ANCHORARRAY(E904),4)</f>
        <v>2022</v>
      </c>
      <c r="G904" s="5" t="str">
        <f>TEXT(E904,"mm")</f>
        <v>08</v>
      </c>
      <c r="H904" s="6">
        <v>3507</v>
      </c>
      <c r="I904">
        <v>114</v>
      </c>
      <c r="L904" t="str">
        <f t="shared" si="14"/>
        <v>Below Average</v>
      </c>
      <c r="M904">
        <f>RANK(H904,H:H,0)</f>
        <v>2135</v>
      </c>
    </row>
    <row r="905" spans="1:13">
      <c r="A905" t="s">
        <v>12</v>
      </c>
      <c r="B905" t="s">
        <v>25</v>
      </c>
      <c r="C905" t="s">
        <v>23</v>
      </c>
      <c r="D905" s="3" t="s">
        <v>124</v>
      </c>
      <c r="E905" s="5" t="str">
        <f>TEXT(D905,"dd/mm/yyyy")</f>
        <v>21/01/2022</v>
      </c>
      <c r="F905" s="5" t="str" cm="1">
        <f t="array" ref="F905">RIGHT(_xlfn.ANCHORARRAY(E905),4)</f>
        <v>2022</v>
      </c>
      <c r="G905" s="5" t="str">
        <f>TEXT(E905,"mm")</f>
        <v>21/01/2022</v>
      </c>
      <c r="H905" s="6">
        <v>5600</v>
      </c>
      <c r="I905">
        <v>181</v>
      </c>
      <c r="L905" t="str">
        <f t="shared" si="14"/>
        <v>Below Average</v>
      </c>
      <c r="M905">
        <f>RANK(H905,H:H,0)</f>
        <v>1542</v>
      </c>
    </row>
    <row r="906" spans="1:13">
      <c r="A906" t="s">
        <v>19</v>
      </c>
      <c r="B906" t="s">
        <v>15</v>
      </c>
      <c r="C906" t="s">
        <v>26</v>
      </c>
      <c r="D906" s="4">
        <v>44717</v>
      </c>
      <c r="E906" s="5" t="str">
        <f>TEXT(D906,"dd/mm/yyyy")</f>
        <v>05/06/2022</v>
      </c>
      <c r="F906" s="5" t="str" cm="1">
        <f t="array" ref="F906">RIGHT(_xlfn.ANCHORARRAY(E906),4)</f>
        <v>2022</v>
      </c>
      <c r="G906" s="5" t="str">
        <f>TEXT(E906,"mm")</f>
        <v>05</v>
      </c>
      <c r="H906" s="6">
        <v>721</v>
      </c>
      <c r="I906">
        <v>151</v>
      </c>
      <c r="L906" t="str">
        <f t="shared" si="14"/>
        <v>Below Average</v>
      </c>
      <c r="M906">
        <f>RANK(H906,H:H,0)</f>
        <v>3057</v>
      </c>
    </row>
    <row r="907" spans="1:13">
      <c r="A907" t="s">
        <v>19</v>
      </c>
      <c r="B907" t="s">
        <v>35</v>
      </c>
      <c r="C907" t="s">
        <v>26</v>
      </c>
      <c r="D907" s="3" t="s">
        <v>143</v>
      </c>
      <c r="E907" s="5" t="str">
        <f>TEXT(D907,"dd/mm/yyyy")</f>
        <v>24/06/2022</v>
      </c>
      <c r="F907" s="5" t="str" cm="1">
        <f t="array" ref="F907">RIGHT(_xlfn.ANCHORARRAY(E907),4)</f>
        <v>2022</v>
      </c>
      <c r="G907" s="5" t="str">
        <f>TEXT(E907,"mm")</f>
        <v>24/06/2022</v>
      </c>
      <c r="H907" s="6">
        <v>6615</v>
      </c>
      <c r="I907">
        <v>137</v>
      </c>
      <c r="L907" t="str">
        <f t="shared" si="14"/>
        <v>Above Average</v>
      </c>
      <c r="M907">
        <f>RANK(H907,H:H,0)</f>
        <v>1280</v>
      </c>
    </row>
    <row r="908" spans="1:13">
      <c r="A908" t="s">
        <v>31</v>
      </c>
      <c r="B908" t="s">
        <v>32</v>
      </c>
      <c r="C908" t="s">
        <v>59</v>
      </c>
      <c r="D908" s="4">
        <v>44686</v>
      </c>
      <c r="E908" s="5" t="str">
        <f>TEXT(D908,"dd/mm/yyyy")</f>
        <v>05/05/2022</v>
      </c>
      <c r="F908" s="5" t="str" cm="1">
        <f t="array" ref="F908">RIGHT(_xlfn.ANCHORARRAY(E908),4)</f>
        <v>2022</v>
      </c>
      <c r="G908" s="5" t="str">
        <f>TEXT(E908,"mm")</f>
        <v>05</v>
      </c>
      <c r="H908" s="6">
        <v>7420</v>
      </c>
      <c r="I908">
        <v>163</v>
      </c>
      <c r="L908" t="str">
        <f t="shared" si="14"/>
        <v>Above Average</v>
      </c>
      <c r="M908">
        <f>RANK(H908,H:H,0)</f>
        <v>1084</v>
      </c>
    </row>
    <row r="909" spans="1:13">
      <c r="A909" t="s">
        <v>29</v>
      </c>
      <c r="B909" t="s">
        <v>25</v>
      </c>
      <c r="C909" t="s">
        <v>20</v>
      </c>
      <c r="D909" s="3" t="s">
        <v>132</v>
      </c>
      <c r="E909" s="5" t="str">
        <f>TEXT(D909,"dd/mm/yyyy")</f>
        <v>25/03/2022</v>
      </c>
      <c r="F909" s="5" t="str" cm="1">
        <f t="array" ref="F909">RIGHT(_xlfn.ANCHORARRAY(E909),4)</f>
        <v>2022</v>
      </c>
      <c r="G909" s="5" t="str">
        <f>TEXT(E909,"mm")</f>
        <v>25/03/2022</v>
      </c>
      <c r="H909" s="6">
        <v>3164</v>
      </c>
      <c r="I909">
        <v>84</v>
      </c>
      <c r="L909" t="str">
        <f t="shared" si="14"/>
        <v>Below Average</v>
      </c>
      <c r="M909">
        <f>RANK(H909,H:H,0)</f>
        <v>2250</v>
      </c>
    </row>
    <row r="910" spans="1:13">
      <c r="A910" t="s">
        <v>48</v>
      </c>
      <c r="B910" t="s">
        <v>15</v>
      </c>
      <c r="C910" t="s">
        <v>90</v>
      </c>
      <c r="D910" s="3" t="s">
        <v>44</v>
      </c>
      <c r="E910" s="5" t="str">
        <f>TEXT(D910,"dd/mm/yyyy")</f>
        <v>14/02/2022</v>
      </c>
      <c r="F910" s="5" t="str" cm="1">
        <f t="array" ref="F910">RIGHT(_xlfn.ANCHORARRAY(E910),4)</f>
        <v>2022</v>
      </c>
      <c r="G910" s="5" t="str">
        <f>TEXT(E910,"mm")</f>
        <v>14/02/2022</v>
      </c>
      <c r="H910" s="6">
        <v>9114</v>
      </c>
      <c r="I910">
        <v>140</v>
      </c>
      <c r="L910" t="str">
        <f t="shared" si="14"/>
        <v>Above Average</v>
      </c>
      <c r="M910">
        <f>RANK(H910,H:H,0)</f>
        <v>716</v>
      </c>
    </row>
    <row r="911" spans="1:13">
      <c r="A911" t="s">
        <v>48</v>
      </c>
      <c r="B911" t="s">
        <v>25</v>
      </c>
      <c r="C911" t="s">
        <v>11</v>
      </c>
      <c r="D911" s="4">
        <v>44900</v>
      </c>
      <c r="E911" s="5" t="str">
        <f>TEXT(D911,"dd/mm/yyyy")</f>
        <v>05/12/2022</v>
      </c>
      <c r="F911" s="5" t="str" cm="1">
        <f t="array" ref="F911">RIGHT(_xlfn.ANCHORARRAY(E911),4)</f>
        <v>2022</v>
      </c>
      <c r="G911" s="5" t="str">
        <f>TEXT(E911,"mm")</f>
        <v>05</v>
      </c>
      <c r="H911" s="6">
        <v>5404</v>
      </c>
      <c r="I911">
        <v>187</v>
      </c>
      <c r="L911" t="str">
        <f t="shared" si="14"/>
        <v>Below Average</v>
      </c>
      <c r="M911">
        <f>RANK(H911,H:H,0)</f>
        <v>1592</v>
      </c>
    </row>
    <row r="912" spans="1:13">
      <c r="A912" t="s">
        <v>31</v>
      </c>
      <c r="B912" t="s">
        <v>25</v>
      </c>
      <c r="C912" t="s">
        <v>18</v>
      </c>
      <c r="D912" s="3" t="s">
        <v>21</v>
      </c>
      <c r="E912" s="5" t="str">
        <f>TEXT(D912,"dd/mm/yyyy")</f>
        <v>25/01/2022</v>
      </c>
      <c r="F912" s="5" t="str" cm="1">
        <f t="array" ref="F912">RIGHT(_xlfn.ANCHORARRAY(E912),4)</f>
        <v>2022</v>
      </c>
      <c r="G912" s="5" t="str">
        <f>TEXT(E912,"mm")</f>
        <v>25/01/2022</v>
      </c>
      <c r="H912" s="6">
        <v>3990</v>
      </c>
      <c r="I912">
        <v>169</v>
      </c>
      <c r="L912" t="str">
        <f t="shared" si="14"/>
        <v>Below Average</v>
      </c>
      <c r="M912">
        <f>RANK(H912,H:H,0)</f>
        <v>1989</v>
      </c>
    </row>
    <row r="913" spans="1:13">
      <c r="A913" t="s">
        <v>83</v>
      </c>
      <c r="B913" t="s">
        <v>7</v>
      </c>
      <c r="C913" t="s">
        <v>11</v>
      </c>
      <c r="D913" s="3" t="s">
        <v>85</v>
      </c>
      <c r="E913" s="5" t="str">
        <f>TEXT(D913,"dd/mm/yyyy")</f>
        <v>28/06/2022</v>
      </c>
      <c r="F913" s="5" t="str" cm="1">
        <f t="array" ref="F913">RIGHT(_xlfn.ANCHORARRAY(E913),4)</f>
        <v>2022</v>
      </c>
      <c r="G913" s="5" t="str">
        <f>TEXT(E913,"mm")</f>
        <v>28/06/2022</v>
      </c>
      <c r="H913" s="6">
        <v>14924</v>
      </c>
      <c r="I913">
        <v>12</v>
      </c>
      <c r="L913" t="str">
        <f t="shared" si="14"/>
        <v>Above Average</v>
      </c>
      <c r="M913">
        <f>RANK(H913,H:H,0)</f>
        <v>153</v>
      </c>
    </row>
    <row r="914" spans="1:13">
      <c r="A914" t="s">
        <v>58</v>
      </c>
      <c r="B914" t="s">
        <v>15</v>
      </c>
      <c r="C914" t="s">
        <v>38</v>
      </c>
      <c r="D914" s="3" t="s">
        <v>94</v>
      </c>
      <c r="E914" s="5" t="str">
        <f>TEXT(D914,"dd/mm/yyyy")</f>
        <v>13/07/2022</v>
      </c>
      <c r="F914" s="5" t="str" cm="1">
        <f t="array" ref="F914">RIGHT(_xlfn.ANCHORARRAY(E914),4)</f>
        <v>2022</v>
      </c>
      <c r="G914" s="5" t="str">
        <f>TEXT(E914,"mm")</f>
        <v>13/07/2022</v>
      </c>
      <c r="H914" s="6">
        <v>7091</v>
      </c>
      <c r="I914">
        <v>194</v>
      </c>
      <c r="L914" t="str">
        <f t="shared" si="14"/>
        <v>Above Average</v>
      </c>
      <c r="M914">
        <f>RANK(H914,H:H,0)</f>
        <v>1161</v>
      </c>
    </row>
    <row r="915" spans="1:13">
      <c r="A915" t="s">
        <v>45</v>
      </c>
      <c r="B915" t="s">
        <v>32</v>
      </c>
      <c r="C915" t="s">
        <v>46</v>
      </c>
      <c r="D915" s="3" t="s">
        <v>86</v>
      </c>
      <c r="E915" s="5" t="str">
        <f>TEXT(D915,"dd/mm/yyyy")</f>
        <v>16/05/2022</v>
      </c>
      <c r="F915" s="5" t="str" cm="1">
        <f t="array" ref="F915">RIGHT(_xlfn.ANCHORARRAY(E915),4)</f>
        <v>2022</v>
      </c>
      <c r="G915" s="5" t="str">
        <f>TEXT(E915,"mm")</f>
        <v>16/05/2022</v>
      </c>
      <c r="H915" s="6">
        <v>2807</v>
      </c>
      <c r="I915">
        <v>252</v>
      </c>
      <c r="L915" t="str">
        <f t="shared" si="14"/>
        <v>Below Average</v>
      </c>
      <c r="M915">
        <f>RANK(H915,H:H,0)</f>
        <v>2369</v>
      </c>
    </row>
    <row r="916" spans="1:13">
      <c r="A916" t="s">
        <v>14</v>
      </c>
      <c r="B916" t="s">
        <v>10</v>
      </c>
      <c r="C916" t="s">
        <v>23</v>
      </c>
      <c r="D916" s="3" t="s">
        <v>54</v>
      </c>
      <c r="E916" s="5" t="str">
        <f>TEXT(D916,"dd/mm/yyyy")</f>
        <v>14/03/2022</v>
      </c>
      <c r="F916" s="5" t="str" cm="1">
        <f t="array" ref="F916">RIGHT(_xlfn.ANCHORARRAY(E916),4)</f>
        <v>2022</v>
      </c>
      <c r="G916" s="5" t="str">
        <f>TEXT(E916,"mm")</f>
        <v>14/03/2022</v>
      </c>
      <c r="H916" s="6">
        <v>6496</v>
      </c>
      <c r="I916">
        <v>168</v>
      </c>
      <c r="L916" t="str">
        <f t="shared" si="14"/>
        <v>Above Average</v>
      </c>
      <c r="M916">
        <f>RANK(H916,H:H,0)</f>
        <v>1309</v>
      </c>
    </row>
    <row r="917" spans="1:13">
      <c r="A917" t="s">
        <v>22</v>
      </c>
      <c r="B917" t="s">
        <v>32</v>
      </c>
      <c r="C917" t="s">
        <v>23</v>
      </c>
      <c r="D917" s="3" t="s">
        <v>112</v>
      </c>
      <c r="E917" s="5" t="str">
        <f>TEXT(D917,"dd/mm/yyyy")</f>
        <v>15/08/2022</v>
      </c>
      <c r="F917" s="5" t="str" cm="1">
        <f t="array" ref="F917">RIGHT(_xlfn.ANCHORARRAY(E917),4)</f>
        <v>2022</v>
      </c>
      <c r="G917" s="5" t="str">
        <f>TEXT(E917,"mm")</f>
        <v>15/08/2022</v>
      </c>
      <c r="H917" s="6">
        <v>3738</v>
      </c>
      <c r="I917">
        <v>261</v>
      </c>
      <c r="L917" t="str">
        <f t="shared" si="14"/>
        <v>Below Average</v>
      </c>
      <c r="M917">
        <f>RANK(H917,H:H,0)</f>
        <v>2059</v>
      </c>
    </row>
    <row r="918" spans="1:13">
      <c r="A918" t="s">
        <v>83</v>
      </c>
      <c r="B918" t="s">
        <v>10</v>
      </c>
      <c r="C918" t="s">
        <v>33</v>
      </c>
      <c r="D918" s="3" t="s">
        <v>47</v>
      </c>
      <c r="E918" s="5" t="str">
        <f>TEXT(D918,"dd/mm/yyyy")</f>
        <v>16/02/2022</v>
      </c>
      <c r="F918" s="5" t="str" cm="1">
        <f t="array" ref="F918">RIGHT(_xlfn.ANCHORARRAY(E918),4)</f>
        <v>2022</v>
      </c>
      <c r="G918" s="5" t="str">
        <f>TEXT(E918,"mm")</f>
        <v>16/02/2022</v>
      </c>
      <c r="H918" s="6">
        <v>1190</v>
      </c>
      <c r="I918">
        <v>256</v>
      </c>
      <c r="L918" t="str">
        <f t="shared" si="14"/>
        <v>Below Average</v>
      </c>
      <c r="M918">
        <f>RANK(H918,H:H,0)</f>
        <v>2908</v>
      </c>
    </row>
    <row r="919" spans="1:13">
      <c r="A919" t="s">
        <v>34</v>
      </c>
      <c r="B919" t="s">
        <v>7</v>
      </c>
      <c r="C919" t="s">
        <v>60</v>
      </c>
      <c r="D919" s="3" t="s">
        <v>61</v>
      </c>
      <c r="E919" s="5" t="str">
        <f>TEXT(D919,"dd/mm/yyyy")</f>
        <v>15/06/2022</v>
      </c>
      <c r="F919" s="5" t="str" cm="1">
        <f t="array" ref="F919">RIGHT(_xlfn.ANCHORARRAY(E919),4)</f>
        <v>2022</v>
      </c>
      <c r="G919" s="5" t="str">
        <f>TEXT(E919,"mm")</f>
        <v>15/06/2022</v>
      </c>
      <c r="H919" s="6">
        <v>8379</v>
      </c>
      <c r="I919">
        <v>43</v>
      </c>
      <c r="L919" t="str">
        <f t="shared" si="14"/>
        <v>Above Average</v>
      </c>
      <c r="M919">
        <f>RANK(H919,H:H,0)</f>
        <v>857</v>
      </c>
    </row>
    <row r="920" spans="1:13">
      <c r="A920" t="s">
        <v>31</v>
      </c>
      <c r="B920" t="s">
        <v>15</v>
      </c>
      <c r="C920" t="s">
        <v>73</v>
      </c>
      <c r="D920" s="3" t="s">
        <v>89</v>
      </c>
      <c r="E920" s="5" t="str">
        <f>TEXT(D920,"dd/mm/yyyy")</f>
        <v>27/05/2022</v>
      </c>
      <c r="F920" s="5" t="str" cm="1">
        <f t="array" ref="F920">RIGHT(_xlfn.ANCHORARRAY(E920),4)</f>
        <v>2022</v>
      </c>
      <c r="G920" s="5" t="str">
        <f>TEXT(E920,"mm")</f>
        <v>27/05/2022</v>
      </c>
      <c r="H920" s="6">
        <v>9268</v>
      </c>
      <c r="I920">
        <v>100</v>
      </c>
      <c r="L920" t="str">
        <f t="shared" si="14"/>
        <v>Above Average</v>
      </c>
      <c r="M920">
        <f>RANK(H920,H:H,0)</f>
        <v>696</v>
      </c>
    </row>
    <row r="921" spans="1:13">
      <c r="A921" t="s">
        <v>64</v>
      </c>
      <c r="B921" t="s">
        <v>32</v>
      </c>
      <c r="C921" t="s">
        <v>38</v>
      </c>
      <c r="D921" s="3" t="s">
        <v>127</v>
      </c>
      <c r="E921" s="5" t="str">
        <f>TEXT(D921,"dd/mm/yyyy")</f>
        <v>14/06/2022</v>
      </c>
      <c r="F921" s="5" t="str" cm="1">
        <f t="array" ref="F921">RIGHT(_xlfn.ANCHORARRAY(E921),4)</f>
        <v>2022</v>
      </c>
      <c r="G921" s="5" t="str">
        <f>TEXT(E921,"mm")</f>
        <v>14/06/2022</v>
      </c>
      <c r="H921" s="6">
        <v>1029</v>
      </c>
      <c r="I921">
        <v>98</v>
      </c>
      <c r="L921" t="str">
        <f t="shared" si="14"/>
        <v>Below Average</v>
      </c>
      <c r="M921">
        <f>RANK(H921,H:H,0)</f>
        <v>2964</v>
      </c>
    </row>
    <row r="922" spans="1:13">
      <c r="A922" t="s">
        <v>64</v>
      </c>
      <c r="B922" t="s">
        <v>10</v>
      </c>
      <c r="C922" t="s">
        <v>36</v>
      </c>
      <c r="D922" s="3" t="s">
        <v>104</v>
      </c>
      <c r="E922" s="5" t="str">
        <f>TEXT(D922,"dd/mm/yyyy")</f>
        <v>25/02/2022</v>
      </c>
      <c r="F922" s="5" t="str" cm="1">
        <f t="array" ref="F922">RIGHT(_xlfn.ANCHORARRAY(E922),4)</f>
        <v>2022</v>
      </c>
      <c r="G922" s="5" t="str">
        <f>TEXT(E922,"mm")</f>
        <v>25/02/2022</v>
      </c>
      <c r="H922" s="6">
        <v>3549</v>
      </c>
      <c r="I922">
        <v>76</v>
      </c>
      <c r="L922" t="str">
        <f t="shared" si="14"/>
        <v>Below Average</v>
      </c>
      <c r="M922">
        <f>RANK(H922,H:H,0)</f>
        <v>2126</v>
      </c>
    </row>
    <row r="923" spans="1:13">
      <c r="A923" t="s">
        <v>64</v>
      </c>
      <c r="B923" t="s">
        <v>10</v>
      </c>
      <c r="C923" t="s">
        <v>23</v>
      </c>
      <c r="D923" s="4">
        <v>44659</v>
      </c>
      <c r="E923" s="5" t="str">
        <f>TEXT(D923,"dd/mm/yyyy")</f>
        <v>08/04/2022</v>
      </c>
      <c r="F923" s="5" t="str" cm="1">
        <f t="array" ref="F923">RIGHT(_xlfn.ANCHORARRAY(E923),4)</f>
        <v>2022</v>
      </c>
      <c r="G923" s="5" t="str">
        <f>TEXT(E923,"mm")</f>
        <v>08</v>
      </c>
      <c r="H923" s="6">
        <v>12026</v>
      </c>
      <c r="I923">
        <v>262</v>
      </c>
      <c r="L923" t="str">
        <f t="shared" si="14"/>
        <v>Above Average</v>
      </c>
      <c r="M923">
        <f>RANK(H923,H:H,0)</f>
        <v>346</v>
      </c>
    </row>
    <row r="924" spans="1:13">
      <c r="A924" t="s">
        <v>70</v>
      </c>
      <c r="B924" t="s">
        <v>10</v>
      </c>
      <c r="C924" t="s">
        <v>20</v>
      </c>
      <c r="D924" s="3" t="s">
        <v>85</v>
      </c>
      <c r="E924" s="5" t="str">
        <f>TEXT(D924,"dd/mm/yyyy")</f>
        <v>28/06/2022</v>
      </c>
      <c r="F924" s="5" t="str" cm="1">
        <f t="array" ref="F924">RIGHT(_xlfn.ANCHORARRAY(E924),4)</f>
        <v>2022</v>
      </c>
      <c r="G924" s="5" t="str">
        <f>TEXT(E924,"mm")</f>
        <v>28/06/2022</v>
      </c>
      <c r="H924" s="6">
        <v>2303</v>
      </c>
      <c r="I924">
        <v>244</v>
      </c>
      <c r="L924" t="str">
        <f t="shared" si="14"/>
        <v>Below Average</v>
      </c>
      <c r="M924">
        <f>RANK(H924,H:H,0)</f>
        <v>2550</v>
      </c>
    </row>
    <row r="925" spans="1:13">
      <c r="A925" t="s">
        <v>22</v>
      </c>
      <c r="B925" t="s">
        <v>35</v>
      </c>
      <c r="C925" t="s">
        <v>50</v>
      </c>
      <c r="D925" s="4">
        <v>44685</v>
      </c>
      <c r="E925" s="5" t="str">
        <f>TEXT(D925,"dd/mm/yyyy")</f>
        <v>04/05/2022</v>
      </c>
      <c r="F925" s="5" t="str" cm="1">
        <f t="array" ref="F925">RIGHT(_xlfn.ANCHORARRAY(E925),4)</f>
        <v>2022</v>
      </c>
      <c r="G925" s="5" t="str">
        <f>TEXT(E925,"mm")</f>
        <v>04</v>
      </c>
      <c r="H925" s="6">
        <v>13405</v>
      </c>
      <c r="I925">
        <v>12</v>
      </c>
      <c r="L925" t="str">
        <f t="shared" si="14"/>
        <v>Above Average</v>
      </c>
      <c r="M925">
        <f>RANK(H925,H:H,0)</f>
        <v>242</v>
      </c>
    </row>
    <row r="926" spans="1:13">
      <c r="A926" t="s">
        <v>77</v>
      </c>
      <c r="B926" t="s">
        <v>35</v>
      </c>
      <c r="C926" t="s">
        <v>13</v>
      </c>
      <c r="D926" s="4">
        <v>44688</v>
      </c>
      <c r="E926" s="5" t="str">
        <f>TEXT(D926,"dd/mm/yyyy")</f>
        <v>07/05/2022</v>
      </c>
      <c r="F926" s="5" t="str" cm="1">
        <f t="array" ref="F926">RIGHT(_xlfn.ANCHORARRAY(E926),4)</f>
        <v>2022</v>
      </c>
      <c r="G926" s="5" t="str">
        <f>TEXT(E926,"mm")</f>
        <v>07</v>
      </c>
      <c r="H926" s="6">
        <v>14763</v>
      </c>
      <c r="I926">
        <v>113</v>
      </c>
      <c r="L926" t="str">
        <f t="shared" si="14"/>
        <v>Above Average</v>
      </c>
      <c r="M926">
        <f>RANK(H926,H:H,0)</f>
        <v>160</v>
      </c>
    </row>
    <row r="927" spans="1:13">
      <c r="A927" t="s">
        <v>55</v>
      </c>
      <c r="B927" t="s">
        <v>25</v>
      </c>
      <c r="C927" t="s">
        <v>36</v>
      </c>
      <c r="D927" s="3" t="s">
        <v>161</v>
      </c>
      <c r="E927" s="5" t="str">
        <f>TEXT(D927,"dd/mm/yyyy")</f>
        <v>20/01/2022</v>
      </c>
      <c r="F927" s="5" t="str" cm="1">
        <f t="array" ref="F927">RIGHT(_xlfn.ANCHORARRAY(E927),4)</f>
        <v>2022</v>
      </c>
      <c r="G927" s="5" t="str">
        <f>TEXT(E927,"mm")</f>
        <v>20/01/2022</v>
      </c>
      <c r="H927" s="6">
        <v>12894</v>
      </c>
      <c r="I927">
        <v>48</v>
      </c>
      <c r="L927" t="str">
        <f t="shared" si="14"/>
        <v>Above Average</v>
      </c>
      <c r="M927">
        <f>RANK(H927,H:H,0)</f>
        <v>273</v>
      </c>
    </row>
    <row r="928" spans="1:13">
      <c r="A928" t="s">
        <v>83</v>
      </c>
      <c r="B928" t="s">
        <v>25</v>
      </c>
      <c r="C928" t="s">
        <v>38</v>
      </c>
      <c r="D928" s="3" t="s">
        <v>47</v>
      </c>
      <c r="E928" s="5" t="str">
        <f>TEXT(D928,"dd/mm/yyyy")</f>
        <v>16/02/2022</v>
      </c>
      <c r="F928" s="5" t="str" cm="1">
        <f t="array" ref="F928">RIGHT(_xlfn.ANCHORARRAY(E928),4)</f>
        <v>2022</v>
      </c>
      <c r="G928" s="5" t="str">
        <f>TEXT(E928,"mm")</f>
        <v>16/02/2022</v>
      </c>
      <c r="H928" s="6">
        <v>8302</v>
      </c>
      <c r="I928">
        <v>131</v>
      </c>
      <c r="L928" t="str">
        <f t="shared" si="14"/>
        <v>Above Average</v>
      </c>
      <c r="M928">
        <f>RANK(H928,H:H,0)</f>
        <v>871</v>
      </c>
    </row>
    <row r="929" spans="1:13">
      <c r="A929" t="s">
        <v>48</v>
      </c>
      <c r="B929" t="s">
        <v>7</v>
      </c>
      <c r="C929" t="s">
        <v>38</v>
      </c>
      <c r="D929" s="4">
        <v>44902</v>
      </c>
      <c r="E929" s="5" t="str">
        <f>TEXT(D929,"dd/mm/yyyy")</f>
        <v>07/12/2022</v>
      </c>
      <c r="F929" s="5" t="str" cm="1">
        <f t="array" ref="F929">RIGHT(_xlfn.ANCHORARRAY(E929),4)</f>
        <v>2022</v>
      </c>
      <c r="G929" s="5" t="str">
        <f>TEXT(E929,"mm")</f>
        <v>07</v>
      </c>
      <c r="H929" s="6">
        <v>455</v>
      </c>
      <c r="I929">
        <v>174</v>
      </c>
      <c r="L929" t="str">
        <f t="shared" si="14"/>
        <v>Below Average</v>
      </c>
      <c r="M929">
        <f>RANK(H929,H:H,0)</f>
        <v>3149</v>
      </c>
    </row>
    <row r="930" spans="1:13">
      <c r="A930" t="s">
        <v>70</v>
      </c>
      <c r="B930" t="s">
        <v>10</v>
      </c>
      <c r="C930" t="s">
        <v>73</v>
      </c>
      <c r="D930" s="3" t="s">
        <v>111</v>
      </c>
      <c r="E930" s="5" t="str">
        <f>TEXT(D930,"dd/mm/yyyy")</f>
        <v>16/06/2022</v>
      </c>
      <c r="F930" s="5" t="str" cm="1">
        <f t="array" ref="F930">RIGHT(_xlfn.ANCHORARRAY(E930),4)</f>
        <v>2022</v>
      </c>
      <c r="G930" s="5" t="str">
        <f>TEXT(E930,"mm")</f>
        <v>16/06/2022</v>
      </c>
      <c r="H930" s="6">
        <v>8183</v>
      </c>
      <c r="I930">
        <v>254</v>
      </c>
      <c r="L930" t="str">
        <f t="shared" si="14"/>
        <v>Above Average</v>
      </c>
      <c r="M930">
        <f>RANK(H930,H:H,0)</f>
        <v>898</v>
      </c>
    </row>
    <row r="931" spans="1:13">
      <c r="A931" t="s">
        <v>79</v>
      </c>
      <c r="B931" t="s">
        <v>15</v>
      </c>
      <c r="C931" t="s">
        <v>75</v>
      </c>
      <c r="D931" s="3" t="s">
        <v>121</v>
      </c>
      <c r="E931" s="5" t="str">
        <f>TEXT(D931,"dd/mm/yyyy")</f>
        <v>13/04/2022</v>
      </c>
      <c r="F931" s="5" t="str" cm="1">
        <f t="array" ref="F931">RIGHT(_xlfn.ANCHORARRAY(E931),4)</f>
        <v>2022</v>
      </c>
      <c r="G931" s="5" t="str">
        <f>TEXT(E931,"mm")</f>
        <v>13/04/2022</v>
      </c>
      <c r="H931" s="6">
        <v>1645</v>
      </c>
      <c r="I931">
        <v>284</v>
      </c>
      <c r="L931" t="str">
        <f t="shared" si="14"/>
        <v>Below Average</v>
      </c>
      <c r="M931">
        <f>RANK(H931,H:H,0)</f>
        <v>2753</v>
      </c>
    </row>
    <row r="932" spans="1:13">
      <c r="A932" t="s">
        <v>55</v>
      </c>
      <c r="B932" t="s">
        <v>7</v>
      </c>
      <c r="C932" t="s">
        <v>26</v>
      </c>
      <c r="D932" s="3" t="s">
        <v>109</v>
      </c>
      <c r="E932" s="5" t="str">
        <f>TEXT(D932,"dd/mm/yyyy")</f>
        <v>21/02/2022</v>
      </c>
      <c r="F932" s="5" t="str" cm="1">
        <f t="array" ref="F932">RIGHT(_xlfn.ANCHORARRAY(E932),4)</f>
        <v>2022</v>
      </c>
      <c r="G932" s="5" t="str">
        <f>TEXT(E932,"mm")</f>
        <v>21/02/2022</v>
      </c>
      <c r="H932" s="6">
        <v>3143</v>
      </c>
      <c r="I932">
        <v>67</v>
      </c>
      <c r="L932" t="str">
        <f t="shared" si="14"/>
        <v>Below Average</v>
      </c>
      <c r="M932">
        <f>RANK(H932,H:H,0)</f>
        <v>2254</v>
      </c>
    </row>
    <row r="933" spans="1:13">
      <c r="A933" t="s">
        <v>45</v>
      </c>
      <c r="B933" t="s">
        <v>35</v>
      </c>
      <c r="C933" t="s">
        <v>75</v>
      </c>
      <c r="D933" s="4">
        <v>44870</v>
      </c>
      <c r="E933" s="5" t="str">
        <f>TEXT(D933,"dd/mm/yyyy")</f>
        <v>05/11/2022</v>
      </c>
      <c r="F933" s="5" t="str" cm="1">
        <f t="array" ref="F933">RIGHT(_xlfn.ANCHORARRAY(E933),4)</f>
        <v>2022</v>
      </c>
      <c r="G933" s="5" t="str">
        <f>TEXT(E933,"mm")</f>
        <v>05</v>
      </c>
      <c r="H933" s="6">
        <v>5873</v>
      </c>
      <c r="I933">
        <v>249</v>
      </c>
      <c r="L933" t="str">
        <f t="shared" si="14"/>
        <v>Below Average</v>
      </c>
      <c r="M933">
        <f>RANK(H933,H:H,0)</f>
        <v>1466</v>
      </c>
    </row>
    <row r="934" spans="1:13">
      <c r="A934" t="s">
        <v>83</v>
      </c>
      <c r="B934" t="s">
        <v>10</v>
      </c>
      <c r="C934" t="s">
        <v>26</v>
      </c>
      <c r="D934" s="3" t="s">
        <v>74</v>
      </c>
      <c r="E934" s="5" t="str">
        <f>TEXT(D934,"dd/mm/yyyy")</f>
        <v>15/04/2022</v>
      </c>
      <c r="F934" s="5" t="str" cm="1">
        <f t="array" ref="F934">RIGHT(_xlfn.ANCHORARRAY(E934),4)</f>
        <v>2022</v>
      </c>
      <c r="G934" s="5" t="str">
        <f>TEXT(E934,"mm")</f>
        <v>15/04/2022</v>
      </c>
      <c r="H934" s="6">
        <v>11298</v>
      </c>
      <c r="I934">
        <v>313</v>
      </c>
      <c r="L934" t="str">
        <f t="shared" si="14"/>
        <v>Above Average</v>
      </c>
      <c r="M934">
        <f>RANK(H934,H:H,0)</f>
        <v>415</v>
      </c>
    </row>
    <row r="935" spans="1:13">
      <c r="A935" t="s">
        <v>19</v>
      </c>
      <c r="B935" t="s">
        <v>35</v>
      </c>
      <c r="C935" t="s">
        <v>13</v>
      </c>
      <c r="D935" s="4">
        <v>44748</v>
      </c>
      <c r="E935" s="5" t="str">
        <f>TEXT(D935,"dd/mm/yyyy")</f>
        <v>06/07/2022</v>
      </c>
      <c r="F935" s="5" t="str" cm="1">
        <f t="array" ref="F935">RIGHT(_xlfn.ANCHORARRAY(E935),4)</f>
        <v>2022</v>
      </c>
      <c r="G935" s="5" t="str">
        <f>TEXT(E935,"mm")</f>
        <v>06</v>
      </c>
      <c r="H935" s="6">
        <v>12425</v>
      </c>
      <c r="I935">
        <v>167</v>
      </c>
      <c r="L935" t="str">
        <f t="shared" si="14"/>
        <v>Above Average</v>
      </c>
      <c r="M935">
        <f>RANK(H935,H:H,0)</f>
        <v>308</v>
      </c>
    </row>
    <row r="936" spans="1:13">
      <c r="A936" t="s">
        <v>19</v>
      </c>
      <c r="B936" t="s">
        <v>7</v>
      </c>
      <c r="C936" t="s">
        <v>59</v>
      </c>
      <c r="D936" s="3" t="s">
        <v>49</v>
      </c>
      <c r="E936" s="5" t="str">
        <f>TEXT(D936,"dd/mm/yyyy")</f>
        <v>27/06/2022</v>
      </c>
      <c r="F936" s="5" t="str" cm="1">
        <f t="array" ref="F936">RIGHT(_xlfn.ANCHORARRAY(E936),4)</f>
        <v>2022</v>
      </c>
      <c r="G936" s="5" t="str">
        <f>TEXT(E936,"mm")</f>
        <v>27/06/2022</v>
      </c>
      <c r="H936" s="6">
        <v>1715</v>
      </c>
      <c r="I936">
        <v>286</v>
      </c>
      <c r="L936" t="str">
        <f t="shared" si="14"/>
        <v>Below Average</v>
      </c>
      <c r="M936">
        <f>RANK(H936,H:H,0)</f>
        <v>2729</v>
      </c>
    </row>
    <row r="937" spans="1:13">
      <c r="A937" t="s">
        <v>31</v>
      </c>
      <c r="B937" t="s">
        <v>10</v>
      </c>
      <c r="C937" t="s">
        <v>23</v>
      </c>
      <c r="D937" s="3" t="s">
        <v>120</v>
      </c>
      <c r="E937" s="5" t="str">
        <f>TEXT(D937,"dd/mm/yyyy")</f>
        <v>29/07/2022</v>
      </c>
      <c r="F937" s="5" t="str" cm="1">
        <f t="array" ref="F937">RIGHT(_xlfn.ANCHORARRAY(E937),4)</f>
        <v>2022</v>
      </c>
      <c r="G937" s="5" t="str">
        <f>TEXT(E937,"mm")</f>
        <v>29/07/2022</v>
      </c>
      <c r="H937" s="6">
        <v>8190</v>
      </c>
      <c r="I937">
        <v>109</v>
      </c>
      <c r="L937" t="str">
        <f t="shared" si="14"/>
        <v>Above Average</v>
      </c>
      <c r="M937">
        <f>RANK(H937,H:H,0)</f>
        <v>896</v>
      </c>
    </row>
    <row r="938" spans="1:13">
      <c r="A938" t="s">
        <v>64</v>
      </c>
      <c r="B938" t="s">
        <v>35</v>
      </c>
      <c r="C938" t="s">
        <v>18</v>
      </c>
      <c r="D938" s="4">
        <v>44598</v>
      </c>
      <c r="E938" s="5" t="str">
        <f>TEXT(D938,"dd/mm/yyyy")</f>
        <v>06/02/2022</v>
      </c>
      <c r="F938" s="5" t="str" cm="1">
        <f t="array" ref="F938">RIGHT(_xlfn.ANCHORARRAY(E938),4)</f>
        <v>2022</v>
      </c>
      <c r="G938" s="5" t="str">
        <f>TEXT(E938,"mm")</f>
        <v>06</v>
      </c>
      <c r="H938" s="6">
        <v>4991</v>
      </c>
      <c r="I938">
        <v>166</v>
      </c>
      <c r="L938" t="str">
        <f t="shared" si="14"/>
        <v>Below Average</v>
      </c>
      <c r="M938">
        <f>RANK(H938,H:H,0)</f>
        <v>1709</v>
      </c>
    </row>
    <row r="939" spans="1:13">
      <c r="A939" t="s">
        <v>29</v>
      </c>
      <c r="B939" t="s">
        <v>10</v>
      </c>
      <c r="C939" t="s">
        <v>8</v>
      </c>
      <c r="D939" s="3" t="s">
        <v>43</v>
      </c>
      <c r="E939" s="5" t="str">
        <f>TEXT(D939,"dd/mm/yyyy")</f>
        <v>26/01/2022</v>
      </c>
      <c r="F939" s="5" t="str" cm="1">
        <f t="array" ref="F939">RIGHT(_xlfn.ANCHORARRAY(E939),4)</f>
        <v>2022</v>
      </c>
      <c r="G939" s="5" t="str">
        <f>TEXT(E939,"mm")</f>
        <v>26/01/2022</v>
      </c>
      <c r="H939" s="6">
        <v>15491</v>
      </c>
      <c r="I939">
        <v>85</v>
      </c>
      <c r="L939" t="str">
        <f t="shared" si="14"/>
        <v>Above Average</v>
      </c>
      <c r="M939">
        <f>RANK(H939,H:H,0)</f>
        <v>127</v>
      </c>
    </row>
    <row r="940" spans="1:13">
      <c r="A940" t="s">
        <v>29</v>
      </c>
      <c r="B940" t="s">
        <v>35</v>
      </c>
      <c r="C940" t="s">
        <v>20</v>
      </c>
      <c r="D940" s="4">
        <v>44595</v>
      </c>
      <c r="E940" s="5" t="str">
        <f>TEXT(D940,"dd/mm/yyyy")</f>
        <v>03/02/2022</v>
      </c>
      <c r="F940" s="5" t="str" cm="1">
        <f t="array" ref="F940">RIGHT(_xlfn.ANCHORARRAY(E940),4)</f>
        <v>2022</v>
      </c>
      <c r="G940" s="5" t="str">
        <f>TEXT(E940,"mm")</f>
        <v>03</v>
      </c>
      <c r="H940" s="6">
        <v>5096</v>
      </c>
      <c r="I940">
        <v>142</v>
      </c>
      <c r="L940" t="str">
        <f t="shared" si="14"/>
        <v>Below Average</v>
      </c>
      <c r="M940">
        <f>RANK(H940,H:H,0)</f>
        <v>1673</v>
      </c>
    </row>
    <row r="941" spans="1:13">
      <c r="A941" t="s">
        <v>9</v>
      </c>
      <c r="B941" t="s">
        <v>15</v>
      </c>
      <c r="C941" t="s">
        <v>100</v>
      </c>
      <c r="D941" s="4">
        <v>44835</v>
      </c>
      <c r="E941" s="5" t="str">
        <f>TEXT(D941,"dd/mm/yyyy")</f>
        <v>01/10/2022</v>
      </c>
      <c r="F941" s="5" t="str" cm="1">
        <f t="array" ref="F941">RIGHT(_xlfn.ANCHORARRAY(E941),4)</f>
        <v>2022</v>
      </c>
      <c r="G941" s="5" t="str">
        <f>TEXT(E941,"mm")</f>
        <v>01</v>
      </c>
      <c r="H941" s="6">
        <v>7063</v>
      </c>
      <c r="I941">
        <v>104</v>
      </c>
      <c r="L941" t="str">
        <f t="shared" si="14"/>
        <v>Above Average</v>
      </c>
      <c r="M941">
        <f>RANK(H941,H:H,0)</f>
        <v>1164</v>
      </c>
    </row>
    <row r="942" spans="1:13">
      <c r="A942" t="s">
        <v>41</v>
      </c>
      <c r="B942" t="s">
        <v>32</v>
      </c>
      <c r="C942" t="s">
        <v>100</v>
      </c>
      <c r="D942" s="3" t="s">
        <v>49</v>
      </c>
      <c r="E942" s="5" t="str">
        <f>TEXT(D942,"dd/mm/yyyy")</f>
        <v>27/06/2022</v>
      </c>
      <c r="F942" s="5" t="str" cm="1">
        <f t="array" ref="F942">RIGHT(_xlfn.ANCHORARRAY(E942),4)</f>
        <v>2022</v>
      </c>
      <c r="G942" s="5" t="str">
        <f>TEXT(E942,"mm")</f>
        <v>27/06/2022</v>
      </c>
      <c r="H942" s="6">
        <v>2275</v>
      </c>
      <c r="I942">
        <v>115</v>
      </c>
      <c r="L942" t="str">
        <f t="shared" si="14"/>
        <v>Below Average</v>
      </c>
      <c r="M942">
        <f>RANK(H942,H:H,0)</f>
        <v>2561</v>
      </c>
    </row>
    <row r="943" spans="1:13">
      <c r="A943" t="s">
        <v>31</v>
      </c>
      <c r="B943" t="s">
        <v>35</v>
      </c>
      <c r="C943" t="s">
        <v>33</v>
      </c>
      <c r="D943" s="3" t="s">
        <v>66</v>
      </c>
      <c r="E943" s="5" t="str">
        <f>TEXT(D943,"dd/mm/yyyy")</f>
        <v>30/06/2022</v>
      </c>
      <c r="F943" s="5" t="str" cm="1">
        <f t="array" ref="F943">RIGHT(_xlfn.ANCHORARRAY(E943),4)</f>
        <v>2022</v>
      </c>
      <c r="G943" s="5" t="str">
        <f>TEXT(E943,"mm")</f>
        <v>30/06/2022</v>
      </c>
      <c r="H943" s="6">
        <v>7602</v>
      </c>
      <c r="I943">
        <v>18</v>
      </c>
      <c r="L943" t="str">
        <f t="shared" si="14"/>
        <v>Above Average</v>
      </c>
      <c r="M943">
        <f>RANK(H943,H:H,0)</f>
        <v>1044</v>
      </c>
    </row>
    <row r="944" spans="1:13">
      <c r="A944" t="s">
        <v>45</v>
      </c>
      <c r="B944" t="s">
        <v>15</v>
      </c>
      <c r="C944" t="s">
        <v>11</v>
      </c>
      <c r="D944" s="4">
        <v>44780</v>
      </c>
      <c r="E944" s="5" t="str">
        <f>TEXT(D944,"dd/mm/yyyy")</f>
        <v>07/08/2022</v>
      </c>
      <c r="F944" s="5" t="str" cm="1">
        <f t="array" ref="F944">RIGHT(_xlfn.ANCHORARRAY(E944),4)</f>
        <v>2022</v>
      </c>
      <c r="G944" s="5" t="str">
        <f>TEXT(E944,"mm")</f>
        <v>07</v>
      </c>
      <c r="H944" s="6">
        <v>4200</v>
      </c>
      <c r="I944">
        <v>80</v>
      </c>
      <c r="L944" t="str">
        <f t="shared" si="14"/>
        <v>Below Average</v>
      </c>
      <c r="M944">
        <f>RANK(H944,H:H,0)</f>
        <v>1926</v>
      </c>
    </row>
    <row r="945" spans="1:13">
      <c r="A945" t="s">
        <v>19</v>
      </c>
      <c r="B945" t="s">
        <v>10</v>
      </c>
      <c r="C945" t="s">
        <v>50</v>
      </c>
      <c r="D945" s="4">
        <v>44779</v>
      </c>
      <c r="E945" s="5" t="str">
        <f>TEXT(D945,"dd/mm/yyyy")</f>
        <v>06/08/2022</v>
      </c>
      <c r="F945" s="5" t="str" cm="1">
        <f t="array" ref="F945">RIGHT(_xlfn.ANCHORARRAY(E945),4)</f>
        <v>2022</v>
      </c>
      <c r="G945" s="5" t="str">
        <f>TEXT(E945,"mm")</f>
        <v>06</v>
      </c>
      <c r="H945" s="6">
        <v>11137</v>
      </c>
      <c r="I945">
        <v>88</v>
      </c>
      <c r="L945" t="str">
        <f t="shared" si="14"/>
        <v>Above Average</v>
      </c>
      <c r="M945">
        <f>RANK(H945,H:H,0)</f>
        <v>428</v>
      </c>
    </row>
    <row r="946" spans="1:13">
      <c r="A946" t="s">
        <v>14</v>
      </c>
      <c r="B946" t="s">
        <v>7</v>
      </c>
      <c r="C946" t="s">
        <v>60</v>
      </c>
      <c r="D946" s="3" t="s">
        <v>97</v>
      </c>
      <c r="E946" s="5" t="str">
        <f>TEXT(D946,"dd/mm/yyyy")</f>
        <v>18/08/2022</v>
      </c>
      <c r="F946" s="5" t="str" cm="1">
        <f t="array" ref="F946">RIGHT(_xlfn.ANCHORARRAY(E946),4)</f>
        <v>2022</v>
      </c>
      <c r="G946" s="5" t="str">
        <f>TEXT(E946,"mm")</f>
        <v>18/08/2022</v>
      </c>
      <c r="H946" s="6">
        <v>3388</v>
      </c>
      <c r="I946">
        <v>212</v>
      </c>
      <c r="L946" t="str">
        <f t="shared" si="14"/>
        <v>Below Average</v>
      </c>
      <c r="M946">
        <f>RANK(H946,H:H,0)</f>
        <v>2180</v>
      </c>
    </row>
    <row r="947" spans="1:13">
      <c r="A947" t="s">
        <v>55</v>
      </c>
      <c r="B947" t="s">
        <v>15</v>
      </c>
      <c r="C947" t="s">
        <v>23</v>
      </c>
      <c r="D947" s="4">
        <v>44777</v>
      </c>
      <c r="E947" s="5" t="str">
        <f>TEXT(D947,"dd/mm/yyyy")</f>
        <v>04/08/2022</v>
      </c>
      <c r="F947" s="5" t="str" cm="1">
        <f t="array" ref="F947">RIGHT(_xlfn.ANCHORARRAY(E947),4)</f>
        <v>2022</v>
      </c>
      <c r="G947" s="5" t="str">
        <f>TEXT(E947,"mm")</f>
        <v>04</v>
      </c>
      <c r="H947" s="6">
        <v>6832</v>
      </c>
      <c r="I947">
        <v>306</v>
      </c>
      <c r="L947" t="str">
        <f t="shared" si="14"/>
        <v>Above Average</v>
      </c>
      <c r="M947">
        <f>RANK(H947,H:H,0)</f>
        <v>1225</v>
      </c>
    </row>
    <row r="948" spans="1:13">
      <c r="A948" t="s">
        <v>64</v>
      </c>
      <c r="B948" t="s">
        <v>35</v>
      </c>
      <c r="C948" t="s">
        <v>57</v>
      </c>
      <c r="D948" s="4">
        <v>44781</v>
      </c>
      <c r="E948" s="5" t="str">
        <f>TEXT(D948,"dd/mm/yyyy")</f>
        <v>08/08/2022</v>
      </c>
      <c r="F948" s="5" t="str" cm="1">
        <f t="array" ref="F948">RIGHT(_xlfn.ANCHORARRAY(E948),4)</f>
        <v>2022</v>
      </c>
      <c r="G948" s="5" t="str">
        <f>TEXT(E948,"mm")</f>
        <v>08</v>
      </c>
      <c r="H948" s="6">
        <v>3437</v>
      </c>
      <c r="I948">
        <v>181</v>
      </c>
      <c r="L948" t="str">
        <f t="shared" si="14"/>
        <v>Below Average</v>
      </c>
      <c r="M948">
        <f>RANK(H948,H:H,0)</f>
        <v>2158</v>
      </c>
    </row>
    <row r="949" spans="1:13">
      <c r="A949" t="s">
        <v>64</v>
      </c>
      <c r="B949" t="s">
        <v>7</v>
      </c>
      <c r="C949" t="s">
        <v>46</v>
      </c>
      <c r="D949" s="3" t="s">
        <v>93</v>
      </c>
      <c r="E949" s="5" t="str">
        <f>TEXT(D949,"dd/mm/yyyy")</f>
        <v>26/08/2022</v>
      </c>
      <c r="F949" s="5" t="str" cm="1">
        <f t="array" ref="F949">RIGHT(_xlfn.ANCHORARRAY(E949),4)</f>
        <v>2022</v>
      </c>
      <c r="G949" s="5" t="str">
        <f>TEXT(E949,"mm")</f>
        <v>26/08/2022</v>
      </c>
      <c r="H949" s="6">
        <v>301</v>
      </c>
      <c r="I949">
        <v>65</v>
      </c>
      <c r="L949" t="str">
        <f t="shared" si="14"/>
        <v>Below Average</v>
      </c>
      <c r="M949">
        <f>RANK(H949,H:H,0)</f>
        <v>3192</v>
      </c>
    </row>
    <row r="950" spans="1:13">
      <c r="A950" t="s">
        <v>19</v>
      </c>
      <c r="B950" t="s">
        <v>35</v>
      </c>
      <c r="C950" t="s">
        <v>57</v>
      </c>
      <c r="D950" s="3" t="s">
        <v>122</v>
      </c>
      <c r="E950" s="5" t="str">
        <f>TEXT(D950,"dd/mm/yyyy")</f>
        <v>14/01/2022</v>
      </c>
      <c r="F950" s="5" t="str" cm="1">
        <f t="array" ref="F950">RIGHT(_xlfn.ANCHORARRAY(E950),4)</f>
        <v>2022</v>
      </c>
      <c r="G950" s="5" t="str">
        <f>TEXT(E950,"mm")</f>
        <v>14/01/2022</v>
      </c>
      <c r="H950" s="6">
        <v>1869</v>
      </c>
      <c r="I950">
        <v>158</v>
      </c>
      <c r="L950" t="str">
        <f t="shared" si="14"/>
        <v>Below Average</v>
      </c>
      <c r="M950">
        <f>RANK(H950,H:H,0)</f>
        <v>2674</v>
      </c>
    </row>
    <row r="951" spans="1:13">
      <c r="A951" t="s">
        <v>58</v>
      </c>
      <c r="B951" t="s">
        <v>32</v>
      </c>
      <c r="C951" t="s">
        <v>87</v>
      </c>
      <c r="D951" s="4">
        <v>44873</v>
      </c>
      <c r="E951" s="5" t="str">
        <f>TEXT(D951,"dd/mm/yyyy")</f>
        <v>08/11/2022</v>
      </c>
      <c r="F951" s="5" t="str" cm="1">
        <f t="array" ref="F951">RIGHT(_xlfn.ANCHORARRAY(E951),4)</f>
        <v>2022</v>
      </c>
      <c r="G951" s="5" t="str">
        <f>TEXT(E951,"mm")</f>
        <v>08</v>
      </c>
      <c r="H951" s="6">
        <v>17465</v>
      </c>
      <c r="I951">
        <v>271</v>
      </c>
      <c r="L951" t="str">
        <f t="shared" si="14"/>
        <v>Above Average</v>
      </c>
      <c r="M951">
        <f>RANK(H951,H:H,0)</f>
        <v>54</v>
      </c>
    </row>
    <row r="952" spans="1:13">
      <c r="A952" t="s">
        <v>77</v>
      </c>
      <c r="B952" t="s">
        <v>32</v>
      </c>
      <c r="C952" t="s">
        <v>65</v>
      </c>
      <c r="D952" s="3" t="s">
        <v>126</v>
      </c>
      <c r="E952" s="5" t="str">
        <f>TEXT(D952,"dd/mm/yyyy")</f>
        <v>31/05/2022</v>
      </c>
      <c r="F952" s="5" t="str" cm="1">
        <f t="array" ref="F952">RIGHT(_xlfn.ANCHORARRAY(E952),4)</f>
        <v>2022</v>
      </c>
      <c r="G952" s="5" t="str">
        <f>TEXT(E952,"mm")</f>
        <v>31/05/2022</v>
      </c>
      <c r="H952" s="6">
        <v>10143</v>
      </c>
      <c r="I952">
        <v>24</v>
      </c>
      <c r="L952" t="str">
        <f t="shared" si="14"/>
        <v>Above Average</v>
      </c>
      <c r="M952">
        <f>RANK(H952,H:H,0)</f>
        <v>560</v>
      </c>
    </row>
    <row r="953" spans="1:13">
      <c r="A953" t="s">
        <v>9</v>
      </c>
      <c r="B953" t="s">
        <v>25</v>
      </c>
      <c r="C953" t="s">
        <v>26</v>
      </c>
      <c r="D953" s="4">
        <v>44872</v>
      </c>
      <c r="E953" s="5" t="str">
        <f>TEXT(D953,"dd/mm/yyyy")</f>
        <v>07/11/2022</v>
      </c>
      <c r="F953" s="5" t="str" cm="1">
        <f t="array" ref="F953">RIGHT(_xlfn.ANCHORARRAY(E953),4)</f>
        <v>2022</v>
      </c>
      <c r="G953" s="5" t="str">
        <f>TEXT(E953,"mm")</f>
        <v>07</v>
      </c>
      <c r="H953" s="6">
        <v>3626</v>
      </c>
      <c r="I953">
        <v>10</v>
      </c>
      <c r="L953" t="str">
        <f t="shared" si="14"/>
        <v>Below Average</v>
      </c>
      <c r="M953">
        <f>RANK(H953,H:H,0)</f>
        <v>2097</v>
      </c>
    </row>
    <row r="954" spans="1:13">
      <c r="A954" t="s">
        <v>37</v>
      </c>
      <c r="B954" t="s">
        <v>35</v>
      </c>
      <c r="C954" t="s">
        <v>90</v>
      </c>
      <c r="D954" s="4">
        <v>44595</v>
      </c>
      <c r="E954" s="5" t="str">
        <f>TEXT(D954,"dd/mm/yyyy")</f>
        <v>03/02/2022</v>
      </c>
      <c r="F954" s="5" t="str" cm="1">
        <f t="array" ref="F954">RIGHT(_xlfn.ANCHORARRAY(E954),4)</f>
        <v>2022</v>
      </c>
      <c r="G954" s="5" t="str">
        <f>TEXT(E954,"mm")</f>
        <v>03</v>
      </c>
      <c r="H954" s="6">
        <v>3346</v>
      </c>
      <c r="I954">
        <v>304</v>
      </c>
      <c r="L954" t="str">
        <f t="shared" si="14"/>
        <v>Below Average</v>
      </c>
      <c r="M954">
        <f>RANK(H954,H:H,0)</f>
        <v>2200</v>
      </c>
    </row>
    <row r="955" spans="1:13">
      <c r="A955" t="s">
        <v>77</v>
      </c>
      <c r="B955" t="s">
        <v>15</v>
      </c>
      <c r="C955" t="s">
        <v>73</v>
      </c>
      <c r="D955" s="3" t="s">
        <v>94</v>
      </c>
      <c r="E955" s="5" t="str">
        <f>TEXT(D955,"dd/mm/yyyy")</f>
        <v>13/07/2022</v>
      </c>
      <c r="F955" s="5" t="str" cm="1">
        <f t="array" ref="F955">RIGHT(_xlfn.ANCHORARRAY(E955),4)</f>
        <v>2022</v>
      </c>
      <c r="G955" s="5" t="str">
        <f>TEXT(E955,"mm")</f>
        <v>13/07/2022</v>
      </c>
      <c r="H955" s="6">
        <v>6321</v>
      </c>
      <c r="I955">
        <v>88</v>
      </c>
      <c r="L955" t="str">
        <f t="shared" si="14"/>
        <v>Above Average</v>
      </c>
      <c r="M955">
        <f>RANK(H955,H:H,0)</f>
        <v>1351</v>
      </c>
    </row>
    <row r="956" spans="1:13">
      <c r="A956" t="s">
        <v>29</v>
      </c>
      <c r="B956" t="s">
        <v>7</v>
      </c>
      <c r="C956" t="s">
        <v>50</v>
      </c>
      <c r="D956" s="4">
        <v>44628</v>
      </c>
      <c r="E956" s="5" t="str">
        <f>TEXT(D956,"dd/mm/yyyy")</f>
        <v>08/03/2022</v>
      </c>
      <c r="F956" s="5" t="str" cm="1">
        <f t="array" ref="F956">RIGHT(_xlfn.ANCHORARRAY(E956),4)</f>
        <v>2022</v>
      </c>
      <c r="G956" s="5" t="str">
        <f>TEXT(E956,"mm")</f>
        <v>08</v>
      </c>
      <c r="H956" s="6">
        <v>9345</v>
      </c>
      <c r="I956">
        <v>133</v>
      </c>
      <c r="L956" t="str">
        <f t="shared" si="14"/>
        <v>Above Average</v>
      </c>
      <c r="M956">
        <f>RANK(H956,H:H,0)</f>
        <v>679</v>
      </c>
    </row>
    <row r="957" spans="1:13">
      <c r="A957" t="s">
        <v>48</v>
      </c>
      <c r="B957" t="s">
        <v>7</v>
      </c>
      <c r="C957" t="s">
        <v>13</v>
      </c>
      <c r="D957" s="4">
        <v>44564</v>
      </c>
      <c r="E957" s="5" t="str">
        <f>TEXT(D957,"dd/mm/yyyy")</f>
        <v>03/01/2022</v>
      </c>
      <c r="F957" s="5" t="str" cm="1">
        <f t="array" ref="F957">RIGHT(_xlfn.ANCHORARRAY(E957),4)</f>
        <v>2022</v>
      </c>
      <c r="G957" s="5" t="str">
        <f>TEXT(E957,"mm")</f>
        <v>03</v>
      </c>
      <c r="H957" s="6">
        <v>15008</v>
      </c>
      <c r="I957">
        <v>165</v>
      </c>
      <c r="L957" t="str">
        <f t="shared" si="14"/>
        <v>Above Average</v>
      </c>
      <c r="M957">
        <f>RANK(H957,H:H,0)</f>
        <v>145</v>
      </c>
    </row>
    <row r="958" spans="1:13">
      <c r="A958" t="s">
        <v>70</v>
      </c>
      <c r="B958" t="s">
        <v>25</v>
      </c>
      <c r="C958" t="s">
        <v>59</v>
      </c>
      <c r="D958" s="3" t="s">
        <v>121</v>
      </c>
      <c r="E958" s="5" t="str">
        <f>TEXT(D958,"dd/mm/yyyy")</f>
        <v>13/04/2022</v>
      </c>
      <c r="F958" s="5" t="str" cm="1">
        <f t="array" ref="F958">RIGHT(_xlfn.ANCHORARRAY(E958),4)</f>
        <v>2022</v>
      </c>
      <c r="G958" s="5" t="str">
        <f>TEXT(E958,"mm")</f>
        <v>13/04/2022</v>
      </c>
      <c r="H958" s="6">
        <v>7609</v>
      </c>
      <c r="I958">
        <v>150</v>
      </c>
      <c r="L958" t="str">
        <f t="shared" si="14"/>
        <v>Above Average</v>
      </c>
      <c r="M958">
        <f>RANK(H958,H:H,0)</f>
        <v>1042</v>
      </c>
    </row>
    <row r="959" spans="1:13">
      <c r="A959" t="s">
        <v>41</v>
      </c>
      <c r="B959" t="s">
        <v>35</v>
      </c>
      <c r="C959" t="s">
        <v>57</v>
      </c>
      <c r="D959" s="3" t="s">
        <v>44</v>
      </c>
      <c r="E959" s="5" t="str">
        <f>TEXT(D959,"dd/mm/yyyy")</f>
        <v>14/02/2022</v>
      </c>
      <c r="F959" s="5" t="str" cm="1">
        <f t="array" ref="F959">RIGHT(_xlfn.ANCHORARRAY(E959),4)</f>
        <v>2022</v>
      </c>
      <c r="G959" s="5" t="str">
        <f>TEXT(E959,"mm")</f>
        <v>14/02/2022</v>
      </c>
      <c r="H959" s="6">
        <v>10332</v>
      </c>
      <c r="I959">
        <v>180</v>
      </c>
      <c r="L959" t="str">
        <f t="shared" si="14"/>
        <v>Above Average</v>
      </c>
      <c r="M959">
        <f>RANK(H959,H:H,0)</f>
        <v>530</v>
      </c>
    </row>
    <row r="960" spans="1:13">
      <c r="A960" t="s">
        <v>34</v>
      </c>
      <c r="B960" t="s">
        <v>10</v>
      </c>
      <c r="C960" t="s">
        <v>59</v>
      </c>
      <c r="D960" s="3" t="s">
        <v>101</v>
      </c>
      <c r="E960" s="5" t="str">
        <f>TEXT(D960,"dd/mm/yyyy")</f>
        <v>26/07/2022</v>
      </c>
      <c r="F960" s="5" t="str" cm="1">
        <f t="array" ref="F960">RIGHT(_xlfn.ANCHORARRAY(E960),4)</f>
        <v>2022</v>
      </c>
      <c r="G960" s="5" t="str">
        <f>TEXT(E960,"mm")</f>
        <v>26/07/2022</v>
      </c>
      <c r="H960" s="6">
        <v>819</v>
      </c>
      <c r="I960">
        <v>213</v>
      </c>
      <c r="L960" t="str">
        <f t="shared" si="14"/>
        <v>Below Average</v>
      </c>
      <c r="M960">
        <f>RANK(H960,H:H,0)</f>
        <v>3022</v>
      </c>
    </row>
    <row r="961" spans="1:13">
      <c r="A961" t="s">
        <v>28</v>
      </c>
      <c r="B961" t="s">
        <v>7</v>
      </c>
      <c r="C961" t="s">
        <v>38</v>
      </c>
      <c r="D961" s="3" t="s">
        <v>95</v>
      </c>
      <c r="E961" s="5" t="str">
        <f>TEXT(D961,"dd/mm/yyyy")</f>
        <v>27/01/2022</v>
      </c>
      <c r="F961" s="5" t="str" cm="1">
        <f t="array" ref="F961">RIGHT(_xlfn.ANCHORARRAY(E961),4)</f>
        <v>2022</v>
      </c>
      <c r="G961" s="5" t="str">
        <f>TEXT(E961,"mm")</f>
        <v>27/01/2022</v>
      </c>
      <c r="H961" s="6">
        <v>5754</v>
      </c>
      <c r="I961">
        <v>133</v>
      </c>
      <c r="L961" t="str">
        <f t="shared" si="14"/>
        <v>Below Average</v>
      </c>
      <c r="M961">
        <f>RANK(H961,H:H,0)</f>
        <v>1503</v>
      </c>
    </row>
    <row r="962" spans="1:13">
      <c r="A962" t="s">
        <v>6</v>
      </c>
      <c r="B962" t="s">
        <v>10</v>
      </c>
      <c r="C962" t="s">
        <v>13</v>
      </c>
      <c r="D962" s="3" t="s">
        <v>91</v>
      </c>
      <c r="E962" s="5" t="str">
        <f>TEXT(D962,"dd/mm/yyyy")</f>
        <v>14/04/2022</v>
      </c>
      <c r="F962" s="5" t="str" cm="1">
        <f t="array" ref="F962">RIGHT(_xlfn.ANCHORARRAY(E962),4)</f>
        <v>2022</v>
      </c>
      <c r="G962" s="5" t="str">
        <f>TEXT(E962,"mm")</f>
        <v>14/04/2022</v>
      </c>
      <c r="H962" s="6">
        <v>28</v>
      </c>
      <c r="I962">
        <v>446</v>
      </c>
      <c r="L962" t="str">
        <f t="shared" si="14"/>
        <v>Below Average</v>
      </c>
      <c r="M962">
        <f>RANK(H962,H:H,0)</f>
        <v>3276</v>
      </c>
    </row>
    <row r="963" spans="1:13">
      <c r="A963" t="s">
        <v>19</v>
      </c>
      <c r="B963" t="s">
        <v>32</v>
      </c>
      <c r="C963" t="s">
        <v>65</v>
      </c>
      <c r="D963" s="3" t="s">
        <v>72</v>
      </c>
      <c r="E963" s="5" t="str">
        <f>TEXT(D963,"dd/mm/yyyy")</f>
        <v>19/05/2022</v>
      </c>
      <c r="F963" s="5" t="str" cm="1">
        <f t="array" ref="F963">RIGHT(_xlfn.ANCHORARRAY(E963),4)</f>
        <v>2022</v>
      </c>
      <c r="G963" s="5" t="str">
        <f>TEXT(E963,"mm")</f>
        <v>19/05/2022</v>
      </c>
      <c r="H963" s="6">
        <v>6440</v>
      </c>
      <c r="I963">
        <v>141</v>
      </c>
      <c r="L963" t="str">
        <f t="shared" ref="L963:L1026" si="15">IF(H963&gt;6030.34,"Above Average","Below Average")</f>
        <v>Above Average</v>
      </c>
      <c r="M963">
        <f>RANK(H963,H:H,0)</f>
        <v>1322</v>
      </c>
    </row>
    <row r="964" spans="1:13">
      <c r="A964" t="s">
        <v>53</v>
      </c>
      <c r="B964" t="s">
        <v>10</v>
      </c>
      <c r="C964" t="s">
        <v>36</v>
      </c>
      <c r="D964" s="4">
        <v>44806</v>
      </c>
      <c r="E964" s="5" t="str">
        <f>TEXT(D964,"dd/mm/yyyy")</f>
        <v>02/09/2022</v>
      </c>
      <c r="F964" s="5" t="str" cm="1">
        <f t="array" ref="F964">RIGHT(_xlfn.ANCHORARRAY(E964),4)</f>
        <v>2022</v>
      </c>
      <c r="G964" s="5" t="str">
        <f>TEXT(E964,"mm")</f>
        <v>02</v>
      </c>
      <c r="H964" s="6">
        <v>4956</v>
      </c>
      <c r="I964">
        <v>58</v>
      </c>
      <c r="L964" t="str">
        <f t="shared" si="15"/>
        <v>Below Average</v>
      </c>
      <c r="M964">
        <f>RANK(H964,H:H,0)</f>
        <v>1715</v>
      </c>
    </row>
    <row r="965" spans="1:13">
      <c r="A965" t="s">
        <v>28</v>
      </c>
      <c r="B965" t="s">
        <v>7</v>
      </c>
      <c r="C965" t="s">
        <v>50</v>
      </c>
      <c r="D965" s="3" t="s">
        <v>99</v>
      </c>
      <c r="E965" s="5" t="str">
        <f>TEXT(D965,"dd/mm/yyyy")</f>
        <v>25/05/2022</v>
      </c>
      <c r="F965" s="5" t="str" cm="1">
        <f t="array" ref="F965">RIGHT(_xlfn.ANCHORARRAY(E965),4)</f>
        <v>2022</v>
      </c>
      <c r="G965" s="5" t="str">
        <f>TEXT(E965,"mm")</f>
        <v>25/05/2022</v>
      </c>
      <c r="H965" s="6">
        <v>2352</v>
      </c>
      <c r="I965">
        <v>58</v>
      </c>
      <c r="L965" t="str">
        <f t="shared" si="15"/>
        <v>Below Average</v>
      </c>
      <c r="M965">
        <f>RANK(H965,H:H,0)</f>
        <v>2529</v>
      </c>
    </row>
    <row r="966" spans="1:13">
      <c r="A966" t="s">
        <v>19</v>
      </c>
      <c r="B966" t="s">
        <v>15</v>
      </c>
      <c r="C966" t="s">
        <v>60</v>
      </c>
      <c r="D966" s="3" t="s">
        <v>43</v>
      </c>
      <c r="E966" s="5" t="str">
        <f>TEXT(D966,"dd/mm/yyyy")</f>
        <v>26/01/2022</v>
      </c>
      <c r="F966" s="5" t="str" cm="1">
        <f t="array" ref="F966">RIGHT(_xlfn.ANCHORARRAY(E966),4)</f>
        <v>2022</v>
      </c>
      <c r="G966" s="5" t="str">
        <f>TEXT(E966,"mm")</f>
        <v>26/01/2022</v>
      </c>
      <c r="H966" s="6">
        <v>3906</v>
      </c>
      <c r="I966">
        <v>76</v>
      </c>
      <c r="L966" t="str">
        <f t="shared" si="15"/>
        <v>Below Average</v>
      </c>
      <c r="M966">
        <f>RANK(H966,H:H,0)</f>
        <v>2012</v>
      </c>
    </row>
    <row r="967" spans="1:13">
      <c r="A967" t="s">
        <v>41</v>
      </c>
      <c r="B967" t="s">
        <v>10</v>
      </c>
      <c r="C967" t="s">
        <v>59</v>
      </c>
      <c r="D967" s="4">
        <v>44658</v>
      </c>
      <c r="E967" s="5" t="str">
        <f>TEXT(D967,"dd/mm/yyyy")</f>
        <v>07/04/2022</v>
      </c>
      <c r="F967" s="5" t="str" cm="1">
        <f t="array" ref="F967">RIGHT(_xlfn.ANCHORARRAY(E967),4)</f>
        <v>2022</v>
      </c>
      <c r="G967" s="5" t="str">
        <f>TEXT(E967,"mm")</f>
        <v>07</v>
      </c>
      <c r="H967" s="6">
        <v>1813</v>
      </c>
      <c r="I967">
        <v>296</v>
      </c>
      <c r="L967" t="str">
        <f t="shared" si="15"/>
        <v>Below Average</v>
      </c>
      <c r="M967">
        <f>RANK(H967,H:H,0)</f>
        <v>2698</v>
      </c>
    </row>
    <row r="968" spans="1:13">
      <c r="A968" t="s">
        <v>83</v>
      </c>
      <c r="B968" t="s">
        <v>10</v>
      </c>
      <c r="C968" t="s">
        <v>65</v>
      </c>
      <c r="D968" s="3" t="s">
        <v>121</v>
      </c>
      <c r="E968" s="5" t="str">
        <f>TEXT(D968,"dd/mm/yyyy")</f>
        <v>13/04/2022</v>
      </c>
      <c r="F968" s="5" t="str" cm="1">
        <f t="array" ref="F968">RIGHT(_xlfn.ANCHORARRAY(E968),4)</f>
        <v>2022</v>
      </c>
      <c r="G968" s="5" t="str">
        <f>TEXT(E968,"mm")</f>
        <v>13/04/2022</v>
      </c>
      <c r="H968" s="6">
        <v>11788</v>
      </c>
      <c r="I968">
        <v>73</v>
      </c>
      <c r="L968" t="str">
        <f t="shared" si="15"/>
        <v>Above Average</v>
      </c>
      <c r="M968">
        <f>RANK(H968,H:H,0)</f>
        <v>362</v>
      </c>
    </row>
    <row r="969" spans="1:13">
      <c r="A969" t="s">
        <v>12</v>
      </c>
      <c r="B969" t="s">
        <v>15</v>
      </c>
      <c r="C969" t="s">
        <v>18</v>
      </c>
      <c r="D969" s="3" t="s">
        <v>21</v>
      </c>
      <c r="E969" s="5" t="str">
        <f>TEXT(D969,"dd/mm/yyyy")</f>
        <v>25/01/2022</v>
      </c>
      <c r="F969" s="5" t="str" cm="1">
        <f t="array" ref="F969">RIGHT(_xlfn.ANCHORARRAY(E969),4)</f>
        <v>2022</v>
      </c>
      <c r="G969" s="5" t="str">
        <f>TEXT(E969,"mm")</f>
        <v>25/01/2022</v>
      </c>
      <c r="H969" s="6">
        <v>5768</v>
      </c>
      <c r="I969">
        <v>119</v>
      </c>
      <c r="L969" t="str">
        <f t="shared" si="15"/>
        <v>Below Average</v>
      </c>
      <c r="M969">
        <f>RANK(H969,H:H,0)</f>
        <v>1500</v>
      </c>
    </row>
    <row r="970" spans="1:13">
      <c r="A970" t="s">
        <v>71</v>
      </c>
      <c r="B970" t="s">
        <v>32</v>
      </c>
      <c r="C970" t="s">
        <v>11</v>
      </c>
      <c r="D970" s="3" t="s">
        <v>114</v>
      </c>
      <c r="E970" s="5" t="str">
        <f>TEXT(D970,"dd/mm/yyyy")</f>
        <v>25/04/2022</v>
      </c>
      <c r="F970" s="5" t="str" cm="1">
        <f t="array" ref="F970">RIGHT(_xlfn.ANCHORARRAY(E970),4)</f>
        <v>2022</v>
      </c>
      <c r="G970" s="5" t="str">
        <f>TEXT(E970,"mm")</f>
        <v>25/04/2022</v>
      </c>
      <c r="H970" s="6">
        <v>2401</v>
      </c>
      <c r="I970">
        <v>78</v>
      </c>
      <c r="L970" t="str">
        <f t="shared" si="15"/>
        <v>Below Average</v>
      </c>
      <c r="M970">
        <f>RANK(H970,H:H,0)</f>
        <v>2515</v>
      </c>
    </row>
    <row r="971" spans="1:13">
      <c r="A971" t="s">
        <v>71</v>
      </c>
      <c r="B971" t="s">
        <v>32</v>
      </c>
      <c r="C971" t="s">
        <v>36</v>
      </c>
      <c r="D971" s="4">
        <v>44840</v>
      </c>
      <c r="E971" s="5" t="str">
        <f>TEXT(D971,"dd/mm/yyyy")</f>
        <v>06/10/2022</v>
      </c>
      <c r="F971" s="5" t="str" cm="1">
        <f t="array" ref="F971">RIGHT(_xlfn.ANCHORARRAY(E971),4)</f>
        <v>2022</v>
      </c>
      <c r="G971" s="5" t="str">
        <f>TEXT(E971,"mm")</f>
        <v>06</v>
      </c>
      <c r="H971" s="6">
        <v>4515</v>
      </c>
      <c r="I971">
        <v>392</v>
      </c>
      <c r="L971" t="str">
        <f t="shared" si="15"/>
        <v>Below Average</v>
      </c>
      <c r="M971">
        <f>RANK(H971,H:H,0)</f>
        <v>1843</v>
      </c>
    </row>
    <row r="972" spans="1:13">
      <c r="A972" t="s">
        <v>77</v>
      </c>
      <c r="B972" t="s">
        <v>25</v>
      </c>
      <c r="C972" t="s">
        <v>59</v>
      </c>
      <c r="D972" s="3" t="s">
        <v>78</v>
      </c>
      <c r="E972" s="5" t="str">
        <f>TEXT(D972,"dd/mm/yyyy")</f>
        <v>22/08/2022</v>
      </c>
      <c r="F972" s="5" t="str" cm="1">
        <f t="array" ref="F972">RIGHT(_xlfn.ANCHORARRAY(E972),4)</f>
        <v>2022</v>
      </c>
      <c r="G972" s="5" t="str">
        <f>TEXT(E972,"mm")</f>
        <v>22/08/2022</v>
      </c>
      <c r="H972" s="6">
        <v>10794</v>
      </c>
      <c r="I972">
        <v>51</v>
      </c>
      <c r="L972" t="str">
        <f t="shared" si="15"/>
        <v>Above Average</v>
      </c>
      <c r="M972">
        <f>RANK(H972,H:H,0)</f>
        <v>473</v>
      </c>
    </row>
    <row r="973" spans="1:13">
      <c r="A973" t="s">
        <v>9</v>
      </c>
      <c r="B973" t="s">
        <v>10</v>
      </c>
      <c r="C973" t="s">
        <v>23</v>
      </c>
      <c r="D973" s="3" t="s">
        <v>49</v>
      </c>
      <c r="E973" s="5" t="str">
        <f>TEXT(D973,"dd/mm/yyyy")</f>
        <v>27/06/2022</v>
      </c>
      <c r="F973" s="5" t="str" cm="1">
        <f t="array" ref="F973">RIGHT(_xlfn.ANCHORARRAY(E973),4)</f>
        <v>2022</v>
      </c>
      <c r="G973" s="5" t="str">
        <f>TEXT(E973,"mm")</f>
        <v>27/06/2022</v>
      </c>
      <c r="H973" s="6">
        <v>13706</v>
      </c>
      <c r="I973">
        <v>207</v>
      </c>
      <c r="L973" t="str">
        <f t="shared" si="15"/>
        <v>Above Average</v>
      </c>
      <c r="M973">
        <f>RANK(H973,H:H,0)</f>
        <v>220</v>
      </c>
    </row>
    <row r="974" spans="1:13">
      <c r="A974" t="s">
        <v>53</v>
      </c>
      <c r="B974" t="s">
        <v>10</v>
      </c>
      <c r="C974" t="s">
        <v>33</v>
      </c>
      <c r="D974" s="3" t="s">
        <v>66</v>
      </c>
      <c r="E974" s="5" t="str">
        <f>TEXT(D974,"dd/mm/yyyy")</f>
        <v>30/06/2022</v>
      </c>
      <c r="F974" s="5" t="str" cm="1">
        <f t="array" ref="F974">RIGHT(_xlfn.ANCHORARRAY(E974),4)</f>
        <v>2022</v>
      </c>
      <c r="G974" s="5" t="str">
        <f>TEXT(E974,"mm")</f>
        <v>30/06/2022</v>
      </c>
      <c r="H974" s="6">
        <v>4361</v>
      </c>
      <c r="I974">
        <v>40</v>
      </c>
      <c r="L974" t="str">
        <f t="shared" si="15"/>
        <v>Below Average</v>
      </c>
      <c r="M974">
        <f>RANK(H974,H:H,0)</f>
        <v>1887</v>
      </c>
    </row>
    <row r="975" spans="1:13">
      <c r="A975" t="s">
        <v>6</v>
      </c>
      <c r="B975" t="s">
        <v>10</v>
      </c>
      <c r="C975" t="s">
        <v>65</v>
      </c>
      <c r="D975" s="3" t="s">
        <v>140</v>
      </c>
      <c r="E975" s="5" t="str">
        <f>TEXT(D975,"dd/mm/yyyy")</f>
        <v>30/08/2022</v>
      </c>
      <c r="F975" s="5" t="str" cm="1">
        <f t="array" ref="F975">RIGHT(_xlfn.ANCHORARRAY(E975),4)</f>
        <v>2022</v>
      </c>
      <c r="G975" s="5" t="str">
        <f>TEXT(E975,"mm")</f>
        <v>30/08/2022</v>
      </c>
      <c r="H975" s="6">
        <v>10122</v>
      </c>
      <c r="I975">
        <v>100</v>
      </c>
      <c r="L975" t="str">
        <f t="shared" si="15"/>
        <v>Above Average</v>
      </c>
      <c r="M975">
        <f>RANK(H975,H:H,0)</f>
        <v>564</v>
      </c>
    </row>
    <row r="976" spans="1:13">
      <c r="A976" t="s">
        <v>37</v>
      </c>
      <c r="B976" t="s">
        <v>15</v>
      </c>
      <c r="C976" t="s">
        <v>73</v>
      </c>
      <c r="D976" s="3" t="s">
        <v>98</v>
      </c>
      <c r="E976" s="5" t="str">
        <f>TEXT(D976,"dd/mm/yyyy")</f>
        <v>23/08/2022</v>
      </c>
      <c r="F976" s="5" t="str" cm="1">
        <f t="array" ref="F976">RIGHT(_xlfn.ANCHORARRAY(E976),4)</f>
        <v>2022</v>
      </c>
      <c r="G976" s="5" t="str">
        <f>TEXT(E976,"mm")</f>
        <v>23/08/2022</v>
      </c>
      <c r="H976" s="6">
        <v>994</v>
      </c>
      <c r="I976">
        <v>57</v>
      </c>
      <c r="L976" t="str">
        <f t="shared" si="15"/>
        <v>Below Average</v>
      </c>
      <c r="M976">
        <f>RANK(H976,H:H,0)</f>
        <v>2974</v>
      </c>
    </row>
    <row r="977" spans="1:13">
      <c r="A977" t="s">
        <v>71</v>
      </c>
      <c r="B977" t="s">
        <v>25</v>
      </c>
      <c r="C977" t="s">
        <v>20</v>
      </c>
      <c r="D977" s="3" t="s">
        <v>93</v>
      </c>
      <c r="E977" s="5" t="str">
        <f>TEXT(D977,"dd/mm/yyyy")</f>
        <v>26/08/2022</v>
      </c>
      <c r="F977" s="5" t="str" cm="1">
        <f t="array" ref="F977">RIGHT(_xlfn.ANCHORARRAY(E977),4)</f>
        <v>2022</v>
      </c>
      <c r="G977" s="5" t="str">
        <f>TEXT(E977,"mm")</f>
        <v>26/08/2022</v>
      </c>
      <c r="H977" s="6">
        <v>2268</v>
      </c>
      <c r="I977">
        <v>42</v>
      </c>
      <c r="L977" t="str">
        <f t="shared" si="15"/>
        <v>Below Average</v>
      </c>
      <c r="M977">
        <f>RANK(H977,H:H,0)</f>
        <v>2563</v>
      </c>
    </row>
    <row r="978" spans="1:13">
      <c r="A978" t="s">
        <v>12</v>
      </c>
      <c r="B978" t="s">
        <v>15</v>
      </c>
      <c r="C978" t="s">
        <v>33</v>
      </c>
      <c r="D978" s="4">
        <v>44807</v>
      </c>
      <c r="E978" s="5" t="str">
        <f>TEXT(D978,"dd/mm/yyyy")</f>
        <v>03/09/2022</v>
      </c>
      <c r="F978" s="5" t="str" cm="1">
        <f t="array" ref="F978">RIGHT(_xlfn.ANCHORARRAY(E978),4)</f>
        <v>2022</v>
      </c>
      <c r="G978" s="5" t="str">
        <f>TEXT(E978,"mm")</f>
        <v>03</v>
      </c>
      <c r="H978" s="6">
        <v>574</v>
      </c>
      <c r="I978">
        <v>156</v>
      </c>
      <c r="L978" t="str">
        <f t="shared" si="15"/>
        <v>Below Average</v>
      </c>
      <c r="M978">
        <f>RANK(H978,H:H,0)</f>
        <v>3104</v>
      </c>
    </row>
    <row r="979" spans="1:13">
      <c r="A979" t="s">
        <v>70</v>
      </c>
      <c r="B979" t="s">
        <v>7</v>
      </c>
      <c r="C979" t="s">
        <v>38</v>
      </c>
      <c r="D979" s="3" t="s">
        <v>27</v>
      </c>
      <c r="E979" s="5" t="str">
        <f>TEXT(D979,"dd/mm/yyyy")</f>
        <v>20/04/2022</v>
      </c>
      <c r="F979" s="5" t="str" cm="1">
        <f t="array" ref="F979">RIGHT(_xlfn.ANCHORARRAY(E979),4)</f>
        <v>2022</v>
      </c>
      <c r="G979" s="5" t="str">
        <f>TEXT(E979,"mm")</f>
        <v>20/04/2022</v>
      </c>
      <c r="H979" s="6">
        <v>1792</v>
      </c>
      <c r="I979">
        <v>23</v>
      </c>
      <c r="L979" t="str">
        <f t="shared" si="15"/>
        <v>Below Average</v>
      </c>
      <c r="M979">
        <f>RANK(H979,H:H,0)</f>
        <v>2704</v>
      </c>
    </row>
    <row r="980" spans="1:13">
      <c r="A980" t="s">
        <v>34</v>
      </c>
      <c r="B980" t="s">
        <v>35</v>
      </c>
      <c r="C980" t="s">
        <v>90</v>
      </c>
      <c r="D980" s="4">
        <v>44840</v>
      </c>
      <c r="E980" s="5" t="str">
        <f>TEXT(D980,"dd/mm/yyyy")</f>
        <v>06/10/2022</v>
      </c>
      <c r="F980" s="5" t="str" cm="1">
        <f t="array" ref="F980">RIGHT(_xlfn.ANCHORARRAY(E980),4)</f>
        <v>2022</v>
      </c>
      <c r="G980" s="5" t="str">
        <f>TEXT(E980,"mm")</f>
        <v>06</v>
      </c>
      <c r="H980" s="6">
        <v>4844</v>
      </c>
      <c r="I980">
        <v>539</v>
      </c>
      <c r="L980" t="str">
        <f t="shared" si="15"/>
        <v>Below Average</v>
      </c>
      <c r="M980">
        <f>RANK(H980,H:H,0)</f>
        <v>1754</v>
      </c>
    </row>
    <row r="981" spans="1:13">
      <c r="A981" t="s">
        <v>53</v>
      </c>
      <c r="B981" t="s">
        <v>15</v>
      </c>
      <c r="C981" t="s">
        <v>42</v>
      </c>
      <c r="D981" s="4">
        <v>44775</v>
      </c>
      <c r="E981" s="5" t="str">
        <f>TEXT(D981,"dd/mm/yyyy")</f>
        <v>02/08/2022</v>
      </c>
      <c r="F981" s="5" t="str" cm="1">
        <f t="array" ref="F981">RIGHT(_xlfn.ANCHORARRAY(E981),4)</f>
        <v>2022</v>
      </c>
      <c r="G981" s="5" t="str">
        <f>TEXT(E981,"mm")</f>
        <v>02</v>
      </c>
      <c r="H981" s="6">
        <v>938</v>
      </c>
      <c r="I981">
        <v>158</v>
      </c>
      <c r="L981" t="str">
        <f t="shared" si="15"/>
        <v>Below Average</v>
      </c>
      <c r="M981">
        <f>RANK(H981,H:H,0)</f>
        <v>2993</v>
      </c>
    </row>
    <row r="982" spans="1:13">
      <c r="A982" t="s">
        <v>28</v>
      </c>
      <c r="B982" t="s">
        <v>15</v>
      </c>
      <c r="C982" t="s">
        <v>59</v>
      </c>
      <c r="D982" s="3" t="s">
        <v>103</v>
      </c>
      <c r="E982" s="5" t="str">
        <f>TEXT(D982,"dd/mm/yyyy")</f>
        <v>25/08/2022</v>
      </c>
      <c r="F982" s="5" t="str" cm="1">
        <f t="array" ref="F982">RIGHT(_xlfn.ANCHORARRAY(E982),4)</f>
        <v>2022</v>
      </c>
      <c r="G982" s="5" t="str">
        <f>TEXT(E982,"mm")</f>
        <v>25/08/2022</v>
      </c>
      <c r="H982" s="6">
        <v>4879</v>
      </c>
      <c r="I982">
        <v>22</v>
      </c>
      <c r="L982" t="str">
        <f t="shared" si="15"/>
        <v>Below Average</v>
      </c>
      <c r="M982">
        <f>RANK(H982,H:H,0)</f>
        <v>1740</v>
      </c>
    </row>
    <row r="983" spans="1:13">
      <c r="A983" t="s">
        <v>79</v>
      </c>
      <c r="B983" t="s">
        <v>10</v>
      </c>
      <c r="C983" t="s">
        <v>13</v>
      </c>
      <c r="D983" s="3" t="s">
        <v>47</v>
      </c>
      <c r="E983" s="5" t="str">
        <f>TEXT(D983,"dd/mm/yyyy")</f>
        <v>16/02/2022</v>
      </c>
      <c r="F983" s="5" t="str" cm="1">
        <f t="array" ref="F983">RIGHT(_xlfn.ANCHORARRAY(E983),4)</f>
        <v>2022</v>
      </c>
      <c r="G983" s="5" t="str">
        <f>TEXT(E983,"mm")</f>
        <v>16/02/2022</v>
      </c>
      <c r="H983" s="6">
        <v>9107</v>
      </c>
      <c r="I983">
        <v>73</v>
      </c>
      <c r="L983" t="str">
        <f t="shared" si="15"/>
        <v>Above Average</v>
      </c>
      <c r="M983">
        <f>RANK(H983,H:H,0)</f>
        <v>719</v>
      </c>
    </row>
    <row r="984" spans="1:13">
      <c r="A984" t="s">
        <v>58</v>
      </c>
      <c r="B984" t="s">
        <v>7</v>
      </c>
      <c r="C984" t="s">
        <v>20</v>
      </c>
      <c r="D984" s="3" t="s">
        <v>52</v>
      </c>
      <c r="E984" s="5" t="str">
        <f>TEXT(D984,"dd/mm/yyyy")</f>
        <v>30/05/2022</v>
      </c>
      <c r="F984" s="5" t="str" cm="1">
        <f t="array" ref="F984">RIGHT(_xlfn.ANCHORARRAY(E984),4)</f>
        <v>2022</v>
      </c>
      <c r="G984" s="5" t="str">
        <f>TEXT(E984,"mm")</f>
        <v>30/05/2022</v>
      </c>
      <c r="H984" s="6">
        <v>12187</v>
      </c>
      <c r="I984">
        <v>27</v>
      </c>
      <c r="L984" t="str">
        <f t="shared" si="15"/>
        <v>Above Average</v>
      </c>
      <c r="M984">
        <f>RANK(H984,H:H,0)</f>
        <v>330</v>
      </c>
    </row>
    <row r="985" spans="1:13">
      <c r="A985" t="s">
        <v>12</v>
      </c>
      <c r="B985" t="s">
        <v>25</v>
      </c>
      <c r="C985" t="s">
        <v>26</v>
      </c>
      <c r="D985" s="3" t="s">
        <v>63</v>
      </c>
      <c r="E985" s="5" t="str">
        <f>TEXT(D985,"dd/mm/yyyy")</f>
        <v>29/06/2022</v>
      </c>
      <c r="F985" s="5" t="str" cm="1">
        <f t="array" ref="F985">RIGHT(_xlfn.ANCHORARRAY(E985),4)</f>
        <v>2022</v>
      </c>
      <c r="G985" s="5" t="str">
        <f>TEXT(E985,"mm")</f>
        <v>29/06/2022</v>
      </c>
      <c r="H985" s="6">
        <v>5670</v>
      </c>
      <c r="I985">
        <v>64</v>
      </c>
      <c r="L985" t="str">
        <f t="shared" si="15"/>
        <v>Below Average</v>
      </c>
      <c r="M985">
        <f>RANK(H985,H:H,0)</f>
        <v>1526</v>
      </c>
    </row>
    <row r="986" spans="1:13">
      <c r="A986" t="s">
        <v>12</v>
      </c>
      <c r="B986" t="s">
        <v>32</v>
      </c>
      <c r="C986" t="s">
        <v>46</v>
      </c>
      <c r="D986" s="3" t="s">
        <v>111</v>
      </c>
      <c r="E986" s="5" t="str">
        <f>TEXT(D986,"dd/mm/yyyy")</f>
        <v>16/06/2022</v>
      </c>
      <c r="F986" s="5" t="str" cm="1">
        <f t="array" ref="F986">RIGHT(_xlfn.ANCHORARRAY(E986),4)</f>
        <v>2022</v>
      </c>
      <c r="G986" s="5" t="str">
        <f>TEXT(E986,"mm")</f>
        <v>16/06/2022</v>
      </c>
      <c r="H986" s="6">
        <v>476</v>
      </c>
      <c r="I986">
        <v>133</v>
      </c>
      <c r="L986" t="str">
        <f t="shared" si="15"/>
        <v>Below Average</v>
      </c>
      <c r="M986">
        <f>RANK(H986,H:H,0)</f>
        <v>3140</v>
      </c>
    </row>
    <row r="987" spans="1:13">
      <c r="A987" t="s">
        <v>28</v>
      </c>
      <c r="B987" t="s">
        <v>7</v>
      </c>
      <c r="C987" t="s">
        <v>90</v>
      </c>
      <c r="D987" s="4">
        <v>44654</v>
      </c>
      <c r="E987" s="5" t="str">
        <f>TEXT(D987,"dd/mm/yyyy")</f>
        <v>03/04/2022</v>
      </c>
      <c r="F987" s="5" t="str" cm="1">
        <f t="array" ref="F987">RIGHT(_xlfn.ANCHORARRAY(E987),4)</f>
        <v>2022</v>
      </c>
      <c r="G987" s="5" t="str">
        <f>TEXT(E987,"mm")</f>
        <v>03</v>
      </c>
      <c r="H987" s="6">
        <v>2681</v>
      </c>
      <c r="I987">
        <v>149</v>
      </c>
      <c r="L987" t="str">
        <f t="shared" si="15"/>
        <v>Below Average</v>
      </c>
      <c r="M987">
        <f>RANK(H987,H:H,0)</f>
        <v>2410</v>
      </c>
    </row>
    <row r="988" spans="1:13">
      <c r="A988" t="s">
        <v>48</v>
      </c>
      <c r="B988" t="s">
        <v>25</v>
      </c>
      <c r="C988" t="s">
        <v>13</v>
      </c>
      <c r="D988" s="3" t="s">
        <v>131</v>
      </c>
      <c r="E988" s="5" t="str">
        <f>TEXT(D988,"dd/mm/yyyy")</f>
        <v>15/03/2022</v>
      </c>
      <c r="F988" s="5" t="str" cm="1">
        <f t="array" ref="F988">RIGHT(_xlfn.ANCHORARRAY(E988),4)</f>
        <v>2022</v>
      </c>
      <c r="G988" s="5" t="str">
        <f>TEXT(E988,"mm")</f>
        <v>15/03/2022</v>
      </c>
      <c r="H988" s="6">
        <v>1533</v>
      </c>
      <c r="I988">
        <v>434</v>
      </c>
      <c r="L988" t="str">
        <f t="shared" si="15"/>
        <v>Below Average</v>
      </c>
      <c r="M988">
        <f>RANK(H988,H:H,0)</f>
        <v>2797</v>
      </c>
    </row>
    <row r="989" spans="1:13">
      <c r="A989" t="s">
        <v>48</v>
      </c>
      <c r="B989" t="s">
        <v>25</v>
      </c>
      <c r="C989" t="s">
        <v>26</v>
      </c>
      <c r="D989" s="3" t="s">
        <v>95</v>
      </c>
      <c r="E989" s="5" t="str">
        <f>TEXT(D989,"dd/mm/yyyy")</f>
        <v>27/01/2022</v>
      </c>
      <c r="F989" s="5" t="str" cm="1">
        <f t="array" ref="F989">RIGHT(_xlfn.ANCHORARRAY(E989),4)</f>
        <v>2022</v>
      </c>
      <c r="G989" s="5" t="str">
        <f>TEXT(E989,"mm")</f>
        <v>27/01/2022</v>
      </c>
      <c r="H989" s="6">
        <v>9765</v>
      </c>
      <c r="I989">
        <v>85</v>
      </c>
      <c r="L989" t="str">
        <f t="shared" si="15"/>
        <v>Above Average</v>
      </c>
      <c r="M989">
        <f>RANK(H989,H:H,0)</f>
        <v>620</v>
      </c>
    </row>
    <row r="990" spans="1:13">
      <c r="A990" t="s">
        <v>41</v>
      </c>
      <c r="B990" t="s">
        <v>35</v>
      </c>
      <c r="C990" t="s">
        <v>38</v>
      </c>
      <c r="D990" s="4">
        <v>44688</v>
      </c>
      <c r="E990" s="5" t="str">
        <f>TEXT(D990,"dd/mm/yyyy")</f>
        <v>07/05/2022</v>
      </c>
      <c r="F990" s="5" t="str" cm="1">
        <f t="array" ref="F990">RIGHT(_xlfn.ANCHORARRAY(E990),4)</f>
        <v>2022</v>
      </c>
      <c r="G990" s="5" t="str">
        <f>TEXT(E990,"mm")</f>
        <v>07</v>
      </c>
      <c r="H990" s="6">
        <v>994</v>
      </c>
      <c r="I990">
        <v>118</v>
      </c>
      <c r="L990" t="str">
        <f t="shared" si="15"/>
        <v>Below Average</v>
      </c>
      <c r="M990">
        <f>RANK(H990,H:H,0)</f>
        <v>2974</v>
      </c>
    </row>
    <row r="991" spans="1:13">
      <c r="A991" t="s">
        <v>31</v>
      </c>
      <c r="B991" t="s">
        <v>32</v>
      </c>
      <c r="C991" t="s">
        <v>90</v>
      </c>
      <c r="D991" s="3" t="s">
        <v>118</v>
      </c>
      <c r="E991" s="5" t="str">
        <f>TEXT(D991,"dd/mm/yyyy")</f>
        <v>29/03/2022</v>
      </c>
      <c r="F991" s="5" t="str" cm="1">
        <f t="array" ref="F991">RIGHT(_xlfn.ANCHORARRAY(E991),4)</f>
        <v>2022</v>
      </c>
      <c r="G991" s="5" t="str">
        <f>TEXT(E991,"mm")</f>
        <v>29/03/2022</v>
      </c>
      <c r="H991" s="6">
        <v>3318</v>
      </c>
      <c r="I991">
        <v>299</v>
      </c>
      <c r="L991" t="str">
        <f t="shared" si="15"/>
        <v>Below Average</v>
      </c>
      <c r="M991">
        <f>RANK(H991,H:H,0)</f>
        <v>2206</v>
      </c>
    </row>
    <row r="992" spans="1:13">
      <c r="A992" t="s">
        <v>34</v>
      </c>
      <c r="B992" t="s">
        <v>35</v>
      </c>
      <c r="C992" t="s">
        <v>65</v>
      </c>
      <c r="D992" s="4">
        <v>44900</v>
      </c>
      <c r="E992" s="5" t="str">
        <f>TEXT(D992,"dd/mm/yyyy")</f>
        <v>05/12/2022</v>
      </c>
      <c r="F992" s="5" t="str" cm="1">
        <f t="array" ref="F992">RIGHT(_xlfn.ANCHORARRAY(E992),4)</f>
        <v>2022</v>
      </c>
      <c r="G992" s="5" t="str">
        <f>TEXT(E992,"mm")</f>
        <v>05</v>
      </c>
      <c r="H992" s="6">
        <v>4214</v>
      </c>
      <c r="I992">
        <v>35</v>
      </c>
      <c r="L992" t="str">
        <f t="shared" si="15"/>
        <v>Below Average</v>
      </c>
      <c r="M992">
        <f>RANK(H992,H:H,0)</f>
        <v>1924</v>
      </c>
    </row>
    <row r="993" spans="1:13">
      <c r="A993" t="s">
        <v>19</v>
      </c>
      <c r="B993" t="s">
        <v>32</v>
      </c>
      <c r="C993" t="s">
        <v>38</v>
      </c>
      <c r="D993" s="4">
        <v>44868</v>
      </c>
      <c r="E993" s="5" t="str">
        <f>TEXT(D993,"dd/mm/yyyy")</f>
        <v>03/11/2022</v>
      </c>
      <c r="F993" s="5" t="str" cm="1">
        <f t="array" ref="F993">RIGHT(_xlfn.ANCHORARRAY(E993),4)</f>
        <v>2022</v>
      </c>
      <c r="G993" s="5" t="str">
        <f>TEXT(E993,"mm")</f>
        <v>03</v>
      </c>
      <c r="H993" s="6">
        <v>7714</v>
      </c>
      <c r="I993">
        <v>44</v>
      </c>
      <c r="L993" t="str">
        <f t="shared" si="15"/>
        <v>Above Average</v>
      </c>
      <c r="M993">
        <f>RANK(H993,H:H,0)</f>
        <v>1010</v>
      </c>
    </row>
    <row r="994" spans="1:13">
      <c r="A994" t="s">
        <v>28</v>
      </c>
      <c r="B994" t="s">
        <v>25</v>
      </c>
      <c r="C994" t="s">
        <v>36</v>
      </c>
      <c r="D994" s="4">
        <v>44872</v>
      </c>
      <c r="E994" s="5" t="str">
        <f>TEXT(D994,"dd/mm/yyyy")</f>
        <v>07/11/2022</v>
      </c>
      <c r="F994" s="5" t="str" cm="1">
        <f t="array" ref="F994">RIGHT(_xlfn.ANCHORARRAY(E994),4)</f>
        <v>2022</v>
      </c>
      <c r="G994" s="5" t="str">
        <f>TEXT(E994,"mm")</f>
        <v>07</v>
      </c>
      <c r="H994" s="6">
        <v>4690</v>
      </c>
      <c r="I994">
        <v>299</v>
      </c>
      <c r="L994" t="str">
        <f t="shared" si="15"/>
        <v>Below Average</v>
      </c>
      <c r="M994">
        <f>RANK(H994,H:H,0)</f>
        <v>1802</v>
      </c>
    </row>
    <row r="995" spans="1:13">
      <c r="A995" t="s">
        <v>22</v>
      </c>
      <c r="B995" t="s">
        <v>25</v>
      </c>
      <c r="C995" t="s">
        <v>75</v>
      </c>
      <c r="D995" s="4">
        <v>44569</v>
      </c>
      <c r="E995" s="5" t="str">
        <f>TEXT(D995,"dd/mm/yyyy")</f>
        <v>08/01/2022</v>
      </c>
      <c r="F995" s="5" t="str" cm="1">
        <f t="array" ref="F995">RIGHT(_xlfn.ANCHORARRAY(E995),4)</f>
        <v>2022</v>
      </c>
      <c r="G995" s="5" t="str">
        <f>TEXT(E995,"mm")</f>
        <v>08</v>
      </c>
      <c r="H995" s="6">
        <v>13062</v>
      </c>
      <c r="I995">
        <v>62</v>
      </c>
      <c r="L995" t="str">
        <f t="shared" si="15"/>
        <v>Above Average</v>
      </c>
      <c r="M995">
        <f>RANK(H995,H:H,0)</f>
        <v>264</v>
      </c>
    </row>
    <row r="996" spans="1:13">
      <c r="A996" t="s">
        <v>22</v>
      </c>
      <c r="B996" t="s">
        <v>7</v>
      </c>
      <c r="C996" t="s">
        <v>50</v>
      </c>
      <c r="D996" s="3" t="s">
        <v>47</v>
      </c>
      <c r="E996" s="5" t="str">
        <f>TEXT(D996,"dd/mm/yyyy")</f>
        <v>16/02/2022</v>
      </c>
      <c r="F996" s="5" t="str" cm="1">
        <f t="array" ref="F996">RIGHT(_xlfn.ANCHORARRAY(E996),4)</f>
        <v>2022</v>
      </c>
      <c r="G996" s="5" t="str">
        <f>TEXT(E996,"mm")</f>
        <v>16/02/2022</v>
      </c>
      <c r="H996" s="6">
        <v>12488</v>
      </c>
      <c r="I996">
        <v>200</v>
      </c>
      <c r="L996" t="str">
        <f t="shared" si="15"/>
        <v>Above Average</v>
      </c>
      <c r="M996">
        <f>RANK(H996,H:H,0)</f>
        <v>302</v>
      </c>
    </row>
    <row r="997" spans="1:13">
      <c r="A997" t="s">
        <v>48</v>
      </c>
      <c r="B997" t="s">
        <v>32</v>
      </c>
      <c r="C997" t="s">
        <v>23</v>
      </c>
      <c r="D997" s="3" t="s">
        <v>121</v>
      </c>
      <c r="E997" s="5" t="str">
        <f>TEXT(D997,"dd/mm/yyyy")</f>
        <v>13/04/2022</v>
      </c>
      <c r="F997" s="5" t="str" cm="1">
        <f t="array" ref="F997">RIGHT(_xlfn.ANCHORARRAY(E997),4)</f>
        <v>2022</v>
      </c>
      <c r="G997" s="5" t="str">
        <f>TEXT(E997,"mm")</f>
        <v>13/04/2022</v>
      </c>
      <c r="H997" s="6">
        <v>14147</v>
      </c>
      <c r="I997">
        <v>235</v>
      </c>
      <c r="L997" t="str">
        <f t="shared" si="15"/>
        <v>Above Average</v>
      </c>
      <c r="M997">
        <f>RANK(H997,H:H,0)</f>
        <v>201</v>
      </c>
    </row>
    <row r="998" spans="1:13">
      <c r="A998" t="s">
        <v>19</v>
      </c>
      <c r="B998" t="s">
        <v>10</v>
      </c>
      <c r="C998" t="s">
        <v>75</v>
      </c>
      <c r="D998" s="3" t="s">
        <v>44</v>
      </c>
      <c r="E998" s="5" t="str">
        <f>TEXT(D998,"dd/mm/yyyy")</f>
        <v>14/02/2022</v>
      </c>
      <c r="F998" s="5" t="str" cm="1">
        <f t="array" ref="F998">RIGHT(_xlfn.ANCHORARRAY(E998),4)</f>
        <v>2022</v>
      </c>
      <c r="G998" s="5" t="str">
        <f>TEXT(E998,"mm")</f>
        <v>14/02/2022</v>
      </c>
      <c r="H998" s="6">
        <v>49</v>
      </c>
      <c r="I998">
        <v>363</v>
      </c>
      <c r="L998" t="str">
        <f t="shared" si="15"/>
        <v>Below Average</v>
      </c>
      <c r="M998">
        <f>RANK(H998,H:H,0)</f>
        <v>3272</v>
      </c>
    </row>
    <row r="999" spans="1:13">
      <c r="A999" t="s">
        <v>83</v>
      </c>
      <c r="B999" t="s">
        <v>15</v>
      </c>
      <c r="C999" t="s">
        <v>13</v>
      </c>
      <c r="D999" s="3" t="s">
        <v>54</v>
      </c>
      <c r="E999" s="5" t="str">
        <f>TEXT(D999,"dd/mm/yyyy")</f>
        <v>14/03/2022</v>
      </c>
      <c r="F999" s="5" t="str" cm="1">
        <f t="array" ref="F999">RIGHT(_xlfn.ANCHORARRAY(E999),4)</f>
        <v>2022</v>
      </c>
      <c r="G999" s="5" t="str">
        <f>TEXT(E999,"mm")</f>
        <v>14/03/2022</v>
      </c>
      <c r="H999" s="6">
        <v>10199</v>
      </c>
      <c r="I999">
        <v>68</v>
      </c>
      <c r="L999" t="str">
        <f t="shared" si="15"/>
        <v>Above Average</v>
      </c>
      <c r="M999">
        <f>RANK(H999,H:H,0)</f>
        <v>551</v>
      </c>
    </row>
    <row r="1000" spans="1:13">
      <c r="A1000" t="s">
        <v>19</v>
      </c>
      <c r="B1000" t="s">
        <v>15</v>
      </c>
      <c r="C1000" t="s">
        <v>50</v>
      </c>
      <c r="D1000" s="3" t="s">
        <v>151</v>
      </c>
      <c r="E1000" s="5" t="str">
        <f>TEXT(D1000,"dd/mm/yyyy")</f>
        <v>26/04/2022</v>
      </c>
      <c r="F1000" s="5" t="str" cm="1">
        <f t="array" ref="F1000">RIGHT(_xlfn.ANCHORARRAY(E1000),4)</f>
        <v>2022</v>
      </c>
      <c r="G1000" s="5" t="str">
        <f>TEXT(E1000,"mm")</f>
        <v>26/04/2022</v>
      </c>
      <c r="H1000" s="6">
        <v>11389</v>
      </c>
      <c r="I1000">
        <v>26</v>
      </c>
      <c r="L1000" t="str">
        <f t="shared" si="15"/>
        <v>Above Average</v>
      </c>
      <c r="M1000">
        <f>RANK(H1000,H:H,0)</f>
        <v>406</v>
      </c>
    </row>
    <row r="1001" spans="1:13">
      <c r="A1001" t="s">
        <v>6</v>
      </c>
      <c r="B1001" t="s">
        <v>35</v>
      </c>
      <c r="C1001" t="s">
        <v>60</v>
      </c>
      <c r="D1001" s="4">
        <v>44685</v>
      </c>
      <c r="E1001" s="5" t="str">
        <f>TEXT(D1001,"dd/mm/yyyy")</f>
        <v>04/05/2022</v>
      </c>
      <c r="F1001" s="5" t="str" cm="1">
        <f t="array" ref="F1001">RIGHT(_xlfn.ANCHORARRAY(E1001),4)</f>
        <v>2022</v>
      </c>
      <c r="G1001" s="5" t="str">
        <f>TEXT(E1001,"mm")</f>
        <v>04</v>
      </c>
      <c r="H1001" s="6">
        <v>3584</v>
      </c>
      <c r="I1001">
        <v>200</v>
      </c>
      <c r="L1001" t="str">
        <f t="shared" si="15"/>
        <v>Below Average</v>
      </c>
      <c r="M1001">
        <f>RANK(H1001,H:H,0)</f>
        <v>2111</v>
      </c>
    </row>
    <row r="1002" spans="1:13">
      <c r="A1002" t="s">
        <v>71</v>
      </c>
      <c r="B1002" t="s">
        <v>35</v>
      </c>
      <c r="C1002" t="s">
        <v>38</v>
      </c>
      <c r="D1002" s="4">
        <v>44623</v>
      </c>
      <c r="E1002" s="5" t="str">
        <f>TEXT(D1002,"dd/mm/yyyy")</f>
        <v>03/03/2022</v>
      </c>
      <c r="F1002" s="5" t="str" cm="1">
        <f t="array" ref="F1002">RIGHT(_xlfn.ANCHORARRAY(E1002),4)</f>
        <v>2022</v>
      </c>
      <c r="G1002" s="5" t="str">
        <f>TEXT(E1002,"mm")</f>
        <v>03</v>
      </c>
      <c r="H1002" s="6">
        <v>12481</v>
      </c>
      <c r="I1002">
        <v>264</v>
      </c>
      <c r="L1002" t="str">
        <f t="shared" si="15"/>
        <v>Above Average</v>
      </c>
      <c r="M1002">
        <f>RANK(H1002,H:H,0)</f>
        <v>303</v>
      </c>
    </row>
    <row r="1003" spans="1:13">
      <c r="A1003" t="s">
        <v>55</v>
      </c>
      <c r="B1003" t="s">
        <v>32</v>
      </c>
      <c r="C1003" t="s">
        <v>50</v>
      </c>
      <c r="D1003" s="3" t="s">
        <v>128</v>
      </c>
      <c r="E1003" s="5" t="str">
        <f>TEXT(D1003,"dd/mm/yyyy")</f>
        <v>13/06/2022</v>
      </c>
      <c r="F1003" s="5" t="str" cm="1">
        <f t="array" ref="F1003">RIGHT(_xlfn.ANCHORARRAY(E1003),4)</f>
        <v>2022</v>
      </c>
      <c r="G1003" s="5" t="str">
        <f>TEXT(E1003,"mm")</f>
        <v>13/06/2022</v>
      </c>
      <c r="H1003" s="6">
        <v>2107</v>
      </c>
      <c r="I1003">
        <v>175</v>
      </c>
      <c r="L1003" t="str">
        <f t="shared" si="15"/>
        <v>Below Average</v>
      </c>
      <c r="M1003">
        <f>RANK(H1003,H:H,0)</f>
        <v>2597</v>
      </c>
    </row>
    <row r="1004" spans="1:13">
      <c r="A1004" t="s">
        <v>40</v>
      </c>
      <c r="B1004" t="s">
        <v>25</v>
      </c>
      <c r="C1004" t="s">
        <v>100</v>
      </c>
      <c r="D1004" s="3" t="s">
        <v>44</v>
      </c>
      <c r="E1004" s="5" t="str">
        <f>TEXT(D1004,"dd/mm/yyyy")</f>
        <v>14/02/2022</v>
      </c>
      <c r="F1004" s="5" t="str" cm="1">
        <f t="array" ref="F1004">RIGHT(_xlfn.ANCHORARRAY(E1004),4)</f>
        <v>2022</v>
      </c>
      <c r="G1004" s="5" t="str">
        <f>TEXT(E1004,"mm")</f>
        <v>14/02/2022</v>
      </c>
      <c r="H1004" s="6">
        <v>8603</v>
      </c>
      <c r="I1004">
        <v>352</v>
      </c>
      <c r="L1004" t="str">
        <f t="shared" si="15"/>
        <v>Above Average</v>
      </c>
      <c r="M1004">
        <f>RANK(H1004,H:H,0)</f>
        <v>813</v>
      </c>
    </row>
    <row r="1005" spans="1:13">
      <c r="A1005" t="s">
        <v>45</v>
      </c>
      <c r="B1005" t="s">
        <v>25</v>
      </c>
      <c r="C1005" t="s">
        <v>20</v>
      </c>
      <c r="D1005" s="3" t="s">
        <v>154</v>
      </c>
      <c r="E1005" s="5" t="str">
        <f>TEXT(D1005,"dd/mm/yyyy")</f>
        <v>18/04/2022</v>
      </c>
      <c r="F1005" s="5" t="str" cm="1">
        <f t="array" ref="F1005">RIGHT(_xlfn.ANCHORARRAY(E1005),4)</f>
        <v>2022</v>
      </c>
      <c r="G1005" s="5" t="str">
        <f>TEXT(E1005,"mm")</f>
        <v>18/04/2022</v>
      </c>
      <c r="H1005" s="6">
        <v>7483</v>
      </c>
      <c r="I1005">
        <v>183</v>
      </c>
      <c r="L1005" t="str">
        <f t="shared" si="15"/>
        <v>Above Average</v>
      </c>
      <c r="M1005">
        <f>RANK(H1005,H:H,0)</f>
        <v>1068</v>
      </c>
    </row>
    <row r="1006" spans="1:13">
      <c r="A1006" t="s">
        <v>19</v>
      </c>
      <c r="B1006" t="s">
        <v>25</v>
      </c>
      <c r="C1006" t="s">
        <v>11</v>
      </c>
      <c r="D1006" s="4">
        <v>44563</v>
      </c>
      <c r="E1006" s="5" t="str">
        <f>TEXT(D1006,"dd/mm/yyyy")</f>
        <v>02/01/2022</v>
      </c>
      <c r="F1006" s="5" t="str" cm="1">
        <f t="array" ref="F1006">RIGHT(_xlfn.ANCHORARRAY(E1006),4)</f>
        <v>2022</v>
      </c>
      <c r="G1006" s="5" t="str">
        <f>TEXT(E1006,"mm")</f>
        <v>02</v>
      </c>
      <c r="H1006" s="6">
        <v>3381</v>
      </c>
      <c r="I1006">
        <v>417</v>
      </c>
      <c r="L1006" t="str">
        <f t="shared" si="15"/>
        <v>Below Average</v>
      </c>
      <c r="M1006">
        <f>RANK(H1006,H:H,0)</f>
        <v>2183</v>
      </c>
    </row>
    <row r="1007" spans="1:13">
      <c r="A1007" t="s">
        <v>79</v>
      </c>
      <c r="B1007" t="s">
        <v>25</v>
      </c>
      <c r="C1007" t="s">
        <v>33</v>
      </c>
      <c r="D1007" s="4">
        <v>44659</v>
      </c>
      <c r="E1007" s="5" t="str">
        <f>TEXT(D1007,"dd/mm/yyyy")</f>
        <v>08/04/2022</v>
      </c>
      <c r="F1007" s="5" t="str" cm="1">
        <f t="array" ref="F1007">RIGHT(_xlfn.ANCHORARRAY(E1007),4)</f>
        <v>2022</v>
      </c>
      <c r="G1007" s="5" t="str">
        <f>TEXT(E1007,"mm")</f>
        <v>08</v>
      </c>
      <c r="H1007" s="6">
        <v>2030</v>
      </c>
      <c r="I1007">
        <v>146</v>
      </c>
      <c r="L1007" t="str">
        <f t="shared" si="15"/>
        <v>Below Average</v>
      </c>
      <c r="M1007">
        <f>RANK(H1007,H:H,0)</f>
        <v>2626</v>
      </c>
    </row>
    <row r="1008" spans="1:13">
      <c r="A1008" t="s">
        <v>67</v>
      </c>
      <c r="B1008" t="s">
        <v>25</v>
      </c>
      <c r="C1008" t="s">
        <v>65</v>
      </c>
      <c r="D1008" s="4">
        <v>44685</v>
      </c>
      <c r="E1008" s="5" t="str">
        <f>TEXT(D1008,"dd/mm/yyyy")</f>
        <v>04/05/2022</v>
      </c>
      <c r="F1008" s="5" t="str" cm="1">
        <f t="array" ref="F1008">RIGHT(_xlfn.ANCHORARRAY(E1008),4)</f>
        <v>2022</v>
      </c>
      <c r="G1008" s="5" t="str">
        <f>TEXT(E1008,"mm")</f>
        <v>04</v>
      </c>
      <c r="H1008" s="6">
        <v>6559</v>
      </c>
      <c r="I1008">
        <v>158</v>
      </c>
      <c r="L1008" t="str">
        <f t="shared" si="15"/>
        <v>Above Average</v>
      </c>
      <c r="M1008">
        <f>RANK(H1008,H:H,0)</f>
        <v>1292</v>
      </c>
    </row>
    <row r="1009" spans="1:13">
      <c r="A1009" t="s">
        <v>37</v>
      </c>
      <c r="B1009" t="s">
        <v>15</v>
      </c>
      <c r="C1009" t="s">
        <v>20</v>
      </c>
      <c r="D1009" s="3" t="s">
        <v>43</v>
      </c>
      <c r="E1009" s="5" t="str">
        <f>TEXT(D1009,"dd/mm/yyyy")</f>
        <v>26/01/2022</v>
      </c>
      <c r="F1009" s="5" t="str" cm="1">
        <f t="array" ref="F1009">RIGHT(_xlfn.ANCHORARRAY(E1009),4)</f>
        <v>2022</v>
      </c>
      <c r="G1009" s="5" t="str">
        <f>TEXT(E1009,"mm")</f>
        <v>26/01/2022</v>
      </c>
      <c r="H1009" s="6">
        <v>10822</v>
      </c>
      <c r="I1009">
        <v>168</v>
      </c>
      <c r="L1009" t="str">
        <f t="shared" si="15"/>
        <v>Above Average</v>
      </c>
      <c r="M1009">
        <f>RANK(H1009,H:H,0)</f>
        <v>467</v>
      </c>
    </row>
    <row r="1010" spans="1:13">
      <c r="A1010" t="s">
        <v>55</v>
      </c>
      <c r="B1010" t="s">
        <v>7</v>
      </c>
      <c r="C1010" t="s">
        <v>23</v>
      </c>
      <c r="D1010" s="3" t="s">
        <v>124</v>
      </c>
      <c r="E1010" s="5" t="str">
        <f>TEXT(D1010,"dd/mm/yyyy")</f>
        <v>21/01/2022</v>
      </c>
      <c r="F1010" s="5" t="str" cm="1">
        <f t="array" ref="F1010">RIGHT(_xlfn.ANCHORARRAY(E1010),4)</f>
        <v>2022</v>
      </c>
      <c r="G1010" s="5" t="str">
        <f>TEXT(E1010,"mm")</f>
        <v>21/01/2022</v>
      </c>
      <c r="H1010" s="6">
        <v>18697</v>
      </c>
      <c r="I1010">
        <v>176</v>
      </c>
      <c r="L1010" t="str">
        <f t="shared" si="15"/>
        <v>Above Average</v>
      </c>
      <c r="M1010">
        <f>RANK(H1010,H:H,0)</f>
        <v>31</v>
      </c>
    </row>
    <row r="1011" spans="1:13">
      <c r="A1011" t="s">
        <v>55</v>
      </c>
      <c r="B1011" t="s">
        <v>35</v>
      </c>
      <c r="C1011" t="s">
        <v>23</v>
      </c>
      <c r="D1011" s="3" t="s">
        <v>78</v>
      </c>
      <c r="E1011" s="5" t="str">
        <f>TEXT(D1011,"dd/mm/yyyy")</f>
        <v>22/08/2022</v>
      </c>
      <c r="F1011" s="5" t="str" cm="1">
        <f t="array" ref="F1011">RIGHT(_xlfn.ANCHORARRAY(E1011),4)</f>
        <v>2022</v>
      </c>
      <c r="G1011" s="5" t="str">
        <f>TEXT(E1011,"mm")</f>
        <v>22/08/2022</v>
      </c>
      <c r="H1011" s="6">
        <v>5845</v>
      </c>
      <c r="I1011">
        <v>172</v>
      </c>
      <c r="L1011" t="str">
        <f t="shared" si="15"/>
        <v>Below Average</v>
      </c>
      <c r="M1011">
        <f>RANK(H1011,H:H,0)</f>
        <v>1474</v>
      </c>
    </row>
    <row r="1012" spans="1:13">
      <c r="A1012" t="s">
        <v>55</v>
      </c>
      <c r="B1012" t="s">
        <v>7</v>
      </c>
      <c r="C1012" t="s">
        <v>38</v>
      </c>
      <c r="D1012" s="3" t="s">
        <v>95</v>
      </c>
      <c r="E1012" s="5" t="str">
        <f>TEXT(D1012,"dd/mm/yyyy")</f>
        <v>27/01/2022</v>
      </c>
      <c r="F1012" s="5" t="str" cm="1">
        <f t="array" ref="F1012">RIGHT(_xlfn.ANCHORARRAY(E1012),4)</f>
        <v>2022</v>
      </c>
      <c r="G1012" s="5" t="str">
        <f>TEXT(E1012,"mm")</f>
        <v>27/01/2022</v>
      </c>
      <c r="H1012" s="6">
        <v>2317</v>
      </c>
      <c r="I1012">
        <v>224</v>
      </c>
      <c r="L1012" t="str">
        <f t="shared" si="15"/>
        <v>Below Average</v>
      </c>
      <c r="M1012">
        <f>RANK(H1012,H:H,0)</f>
        <v>2542</v>
      </c>
    </row>
    <row r="1013" spans="1:13">
      <c r="A1013" t="s">
        <v>29</v>
      </c>
      <c r="B1013" t="s">
        <v>7</v>
      </c>
      <c r="C1013" t="s">
        <v>26</v>
      </c>
      <c r="D1013" s="3" t="s">
        <v>47</v>
      </c>
      <c r="E1013" s="5" t="str">
        <f>TEXT(D1013,"dd/mm/yyyy")</f>
        <v>16/02/2022</v>
      </c>
      <c r="F1013" s="5" t="str" cm="1">
        <f t="array" ref="F1013">RIGHT(_xlfn.ANCHORARRAY(E1013),4)</f>
        <v>2022</v>
      </c>
      <c r="G1013" s="5" t="str">
        <f>TEXT(E1013,"mm")</f>
        <v>16/02/2022</v>
      </c>
      <c r="H1013" s="6">
        <v>10150</v>
      </c>
      <c r="I1013">
        <v>68</v>
      </c>
      <c r="L1013" t="str">
        <f t="shared" si="15"/>
        <v>Above Average</v>
      </c>
      <c r="M1013">
        <f>RANK(H1013,H:H,0)</f>
        <v>559</v>
      </c>
    </row>
    <row r="1014" spans="1:13">
      <c r="A1014" t="s">
        <v>79</v>
      </c>
      <c r="B1014" t="s">
        <v>32</v>
      </c>
      <c r="C1014" t="s">
        <v>73</v>
      </c>
      <c r="D1014" s="4">
        <v>44621</v>
      </c>
      <c r="E1014" s="5" t="str">
        <f>TEXT(D1014,"dd/mm/yyyy")</f>
        <v>01/03/2022</v>
      </c>
      <c r="F1014" s="5" t="str" cm="1">
        <f t="array" ref="F1014">RIGHT(_xlfn.ANCHORARRAY(E1014),4)</f>
        <v>2022</v>
      </c>
      <c r="G1014" s="5" t="str">
        <f>TEXT(E1014,"mm")</f>
        <v>01</v>
      </c>
      <c r="H1014" s="6">
        <v>3437</v>
      </c>
      <c r="I1014">
        <v>46</v>
      </c>
      <c r="L1014" t="str">
        <f t="shared" si="15"/>
        <v>Below Average</v>
      </c>
      <c r="M1014">
        <f>RANK(H1014,H:H,0)</f>
        <v>2158</v>
      </c>
    </row>
    <row r="1015" spans="1:13">
      <c r="A1015" t="s">
        <v>37</v>
      </c>
      <c r="B1015" t="s">
        <v>32</v>
      </c>
      <c r="C1015" t="s">
        <v>59</v>
      </c>
      <c r="D1015" s="3" t="s">
        <v>69</v>
      </c>
      <c r="E1015" s="5" t="str">
        <f>TEXT(D1015,"dd/mm/yyyy")</f>
        <v>24/08/2022</v>
      </c>
      <c r="F1015" s="5" t="str" cm="1">
        <f t="array" ref="F1015">RIGHT(_xlfn.ANCHORARRAY(E1015),4)</f>
        <v>2022</v>
      </c>
      <c r="G1015" s="5" t="str">
        <f>TEXT(E1015,"mm")</f>
        <v>24/08/2022</v>
      </c>
      <c r="H1015" s="6">
        <v>4592</v>
      </c>
      <c r="I1015">
        <v>2</v>
      </c>
      <c r="L1015" t="str">
        <f t="shared" si="15"/>
        <v>Below Average</v>
      </c>
      <c r="M1015">
        <f>RANK(H1015,H:H,0)</f>
        <v>1823</v>
      </c>
    </row>
    <row r="1016" spans="1:13">
      <c r="A1016" t="s">
        <v>19</v>
      </c>
      <c r="B1016" t="s">
        <v>32</v>
      </c>
      <c r="C1016" t="s">
        <v>50</v>
      </c>
      <c r="D1016" s="4">
        <v>44744</v>
      </c>
      <c r="E1016" s="5" t="str">
        <f>TEXT(D1016,"dd/mm/yyyy")</f>
        <v>02/07/2022</v>
      </c>
      <c r="F1016" s="5" t="str" cm="1">
        <f t="array" ref="F1016">RIGHT(_xlfn.ANCHORARRAY(E1016),4)</f>
        <v>2022</v>
      </c>
      <c r="G1016" s="5" t="str">
        <f>TEXT(E1016,"mm")</f>
        <v>02</v>
      </c>
      <c r="H1016" s="6">
        <v>5691</v>
      </c>
      <c r="I1016">
        <v>417</v>
      </c>
      <c r="L1016" t="str">
        <f t="shared" si="15"/>
        <v>Below Average</v>
      </c>
      <c r="M1016">
        <f>RANK(H1016,H:H,0)</f>
        <v>1518</v>
      </c>
    </row>
    <row r="1017" spans="1:13">
      <c r="A1017" t="s">
        <v>34</v>
      </c>
      <c r="B1017" t="s">
        <v>15</v>
      </c>
      <c r="C1017" t="s">
        <v>18</v>
      </c>
      <c r="D1017" s="4">
        <v>44867</v>
      </c>
      <c r="E1017" s="5" t="str">
        <f>TEXT(D1017,"dd/mm/yyyy")</f>
        <v>02/11/2022</v>
      </c>
      <c r="F1017" s="5" t="str" cm="1">
        <f t="array" ref="F1017">RIGHT(_xlfn.ANCHORARRAY(E1017),4)</f>
        <v>2022</v>
      </c>
      <c r="G1017" s="5" t="str">
        <f>TEXT(E1017,"mm")</f>
        <v>02</v>
      </c>
      <c r="H1017" s="6">
        <v>4158</v>
      </c>
      <c r="I1017">
        <v>109</v>
      </c>
      <c r="L1017" t="str">
        <f t="shared" si="15"/>
        <v>Below Average</v>
      </c>
      <c r="M1017">
        <f>RANK(H1017,H:H,0)</f>
        <v>1942</v>
      </c>
    </row>
    <row r="1018" spans="1:13">
      <c r="A1018" t="s">
        <v>55</v>
      </c>
      <c r="B1018" t="s">
        <v>35</v>
      </c>
      <c r="C1018" t="s">
        <v>42</v>
      </c>
      <c r="D1018" s="3" t="s">
        <v>118</v>
      </c>
      <c r="E1018" s="5" t="str">
        <f>TEXT(D1018,"dd/mm/yyyy")</f>
        <v>29/03/2022</v>
      </c>
      <c r="F1018" s="5" t="str" cm="1">
        <f t="array" ref="F1018">RIGHT(_xlfn.ANCHORARRAY(E1018),4)</f>
        <v>2022</v>
      </c>
      <c r="G1018" s="5" t="str">
        <f>TEXT(E1018,"mm")</f>
        <v>29/03/2022</v>
      </c>
      <c r="H1018" s="6">
        <v>5684</v>
      </c>
      <c r="I1018">
        <v>81</v>
      </c>
      <c r="L1018" t="str">
        <f t="shared" si="15"/>
        <v>Below Average</v>
      </c>
      <c r="M1018">
        <f>RANK(H1018,H:H,0)</f>
        <v>1522</v>
      </c>
    </row>
    <row r="1019" spans="1:13">
      <c r="A1019" t="s">
        <v>40</v>
      </c>
      <c r="B1019" t="s">
        <v>32</v>
      </c>
      <c r="C1019" t="s">
        <v>13</v>
      </c>
      <c r="D1019" s="3" t="s">
        <v>61</v>
      </c>
      <c r="E1019" s="5" t="str">
        <f>TEXT(D1019,"dd/mm/yyyy")</f>
        <v>15/06/2022</v>
      </c>
      <c r="F1019" s="5" t="str" cm="1">
        <f t="array" ref="F1019">RIGHT(_xlfn.ANCHORARRAY(E1019),4)</f>
        <v>2022</v>
      </c>
      <c r="G1019" s="5" t="str">
        <f>TEXT(E1019,"mm")</f>
        <v>15/06/2022</v>
      </c>
      <c r="H1019" s="6">
        <v>693</v>
      </c>
      <c r="I1019">
        <v>350</v>
      </c>
      <c r="L1019" t="str">
        <f t="shared" si="15"/>
        <v>Below Average</v>
      </c>
      <c r="M1019">
        <f>RANK(H1019,H:H,0)</f>
        <v>3068</v>
      </c>
    </row>
    <row r="1020" spans="1:13">
      <c r="A1020" t="s">
        <v>58</v>
      </c>
      <c r="B1020" t="s">
        <v>7</v>
      </c>
      <c r="C1020" t="s">
        <v>18</v>
      </c>
      <c r="D1020" s="3" t="s">
        <v>151</v>
      </c>
      <c r="E1020" s="5" t="str">
        <f>TEXT(D1020,"dd/mm/yyyy")</f>
        <v>26/04/2022</v>
      </c>
      <c r="F1020" s="5" t="str" cm="1">
        <f t="array" ref="F1020">RIGHT(_xlfn.ANCHORARRAY(E1020),4)</f>
        <v>2022</v>
      </c>
      <c r="G1020" s="5" t="str">
        <f>TEXT(E1020,"mm")</f>
        <v>26/04/2022</v>
      </c>
      <c r="H1020" s="6">
        <v>546</v>
      </c>
      <c r="I1020">
        <v>142</v>
      </c>
      <c r="L1020" t="str">
        <f t="shared" si="15"/>
        <v>Below Average</v>
      </c>
      <c r="M1020">
        <f>RANK(H1020,H:H,0)</f>
        <v>3113</v>
      </c>
    </row>
    <row r="1021" spans="1:13">
      <c r="A1021" t="s">
        <v>28</v>
      </c>
      <c r="B1021" t="s">
        <v>15</v>
      </c>
      <c r="C1021" t="s">
        <v>42</v>
      </c>
      <c r="D1021" s="3" t="s">
        <v>82</v>
      </c>
      <c r="E1021" s="5" t="str">
        <f>TEXT(D1021,"dd/mm/yyyy")</f>
        <v>15/07/2022</v>
      </c>
      <c r="F1021" s="5" t="str" cm="1">
        <f t="array" ref="F1021">RIGHT(_xlfn.ANCHORARRAY(E1021),4)</f>
        <v>2022</v>
      </c>
      <c r="G1021" s="5" t="str">
        <f>TEXT(E1021,"mm")</f>
        <v>15/07/2022</v>
      </c>
      <c r="H1021" s="6">
        <v>4263</v>
      </c>
      <c r="I1021">
        <v>264</v>
      </c>
      <c r="L1021" t="str">
        <f t="shared" si="15"/>
        <v>Below Average</v>
      </c>
      <c r="M1021">
        <f>RANK(H1021,H:H,0)</f>
        <v>1912</v>
      </c>
    </row>
    <row r="1022" spans="1:13">
      <c r="A1022" t="s">
        <v>41</v>
      </c>
      <c r="B1022" t="s">
        <v>10</v>
      </c>
      <c r="C1022" t="s">
        <v>42</v>
      </c>
      <c r="D1022" s="3" t="s">
        <v>142</v>
      </c>
      <c r="E1022" s="5" t="str">
        <f>TEXT(D1022,"dd/mm/yyyy")</f>
        <v>23/06/2022</v>
      </c>
      <c r="F1022" s="5" t="str" cm="1">
        <f t="array" ref="F1022">RIGHT(_xlfn.ANCHORARRAY(E1022),4)</f>
        <v>2022</v>
      </c>
      <c r="G1022" s="5" t="str">
        <f>TEXT(E1022,"mm")</f>
        <v>23/06/2022</v>
      </c>
      <c r="H1022" s="6">
        <v>1036</v>
      </c>
      <c r="I1022">
        <v>20</v>
      </c>
      <c r="L1022" t="str">
        <f t="shared" si="15"/>
        <v>Below Average</v>
      </c>
      <c r="M1022">
        <f>RANK(H1022,H:H,0)</f>
        <v>2962</v>
      </c>
    </row>
    <row r="1023" spans="1:13">
      <c r="A1023" t="s">
        <v>58</v>
      </c>
      <c r="B1023" t="s">
        <v>15</v>
      </c>
      <c r="C1023" t="s">
        <v>87</v>
      </c>
      <c r="D1023" s="4">
        <v>44866</v>
      </c>
      <c r="E1023" s="5" t="str">
        <f>TEXT(D1023,"dd/mm/yyyy")</f>
        <v>01/11/2022</v>
      </c>
      <c r="F1023" s="5" t="str" cm="1">
        <f t="array" ref="F1023">RIGHT(_xlfn.ANCHORARRAY(E1023),4)</f>
        <v>2022</v>
      </c>
      <c r="G1023" s="5" t="str">
        <f>TEXT(E1023,"mm")</f>
        <v>01</v>
      </c>
      <c r="H1023" s="6">
        <v>13846</v>
      </c>
      <c r="I1023">
        <v>421</v>
      </c>
      <c r="L1023" t="str">
        <f t="shared" si="15"/>
        <v>Above Average</v>
      </c>
      <c r="M1023">
        <f>RANK(H1023,H:H,0)</f>
        <v>215</v>
      </c>
    </row>
    <row r="1024" spans="1:13">
      <c r="A1024" t="s">
        <v>41</v>
      </c>
      <c r="B1024" t="s">
        <v>7</v>
      </c>
      <c r="C1024" t="s">
        <v>26</v>
      </c>
      <c r="D1024" s="4">
        <v>44806</v>
      </c>
      <c r="E1024" s="5" t="str">
        <f>TEXT(D1024,"dd/mm/yyyy")</f>
        <v>02/09/2022</v>
      </c>
      <c r="F1024" s="5" t="str" cm="1">
        <f t="array" ref="F1024">RIGHT(_xlfn.ANCHORARRAY(E1024),4)</f>
        <v>2022</v>
      </c>
      <c r="G1024" s="5" t="str">
        <f>TEXT(E1024,"mm")</f>
        <v>02</v>
      </c>
      <c r="H1024" s="6">
        <v>2499</v>
      </c>
      <c r="I1024">
        <v>271</v>
      </c>
      <c r="L1024" t="str">
        <f t="shared" si="15"/>
        <v>Below Average</v>
      </c>
      <c r="M1024">
        <f>RANK(H1024,H:H,0)</f>
        <v>2473</v>
      </c>
    </row>
    <row r="1025" spans="1:13">
      <c r="A1025" t="s">
        <v>9</v>
      </c>
      <c r="B1025" t="s">
        <v>7</v>
      </c>
      <c r="C1025" t="s">
        <v>65</v>
      </c>
      <c r="D1025" s="4">
        <v>44718</v>
      </c>
      <c r="E1025" s="5" t="str">
        <f>TEXT(D1025,"dd/mm/yyyy")</f>
        <v>06/06/2022</v>
      </c>
      <c r="F1025" s="5" t="str" cm="1">
        <f t="array" ref="F1025">RIGHT(_xlfn.ANCHORARRAY(E1025),4)</f>
        <v>2022</v>
      </c>
      <c r="G1025" s="5" t="str">
        <f>TEXT(E1025,"mm")</f>
        <v>06</v>
      </c>
      <c r="H1025" s="6">
        <v>10689</v>
      </c>
      <c r="I1025">
        <v>204</v>
      </c>
      <c r="L1025" t="str">
        <f t="shared" si="15"/>
        <v>Above Average</v>
      </c>
      <c r="M1025">
        <f>RANK(H1025,H:H,0)</f>
        <v>492</v>
      </c>
    </row>
    <row r="1026" spans="1:13">
      <c r="A1026" t="s">
        <v>79</v>
      </c>
      <c r="B1026" t="s">
        <v>7</v>
      </c>
      <c r="C1026" t="s">
        <v>90</v>
      </c>
      <c r="D1026" s="4">
        <v>44842</v>
      </c>
      <c r="E1026" s="5" t="str">
        <f>TEXT(D1026,"dd/mm/yyyy")</f>
        <v>08/10/2022</v>
      </c>
      <c r="F1026" s="5" t="str" cm="1">
        <f t="array" ref="F1026">RIGHT(_xlfn.ANCHORARRAY(E1026),4)</f>
        <v>2022</v>
      </c>
      <c r="G1026" s="5" t="str">
        <f>TEXT(E1026,"mm")</f>
        <v>08</v>
      </c>
      <c r="H1026" s="6">
        <v>5768</v>
      </c>
      <c r="I1026">
        <v>235</v>
      </c>
      <c r="L1026" t="str">
        <f t="shared" si="15"/>
        <v>Below Average</v>
      </c>
      <c r="M1026">
        <f>RANK(H1026,H:H,0)</f>
        <v>1500</v>
      </c>
    </row>
    <row r="1027" spans="1:13">
      <c r="A1027" t="s">
        <v>64</v>
      </c>
      <c r="B1027" t="s">
        <v>15</v>
      </c>
      <c r="C1027" t="s">
        <v>18</v>
      </c>
      <c r="D1027" s="4">
        <v>44652</v>
      </c>
      <c r="E1027" s="5" t="str">
        <f>TEXT(D1027,"dd/mm/yyyy")</f>
        <v>01/04/2022</v>
      </c>
      <c r="F1027" s="5" t="str" cm="1">
        <f t="array" ref="F1027">RIGHT(_xlfn.ANCHORARRAY(E1027),4)</f>
        <v>2022</v>
      </c>
      <c r="G1027" s="5" t="str">
        <f>TEXT(E1027,"mm")</f>
        <v>01</v>
      </c>
      <c r="H1027" s="6">
        <v>2226</v>
      </c>
      <c r="I1027">
        <v>46</v>
      </c>
      <c r="L1027" t="str">
        <f t="shared" ref="L1027:L1090" si="16">IF(H1027&gt;6030.34,"Above Average","Below Average")</f>
        <v>Below Average</v>
      </c>
      <c r="M1027">
        <f>RANK(H1027,H:H,0)</f>
        <v>2571</v>
      </c>
    </row>
    <row r="1028" spans="1:13">
      <c r="A1028" t="s">
        <v>67</v>
      </c>
      <c r="B1028" t="s">
        <v>35</v>
      </c>
      <c r="C1028" t="s">
        <v>100</v>
      </c>
      <c r="D1028" s="4">
        <v>44777</v>
      </c>
      <c r="E1028" s="5" t="str">
        <f>TEXT(D1028,"dd/mm/yyyy")</f>
        <v>04/08/2022</v>
      </c>
      <c r="F1028" s="5" t="str" cm="1">
        <f t="array" ref="F1028">RIGHT(_xlfn.ANCHORARRAY(E1028),4)</f>
        <v>2022</v>
      </c>
      <c r="G1028" s="5" t="str">
        <f>TEXT(E1028,"mm")</f>
        <v>04</v>
      </c>
      <c r="H1028" s="6">
        <v>10262</v>
      </c>
      <c r="I1028">
        <v>15</v>
      </c>
      <c r="L1028" t="str">
        <f t="shared" si="16"/>
        <v>Above Average</v>
      </c>
      <c r="M1028">
        <f>RANK(H1028,H:H,0)</f>
        <v>541</v>
      </c>
    </row>
    <row r="1029" spans="1:13">
      <c r="A1029" t="s">
        <v>31</v>
      </c>
      <c r="B1029" t="s">
        <v>7</v>
      </c>
      <c r="C1029" t="s">
        <v>46</v>
      </c>
      <c r="D1029" s="4">
        <v>44595</v>
      </c>
      <c r="E1029" s="5" t="str">
        <f>TEXT(D1029,"dd/mm/yyyy")</f>
        <v>03/02/2022</v>
      </c>
      <c r="F1029" s="5" t="str" cm="1">
        <f t="array" ref="F1029">RIGHT(_xlfn.ANCHORARRAY(E1029),4)</f>
        <v>2022</v>
      </c>
      <c r="G1029" s="5" t="str">
        <f>TEXT(E1029,"mm")</f>
        <v>03</v>
      </c>
      <c r="H1029" s="6">
        <v>3864</v>
      </c>
      <c r="I1029">
        <v>430</v>
      </c>
      <c r="L1029" t="str">
        <f t="shared" si="16"/>
        <v>Below Average</v>
      </c>
      <c r="M1029">
        <f>RANK(H1029,H:H,0)</f>
        <v>2020</v>
      </c>
    </row>
    <row r="1030" spans="1:13">
      <c r="A1030" t="s">
        <v>9</v>
      </c>
      <c r="B1030" t="s">
        <v>35</v>
      </c>
      <c r="C1030" t="s">
        <v>38</v>
      </c>
      <c r="D1030" s="3" t="s">
        <v>61</v>
      </c>
      <c r="E1030" s="5" t="str">
        <f>TEXT(D1030,"dd/mm/yyyy")</f>
        <v>15/06/2022</v>
      </c>
      <c r="F1030" s="5" t="str" cm="1">
        <f t="array" ref="F1030">RIGHT(_xlfn.ANCHORARRAY(E1030),4)</f>
        <v>2022</v>
      </c>
      <c r="G1030" s="5" t="str">
        <f>TEXT(E1030,"mm")</f>
        <v>15/06/2022</v>
      </c>
      <c r="H1030" s="6">
        <v>4900</v>
      </c>
      <c r="I1030">
        <v>709</v>
      </c>
      <c r="L1030" t="str">
        <f t="shared" si="16"/>
        <v>Below Average</v>
      </c>
      <c r="M1030">
        <f>RANK(H1030,H:H,0)</f>
        <v>1732</v>
      </c>
    </row>
    <row r="1031" spans="1:13">
      <c r="A1031" t="s">
        <v>6</v>
      </c>
      <c r="B1031" t="s">
        <v>15</v>
      </c>
      <c r="C1031" t="s">
        <v>23</v>
      </c>
      <c r="D1031" s="3" t="s">
        <v>44</v>
      </c>
      <c r="E1031" s="5" t="str">
        <f>TEXT(D1031,"dd/mm/yyyy")</f>
        <v>14/02/2022</v>
      </c>
      <c r="F1031" s="5" t="str" cm="1">
        <f t="array" ref="F1031">RIGHT(_xlfn.ANCHORARRAY(E1031),4)</f>
        <v>2022</v>
      </c>
      <c r="G1031" s="5" t="str">
        <f>TEXT(E1031,"mm")</f>
        <v>14/02/2022</v>
      </c>
      <c r="H1031" s="6">
        <v>5250</v>
      </c>
      <c r="I1031">
        <v>47</v>
      </c>
      <c r="L1031" t="str">
        <f t="shared" si="16"/>
        <v>Below Average</v>
      </c>
      <c r="M1031">
        <f>RANK(H1031,H:H,0)</f>
        <v>1632</v>
      </c>
    </row>
    <row r="1032" spans="1:13">
      <c r="A1032" t="s">
        <v>53</v>
      </c>
      <c r="B1032" t="s">
        <v>7</v>
      </c>
      <c r="C1032" t="s">
        <v>23</v>
      </c>
      <c r="D1032" s="4">
        <v>44688</v>
      </c>
      <c r="E1032" s="5" t="str">
        <f>TEXT(D1032,"dd/mm/yyyy")</f>
        <v>07/05/2022</v>
      </c>
      <c r="F1032" s="5" t="str" cm="1">
        <f t="array" ref="F1032">RIGHT(_xlfn.ANCHORARRAY(E1032),4)</f>
        <v>2022</v>
      </c>
      <c r="G1032" s="5" t="str">
        <f>TEXT(E1032,"mm")</f>
        <v>07</v>
      </c>
      <c r="H1032" s="6">
        <v>3507</v>
      </c>
      <c r="I1032">
        <v>380</v>
      </c>
      <c r="L1032" t="str">
        <f t="shared" si="16"/>
        <v>Below Average</v>
      </c>
      <c r="M1032">
        <f>RANK(H1032,H:H,0)</f>
        <v>2135</v>
      </c>
    </row>
    <row r="1033" spans="1:13">
      <c r="A1033" t="s">
        <v>31</v>
      </c>
      <c r="B1033" t="s">
        <v>10</v>
      </c>
      <c r="C1033" t="s">
        <v>8</v>
      </c>
      <c r="D1033" s="4">
        <v>44896</v>
      </c>
      <c r="E1033" s="5" t="str">
        <f>TEXT(D1033,"dd/mm/yyyy")</f>
        <v>01/12/2022</v>
      </c>
      <c r="F1033" s="5" t="str" cm="1">
        <f t="array" ref="F1033">RIGHT(_xlfn.ANCHORARRAY(E1033),4)</f>
        <v>2022</v>
      </c>
      <c r="G1033" s="5" t="str">
        <f>TEXT(E1033,"mm")</f>
        <v>01</v>
      </c>
      <c r="H1033" s="6">
        <v>7413</v>
      </c>
      <c r="I1033">
        <v>465</v>
      </c>
      <c r="L1033" t="str">
        <f t="shared" si="16"/>
        <v>Above Average</v>
      </c>
      <c r="M1033">
        <f>RANK(H1033,H:H,0)</f>
        <v>1086</v>
      </c>
    </row>
    <row r="1034" spans="1:13">
      <c r="A1034" t="s">
        <v>48</v>
      </c>
      <c r="B1034" t="s">
        <v>10</v>
      </c>
      <c r="C1034" t="s">
        <v>8</v>
      </c>
      <c r="D1034" s="4">
        <v>44623</v>
      </c>
      <c r="E1034" s="5" t="str">
        <f>TEXT(D1034,"dd/mm/yyyy")</f>
        <v>03/03/2022</v>
      </c>
      <c r="F1034" s="5" t="str" cm="1">
        <f t="array" ref="F1034">RIGHT(_xlfn.ANCHORARRAY(E1034),4)</f>
        <v>2022</v>
      </c>
      <c r="G1034" s="5" t="str">
        <f>TEXT(E1034,"mm")</f>
        <v>03</v>
      </c>
      <c r="H1034" s="6">
        <v>8155</v>
      </c>
      <c r="I1034">
        <v>96</v>
      </c>
      <c r="L1034" t="str">
        <f t="shared" si="16"/>
        <v>Above Average</v>
      </c>
      <c r="M1034">
        <f>RANK(H1034,H:H,0)</f>
        <v>903</v>
      </c>
    </row>
    <row r="1035" spans="1:13">
      <c r="A1035" t="s">
        <v>6</v>
      </c>
      <c r="B1035" t="s">
        <v>25</v>
      </c>
      <c r="C1035" t="s">
        <v>46</v>
      </c>
      <c r="D1035" s="3" t="s">
        <v>84</v>
      </c>
      <c r="E1035" s="5" t="str">
        <f>TEXT(D1035,"dd/mm/yyyy")</f>
        <v>18/05/2022</v>
      </c>
      <c r="F1035" s="5" t="str" cm="1">
        <f t="array" ref="F1035">RIGHT(_xlfn.ANCHORARRAY(E1035),4)</f>
        <v>2022</v>
      </c>
      <c r="G1035" s="5" t="str">
        <f>TEXT(E1035,"mm")</f>
        <v>18/05/2022</v>
      </c>
      <c r="H1035" s="6">
        <v>2478</v>
      </c>
      <c r="I1035">
        <v>188</v>
      </c>
      <c r="L1035" t="str">
        <f t="shared" si="16"/>
        <v>Below Average</v>
      </c>
      <c r="M1035">
        <f>RANK(H1035,H:H,0)</f>
        <v>2485</v>
      </c>
    </row>
    <row r="1036" spans="1:13">
      <c r="A1036" t="s">
        <v>22</v>
      </c>
      <c r="B1036" t="s">
        <v>10</v>
      </c>
      <c r="C1036" t="s">
        <v>90</v>
      </c>
      <c r="D1036" s="3" t="s">
        <v>39</v>
      </c>
      <c r="E1036" s="5" t="str">
        <f>TEXT(D1036,"dd/mm/yyyy")</f>
        <v>28/07/2022</v>
      </c>
      <c r="F1036" s="5" t="str" cm="1">
        <f t="array" ref="F1036">RIGHT(_xlfn.ANCHORARRAY(E1036),4)</f>
        <v>2022</v>
      </c>
      <c r="G1036" s="5" t="str">
        <f>TEXT(E1036,"mm")</f>
        <v>28/07/2022</v>
      </c>
      <c r="H1036" s="6">
        <v>2471</v>
      </c>
      <c r="I1036">
        <v>202</v>
      </c>
      <c r="L1036" t="str">
        <f t="shared" si="16"/>
        <v>Below Average</v>
      </c>
      <c r="M1036">
        <f>RANK(H1036,H:H,0)</f>
        <v>2486</v>
      </c>
    </row>
    <row r="1037" spans="1:13">
      <c r="A1037" t="s">
        <v>48</v>
      </c>
      <c r="B1037" t="s">
        <v>7</v>
      </c>
      <c r="C1037" t="s">
        <v>60</v>
      </c>
      <c r="D1037" s="4">
        <v>44744</v>
      </c>
      <c r="E1037" s="5" t="str">
        <f>TEXT(D1037,"dd/mm/yyyy")</f>
        <v>02/07/2022</v>
      </c>
      <c r="F1037" s="5" t="str" cm="1">
        <f t="array" ref="F1037">RIGHT(_xlfn.ANCHORARRAY(E1037),4)</f>
        <v>2022</v>
      </c>
      <c r="G1037" s="5" t="str">
        <f>TEXT(E1037,"mm")</f>
        <v>02</v>
      </c>
      <c r="H1037" s="6">
        <v>1666</v>
      </c>
      <c r="I1037">
        <v>106</v>
      </c>
      <c r="L1037" t="str">
        <f t="shared" si="16"/>
        <v>Below Average</v>
      </c>
      <c r="M1037">
        <f>RANK(H1037,H:H,0)</f>
        <v>2745</v>
      </c>
    </row>
    <row r="1038" spans="1:13">
      <c r="A1038" t="s">
        <v>67</v>
      </c>
      <c r="B1038" t="s">
        <v>10</v>
      </c>
      <c r="C1038" t="s">
        <v>33</v>
      </c>
      <c r="D1038" s="3" t="s">
        <v>52</v>
      </c>
      <c r="E1038" s="5" t="str">
        <f>TEXT(D1038,"dd/mm/yyyy")</f>
        <v>30/05/2022</v>
      </c>
      <c r="F1038" s="5" t="str" cm="1">
        <f t="array" ref="F1038">RIGHT(_xlfn.ANCHORARRAY(E1038),4)</f>
        <v>2022</v>
      </c>
      <c r="G1038" s="5" t="str">
        <f>TEXT(E1038,"mm")</f>
        <v>30/05/2022</v>
      </c>
      <c r="H1038" s="6">
        <v>301</v>
      </c>
      <c r="I1038">
        <v>421</v>
      </c>
      <c r="L1038" t="str">
        <f t="shared" si="16"/>
        <v>Below Average</v>
      </c>
      <c r="M1038">
        <f>RANK(H1038,H:H,0)</f>
        <v>3192</v>
      </c>
    </row>
    <row r="1039" spans="1:13">
      <c r="A1039" t="s">
        <v>34</v>
      </c>
      <c r="B1039" t="s">
        <v>15</v>
      </c>
      <c r="C1039" t="s">
        <v>73</v>
      </c>
      <c r="D1039" s="3" t="s">
        <v>114</v>
      </c>
      <c r="E1039" s="5" t="str">
        <f>TEXT(D1039,"dd/mm/yyyy")</f>
        <v>25/04/2022</v>
      </c>
      <c r="F1039" s="5" t="str" cm="1">
        <f t="array" ref="F1039">RIGHT(_xlfn.ANCHORARRAY(E1039),4)</f>
        <v>2022</v>
      </c>
      <c r="G1039" s="5" t="str">
        <f>TEXT(E1039,"mm")</f>
        <v>25/04/2022</v>
      </c>
      <c r="H1039" s="6">
        <v>8400</v>
      </c>
      <c r="I1039">
        <v>27</v>
      </c>
      <c r="L1039" t="str">
        <f t="shared" si="16"/>
        <v>Above Average</v>
      </c>
      <c r="M1039">
        <f>RANK(H1039,H:H,0)</f>
        <v>853</v>
      </c>
    </row>
    <row r="1040" spans="1:13">
      <c r="A1040" t="s">
        <v>41</v>
      </c>
      <c r="B1040" t="s">
        <v>35</v>
      </c>
      <c r="C1040" t="s">
        <v>11</v>
      </c>
      <c r="D1040" s="3" t="s">
        <v>47</v>
      </c>
      <c r="E1040" s="5" t="str">
        <f>TEXT(D1040,"dd/mm/yyyy")</f>
        <v>16/02/2022</v>
      </c>
      <c r="F1040" s="5" t="str" cm="1">
        <f t="array" ref="F1040">RIGHT(_xlfn.ANCHORARRAY(E1040),4)</f>
        <v>2022</v>
      </c>
      <c r="G1040" s="5" t="str">
        <f>TEXT(E1040,"mm")</f>
        <v>16/02/2022</v>
      </c>
      <c r="H1040" s="6">
        <v>6139</v>
      </c>
      <c r="I1040">
        <v>45</v>
      </c>
      <c r="L1040" t="str">
        <f t="shared" si="16"/>
        <v>Above Average</v>
      </c>
      <c r="M1040">
        <f>RANK(H1040,H:H,0)</f>
        <v>1396</v>
      </c>
    </row>
    <row r="1041" spans="1:13">
      <c r="A1041" t="s">
        <v>70</v>
      </c>
      <c r="B1041" t="s">
        <v>15</v>
      </c>
      <c r="C1041" t="s">
        <v>38</v>
      </c>
      <c r="D1041" s="4">
        <v>44656</v>
      </c>
      <c r="E1041" s="5" t="str">
        <f>TEXT(D1041,"dd/mm/yyyy")</f>
        <v>05/04/2022</v>
      </c>
      <c r="F1041" s="5" t="str" cm="1">
        <f t="array" ref="F1041">RIGHT(_xlfn.ANCHORARRAY(E1041),4)</f>
        <v>2022</v>
      </c>
      <c r="G1041" s="5" t="str">
        <f>TEXT(E1041,"mm")</f>
        <v>05</v>
      </c>
      <c r="H1041" s="6">
        <v>1288</v>
      </c>
      <c r="I1041">
        <v>60</v>
      </c>
      <c r="L1041" t="str">
        <f t="shared" si="16"/>
        <v>Below Average</v>
      </c>
      <c r="M1041">
        <f>RANK(H1041,H:H,0)</f>
        <v>2878</v>
      </c>
    </row>
    <row r="1042" spans="1:13">
      <c r="A1042" t="s">
        <v>9</v>
      </c>
      <c r="B1042" t="s">
        <v>35</v>
      </c>
      <c r="C1042" t="s">
        <v>100</v>
      </c>
      <c r="D1042" s="4">
        <v>44598</v>
      </c>
      <c r="E1042" s="5" t="str">
        <f>TEXT(D1042,"dd/mm/yyyy")</f>
        <v>06/02/2022</v>
      </c>
      <c r="F1042" s="5" t="str" cm="1">
        <f t="array" ref="F1042">RIGHT(_xlfn.ANCHORARRAY(E1042),4)</f>
        <v>2022</v>
      </c>
      <c r="G1042" s="5" t="str">
        <f>TEXT(E1042,"mm")</f>
        <v>06</v>
      </c>
      <c r="H1042" s="6">
        <v>7077</v>
      </c>
      <c r="I1042">
        <v>77</v>
      </c>
      <c r="L1042" t="str">
        <f t="shared" si="16"/>
        <v>Above Average</v>
      </c>
      <c r="M1042">
        <f>RANK(H1042,H:H,0)</f>
        <v>1163</v>
      </c>
    </row>
    <row r="1043" spans="1:13">
      <c r="A1043" t="s">
        <v>58</v>
      </c>
      <c r="B1043" t="s">
        <v>32</v>
      </c>
      <c r="C1043" t="s">
        <v>90</v>
      </c>
      <c r="D1043" s="4">
        <v>44872</v>
      </c>
      <c r="E1043" s="5" t="str">
        <f>TEXT(D1043,"dd/mm/yyyy")</f>
        <v>07/11/2022</v>
      </c>
      <c r="F1043" s="5" t="str" cm="1">
        <f t="array" ref="F1043">RIGHT(_xlfn.ANCHORARRAY(E1043),4)</f>
        <v>2022</v>
      </c>
      <c r="G1043" s="5" t="str">
        <f>TEXT(E1043,"mm")</f>
        <v>07</v>
      </c>
      <c r="H1043" s="6">
        <v>2317</v>
      </c>
      <c r="I1043">
        <v>464</v>
      </c>
      <c r="L1043" t="str">
        <f t="shared" si="16"/>
        <v>Below Average</v>
      </c>
      <c r="M1043">
        <f>RANK(H1043,H:H,0)</f>
        <v>2542</v>
      </c>
    </row>
    <row r="1044" spans="1:13">
      <c r="A1044" t="s">
        <v>41</v>
      </c>
      <c r="B1044" t="s">
        <v>25</v>
      </c>
      <c r="C1044" t="s">
        <v>50</v>
      </c>
      <c r="D1044" s="4">
        <v>44748</v>
      </c>
      <c r="E1044" s="5" t="str">
        <f>TEXT(D1044,"dd/mm/yyyy")</f>
        <v>06/07/2022</v>
      </c>
      <c r="F1044" s="5" t="str" cm="1">
        <f t="array" ref="F1044">RIGHT(_xlfn.ANCHORARRAY(E1044),4)</f>
        <v>2022</v>
      </c>
      <c r="G1044" s="5" t="str">
        <f>TEXT(E1044,"mm")</f>
        <v>06</v>
      </c>
      <c r="H1044" s="6">
        <v>63</v>
      </c>
      <c r="I1044">
        <v>60</v>
      </c>
      <c r="L1044" t="str">
        <f t="shared" si="16"/>
        <v>Below Average</v>
      </c>
      <c r="M1044">
        <f>RANK(H1044,H:H,0)</f>
        <v>3265</v>
      </c>
    </row>
    <row r="1045" spans="1:13">
      <c r="A1045" t="s">
        <v>14</v>
      </c>
      <c r="B1045" t="s">
        <v>7</v>
      </c>
      <c r="C1045" t="s">
        <v>65</v>
      </c>
      <c r="D1045" s="4">
        <v>44719</v>
      </c>
      <c r="E1045" s="5" t="str">
        <f>TEXT(D1045,"dd/mm/yyyy")</f>
        <v>07/06/2022</v>
      </c>
      <c r="F1045" s="5" t="str" cm="1">
        <f t="array" ref="F1045">RIGHT(_xlfn.ANCHORARRAY(E1045),4)</f>
        <v>2022</v>
      </c>
      <c r="G1045" s="5" t="str">
        <f>TEXT(E1045,"mm")</f>
        <v>07</v>
      </c>
      <c r="H1045" s="6">
        <v>9744</v>
      </c>
      <c r="I1045">
        <v>157</v>
      </c>
      <c r="L1045" t="str">
        <f t="shared" si="16"/>
        <v>Above Average</v>
      </c>
      <c r="M1045">
        <f>RANK(H1045,H:H,0)</f>
        <v>624</v>
      </c>
    </row>
    <row r="1046" spans="1:13">
      <c r="A1046" t="s">
        <v>53</v>
      </c>
      <c r="B1046" t="s">
        <v>10</v>
      </c>
      <c r="C1046" t="s">
        <v>73</v>
      </c>
      <c r="D1046" s="3" t="s">
        <v>61</v>
      </c>
      <c r="E1046" s="5" t="str">
        <f>TEXT(D1046,"dd/mm/yyyy")</f>
        <v>15/06/2022</v>
      </c>
      <c r="F1046" s="5" t="str" cm="1">
        <f t="array" ref="F1046">RIGHT(_xlfn.ANCHORARRAY(E1046),4)</f>
        <v>2022</v>
      </c>
      <c r="G1046" s="5" t="str">
        <f>TEXT(E1046,"mm")</f>
        <v>15/06/2022</v>
      </c>
      <c r="H1046" s="6">
        <v>9954</v>
      </c>
      <c r="I1046">
        <v>154</v>
      </c>
      <c r="L1046" t="str">
        <f t="shared" si="16"/>
        <v>Above Average</v>
      </c>
      <c r="M1046">
        <f>RANK(H1046,H:H,0)</f>
        <v>590</v>
      </c>
    </row>
    <row r="1047" spans="1:13">
      <c r="A1047" t="s">
        <v>79</v>
      </c>
      <c r="B1047" t="s">
        <v>10</v>
      </c>
      <c r="C1047" t="s">
        <v>8</v>
      </c>
      <c r="D1047" s="3" t="s">
        <v>91</v>
      </c>
      <c r="E1047" s="5" t="str">
        <f>TEXT(D1047,"dd/mm/yyyy")</f>
        <v>14/04/2022</v>
      </c>
      <c r="F1047" s="5" t="str" cm="1">
        <f t="array" ref="F1047">RIGHT(_xlfn.ANCHORARRAY(E1047),4)</f>
        <v>2022</v>
      </c>
      <c r="G1047" s="5" t="str">
        <f>TEXT(E1047,"mm")</f>
        <v>14/04/2022</v>
      </c>
      <c r="H1047" s="6">
        <v>1260</v>
      </c>
      <c r="I1047">
        <v>239</v>
      </c>
      <c r="L1047" t="str">
        <f t="shared" si="16"/>
        <v>Below Average</v>
      </c>
      <c r="M1047">
        <f>RANK(H1047,H:H,0)</f>
        <v>2891</v>
      </c>
    </row>
    <row r="1048" spans="1:13">
      <c r="A1048" t="s">
        <v>71</v>
      </c>
      <c r="B1048" t="s">
        <v>10</v>
      </c>
      <c r="C1048" t="s">
        <v>38</v>
      </c>
      <c r="D1048" s="4">
        <v>44781</v>
      </c>
      <c r="E1048" s="5" t="str">
        <f>TEXT(D1048,"dd/mm/yyyy")</f>
        <v>08/08/2022</v>
      </c>
      <c r="F1048" s="5" t="str" cm="1">
        <f t="array" ref="F1048">RIGHT(_xlfn.ANCHORARRAY(E1048),4)</f>
        <v>2022</v>
      </c>
      <c r="G1048" s="5" t="str">
        <f>TEXT(E1048,"mm")</f>
        <v>08</v>
      </c>
      <c r="H1048" s="6">
        <v>469</v>
      </c>
      <c r="I1048">
        <v>163</v>
      </c>
      <c r="L1048" t="str">
        <f t="shared" si="16"/>
        <v>Below Average</v>
      </c>
      <c r="M1048">
        <f>RANK(H1048,H:H,0)</f>
        <v>3144</v>
      </c>
    </row>
    <row r="1049" spans="1:13">
      <c r="A1049" t="s">
        <v>40</v>
      </c>
      <c r="B1049" t="s">
        <v>7</v>
      </c>
      <c r="C1049" t="s">
        <v>38</v>
      </c>
      <c r="D1049" s="3" t="s">
        <v>118</v>
      </c>
      <c r="E1049" s="5" t="str">
        <f>TEXT(D1049,"dd/mm/yyyy")</f>
        <v>29/03/2022</v>
      </c>
      <c r="F1049" s="5" t="str" cm="1">
        <f t="array" ref="F1049">RIGHT(_xlfn.ANCHORARRAY(E1049),4)</f>
        <v>2022</v>
      </c>
      <c r="G1049" s="5" t="str">
        <f>TEXT(E1049,"mm")</f>
        <v>29/03/2022</v>
      </c>
      <c r="H1049" s="6">
        <v>973</v>
      </c>
      <c r="I1049">
        <v>28</v>
      </c>
      <c r="L1049" t="str">
        <f t="shared" si="16"/>
        <v>Below Average</v>
      </c>
      <c r="M1049">
        <f>RANK(H1049,H:H,0)</f>
        <v>2981</v>
      </c>
    </row>
    <row r="1050" spans="1:13">
      <c r="A1050" t="s">
        <v>45</v>
      </c>
      <c r="B1050" t="s">
        <v>15</v>
      </c>
      <c r="C1050" t="s">
        <v>42</v>
      </c>
      <c r="D1050" s="4">
        <v>44658</v>
      </c>
      <c r="E1050" s="5" t="str">
        <f>TEXT(D1050,"dd/mm/yyyy")</f>
        <v>07/04/2022</v>
      </c>
      <c r="F1050" s="5" t="str" cm="1">
        <f t="array" ref="F1050">RIGHT(_xlfn.ANCHORARRAY(E1050),4)</f>
        <v>2022</v>
      </c>
      <c r="G1050" s="5" t="str">
        <f>TEXT(E1050,"mm")</f>
        <v>07</v>
      </c>
      <c r="H1050" s="6">
        <v>3647</v>
      </c>
      <c r="I1050">
        <v>76</v>
      </c>
      <c r="L1050" t="str">
        <f t="shared" si="16"/>
        <v>Below Average</v>
      </c>
      <c r="M1050">
        <f>RANK(H1050,H:H,0)</f>
        <v>2089</v>
      </c>
    </row>
    <row r="1051" spans="1:13">
      <c r="A1051" t="s">
        <v>83</v>
      </c>
      <c r="B1051" t="s">
        <v>10</v>
      </c>
      <c r="C1051" t="s">
        <v>20</v>
      </c>
      <c r="D1051" s="3" t="s">
        <v>47</v>
      </c>
      <c r="E1051" s="5" t="str">
        <f>TEXT(D1051,"dd/mm/yyyy")</f>
        <v>16/02/2022</v>
      </c>
      <c r="F1051" s="5" t="str" cm="1">
        <f t="array" ref="F1051">RIGHT(_xlfn.ANCHORARRAY(E1051),4)</f>
        <v>2022</v>
      </c>
      <c r="G1051" s="5" t="str">
        <f>TEXT(E1051,"mm")</f>
        <v>16/02/2022</v>
      </c>
      <c r="H1051" s="6">
        <v>455</v>
      </c>
      <c r="I1051">
        <v>96</v>
      </c>
      <c r="L1051" t="str">
        <f t="shared" si="16"/>
        <v>Below Average</v>
      </c>
      <c r="M1051">
        <f>RANK(H1051,H:H,0)</f>
        <v>3149</v>
      </c>
    </row>
    <row r="1052" spans="1:13">
      <c r="A1052" t="s">
        <v>29</v>
      </c>
      <c r="B1052" t="s">
        <v>35</v>
      </c>
      <c r="C1052" t="s">
        <v>50</v>
      </c>
      <c r="D1052" s="4">
        <v>44597</v>
      </c>
      <c r="E1052" s="5" t="str">
        <f>TEXT(D1052,"dd/mm/yyyy")</f>
        <v>05/02/2022</v>
      </c>
      <c r="F1052" s="5" t="str" cm="1">
        <f t="array" ref="F1052">RIGHT(_xlfn.ANCHORARRAY(E1052),4)</f>
        <v>2022</v>
      </c>
      <c r="G1052" s="5" t="str">
        <f>TEXT(E1052,"mm")</f>
        <v>05</v>
      </c>
      <c r="H1052" s="6">
        <v>2520</v>
      </c>
      <c r="I1052">
        <v>156</v>
      </c>
      <c r="L1052" t="str">
        <f t="shared" si="16"/>
        <v>Below Average</v>
      </c>
      <c r="M1052">
        <f>RANK(H1052,H:H,0)</f>
        <v>2462</v>
      </c>
    </row>
    <row r="1053" spans="1:13">
      <c r="A1053" t="s">
        <v>9</v>
      </c>
      <c r="B1053" t="s">
        <v>10</v>
      </c>
      <c r="C1053" t="s">
        <v>36</v>
      </c>
      <c r="D1053" s="3" t="s">
        <v>141</v>
      </c>
      <c r="E1053" s="5" t="str">
        <f>TEXT(D1053,"dd/mm/yyyy")</f>
        <v>21/07/2022</v>
      </c>
      <c r="F1053" s="5" t="str" cm="1">
        <f t="array" ref="F1053">RIGHT(_xlfn.ANCHORARRAY(E1053),4)</f>
        <v>2022</v>
      </c>
      <c r="G1053" s="5" t="str">
        <f>TEXT(E1053,"mm")</f>
        <v>21/07/2022</v>
      </c>
      <c r="H1053" s="6">
        <v>10500</v>
      </c>
      <c r="I1053">
        <v>106</v>
      </c>
      <c r="L1053" t="str">
        <f t="shared" si="16"/>
        <v>Above Average</v>
      </c>
      <c r="M1053">
        <f>RANK(H1053,H:H,0)</f>
        <v>510</v>
      </c>
    </row>
    <row r="1054" spans="1:13">
      <c r="A1054" t="s">
        <v>22</v>
      </c>
      <c r="B1054" t="s">
        <v>15</v>
      </c>
      <c r="C1054" t="s">
        <v>20</v>
      </c>
      <c r="D1054" s="3" t="s">
        <v>97</v>
      </c>
      <c r="E1054" s="5" t="str">
        <f>TEXT(D1054,"dd/mm/yyyy")</f>
        <v>18/08/2022</v>
      </c>
      <c r="F1054" s="5" t="str" cm="1">
        <f t="array" ref="F1054">RIGHT(_xlfn.ANCHORARRAY(E1054),4)</f>
        <v>2022</v>
      </c>
      <c r="G1054" s="5" t="str">
        <f>TEXT(E1054,"mm")</f>
        <v>18/08/2022</v>
      </c>
      <c r="H1054" s="6">
        <v>7952</v>
      </c>
      <c r="I1054">
        <v>235</v>
      </c>
      <c r="L1054" t="str">
        <f t="shared" si="16"/>
        <v>Above Average</v>
      </c>
      <c r="M1054">
        <f>RANK(H1054,H:H,0)</f>
        <v>949</v>
      </c>
    </row>
    <row r="1055" spans="1:13">
      <c r="A1055" t="s">
        <v>55</v>
      </c>
      <c r="B1055" t="s">
        <v>32</v>
      </c>
      <c r="C1055" t="s">
        <v>11</v>
      </c>
      <c r="D1055" s="3" t="s">
        <v>147</v>
      </c>
      <c r="E1055" s="5" t="str">
        <f>TEXT(D1055,"dd/mm/yyyy")</f>
        <v>22/06/2022</v>
      </c>
      <c r="F1055" s="5" t="str" cm="1">
        <f t="array" ref="F1055">RIGHT(_xlfn.ANCHORARRAY(E1055),4)</f>
        <v>2022</v>
      </c>
      <c r="G1055" s="5" t="str">
        <f>TEXT(E1055,"mm")</f>
        <v>22/06/2022</v>
      </c>
      <c r="H1055" s="6">
        <v>483</v>
      </c>
      <c r="I1055">
        <v>259</v>
      </c>
      <c r="L1055" t="str">
        <f t="shared" si="16"/>
        <v>Below Average</v>
      </c>
      <c r="M1055">
        <f>RANK(H1055,H:H,0)</f>
        <v>3136</v>
      </c>
    </row>
    <row r="1056" spans="1:13">
      <c r="A1056" t="s">
        <v>71</v>
      </c>
      <c r="B1056" t="s">
        <v>7</v>
      </c>
      <c r="C1056" t="s">
        <v>13</v>
      </c>
      <c r="D1056" s="3" t="s">
        <v>80</v>
      </c>
      <c r="E1056" s="5" t="str">
        <f>TEXT(D1056,"dd/mm/yyyy")</f>
        <v>19/07/2022</v>
      </c>
      <c r="F1056" s="5" t="str" cm="1">
        <f t="array" ref="F1056">RIGHT(_xlfn.ANCHORARRAY(E1056),4)</f>
        <v>2022</v>
      </c>
      <c r="G1056" s="5" t="str">
        <f>TEXT(E1056,"mm")</f>
        <v>19/07/2022</v>
      </c>
      <c r="H1056" s="6">
        <v>4872</v>
      </c>
      <c r="I1056">
        <v>126</v>
      </c>
      <c r="L1056" t="str">
        <f t="shared" si="16"/>
        <v>Below Average</v>
      </c>
      <c r="M1056">
        <f>RANK(H1056,H:H,0)</f>
        <v>1743</v>
      </c>
    </row>
    <row r="1057" spans="1:13">
      <c r="A1057" t="s">
        <v>77</v>
      </c>
      <c r="B1057" t="s">
        <v>7</v>
      </c>
      <c r="C1057" t="s">
        <v>13</v>
      </c>
      <c r="D1057" s="4">
        <v>44903</v>
      </c>
      <c r="E1057" s="5" t="str">
        <f>TEXT(D1057,"dd/mm/yyyy")</f>
        <v>08/12/2022</v>
      </c>
      <c r="F1057" s="5" t="str" cm="1">
        <f t="array" ref="F1057">RIGHT(_xlfn.ANCHORARRAY(E1057),4)</f>
        <v>2022</v>
      </c>
      <c r="G1057" s="5" t="str">
        <f>TEXT(E1057,"mm")</f>
        <v>08</v>
      </c>
      <c r="H1057" s="6">
        <v>7756</v>
      </c>
      <c r="I1057">
        <v>85</v>
      </c>
      <c r="L1057" t="str">
        <f t="shared" si="16"/>
        <v>Above Average</v>
      </c>
      <c r="M1057">
        <f>RANK(H1057,H:H,0)</f>
        <v>997</v>
      </c>
    </row>
    <row r="1058" spans="1:13">
      <c r="A1058" t="s">
        <v>77</v>
      </c>
      <c r="B1058" t="s">
        <v>32</v>
      </c>
      <c r="C1058" t="s">
        <v>75</v>
      </c>
      <c r="D1058" s="4">
        <v>44748</v>
      </c>
      <c r="E1058" s="5" t="str">
        <f>TEXT(D1058,"dd/mm/yyyy")</f>
        <v>06/07/2022</v>
      </c>
      <c r="F1058" s="5" t="str" cm="1">
        <f t="array" ref="F1058">RIGHT(_xlfn.ANCHORARRAY(E1058),4)</f>
        <v>2022</v>
      </c>
      <c r="G1058" s="5" t="str">
        <f>TEXT(E1058,"mm")</f>
        <v>06</v>
      </c>
      <c r="H1058" s="6">
        <v>5446</v>
      </c>
      <c r="I1058">
        <v>132</v>
      </c>
      <c r="L1058" t="str">
        <f t="shared" si="16"/>
        <v>Below Average</v>
      </c>
      <c r="M1058">
        <f>RANK(H1058,H:H,0)</f>
        <v>1581</v>
      </c>
    </row>
    <row r="1059" spans="1:13">
      <c r="A1059" t="s">
        <v>40</v>
      </c>
      <c r="B1059" t="s">
        <v>35</v>
      </c>
      <c r="C1059" t="s">
        <v>13</v>
      </c>
      <c r="D1059" s="4">
        <v>44776</v>
      </c>
      <c r="E1059" s="5" t="str">
        <f>TEXT(D1059,"dd/mm/yyyy")</f>
        <v>03/08/2022</v>
      </c>
      <c r="F1059" s="5" t="str" cm="1">
        <f t="array" ref="F1059">RIGHT(_xlfn.ANCHORARRAY(E1059),4)</f>
        <v>2022</v>
      </c>
      <c r="G1059" s="5" t="str">
        <f>TEXT(E1059,"mm")</f>
        <v>03</v>
      </c>
      <c r="H1059" s="6">
        <v>6594</v>
      </c>
      <c r="I1059">
        <v>91</v>
      </c>
      <c r="L1059" t="str">
        <f t="shared" si="16"/>
        <v>Above Average</v>
      </c>
      <c r="M1059">
        <f>RANK(H1059,H:H,0)</f>
        <v>1282</v>
      </c>
    </row>
    <row r="1060" spans="1:13">
      <c r="A1060" t="s">
        <v>83</v>
      </c>
      <c r="B1060" t="s">
        <v>15</v>
      </c>
      <c r="C1060" t="s">
        <v>75</v>
      </c>
      <c r="D1060" s="4">
        <v>44777</v>
      </c>
      <c r="E1060" s="5" t="str">
        <f>TEXT(D1060,"dd/mm/yyyy")</f>
        <v>04/08/2022</v>
      </c>
      <c r="F1060" s="5" t="str" cm="1">
        <f t="array" ref="F1060">RIGHT(_xlfn.ANCHORARRAY(E1060),4)</f>
        <v>2022</v>
      </c>
      <c r="G1060" s="5" t="str">
        <f>TEXT(E1060,"mm")</f>
        <v>04</v>
      </c>
      <c r="H1060" s="6">
        <v>1470</v>
      </c>
      <c r="I1060">
        <v>167</v>
      </c>
      <c r="L1060" t="str">
        <f t="shared" si="16"/>
        <v>Below Average</v>
      </c>
      <c r="M1060">
        <f>RANK(H1060,H:H,0)</f>
        <v>2811</v>
      </c>
    </row>
    <row r="1061" spans="1:13">
      <c r="A1061" t="s">
        <v>48</v>
      </c>
      <c r="B1061" t="s">
        <v>35</v>
      </c>
      <c r="C1061" t="s">
        <v>36</v>
      </c>
      <c r="D1061" s="4">
        <v>44717</v>
      </c>
      <c r="E1061" s="5" t="str">
        <f>TEXT(D1061,"dd/mm/yyyy")</f>
        <v>05/06/2022</v>
      </c>
      <c r="F1061" s="5" t="str" cm="1">
        <f t="array" ref="F1061">RIGHT(_xlfn.ANCHORARRAY(E1061),4)</f>
        <v>2022</v>
      </c>
      <c r="G1061" s="5" t="str">
        <f>TEXT(E1061,"mm")</f>
        <v>05</v>
      </c>
      <c r="H1061" s="6">
        <v>721</v>
      </c>
      <c r="I1061">
        <v>203</v>
      </c>
      <c r="L1061" t="str">
        <f t="shared" si="16"/>
        <v>Below Average</v>
      </c>
      <c r="M1061">
        <f>RANK(H1061,H:H,0)</f>
        <v>3057</v>
      </c>
    </row>
    <row r="1062" spans="1:13">
      <c r="A1062" t="s">
        <v>45</v>
      </c>
      <c r="B1062" t="s">
        <v>10</v>
      </c>
      <c r="C1062" t="s">
        <v>38</v>
      </c>
      <c r="D1062" s="3" t="s">
        <v>126</v>
      </c>
      <c r="E1062" s="5" t="str">
        <f>TEXT(D1062,"dd/mm/yyyy")</f>
        <v>31/05/2022</v>
      </c>
      <c r="F1062" s="5" t="str" cm="1">
        <f t="array" ref="F1062">RIGHT(_xlfn.ANCHORARRAY(E1062),4)</f>
        <v>2022</v>
      </c>
      <c r="G1062" s="5" t="str">
        <f>TEXT(E1062,"mm")</f>
        <v>31/05/2022</v>
      </c>
      <c r="H1062" s="6">
        <v>4494</v>
      </c>
      <c r="I1062">
        <v>11</v>
      </c>
      <c r="L1062" t="str">
        <f t="shared" si="16"/>
        <v>Below Average</v>
      </c>
      <c r="M1062">
        <f>RANK(H1062,H:H,0)</f>
        <v>1852</v>
      </c>
    </row>
    <row r="1063" spans="1:13">
      <c r="A1063" t="s">
        <v>9</v>
      </c>
      <c r="B1063" t="s">
        <v>15</v>
      </c>
      <c r="C1063" t="s">
        <v>8</v>
      </c>
      <c r="D1063" s="3" t="s">
        <v>30</v>
      </c>
      <c r="E1063" s="5" t="str">
        <f>TEXT(D1063,"dd/mm/yyyy")</f>
        <v>13/01/2022</v>
      </c>
      <c r="F1063" s="5" t="str" cm="1">
        <f t="array" ref="F1063">RIGHT(_xlfn.ANCHORARRAY(E1063),4)</f>
        <v>2022</v>
      </c>
      <c r="G1063" s="5" t="str">
        <f>TEXT(E1063,"mm")</f>
        <v>13/01/2022</v>
      </c>
      <c r="H1063" s="6">
        <v>2674</v>
      </c>
      <c r="I1063">
        <v>295</v>
      </c>
      <c r="L1063" t="str">
        <f t="shared" si="16"/>
        <v>Below Average</v>
      </c>
      <c r="M1063">
        <f>RANK(H1063,H:H,0)</f>
        <v>2412</v>
      </c>
    </row>
    <row r="1064" spans="1:13">
      <c r="A1064" t="s">
        <v>58</v>
      </c>
      <c r="B1064" t="s">
        <v>32</v>
      </c>
      <c r="C1064" t="s">
        <v>100</v>
      </c>
      <c r="D1064" s="3" t="s">
        <v>131</v>
      </c>
      <c r="E1064" s="5" t="str">
        <f>TEXT(D1064,"dd/mm/yyyy")</f>
        <v>15/03/2022</v>
      </c>
      <c r="F1064" s="5" t="str" cm="1">
        <f t="array" ref="F1064">RIGHT(_xlfn.ANCHORARRAY(E1064),4)</f>
        <v>2022</v>
      </c>
      <c r="G1064" s="5" t="str">
        <f>TEXT(E1064,"mm")</f>
        <v>15/03/2022</v>
      </c>
      <c r="H1064" s="6">
        <v>658</v>
      </c>
      <c r="I1064">
        <v>77</v>
      </c>
      <c r="L1064" t="str">
        <f t="shared" si="16"/>
        <v>Below Average</v>
      </c>
      <c r="M1064">
        <f>RANK(H1064,H:H,0)</f>
        <v>3080</v>
      </c>
    </row>
    <row r="1065" spans="1:13">
      <c r="A1065" t="s">
        <v>67</v>
      </c>
      <c r="B1065" t="s">
        <v>35</v>
      </c>
      <c r="C1065" t="s">
        <v>13</v>
      </c>
      <c r="D1065" s="3" t="s">
        <v>47</v>
      </c>
      <c r="E1065" s="5" t="str">
        <f>TEXT(D1065,"dd/mm/yyyy")</f>
        <v>16/02/2022</v>
      </c>
      <c r="F1065" s="5" t="str" cm="1">
        <f t="array" ref="F1065">RIGHT(_xlfn.ANCHORARRAY(E1065),4)</f>
        <v>2022</v>
      </c>
      <c r="G1065" s="5" t="str">
        <f>TEXT(E1065,"mm")</f>
        <v>16/02/2022</v>
      </c>
      <c r="H1065" s="6">
        <v>1127</v>
      </c>
      <c r="I1065">
        <v>319</v>
      </c>
      <c r="L1065" t="str">
        <f t="shared" si="16"/>
        <v>Below Average</v>
      </c>
      <c r="M1065">
        <f>RANK(H1065,H:H,0)</f>
        <v>2927</v>
      </c>
    </row>
    <row r="1066" spans="1:13">
      <c r="A1066" t="s">
        <v>12</v>
      </c>
      <c r="B1066" t="s">
        <v>32</v>
      </c>
      <c r="C1066" t="s">
        <v>100</v>
      </c>
      <c r="D1066" s="3" t="s">
        <v>122</v>
      </c>
      <c r="E1066" s="5" t="str">
        <f>TEXT(D1066,"dd/mm/yyyy")</f>
        <v>14/01/2022</v>
      </c>
      <c r="F1066" s="5" t="str" cm="1">
        <f t="array" ref="F1066">RIGHT(_xlfn.ANCHORARRAY(E1066),4)</f>
        <v>2022</v>
      </c>
      <c r="G1066" s="5" t="str">
        <f>TEXT(E1066,"mm")</f>
        <v>14/01/2022</v>
      </c>
      <c r="H1066" s="6">
        <v>7364</v>
      </c>
      <c r="I1066">
        <v>196</v>
      </c>
      <c r="L1066" t="str">
        <f t="shared" si="16"/>
        <v>Above Average</v>
      </c>
      <c r="M1066">
        <f>RANK(H1066,H:H,0)</f>
        <v>1094</v>
      </c>
    </row>
    <row r="1067" spans="1:13">
      <c r="A1067" t="s">
        <v>29</v>
      </c>
      <c r="B1067" t="s">
        <v>15</v>
      </c>
      <c r="C1067" t="s">
        <v>59</v>
      </c>
      <c r="D1067" s="3" t="s">
        <v>148</v>
      </c>
      <c r="E1067" s="5" t="str">
        <f>TEXT(D1067,"dd/mm/yyyy")</f>
        <v>21/03/2022</v>
      </c>
      <c r="F1067" s="5" t="str" cm="1">
        <f t="array" ref="F1067">RIGHT(_xlfn.ANCHORARRAY(E1067),4)</f>
        <v>2022</v>
      </c>
      <c r="G1067" s="5" t="str">
        <f>TEXT(E1067,"mm")</f>
        <v>21/03/2022</v>
      </c>
      <c r="H1067" s="6">
        <v>6818</v>
      </c>
      <c r="I1067">
        <v>102</v>
      </c>
      <c r="L1067" t="str">
        <f t="shared" si="16"/>
        <v>Above Average</v>
      </c>
      <c r="M1067">
        <f>RANK(H1067,H:H,0)</f>
        <v>1232</v>
      </c>
    </row>
    <row r="1068" spans="1:13">
      <c r="A1068" t="s">
        <v>45</v>
      </c>
      <c r="B1068" t="s">
        <v>35</v>
      </c>
      <c r="C1068" t="s">
        <v>38</v>
      </c>
      <c r="D1068" s="3" t="s">
        <v>144</v>
      </c>
      <c r="E1068" s="5" t="str">
        <f>TEXT(D1068,"dd/mm/yyyy")</f>
        <v>17/05/2022</v>
      </c>
      <c r="F1068" s="5" t="str" cm="1">
        <f t="array" ref="F1068">RIGHT(_xlfn.ANCHORARRAY(E1068),4)</f>
        <v>2022</v>
      </c>
      <c r="G1068" s="5" t="str">
        <f>TEXT(E1068,"mm")</f>
        <v>17/05/2022</v>
      </c>
      <c r="H1068" s="6">
        <v>6776</v>
      </c>
      <c r="I1068">
        <v>312</v>
      </c>
      <c r="L1068" t="str">
        <f t="shared" si="16"/>
        <v>Above Average</v>
      </c>
      <c r="M1068">
        <f>RANK(H1068,H:H,0)</f>
        <v>1246</v>
      </c>
    </row>
    <row r="1069" spans="1:13">
      <c r="A1069" t="s">
        <v>71</v>
      </c>
      <c r="B1069" t="s">
        <v>25</v>
      </c>
      <c r="C1069" t="s">
        <v>11</v>
      </c>
      <c r="D1069" s="4">
        <v>44781</v>
      </c>
      <c r="E1069" s="5" t="str">
        <f>TEXT(D1069,"dd/mm/yyyy")</f>
        <v>08/08/2022</v>
      </c>
      <c r="F1069" s="5" t="str" cm="1">
        <f t="array" ref="F1069">RIGHT(_xlfn.ANCHORARRAY(E1069),4)</f>
        <v>2022</v>
      </c>
      <c r="G1069" s="5" t="str">
        <f>TEXT(E1069,"mm")</f>
        <v>08</v>
      </c>
      <c r="H1069" s="6">
        <v>15099</v>
      </c>
      <c r="I1069">
        <v>55</v>
      </c>
      <c r="L1069" t="str">
        <f t="shared" si="16"/>
        <v>Above Average</v>
      </c>
      <c r="M1069">
        <f>RANK(H1069,H:H,0)</f>
        <v>142</v>
      </c>
    </row>
    <row r="1070" spans="1:13">
      <c r="A1070" t="s">
        <v>77</v>
      </c>
      <c r="B1070" t="s">
        <v>35</v>
      </c>
      <c r="C1070" t="s">
        <v>46</v>
      </c>
      <c r="D1070" s="3" t="s">
        <v>151</v>
      </c>
      <c r="E1070" s="5" t="str">
        <f>TEXT(D1070,"dd/mm/yyyy")</f>
        <v>26/04/2022</v>
      </c>
      <c r="F1070" s="5" t="str" cm="1">
        <f t="array" ref="F1070">RIGHT(_xlfn.ANCHORARRAY(E1070),4)</f>
        <v>2022</v>
      </c>
      <c r="G1070" s="5" t="str">
        <f>TEXT(E1070,"mm")</f>
        <v>26/04/2022</v>
      </c>
      <c r="H1070" s="6">
        <v>3612</v>
      </c>
      <c r="I1070">
        <v>82</v>
      </c>
      <c r="L1070" t="str">
        <f t="shared" si="16"/>
        <v>Below Average</v>
      </c>
      <c r="M1070">
        <f>RANK(H1070,H:H,0)</f>
        <v>2102</v>
      </c>
    </row>
    <row r="1071" spans="1:13">
      <c r="A1071" t="s">
        <v>77</v>
      </c>
      <c r="B1071" t="s">
        <v>15</v>
      </c>
      <c r="C1071" t="s">
        <v>100</v>
      </c>
      <c r="D1071" s="3" t="s">
        <v>74</v>
      </c>
      <c r="E1071" s="5" t="str">
        <f>TEXT(D1071,"dd/mm/yyyy")</f>
        <v>15/04/2022</v>
      </c>
      <c r="F1071" s="5" t="str" cm="1">
        <f t="array" ref="F1071">RIGHT(_xlfn.ANCHORARRAY(E1071),4)</f>
        <v>2022</v>
      </c>
      <c r="G1071" s="5" t="str">
        <f>TEXT(E1071,"mm")</f>
        <v>15/04/2022</v>
      </c>
      <c r="H1071" s="6">
        <v>3710</v>
      </c>
      <c r="I1071">
        <v>260</v>
      </c>
      <c r="L1071" t="str">
        <f t="shared" si="16"/>
        <v>Below Average</v>
      </c>
      <c r="M1071">
        <f>RANK(H1071,H:H,0)</f>
        <v>2070</v>
      </c>
    </row>
    <row r="1072" spans="1:13">
      <c r="A1072" t="s">
        <v>19</v>
      </c>
      <c r="B1072" t="s">
        <v>35</v>
      </c>
      <c r="C1072" t="s">
        <v>36</v>
      </c>
      <c r="D1072" s="3" t="s">
        <v>72</v>
      </c>
      <c r="E1072" s="5" t="str">
        <f>TEXT(D1072,"dd/mm/yyyy")</f>
        <v>19/05/2022</v>
      </c>
      <c r="F1072" s="5" t="str" cm="1">
        <f t="array" ref="F1072">RIGHT(_xlfn.ANCHORARRAY(E1072),4)</f>
        <v>2022</v>
      </c>
      <c r="G1072" s="5" t="str">
        <f>TEXT(E1072,"mm")</f>
        <v>19/05/2022</v>
      </c>
      <c r="H1072" s="6">
        <v>6111</v>
      </c>
      <c r="I1072">
        <v>591</v>
      </c>
      <c r="L1072" t="str">
        <f t="shared" si="16"/>
        <v>Above Average</v>
      </c>
      <c r="M1072">
        <f>RANK(H1072,H:H,0)</f>
        <v>1399</v>
      </c>
    </row>
    <row r="1073" spans="1:13">
      <c r="A1073" t="s">
        <v>58</v>
      </c>
      <c r="B1073" t="s">
        <v>35</v>
      </c>
      <c r="C1073" t="s">
        <v>38</v>
      </c>
      <c r="D1073" s="4">
        <v>44835</v>
      </c>
      <c r="E1073" s="5" t="str">
        <f>TEXT(D1073,"dd/mm/yyyy")</f>
        <v>01/10/2022</v>
      </c>
      <c r="F1073" s="5" t="str" cm="1">
        <f t="array" ref="F1073">RIGHT(_xlfn.ANCHORARRAY(E1073),4)</f>
        <v>2022</v>
      </c>
      <c r="G1073" s="5" t="str">
        <f>TEXT(E1073,"mm")</f>
        <v>01</v>
      </c>
      <c r="H1073" s="6">
        <v>2702</v>
      </c>
      <c r="I1073">
        <v>24</v>
      </c>
      <c r="L1073" t="str">
        <f t="shared" si="16"/>
        <v>Below Average</v>
      </c>
      <c r="M1073">
        <f>RANK(H1073,H:H,0)</f>
        <v>2404</v>
      </c>
    </row>
    <row r="1074" spans="1:13">
      <c r="A1074" t="s">
        <v>34</v>
      </c>
      <c r="B1074" t="s">
        <v>25</v>
      </c>
      <c r="C1074" t="s">
        <v>23</v>
      </c>
      <c r="D1074" s="4">
        <v>44656</v>
      </c>
      <c r="E1074" s="5" t="str">
        <f>TEXT(D1074,"dd/mm/yyyy")</f>
        <v>05/04/2022</v>
      </c>
      <c r="F1074" s="5" t="str" cm="1">
        <f t="array" ref="F1074">RIGHT(_xlfn.ANCHORARRAY(E1074),4)</f>
        <v>2022</v>
      </c>
      <c r="G1074" s="5" t="str">
        <f>TEXT(E1074,"mm")</f>
        <v>05</v>
      </c>
      <c r="H1074" s="6">
        <v>483</v>
      </c>
      <c r="I1074">
        <v>228</v>
      </c>
      <c r="L1074" t="str">
        <f t="shared" si="16"/>
        <v>Below Average</v>
      </c>
      <c r="M1074">
        <f>RANK(H1074,H:H,0)</f>
        <v>3136</v>
      </c>
    </row>
    <row r="1075" spans="1:13">
      <c r="A1075" t="s">
        <v>45</v>
      </c>
      <c r="B1075" t="s">
        <v>35</v>
      </c>
      <c r="C1075" t="s">
        <v>59</v>
      </c>
      <c r="D1075" s="4">
        <v>44685</v>
      </c>
      <c r="E1075" s="5" t="str">
        <f>TEXT(D1075,"dd/mm/yyyy")</f>
        <v>04/05/2022</v>
      </c>
      <c r="F1075" s="5" t="str" cm="1">
        <f t="array" ref="F1075">RIGHT(_xlfn.ANCHORARRAY(E1075),4)</f>
        <v>2022</v>
      </c>
      <c r="G1075" s="5" t="str">
        <f>TEXT(E1075,"mm")</f>
        <v>04</v>
      </c>
      <c r="H1075" s="6">
        <v>5887</v>
      </c>
      <c r="I1075">
        <v>268</v>
      </c>
      <c r="L1075" t="str">
        <f t="shared" si="16"/>
        <v>Below Average</v>
      </c>
      <c r="M1075">
        <f>RANK(H1075,H:H,0)</f>
        <v>1463</v>
      </c>
    </row>
    <row r="1076" spans="1:13">
      <c r="A1076" t="s">
        <v>67</v>
      </c>
      <c r="B1076" t="s">
        <v>10</v>
      </c>
      <c r="C1076" t="s">
        <v>23</v>
      </c>
      <c r="D1076" s="3" t="s">
        <v>152</v>
      </c>
      <c r="E1076" s="5" t="str">
        <f>TEXT(D1076,"dd/mm/yyyy")</f>
        <v>17/01/2022</v>
      </c>
      <c r="F1076" s="5" t="str" cm="1">
        <f t="array" ref="F1076">RIGHT(_xlfn.ANCHORARRAY(E1076),4)</f>
        <v>2022</v>
      </c>
      <c r="G1076" s="5" t="str">
        <f>TEXT(E1076,"mm")</f>
        <v>17/01/2022</v>
      </c>
      <c r="H1076" s="6">
        <v>952</v>
      </c>
      <c r="I1076">
        <v>68</v>
      </c>
      <c r="L1076" t="str">
        <f t="shared" si="16"/>
        <v>Below Average</v>
      </c>
      <c r="M1076">
        <f>RANK(H1076,H:H,0)</f>
        <v>2988</v>
      </c>
    </row>
    <row r="1077" spans="1:13">
      <c r="A1077" t="s">
        <v>45</v>
      </c>
      <c r="B1077" t="s">
        <v>10</v>
      </c>
      <c r="C1077" t="s">
        <v>50</v>
      </c>
      <c r="D1077" s="3" t="s">
        <v>139</v>
      </c>
      <c r="E1077" s="5" t="str">
        <f>TEXT(D1077,"dd/mm/yyyy")</f>
        <v>22/03/2022</v>
      </c>
      <c r="F1077" s="5" t="str" cm="1">
        <f t="array" ref="F1077">RIGHT(_xlfn.ANCHORARRAY(E1077),4)</f>
        <v>2022</v>
      </c>
      <c r="G1077" s="5" t="str">
        <f>TEXT(E1077,"mm")</f>
        <v>22/03/2022</v>
      </c>
      <c r="H1077" s="6">
        <v>10647</v>
      </c>
      <c r="I1077">
        <v>173</v>
      </c>
      <c r="L1077" t="str">
        <f t="shared" si="16"/>
        <v>Above Average</v>
      </c>
      <c r="M1077">
        <f>RANK(H1077,H:H,0)</f>
        <v>495</v>
      </c>
    </row>
    <row r="1078" spans="1:13">
      <c r="A1078" t="s">
        <v>79</v>
      </c>
      <c r="B1078" t="s">
        <v>15</v>
      </c>
      <c r="C1078" t="s">
        <v>59</v>
      </c>
      <c r="D1078" s="4">
        <v>44688</v>
      </c>
      <c r="E1078" s="5" t="str">
        <f>TEXT(D1078,"dd/mm/yyyy")</f>
        <v>07/05/2022</v>
      </c>
      <c r="F1078" s="5" t="str" cm="1">
        <f t="array" ref="F1078">RIGHT(_xlfn.ANCHORARRAY(E1078),4)</f>
        <v>2022</v>
      </c>
      <c r="G1078" s="5" t="str">
        <f>TEXT(E1078,"mm")</f>
        <v>07</v>
      </c>
      <c r="H1078" s="6">
        <v>6055</v>
      </c>
      <c r="I1078">
        <v>93</v>
      </c>
      <c r="L1078" t="str">
        <f t="shared" si="16"/>
        <v>Above Average</v>
      </c>
      <c r="M1078">
        <f>RANK(H1078,H:H,0)</f>
        <v>1417</v>
      </c>
    </row>
    <row r="1079" spans="1:13">
      <c r="A1079" t="s">
        <v>19</v>
      </c>
      <c r="B1079" t="s">
        <v>35</v>
      </c>
      <c r="C1079" t="s">
        <v>33</v>
      </c>
      <c r="D1079" s="3" t="s">
        <v>16</v>
      </c>
      <c r="E1079" s="5" t="str">
        <f>TEXT(D1079,"dd/mm/yyyy")</f>
        <v>27/04/2022</v>
      </c>
      <c r="F1079" s="5" t="str" cm="1">
        <f t="array" ref="F1079">RIGHT(_xlfn.ANCHORARRAY(E1079),4)</f>
        <v>2022</v>
      </c>
      <c r="G1079" s="5" t="str">
        <f>TEXT(E1079,"mm")</f>
        <v>27/04/2022</v>
      </c>
      <c r="H1079" s="6">
        <v>8757</v>
      </c>
      <c r="I1079">
        <v>338</v>
      </c>
      <c r="L1079" t="str">
        <f t="shared" si="16"/>
        <v>Above Average</v>
      </c>
      <c r="M1079">
        <f>RANK(H1079,H:H,0)</f>
        <v>787</v>
      </c>
    </row>
    <row r="1080" spans="1:13">
      <c r="A1080" t="s">
        <v>55</v>
      </c>
      <c r="B1080" t="s">
        <v>35</v>
      </c>
      <c r="C1080" t="s">
        <v>65</v>
      </c>
      <c r="D1080" s="4">
        <v>44903</v>
      </c>
      <c r="E1080" s="5" t="str">
        <f>TEXT(D1080,"dd/mm/yyyy")</f>
        <v>08/12/2022</v>
      </c>
      <c r="F1080" s="5" t="str" cm="1">
        <f t="array" ref="F1080">RIGHT(_xlfn.ANCHORARRAY(E1080),4)</f>
        <v>2022</v>
      </c>
      <c r="G1080" s="5" t="str">
        <f>TEXT(E1080,"mm")</f>
        <v>08</v>
      </c>
      <c r="H1080" s="6">
        <v>6055</v>
      </c>
      <c r="I1080">
        <v>73</v>
      </c>
      <c r="L1080" t="str">
        <f t="shared" si="16"/>
        <v>Above Average</v>
      </c>
      <c r="M1080">
        <f>RANK(H1080,H:H,0)</f>
        <v>1417</v>
      </c>
    </row>
    <row r="1081" spans="1:13">
      <c r="A1081" t="s">
        <v>14</v>
      </c>
      <c r="B1081" t="s">
        <v>7</v>
      </c>
      <c r="C1081" t="s">
        <v>87</v>
      </c>
      <c r="D1081" s="4">
        <v>44868</v>
      </c>
      <c r="E1081" s="5" t="str">
        <f>TEXT(D1081,"dd/mm/yyyy")</f>
        <v>03/11/2022</v>
      </c>
      <c r="F1081" s="5" t="str" cm="1">
        <f t="array" ref="F1081">RIGHT(_xlfn.ANCHORARRAY(E1081),4)</f>
        <v>2022</v>
      </c>
      <c r="G1081" s="5" t="str">
        <f>TEXT(E1081,"mm")</f>
        <v>03</v>
      </c>
      <c r="H1081" s="6">
        <v>721</v>
      </c>
      <c r="I1081">
        <v>251</v>
      </c>
      <c r="L1081" t="str">
        <f t="shared" si="16"/>
        <v>Below Average</v>
      </c>
      <c r="M1081">
        <f>RANK(H1081,H:H,0)</f>
        <v>3057</v>
      </c>
    </row>
    <row r="1082" spans="1:13">
      <c r="A1082" t="s">
        <v>6</v>
      </c>
      <c r="B1082" t="s">
        <v>7</v>
      </c>
      <c r="C1082" t="s">
        <v>57</v>
      </c>
      <c r="D1082" s="3" t="s">
        <v>130</v>
      </c>
      <c r="E1082" s="5" t="str">
        <f>TEXT(D1082,"dd/mm/yyyy")</f>
        <v>13/05/2022</v>
      </c>
      <c r="F1082" s="5" t="str" cm="1">
        <f t="array" ref="F1082">RIGHT(_xlfn.ANCHORARRAY(E1082),4)</f>
        <v>2022</v>
      </c>
      <c r="G1082" s="5" t="str">
        <f>TEXT(E1082,"mm")</f>
        <v>13/05/2022</v>
      </c>
      <c r="H1082" s="6">
        <v>8589</v>
      </c>
      <c r="I1082">
        <v>229</v>
      </c>
      <c r="L1082" t="str">
        <f t="shared" si="16"/>
        <v>Above Average</v>
      </c>
      <c r="M1082">
        <f>RANK(H1082,H:H,0)</f>
        <v>814</v>
      </c>
    </row>
    <row r="1083" spans="1:13">
      <c r="A1083" t="s">
        <v>58</v>
      </c>
      <c r="B1083" t="s">
        <v>32</v>
      </c>
      <c r="C1083" t="s">
        <v>18</v>
      </c>
      <c r="D1083" s="4">
        <v>44900</v>
      </c>
      <c r="E1083" s="5" t="str">
        <f>TEXT(D1083,"dd/mm/yyyy")</f>
        <v>05/12/2022</v>
      </c>
      <c r="F1083" s="5" t="str" cm="1">
        <f t="array" ref="F1083">RIGHT(_xlfn.ANCHORARRAY(E1083),4)</f>
        <v>2022</v>
      </c>
      <c r="G1083" s="5" t="str">
        <f>TEXT(E1083,"mm")</f>
        <v>05</v>
      </c>
      <c r="H1083" s="6">
        <v>11781</v>
      </c>
      <c r="I1083">
        <v>91</v>
      </c>
      <c r="L1083" t="str">
        <f t="shared" si="16"/>
        <v>Above Average</v>
      </c>
      <c r="M1083">
        <f>RANK(H1083,H:H,0)</f>
        <v>364</v>
      </c>
    </row>
    <row r="1084" spans="1:13">
      <c r="A1084" t="s">
        <v>28</v>
      </c>
      <c r="B1084" t="s">
        <v>32</v>
      </c>
      <c r="C1084" t="s">
        <v>73</v>
      </c>
      <c r="D1084" s="4">
        <v>44896</v>
      </c>
      <c r="E1084" s="5" t="str">
        <f>TEXT(D1084,"dd/mm/yyyy")</f>
        <v>01/12/2022</v>
      </c>
      <c r="F1084" s="5" t="str" cm="1">
        <f t="array" ref="F1084">RIGHT(_xlfn.ANCHORARRAY(E1084),4)</f>
        <v>2022</v>
      </c>
      <c r="G1084" s="5" t="str">
        <f>TEXT(E1084,"mm")</f>
        <v>01</v>
      </c>
      <c r="H1084" s="6">
        <v>672</v>
      </c>
      <c r="I1084">
        <v>194</v>
      </c>
      <c r="L1084" t="str">
        <f t="shared" si="16"/>
        <v>Below Average</v>
      </c>
      <c r="M1084">
        <f>RANK(H1084,H:H,0)</f>
        <v>3077</v>
      </c>
    </row>
    <row r="1085" spans="1:13">
      <c r="A1085" t="s">
        <v>77</v>
      </c>
      <c r="B1085" t="s">
        <v>25</v>
      </c>
      <c r="C1085" t="s">
        <v>46</v>
      </c>
      <c r="D1085" s="3" t="s">
        <v>118</v>
      </c>
      <c r="E1085" s="5" t="str">
        <f>TEXT(D1085,"dd/mm/yyyy")</f>
        <v>29/03/2022</v>
      </c>
      <c r="F1085" s="5" t="str" cm="1">
        <f t="array" ref="F1085">RIGHT(_xlfn.ANCHORARRAY(E1085),4)</f>
        <v>2022</v>
      </c>
      <c r="G1085" s="5" t="str">
        <f>TEXT(E1085,"mm")</f>
        <v>29/03/2022</v>
      </c>
      <c r="H1085" s="6">
        <v>12558</v>
      </c>
      <c r="I1085">
        <v>403</v>
      </c>
      <c r="L1085" t="str">
        <f t="shared" si="16"/>
        <v>Above Average</v>
      </c>
      <c r="M1085">
        <f>RANK(H1085,H:H,0)</f>
        <v>296</v>
      </c>
    </row>
    <row r="1086" spans="1:13">
      <c r="A1086" t="s">
        <v>45</v>
      </c>
      <c r="B1086" t="s">
        <v>10</v>
      </c>
      <c r="C1086" t="s">
        <v>26</v>
      </c>
      <c r="D1086" s="3" t="s">
        <v>54</v>
      </c>
      <c r="E1086" s="5" t="str">
        <f>TEXT(D1086,"dd/mm/yyyy")</f>
        <v>14/03/2022</v>
      </c>
      <c r="F1086" s="5" t="str" cm="1">
        <f t="array" ref="F1086">RIGHT(_xlfn.ANCHORARRAY(E1086),4)</f>
        <v>2022</v>
      </c>
      <c r="G1086" s="5" t="str">
        <f>TEXT(E1086,"mm")</f>
        <v>14/03/2022</v>
      </c>
      <c r="H1086" s="6">
        <v>8337</v>
      </c>
      <c r="I1086">
        <v>12</v>
      </c>
      <c r="L1086" t="str">
        <f t="shared" si="16"/>
        <v>Above Average</v>
      </c>
      <c r="M1086">
        <f>RANK(H1086,H:H,0)</f>
        <v>865</v>
      </c>
    </row>
    <row r="1087" spans="1:13">
      <c r="A1087" t="s">
        <v>31</v>
      </c>
      <c r="B1087" t="s">
        <v>25</v>
      </c>
      <c r="C1087" t="s">
        <v>20</v>
      </c>
      <c r="D1087" s="3" t="s">
        <v>62</v>
      </c>
      <c r="E1087" s="5" t="str">
        <f>TEXT(D1087,"dd/mm/yyyy")</f>
        <v>24/05/2022</v>
      </c>
      <c r="F1087" s="5" t="str" cm="1">
        <f t="array" ref="F1087">RIGHT(_xlfn.ANCHORARRAY(E1087),4)</f>
        <v>2022</v>
      </c>
      <c r="G1087" s="5" t="str">
        <f>TEXT(E1087,"mm")</f>
        <v>24/05/2022</v>
      </c>
      <c r="H1087" s="6">
        <v>8134</v>
      </c>
      <c r="I1087">
        <v>195</v>
      </c>
      <c r="L1087" t="str">
        <f t="shared" si="16"/>
        <v>Above Average</v>
      </c>
      <c r="M1087">
        <f>RANK(H1087,H:H,0)</f>
        <v>907</v>
      </c>
    </row>
    <row r="1088" spans="1:13">
      <c r="A1088" t="s">
        <v>58</v>
      </c>
      <c r="B1088" t="s">
        <v>35</v>
      </c>
      <c r="C1088" t="s">
        <v>42</v>
      </c>
      <c r="D1088" s="3" t="s">
        <v>107</v>
      </c>
      <c r="E1088" s="5" t="str">
        <f>TEXT(D1088,"dd/mm/yyyy")</f>
        <v>28/01/2022</v>
      </c>
      <c r="F1088" s="5" t="str" cm="1">
        <f t="array" ref="F1088">RIGHT(_xlfn.ANCHORARRAY(E1088),4)</f>
        <v>2022</v>
      </c>
      <c r="G1088" s="5" t="str">
        <f>TEXT(E1088,"mm")</f>
        <v>28/01/2022</v>
      </c>
      <c r="H1088" s="6">
        <v>8491</v>
      </c>
      <c r="I1088">
        <v>75</v>
      </c>
      <c r="L1088" t="str">
        <f t="shared" si="16"/>
        <v>Above Average</v>
      </c>
      <c r="M1088">
        <f>RANK(H1088,H:H,0)</f>
        <v>837</v>
      </c>
    </row>
    <row r="1089" spans="1:13">
      <c r="A1089" t="s">
        <v>41</v>
      </c>
      <c r="B1089" t="s">
        <v>10</v>
      </c>
      <c r="C1089" t="s">
        <v>65</v>
      </c>
      <c r="D1089" s="3" t="s">
        <v>62</v>
      </c>
      <c r="E1089" s="5" t="str">
        <f>TEXT(D1089,"dd/mm/yyyy")</f>
        <v>24/05/2022</v>
      </c>
      <c r="F1089" s="5" t="str" cm="1">
        <f t="array" ref="F1089">RIGHT(_xlfn.ANCHORARRAY(E1089),4)</f>
        <v>2022</v>
      </c>
      <c r="G1089" s="5" t="str">
        <f>TEXT(E1089,"mm")</f>
        <v>24/05/2022</v>
      </c>
      <c r="H1089" s="6">
        <v>3066</v>
      </c>
      <c r="I1089">
        <v>96</v>
      </c>
      <c r="L1089" t="str">
        <f t="shared" si="16"/>
        <v>Below Average</v>
      </c>
      <c r="M1089">
        <f>RANK(H1089,H:H,0)</f>
        <v>2283</v>
      </c>
    </row>
    <row r="1090" spans="1:13">
      <c r="A1090" t="s">
        <v>28</v>
      </c>
      <c r="B1090" t="s">
        <v>15</v>
      </c>
      <c r="C1090" t="s">
        <v>13</v>
      </c>
      <c r="D1090" s="3" t="s">
        <v>137</v>
      </c>
      <c r="E1090" s="5" t="str">
        <f>TEXT(D1090,"dd/mm/yyyy")</f>
        <v>19/08/2022</v>
      </c>
      <c r="F1090" s="5" t="str" cm="1">
        <f t="array" ref="F1090">RIGHT(_xlfn.ANCHORARRAY(E1090),4)</f>
        <v>2022</v>
      </c>
      <c r="G1090" s="5" t="str">
        <f>TEXT(E1090,"mm")</f>
        <v>19/08/2022</v>
      </c>
      <c r="H1090" s="6">
        <v>301</v>
      </c>
      <c r="I1090">
        <v>205</v>
      </c>
      <c r="L1090" t="str">
        <f t="shared" si="16"/>
        <v>Below Average</v>
      </c>
      <c r="M1090">
        <f>RANK(H1090,H:H,0)</f>
        <v>3192</v>
      </c>
    </row>
    <row r="1091" spans="1:13">
      <c r="A1091" t="s">
        <v>37</v>
      </c>
      <c r="B1091" t="s">
        <v>15</v>
      </c>
      <c r="C1091" t="s">
        <v>50</v>
      </c>
      <c r="D1091" s="3" t="s">
        <v>144</v>
      </c>
      <c r="E1091" s="5" t="str">
        <f>TEXT(D1091,"dd/mm/yyyy")</f>
        <v>17/05/2022</v>
      </c>
      <c r="F1091" s="5" t="str" cm="1">
        <f t="array" ref="F1091">RIGHT(_xlfn.ANCHORARRAY(E1091),4)</f>
        <v>2022</v>
      </c>
      <c r="G1091" s="5" t="str">
        <f>TEXT(E1091,"mm")</f>
        <v>17/05/2022</v>
      </c>
      <c r="H1091" s="6">
        <v>4410</v>
      </c>
      <c r="I1091">
        <v>323</v>
      </c>
      <c r="L1091" t="str">
        <f t="shared" ref="L1091:L1154" si="17">IF(H1091&gt;6030.34,"Above Average","Below Average")</f>
        <v>Below Average</v>
      </c>
      <c r="M1091">
        <f>RANK(H1091,H:H,0)</f>
        <v>1871</v>
      </c>
    </row>
    <row r="1092" spans="1:13">
      <c r="A1092" t="s">
        <v>6</v>
      </c>
      <c r="B1092" t="s">
        <v>32</v>
      </c>
      <c r="C1092" t="s">
        <v>59</v>
      </c>
      <c r="D1092" s="4">
        <v>44748</v>
      </c>
      <c r="E1092" s="5" t="str">
        <f>TEXT(D1092,"dd/mm/yyyy")</f>
        <v>06/07/2022</v>
      </c>
      <c r="F1092" s="5" t="str" cm="1">
        <f t="array" ref="F1092">RIGHT(_xlfn.ANCHORARRAY(E1092),4)</f>
        <v>2022</v>
      </c>
      <c r="G1092" s="5" t="str">
        <f>TEXT(E1092,"mm")</f>
        <v>06</v>
      </c>
      <c r="H1092" s="6">
        <v>6559</v>
      </c>
      <c r="I1092">
        <v>119</v>
      </c>
      <c r="L1092" t="str">
        <f t="shared" si="17"/>
        <v>Above Average</v>
      </c>
      <c r="M1092">
        <f>RANK(H1092,H:H,0)</f>
        <v>1292</v>
      </c>
    </row>
    <row r="1093" spans="1:13">
      <c r="A1093" t="s">
        <v>83</v>
      </c>
      <c r="B1093" t="s">
        <v>35</v>
      </c>
      <c r="C1093" t="s">
        <v>42</v>
      </c>
      <c r="D1093" s="3" t="s">
        <v>101</v>
      </c>
      <c r="E1093" s="5" t="str">
        <f>TEXT(D1093,"dd/mm/yyyy")</f>
        <v>26/07/2022</v>
      </c>
      <c r="F1093" s="5" t="str" cm="1">
        <f t="array" ref="F1093">RIGHT(_xlfn.ANCHORARRAY(E1093),4)</f>
        <v>2022</v>
      </c>
      <c r="G1093" s="5" t="str">
        <f>TEXT(E1093,"mm")</f>
        <v>26/07/2022</v>
      </c>
      <c r="H1093" s="6">
        <v>574</v>
      </c>
      <c r="I1093">
        <v>217</v>
      </c>
      <c r="L1093" t="str">
        <f t="shared" si="17"/>
        <v>Below Average</v>
      </c>
      <c r="M1093">
        <f>RANK(H1093,H:H,0)</f>
        <v>3104</v>
      </c>
    </row>
    <row r="1094" spans="1:13">
      <c r="A1094" t="s">
        <v>79</v>
      </c>
      <c r="B1094" t="s">
        <v>10</v>
      </c>
      <c r="C1094" t="s">
        <v>36</v>
      </c>
      <c r="D1094" s="3" t="s">
        <v>39</v>
      </c>
      <c r="E1094" s="5" t="str">
        <f>TEXT(D1094,"dd/mm/yyyy")</f>
        <v>28/07/2022</v>
      </c>
      <c r="F1094" s="5" t="str" cm="1">
        <f t="array" ref="F1094">RIGHT(_xlfn.ANCHORARRAY(E1094),4)</f>
        <v>2022</v>
      </c>
      <c r="G1094" s="5" t="str">
        <f>TEXT(E1094,"mm")</f>
        <v>28/07/2022</v>
      </c>
      <c r="H1094" s="6">
        <v>2086</v>
      </c>
      <c r="I1094">
        <v>384</v>
      </c>
      <c r="L1094" t="str">
        <f t="shared" si="17"/>
        <v>Below Average</v>
      </c>
      <c r="M1094">
        <f>RANK(H1094,H:H,0)</f>
        <v>2606</v>
      </c>
    </row>
    <row r="1095" spans="1:13">
      <c r="A1095" t="s">
        <v>37</v>
      </c>
      <c r="B1095" t="s">
        <v>10</v>
      </c>
      <c r="C1095" t="s">
        <v>100</v>
      </c>
      <c r="D1095" s="3" t="s">
        <v>136</v>
      </c>
      <c r="E1095" s="5" t="str">
        <f>TEXT(D1095,"dd/mm/yyyy")</f>
        <v>23/05/2022</v>
      </c>
      <c r="F1095" s="5" t="str" cm="1">
        <f t="array" ref="F1095">RIGHT(_xlfn.ANCHORARRAY(E1095),4)</f>
        <v>2022</v>
      </c>
      <c r="G1095" s="5" t="str">
        <f>TEXT(E1095,"mm")</f>
        <v>23/05/2022</v>
      </c>
      <c r="H1095" s="6">
        <v>5075</v>
      </c>
      <c r="I1095">
        <v>344</v>
      </c>
      <c r="L1095" t="str">
        <f t="shared" si="17"/>
        <v>Below Average</v>
      </c>
      <c r="M1095">
        <f>RANK(H1095,H:H,0)</f>
        <v>1681</v>
      </c>
    </row>
    <row r="1096" spans="1:13">
      <c r="A1096" t="s">
        <v>6</v>
      </c>
      <c r="B1096" t="s">
        <v>7</v>
      </c>
      <c r="C1096" t="s">
        <v>8</v>
      </c>
      <c r="D1096" s="4">
        <v>45017</v>
      </c>
      <c r="E1096" s="5" t="str">
        <f>TEXT(D1096,"dd/mm/yyyy")</f>
        <v>01/04/2023</v>
      </c>
      <c r="F1096" s="5" t="str" cm="1">
        <f t="array" ref="F1096">RIGHT(_xlfn.ANCHORARRAY(E1096),4)</f>
        <v>2023</v>
      </c>
      <c r="G1096" s="5" t="str">
        <f>TEXT(E1096,"mm")</f>
        <v>01</v>
      </c>
      <c r="H1096" s="6">
        <v>5902.13</v>
      </c>
      <c r="I1096">
        <v>178</v>
      </c>
      <c r="L1096" t="str">
        <f t="shared" si="17"/>
        <v>Below Average</v>
      </c>
      <c r="M1096">
        <f>RANK(H1096,H:H,0)</f>
        <v>1459</v>
      </c>
    </row>
    <row r="1097" spans="1:13">
      <c r="A1097" t="s">
        <v>9</v>
      </c>
      <c r="B1097" t="s">
        <v>10</v>
      </c>
      <c r="C1097" t="s">
        <v>11</v>
      </c>
      <c r="D1097" s="4">
        <v>44934</v>
      </c>
      <c r="E1097" s="5" t="str">
        <f>TEXT(D1097,"dd/mm/yyyy")</f>
        <v>08/01/2023</v>
      </c>
      <c r="F1097" s="5" t="str" cm="1">
        <f t="array" ref="F1097">RIGHT(_xlfn.ANCHORARRAY(E1097),4)</f>
        <v>2023</v>
      </c>
      <c r="G1097" s="5" t="str">
        <f>TEXT(E1097,"mm")</f>
        <v>08</v>
      </c>
      <c r="H1097" s="6">
        <v>8074.39</v>
      </c>
      <c r="I1097">
        <v>100</v>
      </c>
      <c r="L1097" t="str">
        <f t="shared" si="17"/>
        <v>Above Average</v>
      </c>
      <c r="M1097">
        <f>RANK(H1097,H:H,0)</f>
        <v>924</v>
      </c>
    </row>
    <row r="1098" spans="1:13">
      <c r="A1098" t="s">
        <v>12</v>
      </c>
      <c r="B1098" t="s">
        <v>10</v>
      </c>
      <c r="C1098" t="s">
        <v>13</v>
      </c>
      <c r="D1098" s="4">
        <v>45114</v>
      </c>
      <c r="E1098" s="5" t="str">
        <f>TEXT(D1098,"dd/mm/yyyy")</f>
        <v>07/07/2023</v>
      </c>
      <c r="F1098" s="5" t="str" cm="1">
        <f t="array" ref="F1098">RIGHT(_xlfn.ANCHORARRAY(E1098),4)</f>
        <v>2023</v>
      </c>
      <c r="G1098" s="5" t="str">
        <f>TEXT(E1098,"mm")</f>
        <v>07</v>
      </c>
      <c r="H1098" s="6">
        <v>4666.18</v>
      </c>
      <c r="I1098">
        <v>100</v>
      </c>
      <c r="L1098" t="str">
        <f t="shared" si="17"/>
        <v>Below Average</v>
      </c>
      <c r="M1098">
        <f>RANK(H1098,H:H,0)</f>
        <v>1809</v>
      </c>
    </row>
    <row r="1099" spans="1:13">
      <c r="A1099" t="s">
        <v>14</v>
      </c>
      <c r="B1099" t="s">
        <v>15</v>
      </c>
      <c r="C1099" t="s">
        <v>13</v>
      </c>
      <c r="D1099" s="3" t="s">
        <v>162</v>
      </c>
      <c r="E1099" s="5" t="str">
        <f>TEXT(D1099,"dd/mm/yyyy")</f>
        <v>27/04/2023</v>
      </c>
      <c r="F1099" s="5" t="str" cm="1">
        <f t="array" ref="F1099">RIGHT(_xlfn.ANCHORARRAY(E1099),4)</f>
        <v>2023</v>
      </c>
      <c r="G1099" s="5" t="str">
        <f>TEXT(E1099,"mm")</f>
        <v>27/04/2023</v>
      </c>
      <c r="H1099" s="6">
        <v>14103.4</v>
      </c>
      <c r="I1099">
        <v>350</v>
      </c>
      <c r="L1099" t="str">
        <f t="shared" si="17"/>
        <v>Above Average</v>
      </c>
      <c r="M1099">
        <f>RANK(H1099,H:H,0)</f>
        <v>203</v>
      </c>
    </row>
    <row r="1100" spans="1:13">
      <c r="A1100" t="s">
        <v>6</v>
      </c>
      <c r="B1100" t="s">
        <v>7</v>
      </c>
      <c r="C1100" t="s">
        <v>13</v>
      </c>
      <c r="D1100" s="3" t="s">
        <v>163</v>
      </c>
      <c r="E1100" s="5" t="str">
        <f>TEXT(D1100,"dd/mm/yyyy")</f>
        <v>24/02/2023</v>
      </c>
      <c r="F1100" s="5" t="str" cm="1">
        <f t="array" ref="F1100">RIGHT(_xlfn.ANCHORARRAY(E1100),4)</f>
        <v>2023</v>
      </c>
      <c r="G1100" s="5" t="str">
        <f>TEXT(E1100,"mm")</f>
        <v>24/02/2023</v>
      </c>
      <c r="H1100" s="6">
        <v>14167.84</v>
      </c>
      <c r="I1100">
        <v>178</v>
      </c>
      <c r="L1100" t="str">
        <f t="shared" si="17"/>
        <v>Above Average</v>
      </c>
      <c r="M1100">
        <f>RANK(H1100,H:H,0)</f>
        <v>199</v>
      </c>
    </row>
    <row r="1101" spans="1:13">
      <c r="A1101" t="s">
        <v>9</v>
      </c>
      <c r="B1101" t="s">
        <v>10</v>
      </c>
      <c r="C1101" t="s">
        <v>18</v>
      </c>
      <c r="D1101" s="4">
        <v>45083</v>
      </c>
      <c r="E1101" s="5" t="str">
        <f>TEXT(D1101,"dd/mm/yyyy")</f>
        <v>06/06/2023</v>
      </c>
      <c r="F1101" s="5" t="str" cm="1">
        <f t="array" ref="F1101">RIGHT(_xlfn.ANCHORARRAY(E1101),4)</f>
        <v>2023</v>
      </c>
      <c r="G1101" s="5" t="str">
        <f>TEXT(E1101,"mm")</f>
        <v>06</v>
      </c>
      <c r="H1101" s="6">
        <v>5768.75</v>
      </c>
      <c r="I1101">
        <v>37</v>
      </c>
      <c r="L1101" t="str">
        <f t="shared" si="17"/>
        <v>Below Average</v>
      </c>
      <c r="M1101">
        <f>RANK(H1101,H:H,0)</f>
        <v>1499</v>
      </c>
    </row>
    <row r="1102" spans="1:13">
      <c r="A1102" t="s">
        <v>19</v>
      </c>
      <c r="B1102" t="s">
        <v>7</v>
      </c>
      <c r="C1102" t="s">
        <v>20</v>
      </c>
      <c r="D1102" s="3" t="s">
        <v>164</v>
      </c>
      <c r="E1102" s="5" t="str">
        <f>TEXT(D1102,"dd/mm/yyyy")</f>
        <v>25/01/2023</v>
      </c>
      <c r="F1102" s="5" t="str" cm="1">
        <f t="array" ref="F1102">RIGHT(_xlfn.ANCHORARRAY(E1102),4)</f>
        <v>2023</v>
      </c>
      <c r="G1102" s="5" t="str">
        <f>TEXT(E1102,"mm")</f>
        <v>25/01/2023</v>
      </c>
      <c r="H1102" s="6">
        <v>14673.2</v>
      </c>
      <c r="I1102">
        <v>175</v>
      </c>
      <c r="L1102" t="str">
        <f t="shared" si="17"/>
        <v>Above Average</v>
      </c>
      <c r="M1102">
        <f>RANK(H1102,H:H,0)</f>
        <v>166</v>
      </c>
    </row>
    <row r="1103" spans="1:13">
      <c r="A1103" t="s">
        <v>22</v>
      </c>
      <c r="B1103" t="s">
        <v>15</v>
      </c>
      <c r="C1103" t="s">
        <v>23</v>
      </c>
      <c r="D1103" s="3" t="s">
        <v>165</v>
      </c>
      <c r="E1103" s="5" t="str">
        <f>TEXT(D1103,"dd/mm/yyyy")</f>
        <v>24/03/2023</v>
      </c>
      <c r="F1103" s="5" t="str" cm="1">
        <f t="array" ref="F1103">RIGHT(_xlfn.ANCHORARRAY(E1103),4)</f>
        <v>2023</v>
      </c>
      <c r="G1103" s="5" t="str">
        <f>TEXT(E1103,"mm")</f>
        <v>24/03/2023</v>
      </c>
      <c r="H1103" s="6">
        <v>3249.23</v>
      </c>
      <c r="I1103">
        <v>78</v>
      </c>
      <c r="L1103" t="str">
        <f t="shared" si="17"/>
        <v>Below Average</v>
      </c>
      <c r="M1103">
        <f>RANK(H1103,H:H,0)</f>
        <v>2224</v>
      </c>
    </row>
    <row r="1104" spans="1:13">
      <c r="A1104" t="s">
        <v>6</v>
      </c>
      <c r="B1104" t="s">
        <v>25</v>
      </c>
      <c r="C1104" t="s">
        <v>26</v>
      </c>
      <c r="D1104" s="3" t="s">
        <v>166</v>
      </c>
      <c r="E1104" s="5" t="str">
        <f>TEXT(D1104,"dd/mm/yyyy")</f>
        <v>20/04/2023</v>
      </c>
      <c r="F1104" s="5" t="str" cm="1">
        <f t="array" ref="F1104">RIGHT(_xlfn.ANCHORARRAY(E1104),4)</f>
        <v>2023</v>
      </c>
      <c r="G1104" s="5" t="str">
        <f>TEXT(E1104,"mm")</f>
        <v>20/04/2023</v>
      </c>
      <c r="H1104" s="6">
        <v>4526.24</v>
      </c>
      <c r="I1104">
        <v>64</v>
      </c>
      <c r="L1104" t="str">
        <f t="shared" si="17"/>
        <v>Below Average</v>
      </c>
      <c r="M1104">
        <f>RANK(H1104,H:H,0)</f>
        <v>1839</v>
      </c>
    </row>
    <row r="1105" spans="1:13">
      <c r="A1105" t="s">
        <v>28</v>
      </c>
      <c r="B1105" t="s">
        <v>15</v>
      </c>
      <c r="C1105" t="s">
        <v>20</v>
      </c>
      <c r="D1105" s="4">
        <v>45023</v>
      </c>
      <c r="E1105" s="5" t="str">
        <f>TEXT(D1105,"dd/mm/yyyy")</f>
        <v>07/04/2023</v>
      </c>
      <c r="F1105" s="5" t="str" cm="1">
        <f t="array" ref="F1105">RIGHT(_xlfn.ANCHORARRAY(E1105),4)</f>
        <v>2023</v>
      </c>
      <c r="G1105" s="5" t="str">
        <f>TEXT(E1105,"mm")</f>
        <v>07</v>
      </c>
      <c r="H1105" s="6">
        <v>3166.56</v>
      </c>
      <c r="I1105">
        <v>98</v>
      </c>
      <c r="L1105" t="str">
        <f t="shared" si="17"/>
        <v>Below Average</v>
      </c>
      <c r="M1105">
        <f>RANK(H1105,H:H,0)</f>
        <v>2249</v>
      </c>
    </row>
    <row r="1106" spans="1:13">
      <c r="A1106" t="s">
        <v>29</v>
      </c>
      <c r="B1106" t="s">
        <v>7</v>
      </c>
      <c r="C1106" t="s">
        <v>18</v>
      </c>
      <c r="D1106" s="3" t="s">
        <v>167</v>
      </c>
      <c r="E1106" s="5" t="str">
        <f>TEXT(D1106,"dd/mm/yyyy")</f>
        <v>13/01/2023</v>
      </c>
      <c r="F1106" s="5" t="str" cm="1">
        <f t="array" ref="F1106">RIGHT(_xlfn.ANCHORARRAY(E1106),4)</f>
        <v>2023</v>
      </c>
      <c r="G1106" s="5" t="str">
        <f>TEXT(E1106,"mm")</f>
        <v>13/01/2023</v>
      </c>
      <c r="H1106" s="6">
        <v>4866.3900000000003</v>
      </c>
      <c r="I1106">
        <v>65</v>
      </c>
      <c r="L1106" t="str">
        <f t="shared" si="17"/>
        <v>Below Average</v>
      </c>
      <c r="M1106">
        <f>RANK(H1106,H:H,0)</f>
        <v>1745</v>
      </c>
    </row>
    <row r="1107" spans="1:13">
      <c r="A1107" t="s">
        <v>31</v>
      </c>
      <c r="B1107" t="s">
        <v>32</v>
      </c>
      <c r="C1107" t="s">
        <v>33</v>
      </c>
      <c r="D1107" s="4">
        <v>45202</v>
      </c>
      <c r="E1107" s="5" t="str">
        <f>TEXT(D1107,"dd/mm/yyyy")</f>
        <v>03/10/2023</v>
      </c>
      <c r="F1107" s="5" t="str" cm="1">
        <f t="array" ref="F1107">RIGHT(_xlfn.ANCHORARRAY(E1107),4)</f>
        <v>2023</v>
      </c>
      <c r="G1107" s="5" t="str">
        <f>TEXT(E1107,"mm")</f>
        <v>03</v>
      </c>
      <c r="H1107" s="6">
        <v>4254.37</v>
      </c>
      <c r="I1107">
        <v>12</v>
      </c>
      <c r="L1107" t="str">
        <f t="shared" si="17"/>
        <v>Below Average</v>
      </c>
      <c r="M1107">
        <f>RANK(H1107,H:H,0)</f>
        <v>1915</v>
      </c>
    </row>
    <row r="1108" spans="1:13">
      <c r="A1108" t="s">
        <v>34</v>
      </c>
      <c r="B1108" t="s">
        <v>35</v>
      </c>
      <c r="C1108" t="s">
        <v>36</v>
      </c>
      <c r="D1108" s="3" t="s">
        <v>167</v>
      </c>
      <c r="E1108" s="5" t="str">
        <f>TEXT(D1108,"dd/mm/yyyy")</f>
        <v>13/01/2023</v>
      </c>
      <c r="F1108" s="5" t="str" cm="1">
        <f t="array" ref="F1108">RIGHT(_xlfn.ANCHORARRAY(E1108),4)</f>
        <v>2023</v>
      </c>
      <c r="G1108" s="5" t="str">
        <f>TEXT(E1108,"mm")</f>
        <v>13/01/2023</v>
      </c>
      <c r="H1108" s="6">
        <v>1652.61</v>
      </c>
      <c r="I1108">
        <v>277</v>
      </c>
      <c r="L1108" t="str">
        <f t="shared" si="17"/>
        <v>Below Average</v>
      </c>
      <c r="M1108">
        <f>RANK(H1108,H:H,0)</f>
        <v>2749</v>
      </c>
    </row>
    <row r="1109" spans="1:13">
      <c r="A1109" t="s">
        <v>37</v>
      </c>
      <c r="B1109" t="s">
        <v>25</v>
      </c>
      <c r="C1109" t="s">
        <v>38</v>
      </c>
      <c r="D1109" s="3" t="s">
        <v>168</v>
      </c>
      <c r="E1109" s="5" t="str">
        <f>TEXT(D1109,"dd/mm/yyyy")</f>
        <v>28/07/2023</v>
      </c>
      <c r="F1109" s="5" t="str" cm="1">
        <f t="array" ref="F1109">RIGHT(_xlfn.ANCHORARRAY(E1109),4)</f>
        <v>2023</v>
      </c>
      <c r="G1109" s="5" t="str">
        <f>TEXT(E1109,"mm")</f>
        <v>28/07/2023</v>
      </c>
      <c r="H1109" s="6">
        <v>171.49</v>
      </c>
      <c r="I1109">
        <v>163</v>
      </c>
      <c r="L1109" t="str">
        <f t="shared" si="17"/>
        <v>Below Average</v>
      </c>
      <c r="M1109">
        <f>RANK(H1109,H:H,0)</f>
        <v>3223</v>
      </c>
    </row>
    <row r="1110" spans="1:13">
      <c r="A1110" t="s">
        <v>40</v>
      </c>
      <c r="B1110" t="s">
        <v>25</v>
      </c>
      <c r="C1110" t="s">
        <v>13</v>
      </c>
      <c r="D1110" s="4">
        <v>44993</v>
      </c>
      <c r="E1110" s="5" t="str">
        <f>TEXT(D1110,"dd/mm/yyyy")</f>
        <v>08/03/2023</v>
      </c>
      <c r="F1110" s="5" t="str" cm="1">
        <f t="array" ref="F1110">RIGHT(_xlfn.ANCHORARRAY(E1110),4)</f>
        <v>2023</v>
      </c>
      <c r="G1110" s="5" t="str">
        <f>TEXT(E1110,"mm")</f>
        <v>08</v>
      </c>
      <c r="H1110" s="6">
        <v>8549.84</v>
      </c>
      <c r="I1110">
        <v>169</v>
      </c>
      <c r="L1110" t="str">
        <f t="shared" si="17"/>
        <v>Above Average</v>
      </c>
      <c r="M1110">
        <f>RANK(H1110,H:H,0)</f>
        <v>823</v>
      </c>
    </row>
    <row r="1111" spans="1:13">
      <c r="A1111" t="s">
        <v>41</v>
      </c>
      <c r="B1111" t="s">
        <v>15</v>
      </c>
      <c r="C1111" t="s">
        <v>42</v>
      </c>
      <c r="D1111" s="3" t="s">
        <v>169</v>
      </c>
      <c r="E1111" s="5" t="str">
        <f>TEXT(D1111,"dd/mm/yyyy")</f>
        <v>26/01/2023</v>
      </c>
      <c r="F1111" s="5" t="str" cm="1">
        <f t="array" ref="F1111">RIGHT(_xlfn.ANCHORARRAY(E1111),4)</f>
        <v>2023</v>
      </c>
      <c r="G1111" s="5" t="str">
        <f>TEXT(E1111,"mm")</f>
        <v>26/01/2023</v>
      </c>
      <c r="H1111" s="6">
        <v>7807.74</v>
      </c>
      <c r="I1111">
        <v>355</v>
      </c>
      <c r="L1111" t="str">
        <f t="shared" si="17"/>
        <v>Above Average</v>
      </c>
      <c r="M1111">
        <f>RANK(H1111,H:H,0)</f>
        <v>984</v>
      </c>
    </row>
    <row r="1112" spans="1:13">
      <c r="A1112" t="s">
        <v>9</v>
      </c>
      <c r="B1112" t="s">
        <v>35</v>
      </c>
      <c r="C1112" t="s">
        <v>42</v>
      </c>
      <c r="D1112" s="3" t="s">
        <v>170</v>
      </c>
      <c r="E1112" s="5" t="str">
        <f>TEXT(D1112,"dd/mm/yyyy")</f>
        <v>14/02/2023</v>
      </c>
      <c r="F1112" s="5" t="str" cm="1">
        <f t="array" ref="F1112">RIGHT(_xlfn.ANCHORARRAY(E1112),4)</f>
        <v>2023</v>
      </c>
      <c r="G1112" s="5" t="str">
        <f>TEXT(E1112,"mm")</f>
        <v>14/02/2023</v>
      </c>
      <c r="H1112" s="6">
        <v>4561.43</v>
      </c>
      <c r="I1112">
        <v>44</v>
      </c>
      <c r="L1112" t="str">
        <f t="shared" si="17"/>
        <v>Below Average</v>
      </c>
      <c r="M1112">
        <f>RANK(H1112,H:H,0)</f>
        <v>1832</v>
      </c>
    </row>
    <row r="1113" spans="1:13">
      <c r="A1113" t="s">
        <v>45</v>
      </c>
      <c r="B1113" t="s">
        <v>32</v>
      </c>
      <c r="C1113" t="s">
        <v>18</v>
      </c>
      <c r="D1113" s="4">
        <v>45050</v>
      </c>
      <c r="E1113" s="5" t="str">
        <f>TEXT(D1113,"dd/mm/yyyy")</f>
        <v>04/05/2023</v>
      </c>
      <c r="F1113" s="5" t="str" cm="1">
        <f t="array" ref="F1113">RIGHT(_xlfn.ANCHORARRAY(E1113),4)</f>
        <v>2023</v>
      </c>
      <c r="G1113" s="5" t="str">
        <f>TEXT(E1113,"mm")</f>
        <v>04</v>
      </c>
      <c r="H1113" s="6">
        <v>3041.12</v>
      </c>
      <c r="I1113">
        <v>148</v>
      </c>
      <c r="L1113" t="str">
        <f t="shared" si="17"/>
        <v>Below Average</v>
      </c>
      <c r="M1113">
        <f>RANK(H1113,H:H,0)</f>
        <v>2289</v>
      </c>
    </row>
    <row r="1114" spans="1:13">
      <c r="A1114" t="s">
        <v>41</v>
      </c>
      <c r="B1114" t="s">
        <v>35</v>
      </c>
      <c r="C1114" t="s">
        <v>46</v>
      </c>
      <c r="D1114" s="3" t="s">
        <v>171</v>
      </c>
      <c r="E1114" s="5" t="str">
        <f>TEXT(D1114,"dd/mm/yyyy")</f>
        <v>16/02/2023</v>
      </c>
      <c r="F1114" s="5" t="str" cm="1">
        <f t="array" ref="F1114">RIGHT(_xlfn.ANCHORARRAY(E1114),4)</f>
        <v>2023</v>
      </c>
      <c r="G1114" s="5" t="str">
        <f>TEXT(E1114,"mm")</f>
        <v>16/02/2023</v>
      </c>
      <c r="H1114" s="6">
        <v>9786.09</v>
      </c>
      <c r="I1114">
        <v>248</v>
      </c>
      <c r="L1114" t="str">
        <f t="shared" si="17"/>
        <v>Above Average</v>
      </c>
      <c r="M1114">
        <f>RANK(H1114,H:H,0)</f>
        <v>615</v>
      </c>
    </row>
    <row r="1115" spans="1:13">
      <c r="A1115" t="s">
        <v>48</v>
      </c>
      <c r="B1115" t="s">
        <v>7</v>
      </c>
      <c r="C1115" t="s">
        <v>11</v>
      </c>
      <c r="D1115" s="4">
        <v>45144</v>
      </c>
      <c r="E1115" s="5" t="str">
        <f>TEXT(D1115,"dd/mm/yyyy")</f>
        <v>06/08/2023</v>
      </c>
      <c r="F1115" s="5" t="str" cm="1">
        <f t="array" ref="F1115">RIGHT(_xlfn.ANCHORARRAY(E1115),4)</f>
        <v>2023</v>
      </c>
      <c r="G1115" s="5" t="str">
        <f>TEXT(E1115,"mm")</f>
        <v>06</v>
      </c>
      <c r="H1115" s="6">
        <v>1131.25</v>
      </c>
      <c r="I1115">
        <v>175</v>
      </c>
      <c r="L1115" t="str">
        <f t="shared" si="17"/>
        <v>Below Average</v>
      </c>
      <c r="M1115">
        <f>RANK(H1115,H:H,0)</f>
        <v>2925</v>
      </c>
    </row>
    <row r="1116" spans="1:13">
      <c r="A1116" t="s">
        <v>28</v>
      </c>
      <c r="B1116" t="s">
        <v>15</v>
      </c>
      <c r="C1116" t="s">
        <v>36</v>
      </c>
      <c r="D1116" s="3" t="s">
        <v>172</v>
      </c>
      <c r="E1116" s="5" t="str">
        <f>TEXT(D1116,"dd/mm/yyyy")</f>
        <v>27/06/2023</v>
      </c>
      <c r="F1116" s="5" t="str" cm="1">
        <f t="array" ref="F1116">RIGHT(_xlfn.ANCHORARRAY(E1116),4)</f>
        <v>2023</v>
      </c>
      <c r="G1116" s="5" t="str">
        <f>TEXT(E1116,"mm")</f>
        <v>27/06/2023</v>
      </c>
      <c r="H1116" s="6">
        <v>7484.07</v>
      </c>
      <c r="I1116">
        <v>94</v>
      </c>
      <c r="L1116" t="str">
        <f t="shared" si="17"/>
        <v>Above Average</v>
      </c>
      <c r="M1116">
        <f>RANK(H1116,H:H,0)</f>
        <v>1067</v>
      </c>
    </row>
    <row r="1117" spans="1:13">
      <c r="A1117" t="s">
        <v>22</v>
      </c>
      <c r="B1117" t="s">
        <v>32</v>
      </c>
      <c r="C1117" t="s">
        <v>50</v>
      </c>
      <c r="D1117" s="3" t="s">
        <v>173</v>
      </c>
      <c r="E1117" s="5" t="str">
        <f>TEXT(D1117,"dd/mm/yyyy")</f>
        <v>17/02/2023</v>
      </c>
      <c r="F1117" s="5" t="str" cm="1">
        <f t="array" ref="F1117">RIGHT(_xlfn.ANCHORARRAY(E1117),4)</f>
        <v>2023</v>
      </c>
      <c r="G1117" s="5" t="str">
        <f>TEXT(E1117,"mm")</f>
        <v>17/02/2023</v>
      </c>
      <c r="H1117" s="6">
        <v>1339.61</v>
      </c>
      <c r="I1117">
        <v>166</v>
      </c>
      <c r="L1117" t="str">
        <f t="shared" si="17"/>
        <v>Below Average</v>
      </c>
      <c r="M1117">
        <f>RANK(H1117,H:H,0)</f>
        <v>2863</v>
      </c>
    </row>
    <row r="1118" spans="1:13">
      <c r="A1118" t="s">
        <v>40</v>
      </c>
      <c r="B1118" t="s">
        <v>32</v>
      </c>
      <c r="C1118" t="s">
        <v>23</v>
      </c>
      <c r="D1118" s="3" t="s">
        <v>174</v>
      </c>
      <c r="E1118" s="5" t="str">
        <f>TEXT(D1118,"dd/mm/yyyy")</f>
        <v>30/05/2023</v>
      </c>
      <c r="F1118" s="5" t="str" cm="1">
        <f t="array" ref="F1118">RIGHT(_xlfn.ANCHORARRAY(E1118),4)</f>
        <v>2023</v>
      </c>
      <c r="G1118" s="5" t="str">
        <f>TEXT(E1118,"mm")</f>
        <v>30/05/2023</v>
      </c>
      <c r="H1118" s="6">
        <v>5481.18</v>
      </c>
      <c r="I1118">
        <v>159</v>
      </c>
      <c r="L1118" t="str">
        <f t="shared" si="17"/>
        <v>Below Average</v>
      </c>
      <c r="M1118">
        <f>RANK(H1118,H:H,0)</f>
        <v>1571</v>
      </c>
    </row>
    <row r="1119" spans="1:13">
      <c r="A1119" t="s">
        <v>53</v>
      </c>
      <c r="B1119" t="s">
        <v>7</v>
      </c>
      <c r="C1119" t="s">
        <v>38</v>
      </c>
      <c r="D1119" s="3" t="s">
        <v>175</v>
      </c>
      <c r="E1119" s="5" t="str">
        <f>TEXT(D1119,"dd/mm/yyyy")</f>
        <v>14/03/2023</v>
      </c>
      <c r="F1119" s="5" t="str" cm="1">
        <f t="array" ref="F1119">RIGHT(_xlfn.ANCHORARRAY(E1119),4)</f>
        <v>2023</v>
      </c>
      <c r="G1119" s="5" t="str">
        <f>TEXT(E1119,"mm")</f>
        <v>14/03/2023</v>
      </c>
      <c r="H1119" s="6">
        <v>3275.4</v>
      </c>
      <c r="I1119">
        <v>120</v>
      </c>
      <c r="L1119" t="str">
        <f t="shared" si="17"/>
        <v>Below Average</v>
      </c>
      <c r="M1119">
        <f>RANK(H1119,H:H,0)</f>
        <v>2218</v>
      </c>
    </row>
    <row r="1120" spans="1:13">
      <c r="A1120" t="s">
        <v>55</v>
      </c>
      <c r="B1120" t="s">
        <v>15</v>
      </c>
      <c r="C1120" t="s">
        <v>36</v>
      </c>
      <c r="D1120" s="3" t="s">
        <v>176</v>
      </c>
      <c r="E1120" s="5" t="str">
        <f>TEXT(D1120,"dd/mm/yyyy")</f>
        <v>28/02/2023</v>
      </c>
      <c r="F1120" s="5" t="str" cm="1">
        <f t="array" ref="F1120">RIGHT(_xlfn.ANCHORARRAY(E1120),4)</f>
        <v>2023</v>
      </c>
      <c r="G1120" s="5" t="str">
        <f>TEXT(E1120,"mm")</f>
        <v>28/02/2023</v>
      </c>
      <c r="H1120" s="6">
        <v>7677.78</v>
      </c>
      <c r="I1120">
        <v>118</v>
      </c>
      <c r="L1120" t="str">
        <f t="shared" si="17"/>
        <v>Above Average</v>
      </c>
      <c r="M1120">
        <f>RANK(H1120,H:H,0)</f>
        <v>1022</v>
      </c>
    </row>
    <row r="1121" spans="1:13">
      <c r="A1121" t="s">
        <v>37</v>
      </c>
      <c r="B1121" t="s">
        <v>10</v>
      </c>
      <c r="C1121" t="s">
        <v>57</v>
      </c>
      <c r="D1121" s="3" t="s">
        <v>169</v>
      </c>
      <c r="E1121" s="5" t="str">
        <f>TEXT(D1121,"dd/mm/yyyy")</f>
        <v>26/01/2023</v>
      </c>
      <c r="F1121" s="5" t="str" cm="1">
        <f t="array" ref="F1121">RIGHT(_xlfn.ANCHORARRAY(E1121),4)</f>
        <v>2023</v>
      </c>
      <c r="G1121" s="5" t="str">
        <f>TEXT(E1121,"mm")</f>
        <v>26/01/2023</v>
      </c>
      <c r="H1121" s="6">
        <v>189.37</v>
      </c>
      <c r="I1121">
        <v>315</v>
      </c>
      <c r="L1121" t="str">
        <f t="shared" si="17"/>
        <v>Below Average</v>
      </c>
      <c r="M1121">
        <f>RANK(H1121,H:H,0)</f>
        <v>3218</v>
      </c>
    </row>
    <row r="1122" spans="1:13">
      <c r="A1122" t="s">
        <v>45</v>
      </c>
      <c r="B1122" t="s">
        <v>35</v>
      </c>
      <c r="C1122" t="s">
        <v>50</v>
      </c>
      <c r="D1122" s="4">
        <v>45171</v>
      </c>
      <c r="E1122" s="5" t="str">
        <f>TEXT(D1122,"dd/mm/yyyy")</f>
        <v>02/09/2023</v>
      </c>
      <c r="F1122" s="5" t="str" cm="1">
        <f t="array" ref="F1122">RIGHT(_xlfn.ANCHORARRAY(E1122),4)</f>
        <v>2023</v>
      </c>
      <c r="G1122" s="5" t="str">
        <f>TEXT(E1122,"mm")</f>
        <v>02</v>
      </c>
      <c r="H1122" s="6">
        <v>1658.79</v>
      </c>
      <c r="I1122">
        <v>193</v>
      </c>
      <c r="L1122" t="str">
        <f t="shared" si="17"/>
        <v>Below Average</v>
      </c>
      <c r="M1122">
        <f>RANK(H1122,H:H,0)</f>
        <v>2747</v>
      </c>
    </row>
    <row r="1123" spans="1:13">
      <c r="A1123" t="s">
        <v>53</v>
      </c>
      <c r="B1123" t="s">
        <v>32</v>
      </c>
      <c r="C1123" t="s">
        <v>36</v>
      </c>
      <c r="D1123" s="4">
        <v>45114</v>
      </c>
      <c r="E1123" s="5" t="str">
        <f>TEXT(D1123,"dd/mm/yyyy")</f>
        <v>07/07/2023</v>
      </c>
      <c r="F1123" s="5" t="str" cm="1">
        <f t="array" ref="F1123">RIGHT(_xlfn.ANCHORARRAY(E1123),4)</f>
        <v>2023</v>
      </c>
      <c r="G1123" s="5" t="str">
        <f>TEXT(E1123,"mm")</f>
        <v>07</v>
      </c>
      <c r="H1123" s="6">
        <v>4168.93</v>
      </c>
      <c r="I1123">
        <v>122</v>
      </c>
      <c r="L1123" t="str">
        <f t="shared" si="17"/>
        <v>Below Average</v>
      </c>
      <c r="M1123">
        <f>RANK(H1123,H:H,0)</f>
        <v>1939</v>
      </c>
    </row>
    <row r="1124" spans="1:13">
      <c r="A1124" t="s">
        <v>58</v>
      </c>
      <c r="B1124" t="s">
        <v>25</v>
      </c>
      <c r="C1124" t="s">
        <v>59</v>
      </c>
      <c r="D1124" s="4">
        <v>45053</v>
      </c>
      <c r="E1124" s="5" t="str">
        <f>TEXT(D1124,"dd/mm/yyyy")</f>
        <v>07/05/2023</v>
      </c>
      <c r="F1124" s="5" t="str" cm="1">
        <f t="array" ref="F1124">RIGHT(_xlfn.ANCHORARRAY(E1124),4)</f>
        <v>2023</v>
      </c>
      <c r="G1124" s="5" t="str">
        <f>TEXT(E1124,"mm")</f>
        <v>07</v>
      </c>
      <c r="H1124" s="6">
        <v>10604.89</v>
      </c>
      <c r="I1124">
        <v>165</v>
      </c>
      <c r="L1124" t="str">
        <f t="shared" si="17"/>
        <v>Above Average</v>
      </c>
      <c r="M1124">
        <f>RANK(H1124,H:H,0)</f>
        <v>500</v>
      </c>
    </row>
    <row r="1125" spans="1:13">
      <c r="A1125" t="s">
        <v>58</v>
      </c>
      <c r="B1125" t="s">
        <v>25</v>
      </c>
      <c r="C1125" t="s">
        <v>60</v>
      </c>
      <c r="D1125" s="3" t="s">
        <v>177</v>
      </c>
      <c r="E1125" s="5" t="str">
        <f>TEXT(D1125,"dd/mm/yyyy")</f>
        <v>15/06/2023</v>
      </c>
      <c r="F1125" s="5" t="str" cm="1">
        <f t="array" ref="F1125">RIGHT(_xlfn.ANCHORARRAY(E1125),4)</f>
        <v>2023</v>
      </c>
      <c r="G1125" s="5" t="str">
        <f>TEXT(E1125,"mm")</f>
        <v>15/06/2023</v>
      </c>
      <c r="H1125" s="6">
        <v>5773.51</v>
      </c>
      <c r="I1125">
        <v>325</v>
      </c>
      <c r="L1125" t="str">
        <f t="shared" si="17"/>
        <v>Below Average</v>
      </c>
      <c r="M1125">
        <f>RANK(H1125,H:H,0)</f>
        <v>1498</v>
      </c>
    </row>
    <row r="1126" spans="1:13">
      <c r="A1126" t="s">
        <v>9</v>
      </c>
      <c r="B1126" t="s">
        <v>25</v>
      </c>
      <c r="C1126" t="s">
        <v>11</v>
      </c>
      <c r="D1126" s="3" t="s">
        <v>178</v>
      </c>
      <c r="E1126" s="5" t="str">
        <f>TEXT(D1126,"dd/mm/yyyy")</f>
        <v>24/05/2023</v>
      </c>
      <c r="F1126" s="5" t="str" cm="1">
        <f t="array" ref="F1126">RIGHT(_xlfn.ANCHORARRAY(E1126),4)</f>
        <v>2023</v>
      </c>
      <c r="G1126" s="5" t="str">
        <f>TEXT(E1126,"mm")</f>
        <v>24/05/2023</v>
      </c>
      <c r="H1126" s="6">
        <v>1838.78</v>
      </c>
      <c r="I1126">
        <v>121</v>
      </c>
      <c r="L1126" t="str">
        <f t="shared" si="17"/>
        <v>Below Average</v>
      </c>
      <c r="M1126">
        <f>RANK(H1126,H:H,0)</f>
        <v>2688</v>
      </c>
    </row>
    <row r="1127" spans="1:13">
      <c r="A1127" t="s">
        <v>29</v>
      </c>
      <c r="B1127" t="s">
        <v>7</v>
      </c>
      <c r="C1127" t="s">
        <v>20</v>
      </c>
      <c r="D1127" s="3" t="s">
        <v>179</v>
      </c>
      <c r="E1127" s="5" t="str">
        <f>TEXT(D1127,"dd/mm/yyyy")</f>
        <v>29/06/2023</v>
      </c>
      <c r="F1127" s="5" t="str" cm="1">
        <f t="array" ref="F1127">RIGHT(_xlfn.ANCHORARRAY(E1127),4)</f>
        <v>2023</v>
      </c>
      <c r="G1127" s="5" t="str">
        <f>TEXT(E1127,"mm")</f>
        <v>29/06/2023</v>
      </c>
      <c r="H1127" s="6">
        <v>12643.1</v>
      </c>
      <c r="I1127">
        <v>150</v>
      </c>
      <c r="L1127" t="str">
        <f t="shared" si="17"/>
        <v>Above Average</v>
      </c>
      <c r="M1127">
        <f>RANK(H1127,H:H,0)</f>
        <v>286</v>
      </c>
    </row>
    <row r="1128" spans="1:13">
      <c r="A1128" t="s">
        <v>64</v>
      </c>
      <c r="B1128" t="s">
        <v>15</v>
      </c>
      <c r="C1128" t="s">
        <v>60</v>
      </c>
      <c r="D1128" s="4">
        <v>45235</v>
      </c>
      <c r="E1128" s="5" t="str">
        <f>TEXT(D1128,"dd/mm/yyyy")</f>
        <v>05/11/2023</v>
      </c>
      <c r="F1128" s="5" t="str" cm="1">
        <f t="array" ref="F1128">RIGHT(_xlfn.ANCHORARRAY(E1128),4)</f>
        <v>2023</v>
      </c>
      <c r="G1128" s="5" t="str">
        <f>TEXT(E1128,"mm")</f>
        <v>05</v>
      </c>
      <c r="H1128" s="6">
        <v>4439.5200000000004</v>
      </c>
      <c r="I1128">
        <v>95</v>
      </c>
      <c r="L1128" t="str">
        <f t="shared" si="17"/>
        <v>Below Average</v>
      </c>
      <c r="M1128">
        <f>RANK(H1128,H:H,0)</f>
        <v>1867</v>
      </c>
    </row>
    <row r="1129" spans="1:13">
      <c r="A1129" t="s">
        <v>37</v>
      </c>
      <c r="B1129" t="s">
        <v>7</v>
      </c>
      <c r="C1129" t="s">
        <v>65</v>
      </c>
      <c r="D1129" s="3" t="s">
        <v>180</v>
      </c>
      <c r="E1129" s="5" t="str">
        <f>TEXT(D1129,"dd/mm/yyyy")</f>
        <v>30/06/2023</v>
      </c>
      <c r="F1129" s="5" t="str" cm="1">
        <f t="array" ref="F1129">RIGHT(_xlfn.ANCHORARRAY(E1129),4)</f>
        <v>2023</v>
      </c>
      <c r="G1129" s="5" t="str">
        <f>TEXT(E1129,"mm")</f>
        <v>30/06/2023</v>
      </c>
      <c r="H1129" s="6">
        <v>7698.6</v>
      </c>
      <c r="I1129">
        <v>126</v>
      </c>
      <c r="L1129" t="str">
        <f t="shared" si="17"/>
        <v>Above Average</v>
      </c>
      <c r="M1129">
        <f>RANK(H1129,H:H,0)</f>
        <v>1016</v>
      </c>
    </row>
    <row r="1130" spans="1:13">
      <c r="A1130" t="s">
        <v>67</v>
      </c>
      <c r="B1130" t="s">
        <v>35</v>
      </c>
      <c r="C1130" t="s">
        <v>23</v>
      </c>
      <c r="D1130" s="4">
        <v>45235</v>
      </c>
      <c r="E1130" s="5" t="str">
        <f>TEXT(D1130,"dd/mm/yyyy")</f>
        <v>05/11/2023</v>
      </c>
      <c r="F1130" s="5" t="str" cm="1">
        <f t="array" ref="F1130">RIGHT(_xlfn.ANCHORARRAY(E1130),4)</f>
        <v>2023</v>
      </c>
      <c r="G1130" s="5" t="str">
        <f>TEXT(E1130,"mm")</f>
        <v>05</v>
      </c>
      <c r="H1130" s="6">
        <v>2222.3000000000002</v>
      </c>
      <c r="I1130">
        <v>77</v>
      </c>
      <c r="L1130" t="str">
        <f t="shared" si="17"/>
        <v>Below Average</v>
      </c>
      <c r="M1130">
        <f>RANK(H1130,H:H,0)</f>
        <v>2573</v>
      </c>
    </row>
    <row r="1131" spans="1:13">
      <c r="A1131" t="s">
        <v>45</v>
      </c>
      <c r="B1131" t="s">
        <v>32</v>
      </c>
      <c r="C1131" t="s">
        <v>60</v>
      </c>
      <c r="D1131" s="3" t="s">
        <v>181</v>
      </c>
      <c r="E1131" s="5" t="str">
        <f>TEXT(D1131,"dd/mm/yyyy")</f>
        <v>22/07/2023</v>
      </c>
      <c r="F1131" s="5" t="str" cm="1">
        <f t="array" ref="F1131">RIGHT(_xlfn.ANCHORARRAY(E1131),4)</f>
        <v>2023</v>
      </c>
      <c r="G1131" s="5" t="str">
        <f>TEXT(E1131,"mm")</f>
        <v>22/07/2023</v>
      </c>
      <c r="H1131" s="6">
        <v>10959.02</v>
      </c>
      <c r="I1131">
        <v>302</v>
      </c>
      <c r="L1131" t="str">
        <f t="shared" si="17"/>
        <v>Above Average</v>
      </c>
      <c r="M1131">
        <f>RANK(H1131,H:H,0)</f>
        <v>447</v>
      </c>
    </row>
    <row r="1132" spans="1:13">
      <c r="A1132" t="s">
        <v>67</v>
      </c>
      <c r="B1132" t="s">
        <v>7</v>
      </c>
      <c r="C1132" t="s">
        <v>26</v>
      </c>
      <c r="D1132" s="3" t="s">
        <v>182</v>
      </c>
      <c r="E1132" s="5" t="str">
        <f>TEXT(D1132,"dd/mm/yyyy")</f>
        <v>24/08/2023</v>
      </c>
      <c r="F1132" s="5" t="str" cm="1">
        <f t="array" ref="F1132">RIGHT(_xlfn.ANCHORARRAY(E1132),4)</f>
        <v>2023</v>
      </c>
      <c r="G1132" s="5" t="str">
        <f>TEXT(E1132,"mm")</f>
        <v>24/08/2023</v>
      </c>
      <c r="H1132" s="6">
        <v>2854.85</v>
      </c>
      <c r="I1132">
        <v>337</v>
      </c>
      <c r="L1132" t="str">
        <f t="shared" si="17"/>
        <v>Below Average</v>
      </c>
      <c r="M1132">
        <f>RANK(H1132,H:H,0)</f>
        <v>2353</v>
      </c>
    </row>
    <row r="1133" spans="1:13">
      <c r="A1133" t="s">
        <v>70</v>
      </c>
      <c r="B1133" t="s">
        <v>25</v>
      </c>
      <c r="C1133" t="s">
        <v>23</v>
      </c>
      <c r="D1133" s="4">
        <v>45114</v>
      </c>
      <c r="E1133" s="5" t="str">
        <f>TEXT(D1133,"dd/mm/yyyy")</f>
        <v>07/07/2023</v>
      </c>
      <c r="F1133" s="5" t="str" cm="1">
        <f t="array" ref="F1133">RIGHT(_xlfn.ANCHORARRAY(E1133),4)</f>
        <v>2023</v>
      </c>
      <c r="G1133" s="5" t="str">
        <f>TEXT(E1133,"mm")</f>
        <v>07</v>
      </c>
      <c r="H1133" s="6">
        <v>147.82</v>
      </c>
      <c r="I1133">
        <v>74</v>
      </c>
      <c r="L1133" t="str">
        <f t="shared" si="17"/>
        <v>Below Average</v>
      </c>
      <c r="M1133">
        <f>RANK(H1133,H:H,0)</f>
        <v>3231</v>
      </c>
    </row>
    <row r="1134" spans="1:13">
      <c r="A1134" t="s">
        <v>71</v>
      </c>
      <c r="B1134" t="s">
        <v>15</v>
      </c>
      <c r="C1134" t="s">
        <v>11</v>
      </c>
      <c r="D1134" s="3" t="s">
        <v>183</v>
      </c>
      <c r="E1134" s="5" t="str">
        <f>TEXT(D1134,"dd/mm/yyyy")</f>
        <v>19/05/2023</v>
      </c>
      <c r="F1134" s="5" t="str" cm="1">
        <f t="array" ref="F1134">RIGHT(_xlfn.ANCHORARRAY(E1134),4)</f>
        <v>2023</v>
      </c>
      <c r="G1134" s="5" t="str">
        <f>TEXT(E1134,"mm")</f>
        <v>19/05/2023</v>
      </c>
      <c r="H1134" s="6">
        <v>3790.51</v>
      </c>
      <c r="I1134">
        <v>14</v>
      </c>
      <c r="L1134" t="str">
        <f t="shared" si="17"/>
        <v>Below Average</v>
      </c>
      <c r="M1134">
        <f>RANK(H1134,H:H,0)</f>
        <v>2041</v>
      </c>
    </row>
    <row r="1135" spans="1:13">
      <c r="A1135" t="s">
        <v>37</v>
      </c>
      <c r="B1135" t="s">
        <v>10</v>
      </c>
      <c r="C1135" t="s">
        <v>60</v>
      </c>
      <c r="D1135" s="4">
        <v>45023</v>
      </c>
      <c r="E1135" s="5" t="str">
        <f>TEXT(D1135,"dd/mm/yyyy")</f>
        <v>07/04/2023</v>
      </c>
      <c r="F1135" s="5" t="str" cm="1">
        <f t="array" ref="F1135">RIGHT(_xlfn.ANCHORARRAY(E1135),4)</f>
        <v>2023</v>
      </c>
      <c r="G1135" s="5" t="str">
        <f>TEXT(E1135,"mm")</f>
        <v>07</v>
      </c>
      <c r="H1135" s="6">
        <v>2487.19</v>
      </c>
      <c r="I1135">
        <v>583</v>
      </c>
      <c r="L1135" t="str">
        <f t="shared" si="17"/>
        <v>Below Average</v>
      </c>
      <c r="M1135">
        <f>RANK(H1135,H:H,0)</f>
        <v>2481</v>
      </c>
    </row>
    <row r="1136" spans="1:13">
      <c r="A1136" t="s">
        <v>70</v>
      </c>
      <c r="B1136" t="s">
        <v>32</v>
      </c>
      <c r="C1136" t="s">
        <v>23</v>
      </c>
      <c r="D1136" s="4">
        <v>44963</v>
      </c>
      <c r="E1136" s="5" t="str">
        <f>TEXT(D1136,"dd/mm/yyyy")</f>
        <v>06/02/2023</v>
      </c>
      <c r="F1136" s="5" t="str" cm="1">
        <f t="array" ref="F1136">RIGHT(_xlfn.ANCHORARRAY(E1136),4)</f>
        <v>2023</v>
      </c>
      <c r="G1136" s="5" t="str">
        <f>TEXT(E1136,"mm")</f>
        <v>06</v>
      </c>
      <c r="H1136" s="6">
        <v>1021.27</v>
      </c>
      <c r="I1136">
        <v>17</v>
      </c>
      <c r="L1136" t="str">
        <f t="shared" si="17"/>
        <v>Below Average</v>
      </c>
      <c r="M1136">
        <f>RANK(H1136,H:H,0)</f>
        <v>2966</v>
      </c>
    </row>
    <row r="1137" spans="1:13">
      <c r="A1137" t="s">
        <v>37</v>
      </c>
      <c r="B1137" t="s">
        <v>32</v>
      </c>
      <c r="C1137" t="s">
        <v>73</v>
      </c>
      <c r="D1137" s="3" t="s">
        <v>184</v>
      </c>
      <c r="E1137" s="5" t="str">
        <f>TEXT(D1137,"dd/mm/yyyy")</f>
        <v>15/04/2023</v>
      </c>
      <c r="F1137" s="5" t="str" cm="1">
        <f t="array" ref="F1137">RIGHT(_xlfn.ANCHORARRAY(E1137),4)</f>
        <v>2023</v>
      </c>
      <c r="G1137" s="5" t="str">
        <f>TEXT(E1137,"mm")</f>
        <v>15/04/2023</v>
      </c>
      <c r="H1137" s="6">
        <v>15370.06</v>
      </c>
      <c r="I1137">
        <v>353</v>
      </c>
      <c r="L1137" t="str">
        <f t="shared" si="17"/>
        <v>Above Average</v>
      </c>
      <c r="M1137">
        <f>RANK(H1137,H:H,0)</f>
        <v>133</v>
      </c>
    </row>
    <row r="1138" spans="1:13">
      <c r="A1138" t="s">
        <v>34</v>
      </c>
      <c r="B1138" t="s">
        <v>35</v>
      </c>
      <c r="C1138" t="s">
        <v>75</v>
      </c>
      <c r="D1138" s="4">
        <v>45237</v>
      </c>
      <c r="E1138" s="5" t="str">
        <f>TEXT(D1138,"dd/mm/yyyy")</f>
        <v>07/11/2023</v>
      </c>
      <c r="F1138" s="5" t="str" cm="1">
        <f t="array" ref="F1138">RIGHT(_xlfn.ANCHORARRAY(E1138),4)</f>
        <v>2023</v>
      </c>
      <c r="G1138" s="5" t="str">
        <f>TEXT(E1138,"mm")</f>
        <v>07</v>
      </c>
      <c r="H1138" s="6">
        <v>5345.58</v>
      </c>
      <c r="I1138">
        <v>250</v>
      </c>
      <c r="L1138" t="str">
        <f t="shared" si="17"/>
        <v>Below Average</v>
      </c>
      <c r="M1138">
        <f>RANK(H1138,H:H,0)</f>
        <v>1603</v>
      </c>
    </row>
    <row r="1139" spans="1:13">
      <c r="A1139" t="s">
        <v>67</v>
      </c>
      <c r="B1139" t="s">
        <v>10</v>
      </c>
      <c r="C1139" t="s">
        <v>50</v>
      </c>
      <c r="D1139" s="3" t="s">
        <v>185</v>
      </c>
      <c r="E1139" s="5" t="str">
        <f>TEXT(D1139,"dd/mm/yyyy")</f>
        <v>23/02/2023</v>
      </c>
      <c r="F1139" s="5" t="str" cm="1">
        <f t="array" ref="F1139">RIGHT(_xlfn.ANCHORARRAY(E1139),4)</f>
        <v>2023</v>
      </c>
      <c r="G1139" s="5" t="str">
        <f>TEXT(E1139,"mm")</f>
        <v>23/02/2023</v>
      </c>
      <c r="H1139" s="6">
        <v>6559.44</v>
      </c>
      <c r="I1139">
        <v>154</v>
      </c>
      <c r="L1139" t="str">
        <f t="shared" si="17"/>
        <v>Above Average</v>
      </c>
      <c r="M1139">
        <f>RANK(H1139,H:H,0)</f>
        <v>1291</v>
      </c>
    </row>
    <row r="1140" spans="1:13">
      <c r="A1140" t="s">
        <v>77</v>
      </c>
      <c r="B1140" t="s">
        <v>35</v>
      </c>
      <c r="C1140" t="s">
        <v>65</v>
      </c>
      <c r="D1140" s="3" t="s">
        <v>186</v>
      </c>
      <c r="E1140" s="5" t="str">
        <f>TEXT(D1140,"dd/mm/yyyy")</f>
        <v>22/08/2023</v>
      </c>
      <c r="F1140" s="5" t="str" cm="1">
        <f t="array" ref="F1140">RIGHT(_xlfn.ANCHORARRAY(E1140),4)</f>
        <v>2023</v>
      </c>
      <c r="G1140" s="5" t="str">
        <f>TEXT(E1140,"mm")</f>
        <v>22/08/2023</v>
      </c>
      <c r="H1140" s="6">
        <v>8282.93</v>
      </c>
      <c r="I1140">
        <v>107</v>
      </c>
      <c r="L1140" t="str">
        <f t="shared" si="17"/>
        <v>Above Average</v>
      </c>
      <c r="M1140">
        <f>RANK(H1140,H:H,0)</f>
        <v>874</v>
      </c>
    </row>
    <row r="1141" spans="1:13">
      <c r="A1141" t="s">
        <v>55</v>
      </c>
      <c r="B1141" t="s">
        <v>32</v>
      </c>
      <c r="C1141" t="s">
        <v>13</v>
      </c>
      <c r="D1141" s="3" t="s">
        <v>171</v>
      </c>
      <c r="E1141" s="5" t="str">
        <f>TEXT(D1141,"dd/mm/yyyy")</f>
        <v>16/02/2023</v>
      </c>
      <c r="F1141" s="5" t="str" cm="1">
        <f t="array" ref="F1141">RIGHT(_xlfn.ANCHORARRAY(E1141),4)</f>
        <v>2023</v>
      </c>
      <c r="G1141" s="5" t="str">
        <f>TEXT(E1141,"mm")</f>
        <v>16/02/2023</v>
      </c>
      <c r="H1141" s="6">
        <v>6981.4</v>
      </c>
      <c r="I1141">
        <v>189</v>
      </c>
      <c r="L1141" t="str">
        <f t="shared" si="17"/>
        <v>Above Average</v>
      </c>
      <c r="M1141">
        <f>RANK(H1141,H:H,0)</f>
        <v>1188</v>
      </c>
    </row>
    <row r="1142" spans="1:13">
      <c r="A1142" t="s">
        <v>9</v>
      </c>
      <c r="B1142" t="s">
        <v>32</v>
      </c>
      <c r="C1142" t="s">
        <v>26</v>
      </c>
      <c r="D1142" s="3" t="s">
        <v>167</v>
      </c>
      <c r="E1142" s="5" t="str">
        <f>TEXT(D1142,"dd/mm/yyyy")</f>
        <v>13/01/2023</v>
      </c>
      <c r="F1142" s="5" t="str" cm="1">
        <f t="array" ref="F1142">RIGHT(_xlfn.ANCHORARRAY(E1142),4)</f>
        <v>2023</v>
      </c>
      <c r="G1142" s="5" t="str">
        <f>TEXT(E1142,"mm")</f>
        <v>13/01/2023</v>
      </c>
      <c r="H1142" s="6">
        <v>10280.17</v>
      </c>
      <c r="I1142">
        <v>155</v>
      </c>
      <c r="L1142" t="str">
        <f t="shared" si="17"/>
        <v>Above Average</v>
      </c>
      <c r="M1142">
        <f>RANK(H1142,H:H,0)</f>
        <v>538</v>
      </c>
    </row>
    <row r="1143" spans="1:13">
      <c r="A1143" t="s">
        <v>48</v>
      </c>
      <c r="B1143" t="s">
        <v>15</v>
      </c>
      <c r="C1143" t="s">
        <v>46</v>
      </c>
      <c r="D1143" s="3" t="s">
        <v>170</v>
      </c>
      <c r="E1143" s="5" t="str">
        <f>TEXT(D1143,"dd/mm/yyyy")</f>
        <v>14/02/2023</v>
      </c>
      <c r="F1143" s="5" t="str" cm="1">
        <f t="array" ref="F1143">RIGHT(_xlfn.ANCHORARRAY(E1143),4)</f>
        <v>2023</v>
      </c>
      <c r="G1143" s="5" t="str">
        <f>TEXT(E1143,"mm")</f>
        <v>14/02/2023</v>
      </c>
      <c r="H1143" s="6">
        <v>7703.62</v>
      </c>
      <c r="I1143">
        <v>20</v>
      </c>
      <c r="L1143" t="str">
        <f t="shared" si="17"/>
        <v>Above Average</v>
      </c>
      <c r="M1143">
        <f>RANK(H1143,H:H,0)</f>
        <v>1015</v>
      </c>
    </row>
    <row r="1144" spans="1:13">
      <c r="A1144" t="s">
        <v>45</v>
      </c>
      <c r="B1144" t="s">
        <v>10</v>
      </c>
      <c r="C1144" t="s">
        <v>36</v>
      </c>
      <c r="D1144" s="4">
        <v>45205</v>
      </c>
      <c r="E1144" s="5" t="str">
        <f>TEXT(D1144,"dd/mm/yyyy")</f>
        <v>06/10/2023</v>
      </c>
      <c r="F1144" s="5" t="str" cm="1">
        <f t="array" ref="F1144">RIGHT(_xlfn.ANCHORARRAY(E1144),4)</f>
        <v>2023</v>
      </c>
      <c r="G1144" s="5" t="str">
        <f>TEXT(E1144,"mm")</f>
        <v>06</v>
      </c>
      <c r="H1144" s="6">
        <v>4489.8100000000004</v>
      </c>
      <c r="I1144">
        <v>310</v>
      </c>
      <c r="L1144" t="str">
        <f t="shared" si="17"/>
        <v>Below Average</v>
      </c>
      <c r="M1144">
        <f>RANK(H1144,H:H,0)</f>
        <v>1854</v>
      </c>
    </row>
    <row r="1145" spans="1:13">
      <c r="A1145" t="s">
        <v>48</v>
      </c>
      <c r="B1145" t="s">
        <v>10</v>
      </c>
      <c r="C1145" t="s">
        <v>57</v>
      </c>
      <c r="D1145" s="4">
        <v>45114</v>
      </c>
      <c r="E1145" s="5" t="str">
        <f>TEXT(D1145,"dd/mm/yyyy")</f>
        <v>07/07/2023</v>
      </c>
      <c r="F1145" s="5" t="str" cm="1">
        <f t="array" ref="F1145">RIGHT(_xlfn.ANCHORARRAY(E1145),4)</f>
        <v>2023</v>
      </c>
      <c r="G1145" s="5" t="str">
        <f>TEXT(E1145,"mm")</f>
        <v>07</v>
      </c>
      <c r="H1145" s="6">
        <v>5806.11</v>
      </c>
      <c r="I1145">
        <v>190</v>
      </c>
      <c r="L1145" t="str">
        <f t="shared" si="17"/>
        <v>Below Average</v>
      </c>
      <c r="M1145">
        <f>RANK(H1145,H:H,0)</f>
        <v>1484</v>
      </c>
    </row>
    <row r="1146" spans="1:13">
      <c r="A1146" t="s">
        <v>48</v>
      </c>
      <c r="B1146" t="s">
        <v>35</v>
      </c>
      <c r="C1146" t="s">
        <v>65</v>
      </c>
      <c r="D1146" s="3" t="s">
        <v>165</v>
      </c>
      <c r="E1146" s="5" t="str">
        <f>TEXT(D1146,"dd/mm/yyyy")</f>
        <v>24/03/2023</v>
      </c>
      <c r="F1146" s="5" t="str" cm="1">
        <f t="array" ref="F1146">RIGHT(_xlfn.ANCHORARRAY(E1146),4)</f>
        <v>2023</v>
      </c>
      <c r="G1146" s="5" t="str">
        <f>TEXT(E1146,"mm")</f>
        <v>24/03/2023</v>
      </c>
      <c r="H1146" s="6">
        <v>5148.7</v>
      </c>
      <c r="I1146">
        <v>76</v>
      </c>
      <c r="L1146" t="str">
        <f t="shared" si="17"/>
        <v>Below Average</v>
      </c>
      <c r="M1146">
        <f>RANK(H1146,H:H,0)</f>
        <v>1660</v>
      </c>
    </row>
    <row r="1147" spans="1:13">
      <c r="A1147" t="s">
        <v>28</v>
      </c>
      <c r="B1147" t="s">
        <v>15</v>
      </c>
      <c r="C1147" t="s">
        <v>57</v>
      </c>
      <c r="D1147" s="4">
        <v>45083</v>
      </c>
      <c r="E1147" s="5" t="str">
        <f>TEXT(D1147,"dd/mm/yyyy")</f>
        <v>06/06/2023</v>
      </c>
      <c r="F1147" s="5" t="str" cm="1">
        <f t="array" ref="F1147">RIGHT(_xlfn.ANCHORARRAY(E1147),4)</f>
        <v>2023</v>
      </c>
      <c r="G1147" s="5" t="str">
        <f>TEXT(E1147,"mm")</f>
        <v>06</v>
      </c>
      <c r="H1147" s="6">
        <v>8558.59</v>
      </c>
      <c r="I1147">
        <v>24</v>
      </c>
      <c r="L1147" t="str">
        <f t="shared" si="17"/>
        <v>Above Average</v>
      </c>
      <c r="M1147">
        <f>RANK(H1147,H:H,0)</f>
        <v>821</v>
      </c>
    </row>
    <row r="1148" spans="1:13">
      <c r="A1148" t="s">
        <v>79</v>
      </c>
      <c r="B1148" t="s">
        <v>15</v>
      </c>
      <c r="C1148" t="s">
        <v>38</v>
      </c>
      <c r="D1148" s="3" t="s">
        <v>187</v>
      </c>
      <c r="E1148" s="5" t="str">
        <f>TEXT(D1148,"dd/mm/yyyy")</f>
        <v>19/07/2023</v>
      </c>
      <c r="F1148" s="5" t="str" cm="1">
        <f t="array" ref="F1148">RIGHT(_xlfn.ANCHORARRAY(E1148),4)</f>
        <v>2023</v>
      </c>
      <c r="G1148" s="5" t="str">
        <f>TEXT(E1148,"mm")</f>
        <v>19/07/2023</v>
      </c>
      <c r="H1148" s="6">
        <v>94.19</v>
      </c>
      <c r="I1148">
        <v>145</v>
      </c>
      <c r="L1148" t="str">
        <f t="shared" si="17"/>
        <v>Below Average</v>
      </c>
      <c r="M1148">
        <f>RANK(H1148,H:H,0)</f>
        <v>3246</v>
      </c>
    </row>
    <row r="1149" spans="1:13">
      <c r="A1149" t="s">
        <v>41</v>
      </c>
      <c r="B1149" t="s">
        <v>32</v>
      </c>
      <c r="C1149" t="s">
        <v>73</v>
      </c>
      <c r="D1149" s="3" t="s">
        <v>188</v>
      </c>
      <c r="E1149" s="5" t="str">
        <f>TEXT(D1149,"dd/mm/yyyy")</f>
        <v>19/04/2023</v>
      </c>
      <c r="F1149" s="5" t="str" cm="1">
        <f t="array" ref="F1149">RIGHT(_xlfn.ANCHORARRAY(E1149),4)</f>
        <v>2023</v>
      </c>
      <c r="G1149" s="5" t="str">
        <f>TEXT(E1149,"mm")</f>
        <v>19/04/2023</v>
      </c>
      <c r="H1149" s="6">
        <v>16223.83</v>
      </c>
      <c r="I1149">
        <v>87</v>
      </c>
      <c r="L1149" t="str">
        <f t="shared" si="17"/>
        <v>Above Average</v>
      </c>
      <c r="M1149">
        <f>RANK(H1149,H:H,0)</f>
        <v>96</v>
      </c>
    </row>
    <row r="1150" spans="1:13">
      <c r="A1150" t="s">
        <v>40</v>
      </c>
      <c r="B1150" t="s">
        <v>10</v>
      </c>
      <c r="C1150" t="s">
        <v>11</v>
      </c>
      <c r="D1150" s="3" t="s">
        <v>187</v>
      </c>
      <c r="E1150" s="5" t="str">
        <f>TEXT(D1150,"dd/mm/yyyy")</f>
        <v>19/07/2023</v>
      </c>
      <c r="F1150" s="5" t="str" cm="1">
        <f t="array" ref="F1150">RIGHT(_xlfn.ANCHORARRAY(E1150),4)</f>
        <v>2023</v>
      </c>
      <c r="G1150" s="5" t="str">
        <f>TEXT(E1150,"mm")</f>
        <v>19/07/2023</v>
      </c>
      <c r="H1150" s="6">
        <v>2439.06</v>
      </c>
      <c r="I1150">
        <v>175</v>
      </c>
      <c r="L1150" t="str">
        <f t="shared" si="17"/>
        <v>Below Average</v>
      </c>
      <c r="M1150">
        <f>RANK(H1150,H:H,0)</f>
        <v>2503</v>
      </c>
    </row>
    <row r="1151" spans="1:13">
      <c r="A1151" t="s">
        <v>6</v>
      </c>
      <c r="B1151" t="s">
        <v>35</v>
      </c>
      <c r="C1151" t="s">
        <v>38</v>
      </c>
      <c r="D1151" s="3" t="s">
        <v>189</v>
      </c>
      <c r="E1151" s="5" t="str">
        <f>TEXT(D1151,"dd/mm/yyyy")</f>
        <v>15/07/2023</v>
      </c>
      <c r="F1151" s="5" t="str" cm="1">
        <f t="array" ref="F1151">RIGHT(_xlfn.ANCHORARRAY(E1151),4)</f>
        <v>2023</v>
      </c>
      <c r="G1151" s="5" t="str">
        <f>TEXT(E1151,"mm")</f>
        <v>15/07/2023</v>
      </c>
      <c r="H1151" s="6">
        <v>466.65</v>
      </c>
      <c r="I1151">
        <v>23</v>
      </c>
      <c r="L1151" t="str">
        <f t="shared" si="17"/>
        <v>Below Average</v>
      </c>
      <c r="M1151">
        <f>RANK(H1151,H:H,0)</f>
        <v>3147</v>
      </c>
    </row>
    <row r="1152" spans="1:13">
      <c r="A1152" t="s">
        <v>83</v>
      </c>
      <c r="B1152" t="s">
        <v>25</v>
      </c>
      <c r="C1152" t="s">
        <v>50</v>
      </c>
      <c r="D1152" s="3" t="s">
        <v>170</v>
      </c>
      <c r="E1152" s="5" t="str">
        <f>TEXT(D1152,"dd/mm/yyyy")</f>
        <v>14/02/2023</v>
      </c>
      <c r="F1152" s="5" t="str" cm="1">
        <f t="array" ref="F1152">RIGHT(_xlfn.ANCHORARRAY(E1152),4)</f>
        <v>2023</v>
      </c>
      <c r="G1152" s="5" t="str">
        <f>TEXT(E1152,"mm")</f>
        <v>14/02/2023</v>
      </c>
      <c r="H1152" s="6">
        <v>4044.24</v>
      </c>
      <c r="I1152">
        <v>18</v>
      </c>
      <c r="L1152" t="str">
        <f t="shared" si="17"/>
        <v>Below Average</v>
      </c>
      <c r="M1152">
        <f>RANK(H1152,H:H,0)</f>
        <v>1973</v>
      </c>
    </row>
    <row r="1153" spans="1:13">
      <c r="A1153" t="s">
        <v>28</v>
      </c>
      <c r="B1153" t="s">
        <v>35</v>
      </c>
      <c r="C1153" t="s">
        <v>20</v>
      </c>
      <c r="D1153" s="3" t="s">
        <v>190</v>
      </c>
      <c r="E1153" s="5" t="str">
        <f>TEXT(D1153,"dd/mm/yyyy")</f>
        <v>18/05/2023</v>
      </c>
      <c r="F1153" s="5" t="str" cm="1">
        <f t="array" ref="F1153">RIGHT(_xlfn.ANCHORARRAY(E1153),4)</f>
        <v>2023</v>
      </c>
      <c r="G1153" s="5" t="str">
        <f>TEXT(E1153,"mm")</f>
        <v>18/05/2023</v>
      </c>
      <c r="H1153" s="6">
        <v>17675.28</v>
      </c>
      <c r="I1153">
        <v>446</v>
      </c>
      <c r="L1153" t="str">
        <f t="shared" si="17"/>
        <v>Above Average</v>
      </c>
      <c r="M1153">
        <f>RANK(H1153,H:H,0)</f>
        <v>48</v>
      </c>
    </row>
    <row r="1154" spans="1:13">
      <c r="A1154" t="s">
        <v>31</v>
      </c>
      <c r="B1154" t="s">
        <v>15</v>
      </c>
      <c r="C1154" t="s">
        <v>57</v>
      </c>
      <c r="D1154" s="3" t="s">
        <v>180</v>
      </c>
      <c r="E1154" s="5" t="str">
        <f>TEXT(D1154,"dd/mm/yyyy")</f>
        <v>30/06/2023</v>
      </c>
      <c r="F1154" s="5" t="str" cm="1">
        <f t="array" ref="F1154">RIGHT(_xlfn.ANCHORARRAY(E1154),4)</f>
        <v>2023</v>
      </c>
      <c r="G1154" s="5" t="str">
        <f>TEXT(E1154,"mm")</f>
        <v>30/06/2023</v>
      </c>
      <c r="H1154" s="6">
        <v>17280.98</v>
      </c>
      <c r="I1154">
        <v>58</v>
      </c>
      <c r="L1154" t="str">
        <f t="shared" si="17"/>
        <v>Above Average</v>
      </c>
      <c r="M1154">
        <f>RANK(H1154,H:H,0)</f>
        <v>60</v>
      </c>
    </row>
    <row r="1155" spans="1:13">
      <c r="A1155" t="s">
        <v>67</v>
      </c>
      <c r="B1155" t="s">
        <v>15</v>
      </c>
      <c r="C1155" t="s">
        <v>26</v>
      </c>
      <c r="D1155" s="4">
        <v>44963</v>
      </c>
      <c r="E1155" s="5" t="str">
        <f>TEXT(D1155,"dd/mm/yyyy")</f>
        <v>06/02/2023</v>
      </c>
      <c r="F1155" s="5" t="str" cm="1">
        <f t="array" ref="F1155">RIGHT(_xlfn.ANCHORARRAY(E1155),4)</f>
        <v>2023</v>
      </c>
      <c r="G1155" s="5" t="str">
        <f>TEXT(E1155,"mm")</f>
        <v>06</v>
      </c>
      <c r="H1155" s="6">
        <v>5091.78</v>
      </c>
      <c r="I1155">
        <v>219</v>
      </c>
      <c r="L1155" t="str">
        <f t="shared" ref="L1155:L1218" si="18">IF(H1155&gt;6030.34,"Above Average","Below Average")</f>
        <v>Below Average</v>
      </c>
      <c r="M1155">
        <f>RANK(H1155,H:H,0)</f>
        <v>1676</v>
      </c>
    </row>
    <row r="1156" spans="1:13">
      <c r="A1156" t="s">
        <v>67</v>
      </c>
      <c r="B1156" t="s">
        <v>15</v>
      </c>
      <c r="C1156" t="s">
        <v>38</v>
      </c>
      <c r="D1156" s="3" t="s">
        <v>191</v>
      </c>
      <c r="E1156" s="5" t="str">
        <f>TEXT(D1156,"dd/mm/yyyy")</f>
        <v>28/06/2023</v>
      </c>
      <c r="F1156" s="5" t="str" cm="1">
        <f t="array" ref="F1156">RIGHT(_xlfn.ANCHORARRAY(E1156),4)</f>
        <v>2023</v>
      </c>
      <c r="G1156" s="5" t="str">
        <f>TEXT(E1156,"mm")</f>
        <v>28/06/2023</v>
      </c>
      <c r="H1156" s="6">
        <v>1657.2</v>
      </c>
      <c r="I1156">
        <v>49</v>
      </c>
      <c r="L1156" t="str">
        <f t="shared" si="18"/>
        <v>Below Average</v>
      </c>
      <c r="M1156">
        <f>RANK(H1156,H:H,0)</f>
        <v>2748</v>
      </c>
    </row>
    <row r="1157" spans="1:13">
      <c r="A1157" t="s">
        <v>40</v>
      </c>
      <c r="B1157" t="s">
        <v>15</v>
      </c>
      <c r="C1157" t="s">
        <v>42</v>
      </c>
      <c r="D1157" s="3" t="s">
        <v>192</v>
      </c>
      <c r="E1157" s="5" t="str">
        <f>TEXT(D1157,"dd/mm/yyyy")</f>
        <v>16/05/2023</v>
      </c>
      <c r="F1157" s="5" t="str" cm="1">
        <f t="array" ref="F1157">RIGHT(_xlfn.ANCHORARRAY(E1157),4)</f>
        <v>2023</v>
      </c>
      <c r="G1157" s="5" t="str">
        <f>TEXT(E1157,"mm")</f>
        <v>16/05/2023</v>
      </c>
      <c r="H1157" s="6">
        <v>305.79000000000002</v>
      </c>
      <c r="I1157">
        <v>189</v>
      </c>
      <c r="L1157" t="str">
        <f t="shared" si="18"/>
        <v>Below Average</v>
      </c>
      <c r="M1157">
        <f>RANK(H1157,H:H,0)</f>
        <v>3188</v>
      </c>
    </row>
    <row r="1158" spans="1:13">
      <c r="A1158" t="s">
        <v>70</v>
      </c>
      <c r="B1158" t="s">
        <v>35</v>
      </c>
      <c r="C1158" t="s">
        <v>87</v>
      </c>
      <c r="D1158" s="3" t="s">
        <v>193</v>
      </c>
      <c r="E1158" s="5" t="str">
        <f>TEXT(D1158,"dd/mm/yyyy")</f>
        <v>26/05/2023</v>
      </c>
      <c r="F1158" s="5" t="str" cm="1">
        <f t="array" ref="F1158">RIGHT(_xlfn.ANCHORARRAY(E1158),4)</f>
        <v>2023</v>
      </c>
      <c r="G1158" s="5" t="str">
        <f>TEXT(E1158,"mm")</f>
        <v>26/05/2023</v>
      </c>
      <c r="H1158" s="6">
        <v>3377.41</v>
      </c>
      <c r="I1158">
        <v>325</v>
      </c>
      <c r="L1158" t="str">
        <f t="shared" si="18"/>
        <v>Below Average</v>
      </c>
      <c r="M1158">
        <f>RANK(H1158,H:H,0)</f>
        <v>2186</v>
      </c>
    </row>
    <row r="1159" spans="1:13">
      <c r="A1159" t="s">
        <v>37</v>
      </c>
      <c r="B1159" t="s">
        <v>10</v>
      </c>
      <c r="C1159" t="s">
        <v>65</v>
      </c>
      <c r="D1159" s="4">
        <v>45084</v>
      </c>
      <c r="E1159" s="5" t="str">
        <f>TEXT(D1159,"dd/mm/yyyy")</f>
        <v>07/06/2023</v>
      </c>
      <c r="F1159" s="5" t="str" cm="1">
        <f t="array" ref="F1159">RIGHT(_xlfn.ANCHORARRAY(E1159),4)</f>
        <v>2023</v>
      </c>
      <c r="G1159" s="5" t="str">
        <f>TEXT(E1159,"mm")</f>
        <v>07</v>
      </c>
      <c r="H1159" s="6">
        <v>6188.62</v>
      </c>
      <c r="I1159">
        <v>157</v>
      </c>
      <c r="L1159" t="str">
        <f t="shared" si="18"/>
        <v>Above Average</v>
      </c>
      <c r="M1159">
        <f>RANK(H1159,H:H,0)</f>
        <v>1381</v>
      </c>
    </row>
    <row r="1160" spans="1:13">
      <c r="A1160" t="s">
        <v>19</v>
      </c>
      <c r="B1160" t="s">
        <v>10</v>
      </c>
      <c r="C1160" t="s">
        <v>20</v>
      </c>
      <c r="D1160" s="3" t="s">
        <v>194</v>
      </c>
      <c r="E1160" s="5" t="str">
        <f>TEXT(D1160,"dd/mm/yyyy")</f>
        <v>27/05/2023</v>
      </c>
      <c r="F1160" s="5" t="str" cm="1">
        <f t="array" ref="F1160">RIGHT(_xlfn.ANCHORARRAY(E1160),4)</f>
        <v>2023</v>
      </c>
      <c r="G1160" s="5" t="str">
        <f>TEXT(E1160,"mm")</f>
        <v>27/05/2023</v>
      </c>
      <c r="H1160" s="6">
        <v>10914.36</v>
      </c>
      <c r="I1160">
        <v>11</v>
      </c>
      <c r="L1160" t="str">
        <f t="shared" si="18"/>
        <v>Above Average</v>
      </c>
      <c r="M1160">
        <f>RANK(H1160,H:H,0)</f>
        <v>454</v>
      </c>
    </row>
    <row r="1161" spans="1:13">
      <c r="A1161" t="s">
        <v>64</v>
      </c>
      <c r="B1161" t="s">
        <v>15</v>
      </c>
      <c r="C1161" t="s">
        <v>90</v>
      </c>
      <c r="D1161" s="3" t="s">
        <v>195</v>
      </c>
      <c r="E1161" s="5" t="str">
        <f>TEXT(D1161,"dd/mm/yyyy")</f>
        <v>14/04/2023</v>
      </c>
      <c r="F1161" s="5" t="str" cm="1">
        <f t="array" ref="F1161">RIGHT(_xlfn.ANCHORARRAY(E1161),4)</f>
        <v>2023</v>
      </c>
      <c r="G1161" s="5" t="str">
        <f>TEXT(E1161,"mm")</f>
        <v>14/04/2023</v>
      </c>
      <c r="H1161" s="6">
        <v>2342.0700000000002</v>
      </c>
      <c r="I1161">
        <v>12</v>
      </c>
      <c r="L1161" t="str">
        <f t="shared" si="18"/>
        <v>Below Average</v>
      </c>
      <c r="M1161">
        <f>RANK(H1161,H:H,0)</f>
        <v>2534</v>
      </c>
    </row>
    <row r="1162" spans="1:13">
      <c r="A1162" t="s">
        <v>9</v>
      </c>
      <c r="B1162" t="s">
        <v>15</v>
      </c>
      <c r="C1162" t="s">
        <v>42</v>
      </c>
      <c r="D1162" s="4">
        <v>45207</v>
      </c>
      <c r="E1162" s="5" t="str">
        <f>TEXT(D1162,"dd/mm/yyyy")</f>
        <v>08/10/2023</v>
      </c>
      <c r="F1162" s="5" t="str" cm="1">
        <f t="array" ref="F1162">RIGHT(_xlfn.ANCHORARRAY(E1162),4)</f>
        <v>2023</v>
      </c>
      <c r="G1162" s="5" t="str">
        <f>TEXT(E1162,"mm")</f>
        <v>08</v>
      </c>
      <c r="H1162" s="6">
        <v>21762.799999999999</v>
      </c>
      <c r="I1162">
        <v>15</v>
      </c>
      <c r="L1162" t="str">
        <f t="shared" si="18"/>
        <v>Above Average</v>
      </c>
      <c r="M1162">
        <f>RANK(H1162,H:H,0)</f>
        <v>10</v>
      </c>
    </row>
    <row r="1163" spans="1:13">
      <c r="A1163" t="s">
        <v>71</v>
      </c>
      <c r="B1163" t="s">
        <v>10</v>
      </c>
      <c r="C1163" t="s">
        <v>26</v>
      </c>
      <c r="D1163" s="4">
        <v>45023</v>
      </c>
      <c r="E1163" s="5" t="str">
        <f>TEXT(D1163,"dd/mm/yyyy")</f>
        <v>07/04/2023</v>
      </c>
      <c r="F1163" s="5" t="str" cm="1">
        <f t="array" ref="F1163">RIGHT(_xlfn.ANCHORARRAY(E1163),4)</f>
        <v>2023</v>
      </c>
      <c r="G1163" s="5" t="str">
        <f>TEXT(E1163,"mm")</f>
        <v>07</v>
      </c>
      <c r="H1163" s="6">
        <v>10539.54</v>
      </c>
      <c r="I1163">
        <v>398</v>
      </c>
      <c r="L1163" t="str">
        <f t="shared" si="18"/>
        <v>Above Average</v>
      </c>
      <c r="M1163">
        <f>RANK(H1163,H:H,0)</f>
        <v>507</v>
      </c>
    </row>
    <row r="1164" spans="1:13">
      <c r="A1164" t="s">
        <v>19</v>
      </c>
      <c r="B1164" t="s">
        <v>10</v>
      </c>
      <c r="C1164" t="s">
        <v>42</v>
      </c>
      <c r="D1164" s="4">
        <v>45145</v>
      </c>
      <c r="E1164" s="5" t="str">
        <f>TEXT(D1164,"dd/mm/yyyy")</f>
        <v>07/08/2023</v>
      </c>
      <c r="F1164" s="5" t="str" cm="1">
        <f t="array" ref="F1164">RIGHT(_xlfn.ANCHORARRAY(E1164),4)</f>
        <v>2023</v>
      </c>
      <c r="G1164" s="5" t="str">
        <f>TEXT(E1164,"mm")</f>
        <v>07</v>
      </c>
      <c r="H1164" s="6">
        <v>6665.87</v>
      </c>
      <c r="I1164">
        <v>60</v>
      </c>
      <c r="L1164" t="str">
        <f t="shared" si="18"/>
        <v>Above Average</v>
      </c>
      <c r="M1164">
        <f>RANK(H1164,H:H,0)</f>
        <v>1269</v>
      </c>
    </row>
    <row r="1165" spans="1:13">
      <c r="A1165" t="s">
        <v>14</v>
      </c>
      <c r="B1165" t="s">
        <v>32</v>
      </c>
      <c r="C1165" t="s">
        <v>13</v>
      </c>
      <c r="D1165" s="3" t="s">
        <v>181</v>
      </c>
      <c r="E1165" s="5" t="str">
        <f>TEXT(D1165,"dd/mm/yyyy")</f>
        <v>22/07/2023</v>
      </c>
      <c r="F1165" s="5" t="str" cm="1">
        <f t="array" ref="F1165">RIGHT(_xlfn.ANCHORARRAY(E1165),4)</f>
        <v>2023</v>
      </c>
      <c r="G1165" s="5" t="str">
        <f>TEXT(E1165,"mm")</f>
        <v>22/07/2023</v>
      </c>
      <c r="H1165" s="6">
        <v>9605.11</v>
      </c>
      <c r="I1165">
        <v>98</v>
      </c>
      <c r="L1165" t="str">
        <f t="shared" si="18"/>
        <v>Above Average</v>
      </c>
      <c r="M1165">
        <f>RANK(H1165,H:H,0)</f>
        <v>642</v>
      </c>
    </row>
    <row r="1166" spans="1:13">
      <c r="A1166" t="s">
        <v>12</v>
      </c>
      <c r="B1166" t="s">
        <v>32</v>
      </c>
      <c r="C1166" t="s">
        <v>75</v>
      </c>
      <c r="D1166" s="4">
        <v>44960</v>
      </c>
      <c r="E1166" s="5" t="str">
        <f>TEXT(D1166,"dd/mm/yyyy")</f>
        <v>03/02/2023</v>
      </c>
      <c r="F1166" s="5" t="str" cm="1">
        <f t="array" ref="F1166">RIGHT(_xlfn.ANCHORARRAY(E1166),4)</f>
        <v>2023</v>
      </c>
      <c r="G1166" s="5" t="str">
        <f>TEXT(E1166,"mm")</f>
        <v>03</v>
      </c>
      <c r="H1166" s="6">
        <v>13018</v>
      </c>
      <c r="I1166">
        <v>103</v>
      </c>
      <c r="L1166" t="str">
        <f t="shared" si="18"/>
        <v>Above Average</v>
      </c>
      <c r="M1166">
        <f>RANK(H1166,H:H,0)</f>
        <v>267</v>
      </c>
    </row>
    <row r="1167" spans="1:13">
      <c r="A1167" t="s">
        <v>12</v>
      </c>
      <c r="B1167" t="s">
        <v>7</v>
      </c>
      <c r="C1167" t="s">
        <v>65</v>
      </c>
      <c r="D1167" s="4">
        <v>45200</v>
      </c>
      <c r="E1167" s="5" t="str">
        <f>TEXT(D1167,"dd/mm/yyyy")</f>
        <v>01/10/2023</v>
      </c>
      <c r="F1167" s="5" t="str" cm="1">
        <f t="array" ref="F1167">RIGHT(_xlfn.ANCHORARRAY(E1167),4)</f>
        <v>2023</v>
      </c>
      <c r="G1167" s="5" t="str">
        <f>TEXT(E1167,"mm")</f>
        <v>01</v>
      </c>
      <c r="H1167" s="6">
        <v>6046.4</v>
      </c>
      <c r="I1167">
        <v>10</v>
      </c>
      <c r="L1167" t="str">
        <f t="shared" si="18"/>
        <v>Above Average</v>
      </c>
      <c r="M1167">
        <f>RANK(H1167,H:H,0)</f>
        <v>1425</v>
      </c>
    </row>
    <row r="1168" spans="1:13">
      <c r="A1168" t="s">
        <v>6</v>
      </c>
      <c r="B1168" t="s">
        <v>25</v>
      </c>
      <c r="C1168" t="s">
        <v>59</v>
      </c>
      <c r="D1168" s="4">
        <v>45233</v>
      </c>
      <c r="E1168" s="5" t="str">
        <f>TEXT(D1168,"dd/mm/yyyy")</f>
        <v>03/11/2023</v>
      </c>
      <c r="F1168" s="5" t="str" cm="1">
        <f t="array" ref="F1168">RIGHT(_xlfn.ANCHORARRAY(E1168),4)</f>
        <v>2023</v>
      </c>
      <c r="G1168" s="5" t="str">
        <f>TEXT(E1168,"mm")</f>
        <v>03</v>
      </c>
      <c r="H1168" s="6">
        <v>3078.33</v>
      </c>
      <c r="I1168">
        <v>231</v>
      </c>
      <c r="L1168" t="str">
        <f t="shared" si="18"/>
        <v>Below Average</v>
      </c>
      <c r="M1168">
        <f>RANK(H1168,H:H,0)</f>
        <v>2278</v>
      </c>
    </row>
    <row r="1169" spans="1:13">
      <c r="A1169" t="s">
        <v>67</v>
      </c>
      <c r="B1169" t="s">
        <v>25</v>
      </c>
      <c r="C1169" t="s">
        <v>13</v>
      </c>
      <c r="D1169" s="3" t="s">
        <v>196</v>
      </c>
      <c r="E1169" s="5" t="str">
        <f>TEXT(D1169,"dd/mm/yyyy")</f>
        <v>20/06/2023</v>
      </c>
      <c r="F1169" s="5" t="str" cm="1">
        <f t="array" ref="F1169">RIGHT(_xlfn.ANCHORARRAY(E1169),4)</f>
        <v>2023</v>
      </c>
      <c r="G1169" s="5" t="str">
        <f>TEXT(E1169,"mm")</f>
        <v>20/06/2023</v>
      </c>
      <c r="H1169" s="6">
        <v>970.96</v>
      </c>
      <c r="I1169">
        <v>291</v>
      </c>
      <c r="L1169" t="str">
        <f t="shared" si="18"/>
        <v>Below Average</v>
      </c>
      <c r="M1169">
        <f>RANK(H1169,H:H,0)</f>
        <v>2982</v>
      </c>
    </row>
    <row r="1170" spans="1:13">
      <c r="A1170" t="s">
        <v>9</v>
      </c>
      <c r="B1170" t="s">
        <v>7</v>
      </c>
      <c r="C1170" t="s">
        <v>42</v>
      </c>
      <c r="D1170" s="3" t="s">
        <v>197</v>
      </c>
      <c r="E1170" s="5" t="str">
        <f>TEXT(D1170,"dd/mm/yyyy")</f>
        <v>26/08/2023</v>
      </c>
      <c r="F1170" s="5" t="str" cm="1">
        <f t="array" ref="F1170">RIGHT(_xlfn.ANCHORARRAY(E1170),4)</f>
        <v>2023</v>
      </c>
      <c r="G1170" s="5" t="str">
        <f>TEXT(E1170,"mm")</f>
        <v>26/08/2023</v>
      </c>
      <c r="H1170" s="6">
        <v>2064.71</v>
      </c>
      <c r="I1170">
        <v>208</v>
      </c>
      <c r="L1170" t="str">
        <f t="shared" si="18"/>
        <v>Below Average</v>
      </c>
      <c r="M1170">
        <f>RANK(H1170,H:H,0)</f>
        <v>2612</v>
      </c>
    </row>
    <row r="1171" spans="1:13">
      <c r="A1171" t="s">
        <v>45</v>
      </c>
      <c r="B1171" t="s">
        <v>35</v>
      </c>
      <c r="C1171" t="s">
        <v>46</v>
      </c>
      <c r="D1171" s="3" t="s">
        <v>198</v>
      </c>
      <c r="E1171" s="5" t="str">
        <f>TEXT(D1171,"dd/mm/yyyy")</f>
        <v>13/07/2023</v>
      </c>
      <c r="F1171" s="5" t="str" cm="1">
        <f t="array" ref="F1171">RIGHT(_xlfn.ANCHORARRAY(E1171),4)</f>
        <v>2023</v>
      </c>
      <c r="G1171" s="5" t="str">
        <f>TEXT(E1171,"mm")</f>
        <v>13/07/2023</v>
      </c>
      <c r="H1171" s="6">
        <v>679.94</v>
      </c>
      <c r="I1171">
        <v>34</v>
      </c>
      <c r="L1171" t="str">
        <f t="shared" si="18"/>
        <v>Below Average</v>
      </c>
      <c r="M1171">
        <f>RANK(H1171,H:H,0)</f>
        <v>3072</v>
      </c>
    </row>
    <row r="1172" spans="1:13">
      <c r="A1172" t="s">
        <v>71</v>
      </c>
      <c r="B1172" t="s">
        <v>32</v>
      </c>
      <c r="C1172" t="s">
        <v>50</v>
      </c>
      <c r="D1172" s="4">
        <v>45232</v>
      </c>
      <c r="E1172" s="5" t="str">
        <f>TEXT(D1172,"dd/mm/yyyy")</f>
        <v>02/11/2023</v>
      </c>
      <c r="F1172" s="5" t="str" cm="1">
        <f t="array" ref="F1172">RIGHT(_xlfn.ANCHORARRAY(E1172),4)</f>
        <v>2023</v>
      </c>
      <c r="G1172" s="5" t="str">
        <f>TEXT(E1172,"mm")</f>
        <v>02</v>
      </c>
      <c r="H1172" s="6">
        <v>1311.25</v>
      </c>
      <c r="I1172">
        <v>251</v>
      </c>
      <c r="L1172" t="str">
        <f t="shared" si="18"/>
        <v>Below Average</v>
      </c>
      <c r="M1172">
        <f>RANK(H1172,H:H,0)</f>
        <v>2869</v>
      </c>
    </row>
    <row r="1173" spans="1:13">
      <c r="A1173" t="s">
        <v>40</v>
      </c>
      <c r="B1173" t="s">
        <v>32</v>
      </c>
      <c r="C1173" t="s">
        <v>33</v>
      </c>
      <c r="D1173" s="3" t="s">
        <v>199</v>
      </c>
      <c r="E1173" s="5" t="str">
        <f>TEXT(D1173,"dd/mm/yyyy")</f>
        <v>27/01/2023</v>
      </c>
      <c r="F1173" s="5" t="str" cm="1">
        <f t="array" ref="F1173">RIGHT(_xlfn.ANCHORARRAY(E1173),4)</f>
        <v>2023</v>
      </c>
      <c r="G1173" s="5" t="str">
        <f>TEXT(E1173,"mm")</f>
        <v>27/01/2023</v>
      </c>
      <c r="H1173" s="6">
        <v>8692.64</v>
      </c>
      <c r="I1173">
        <v>184</v>
      </c>
      <c r="L1173" t="str">
        <f t="shared" si="18"/>
        <v>Above Average</v>
      </c>
      <c r="M1173">
        <f>RANK(H1173,H:H,0)</f>
        <v>799</v>
      </c>
    </row>
    <row r="1174" spans="1:13">
      <c r="A1174" t="s">
        <v>9</v>
      </c>
      <c r="B1174" t="s">
        <v>7</v>
      </c>
      <c r="C1174" t="s">
        <v>20</v>
      </c>
      <c r="D1174" s="3" t="s">
        <v>200</v>
      </c>
      <c r="E1174" s="5" t="str">
        <f>TEXT(D1174,"dd/mm/yyyy")</f>
        <v>31/01/2023</v>
      </c>
      <c r="F1174" s="5" t="str" cm="1">
        <f t="array" ref="F1174">RIGHT(_xlfn.ANCHORARRAY(E1174),4)</f>
        <v>2023</v>
      </c>
      <c r="G1174" s="5" t="str">
        <f>TEXT(E1174,"mm")</f>
        <v>31/01/2023</v>
      </c>
      <c r="H1174" s="6">
        <v>4993.21</v>
      </c>
      <c r="I1174">
        <v>145</v>
      </c>
      <c r="L1174" t="str">
        <f t="shared" si="18"/>
        <v>Below Average</v>
      </c>
      <c r="M1174">
        <f>RANK(H1174,H:H,0)</f>
        <v>1707</v>
      </c>
    </row>
    <row r="1175" spans="1:13">
      <c r="A1175" t="s">
        <v>71</v>
      </c>
      <c r="B1175" t="s">
        <v>32</v>
      </c>
      <c r="C1175" t="s">
        <v>59</v>
      </c>
      <c r="D1175" s="3" t="s">
        <v>201</v>
      </c>
      <c r="E1175" s="5" t="str">
        <f>TEXT(D1175,"dd/mm/yyyy")</f>
        <v>18/08/2023</v>
      </c>
      <c r="F1175" s="5" t="str" cm="1">
        <f t="array" ref="F1175">RIGHT(_xlfn.ANCHORARRAY(E1175),4)</f>
        <v>2023</v>
      </c>
      <c r="G1175" s="5" t="str">
        <f>TEXT(E1175,"mm")</f>
        <v>18/08/2023</v>
      </c>
      <c r="H1175" s="6">
        <v>10898.19</v>
      </c>
      <c r="I1175">
        <v>24</v>
      </c>
      <c r="L1175" t="str">
        <f t="shared" si="18"/>
        <v>Above Average</v>
      </c>
      <c r="M1175">
        <f>RANK(H1175,H:H,0)</f>
        <v>457</v>
      </c>
    </row>
    <row r="1176" spans="1:13">
      <c r="A1176" t="s">
        <v>67</v>
      </c>
      <c r="B1176" t="s">
        <v>32</v>
      </c>
      <c r="C1176" t="s">
        <v>73</v>
      </c>
      <c r="D1176" s="3" t="s">
        <v>180</v>
      </c>
      <c r="E1176" s="5" t="str">
        <f>TEXT(D1176,"dd/mm/yyyy")</f>
        <v>30/06/2023</v>
      </c>
      <c r="F1176" s="5" t="str" cm="1">
        <f t="array" ref="F1176">RIGHT(_xlfn.ANCHORARRAY(E1176),4)</f>
        <v>2023</v>
      </c>
      <c r="G1176" s="5" t="str">
        <f>TEXT(E1176,"mm")</f>
        <v>30/06/2023</v>
      </c>
      <c r="H1176" s="6">
        <v>15565.91</v>
      </c>
      <c r="I1176">
        <v>21</v>
      </c>
      <c r="L1176" t="str">
        <f t="shared" si="18"/>
        <v>Above Average</v>
      </c>
      <c r="M1176">
        <f>RANK(H1176,H:H,0)</f>
        <v>121</v>
      </c>
    </row>
    <row r="1177" spans="1:13">
      <c r="A1177" t="s">
        <v>79</v>
      </c>
      <c r="B1177" t="s">
        <v>15</v>
      </c>
      <c r="C1177" t="s">
        <v>57</v>
      </c>
      <c r="D1177" s="3" t="s">
        <v>202</v>
      </c>
      <c r="E1177" s="5" t="str">
        <f>TEXT(D1177,"dd/mm/yyyy")</f>
        <v>23/08/2023</v>
      </c>
      <c r="F1177" s="5" t="str" cm="1">
        <f t="array" ref="F1177">RIGHT(_xlfn.ANCHORARRAY(E1177),4)</f>
        <v>2023</v>
      </c>
      <c r="G1177" s="5" t="str">
        <f>TEXT(E1177,"mm")</f>
        <v>23/08/2023</v>
      </c>
      <c r="H1177" s="6">
        <v>280.58999999999997</v>
      </c>
      <c r="I1177">
        <v>328</v>
      </c>
      <c r="L1177" t="str">
        <f t="shared" si="18"/>
        <v>Below Average</v>
      </c>
      <c r="M1177">
        <f>RANK(H1177,H:H,0)</f>
        <v>3198</v>
      </c>
    </row>
    <row r="1178" spans="1:13">
      <c r="A1178" t="s">
        <v>28</v>
      </c>
      <c r="B1178" t="s">
        <v>25</v>
      </c>
      <c r="C1178" t="s">
        <v>8</v>
      </c>
      <c r="D1178" s="4">
        <v>44934</v>
      </c>
      <c r="E1178" s="5" t="str">
        <f>TEXT(D1178,"dd/mm/yyyy")</f>
        <v>08/01/2023</v>
      </c>
      <c r="F1178" s="5" t="str" cm="1">
        <f t="array" ref="F1178">RIGHT(_xlfn.ANCHORARRAY(E1178),4)</f>
        <v>2023</v>
      </c>
      <c r="G1178" s="5" t="str">
        <f>TEXT(E1178,"mm")</f>
        <v>08</v>
      </c>
      <c r="H1178" s="6">
        <v>66.349999999999994</v>
      </c>
      <c r="I1178">
        <v>197</v>
      </c>
      <c r="L1178" t="str">
        <f t="shared" si="18"/>
        <v>Below Average</v>
      </c>
      <c r="M1178">
        <f>RANK(H1178,H:H,0)</f>
        <v>3262</v>
      </c>
    </row>
    <row r="1179" spans="1:13">
      <c r="A1179" t="s">
        <v>45</v>
      </c>
      <c r="B1179" t="s">
        <v>25</v>
      </c>
      <c r="C1179" t="s">
        <v>23</v>
      </c>
      <c r="D1179" s="3" t="s">
        <v>203</v>
      </c>
      <c r="E1179" s="5" t="str">
        <f>TEXT(D1179,"dd/mm/yyyy")</f>
        <v>25/05/2023</v>
      </c>
      <c r="F1179" s="5" t="str" cm="1">
        <f t="array" ref="F1179">RIGHT(_xlfn.ANCHORARRAY(E1179),4)</f>
        <v>2023</v>
      </c>
      <c r="G1179" s="5" t="str">
        <f>TEXT(E1179,"mm")</f>
        <v>25/05/2023</v>
      </c>
      <c r="H1179" s="6">
        <v>8766.4500000000007</v>
      </c>
      <c r="I1179">
        <v>10</v>
      </c>
      <c r="L1179" t="str">
        <f t="shared" si="18"/>
        <v>Above Average</v>
      </c>
      <c r="M1179">
        <f>RANK(H1179,H:H,0)</f>
        <v>785</v>
      </c>
    </row>
    <row r="1180" spans="1:13">
      <c r="A1180" t="s">
        <v>45</v>
      </c>
      <c r="B1180" t="s">
        <v>35</v>
      </c>
      <c r="C1180" t="s">
        <v>42</v>
      </c>
      <c r="D1180" s="4">
        <v>45200</v>
      </c>
      <c r="E1180" s="5" t="str">
        <f>TEXT(D1180,"dd/mm/yyyy")</f>
        <v>01/10/2023</v>
      </c>
      <c r="F1180" s="5" t="str" cm="1">
        <f t="array" ref="F1180">RIGHT(_xlfn.ANCHORARRAY(E1180),4)</f>
        <v>2023</v>
      </c>
      <c r="G1180" s="5" t="str">
        <f>TEXT(E1180,"mm")</f>
        <v>01</v>
      </c>
      <c r="H1180" s="6">
        <v>4265.4799999999996</v>
      </c>
      <c r="I1180">
        <v>85</v>
      </c>
      <c r="L1180" t="str">
        <f t="shared" si="18"/>
        <v>Below Average</v>
      </c>
      <c r="M1180">
        <f>RANK(H1180,H:H,0)</f>
        <v>1909</v>
      </c>
    </row>
    <row r="1181" spans="1:13">
      <c r="A1181" t="s">
        <v>58</v>
      </c>
      <c r="B1181" t="s">
        <v>15</v>
      </c>
      <c r="C1181" t="s">
        <v>100</v>
      </c>
      <c r="D1181" s="4">
        <v>45109</v>
      </c>
      <c r="E1181" s="5" t="str">
        <f>TEXT(D1181,"dd/mm/yyyy")</f>
        <v>02/07/2023</v>
      </c>
      <c r="F1181" s="5" t="str" cm="1">
        <f t="array" ref="F1181">RIGHT(_xlfn.ANCHORARRAY(E1181),4)</f>
        <v>2023</v>
      </c>
      <c r="G1181" s="5" t="str">
        <f>TEXT(E1181,"mm")</f>
        <v>02</v>
      </c>
      <c r="H1181" s="6">
        <v>6087.53</v>
      </c>
      <c r="I1181">
        <v>113</v>
      </c>
      <c r="L1181" t="str">
        <f t="shared" si="18"/>
        <v>Above Average</v>
      </c>
      <c r="M1181">
        <f>RANK(H1181,H:H,0)</f>
        <v>1407</v>
      </c>
    </row>
    <row r="1182" spans="1:13">
      <c r="A1182" t="s">
        <v>37</v>
      </c>
      <c r="B1182" t="s">
        <v>32</v>
      </c>
      <c r="C1182" t="s">
        <v>33</v>
      </c>
      <c r="D1182" s="4">
        <v>45265</v>
      </c>
      <c r="E1182" s="5" t="str">
        <f>TEXT(D1182,"dd/mm/yyyy")</f>
        <v>05/12/2023</v>
      </c>
      <c r="F1182" s="5" t="str" cm="1">
        <f t="array" ref="F1182">RIGHT(_xlfn.ANCHORARRAY(E1182),4)</f>
        <v>2023</v>
      </c>
      <c r="G1182" s="5" t="str">
        <f>TEXT(E1182,"mm")</f>
        <v>05</v>
      </c>
      <c r="H1182" s="6">
        <v>11694.48</v>
      </c>
      <c r="I1182">
        <v>425</v>
      </c>
      <c r="L1182" t="str">
        <f t="shared" si="18"/>
        <v>Above Average</v>
      </c>
      <c r="M1182">
        <f>RANK(H1182,H:H,0)</f>
        <v>375</v>
      </c>
    </row>
    <row r="1183" spans="1:13">
      <c r="A1183" t="s">
        <v>77</v>
      </c>
      <c r="B1183" t="s">
        <v>15</v>
      </c>
      <c r="C1183" t="s">
        <v>50</v>
      </c>
      <c r="D1183" s="4">
        <v>45110</v>
      </c>
      <c r="E1183" s="5" t="str">
        <f>TEXT(D1183,"dd/mm/yyyy")</f>
        <v>03/07/2023</v>
      </c>
      <c r="F1183" s="5" t="str" cm="1">
        <f t="array" ref="F1183">RIGHT(_xlfn.ANCHORARRAY(E1183),4)</f>
        <v>2023</v>
      </c>
      <c r="G1183" s="5" t="str">
        <f>TEXT(E1183,"mm")</f>
        <v>03</v>
      </c>
      <c r="H1183" s="6">
        <v>7616.38</v>
      </c>
      <c r="I1183">
        <v>392</v>
      </c>
      <c r="L1183" t="str">
        <f t="shared" si="18"/>
        <v>Above Average</v>
      </c>
      <c r="M1183">
        <f>RANK(H1183,H:H,0)</f>
        <v>1040</v>
      </c>
    </row>
    <row r="1184" spans="1:13">
      <c r="A1184" t="s">
        <v>58</v>
      </c>
      <c r="B1184" t="s">
        <v>15</v>
      </c>
      <c r="C1184" t="s">
        <v>11</v>
      </c>
      <c r="D1184" s="4">
        <v>45050</v>
      </c>
      <c r="E1184" s="5" t="str">
        <f>TEXT(D1184,"dd/mm/yyyy")</f>
        <v>04/05/2023</v>
      </c>
      <c r="F1184" s="5" t="str" cm="1">
        <f t="array" ref="F1184">RIGHT(_xlfn.ANCHORARRAY(E1184),4)</f>
        <v>2023</v>
      </c>
      <c r="G1184" s="5" t="str">
        <f>TEXT(E1184,"mm")</f>
        <v>04</v>
      </c>
      <c r="H1184" s="6">
        <v>7807.02</v>
      </c>
      <c r="I1184">
        <v>419</v>
      </c>
      <c r="L1184" t="str">
        <f t="shared" si="18"/>
        <v>Above Average</v>
      </c>
      <c r="M1184">
        <f>RANK(H1184,H:H,0)</f>
        <v>985</v>
      </c>
    </row>
    <row r="1185" spans="1:13">
      <c r="A1185" t="s">
        <v>67</v>
      </c>
      <c r="B1185" t="s">
        <v>35</v>
      </c>
      <c r="C1185" t="s">
        <v>90</v>
      </c>
      <c r="D1185" s="4">
        <v>44986</v>
      </c>
      <c r="E1185" s="5" t="str">
        <f>TEXT(D1185,"dd/mm/yyyy")</f>
        <v>01/03/2023</v>
      </c>
      <c r="F1185" s="5" t="str" cm="1">
        <f t="array" ref="F1185">RIGHT(_xlfn.ANCHORARRAY(E1185),4)</f>
        <v>2023</v>
      </c>
      <c r="G1185" s="5" t="str">
        <f>TEXT(E1185,"mm")</f>
        <v>01</v>
      </c>
      <c r="H1185" s="6">
        <v>7990.91</v>
      </c>
      <c r="I1185">
        <v>343</v>
      </c>
      <c r="L1185" t="str">
        <f t="shared" si="18"/>
        <v>Above Average</v>
      </c>
      <c r="M1185">
        <f>RANK(H1185,H:H,0)</f>
        <v>939</v>
      </c>
    </row>
    <row r="1186" spans="1:13">
      <c r="A1186" t="s">
        <v>58</v>
      </c>
      <c r="B1186" t="s">
        <v>7</v>
      </c>
      <c r="C1186" t="s">
        <v>36</v>
      </c>
      <c r="D1186" s="3" t="s">
        <v>165</v>
      </c>
      <c r="E1186" s="5" t="str">
        <f>TEXT(D1186,"dd/mm/yyyy")</f>
        <v>24/03/2023</v>
      </c>
      <c r="F1186" s="5" t="str" cm="1">
        <f t="array" ref="F1186">RIGHT(_xlfn.ANCHORARRAY(E1186),4)</f>
        <v>2023</v>
      </c>
      <c r="G1186" s="5" t="str">
        <f>TEXT(E1186,"mm")</f>
        <v>24/03/2023</v>
      </c>
      <c r="H1186" s="6">
        <v>6757.17</v>
      </c>
      <c r="I1186">
        <v>276</v>
      </c>
      <c r="L1186" t="str">
        <f t="shared" si="18"/>
        <v>Above Average</v>
      </c>
      <c r="M1186">
        <f>RANK(H1186,H:H,0)</f>
        <v>1253</v>
      </c>
    </row>
    <row r="1187" spans="1:13">
      <c r="A1187" t="s">
        <v>77</v>
      </c>
      <c r="B1187" t="s">
        <v>10</v>
      </c>
      <c r="C1187" t="s">
        <v>73</v>
      </c>
      <c r="D1187" s="4">
        <v>45114</v>
      </c>
      <c r="E1187" s="5" t="str">
        <f>TEXT(D1187,"dd/mm/yyyy")</f>
        <v>07/07/2023</v>
      </c>
      <c r="F1187" s="5" t="str" cm="1">
        <f t="array" ref="F1187">RIGHT(_xlfn.ANCHORARRAY(E1187),4)</f>
        <v>2023</v>
      </c>
      <c r="G1187" s="5" t="str">
        <f>TEXT(E1187,"mm")</f>
        <v>07</v>
      </c>
      <c r="H1187" s="6">
        <v>4409.21</v>
      </c>
      <c r="I1187">
        <v>10</v>
      </c>
      <c r="L1187" t="str">
        <f t="shared" si="18"/>
        <v>Below Average</v>
      </c>
      <c r="M1187">
        <f>RANK(H1187,H:H,0)</f>
        <v>1872</v>
      </c>
    </row>
    <row r="1188" spans="1:13">
      <c r="A1188" t="s">
        <v>9</v>
      </c>
      <c r="B1188" t="s">
        <v>32</v>
      </c>
      <c r="C1188" t="s">
        <v>23</v>
      </c>
      <c r="D1188" s="3" t="s">
        <v>204</v>
      </c>
      <c r="E1188" s="5" t="str">
        <f>TEXT(D1188,"dd/mm/yyyy")</f>
        <v>26/07/2023</v>
      </c>
      <c r="F1188" s="5" t="str" cm="1">
        <f t="array" ref="F1188">RIGHT(_xlfn.ANCHORARRAY(E1188),4)</f>
        <v>2023</v>
      </c>
      <c r="G1188" s="5" t="str">
        <f>TEXT(E1188,"mm")</f>
        <v>26/07/2023</v>
      </c>
      <c r="H1188" s="6">
        <v>722.25</v>
      </c>
      <c r="I1188">
        <v>255</v>
      </c>
      <c r="L1188" t="str">
        <f t="shared" si="18"/>
        <v>Below Average</v>
      </c>
      <c r="M1188">
        <f>RANK(H1188,H:H,0)</f>
        <v>3056</v>
      </c>
    </row>
    <row r="1189" spans="1:13">
      <c r="A1189" t="s">
        <v>64</v>
      </c>
      <c r="B1189" t="s">
        <v>15</v>
      </c>
      <c r="C1189" t="s">
        <v>42</v>
      </c>
      <c r="D1189" s="4">
        <v>45114</v>
      </c>
      <c r="E1189" s="5" t="str">
        <f>TEXT(D1189,"dd/mm/yyyy")</f>
        <v>07/07/2023</v>
      </c>
      <c r="F1189" s="5" t="str" cm="1">
        <f t="array" ref="F1189">RIGHT(_xlfn.ANCHORARRAY(E1189),4)</f>
        <v>2023</v>
      </c>
      <c r="G1189" s="5" t="str">
        <f>TEXT(E1189,"mm")</f>
        <v>07</v>
      </c>
      <c r="H1189" s="6">
        <v>1896.24</v>
      </c>
      <c r="I1189">
        <v>115</v>
      </c>
      <c r="L1189" t="str">
        <f t="shared" si="18"/>
        <v>Below Average</v>
      </c>
      <c r="M1189">
        <f>RANK(H1189,H:H,0)</f>
        <v>2667</v>
      </c>
    </row>
    <row r="1190" spans="1:13">
      <c r="A1190" t="s">
        <v>37</v>
      </c>
      <c r="B1190" t="s">
        <v>35</v>
      </c>
      <c r="C1190" t="s">
        <v>26</v>
      </c>
      <c r="D1190" s="3" t="s">
        <v>189</v>
      </c>
      <c r="E1190" s="5" t="str">
        <f>TEXT(D1190,"dd/mm/yyyy")</f>
        <v>15/07/2023</v>
      </c>
      <c r="F1190" s="5" t="str" cm="1">
        <f t="array" ref="F1190">RIGHT(_xlfn.ANCHORARRAY(E1190),4)</f>
        <v>2023</v>
      </c>
      <c r="G1190" s="5" t="str">
        <f>TEXT(E1190,"mm")</f>
        <v>15/07/2023</v>
      </c>
      <c r="H1190" s="6">
        <v>2966.83</v>
      </c>
      <c r="I1190">
        <v>65</v>
      </c>
      <c r="L1190" t="str">
        <f t="shared" si="18"/>
        <v>Below Average</v>
      </c>
      <c r="M1190">
        <f>RANK(H1190,H:H,0)</f>
        <v>2320</v>
      </c>
    </row>
    <row r="1191" spans="1:13">
      <c r="A1191" t="s">
        <v>45</v>
      </c>
      <c r="B1191" t="s">
        <v>25</v>
      </c>
      <c r="C1191" t="s">
        <v>33</v>
      </c>
      <c r="D1191" s="4">
        <v>44930</v>
      </c>
      <c r="E1191" s="5" t="str">
        <f>TEXT(D1191,"dd/mm/yyyy")</f>
        <v>04/01/2023</v>
      </c>
      <c r="F1191" s="5" t="str" cm="1">
        <f t="array" ref="F1191">RIGHT(_xlfn.ANCHORARRAY(E1191),4)</f>
        <v>2023</v>
      </c>
      <c r="G1191" s="5" t="str">
        <f>TEXT(E1191,"mm")</f>
        <v>04</v>
      </c>
      <c r="H1191" s="6">
        <v>51.29</v>
      </c>
      <c r="I1191">
        <v>100</v>
      </c>
      <c r="L1191" t="str">
        <f t="shared" si="18"/>
        <v>Below Average</v>
      </c>
      <c r="M1191">
        <f>RANK(H1191,H:H,0)</f>
        <v>3271</v>
      </c>
    </row>
    <row r="1192" spans="1:13">
      <c r="A1192" t="s">
        <v>41</v>
      </c>
      <c r="B1192" t="s">
        <v>15</v>
      </c>
      <c r="C1192" t="s">
        <v>36</v>
      </c>
      <c r="D1192" s="3" t="s">
        <v>196</v>
      </c>
      <c r="E1192" s="5" t="str">
        <f>TEXT(D1192,"dd/mm/yyyy")</f>
        <v>20/06/2023</v>
      </c>
      <c r="F1192" s="5" t="str" cm="1">
        <f t="array" ref="F1192">RIGHT(_xlfn.ANCHORARRAY(E1192),4)</f>
        <v>2023</v>
      </c>
      <c r="G1192" s="5" t="str">
        <f>TEXT(E1192,"mm")</f>
        <v>20/06/2023</v>
      </c>
      <c r="H1192" s="6">
        <v>1835.42</v>
      </c>
      <c r="I1192">
        <v>6</v>
      </c>
      <c r="L1192" t="str">
        <f t="shared" si="18"/>
        <v>Below Average</v>
      </c>
      <c r="M1192">
        <f>RANK(H1192,H:H,0)</f>
        <v>2690</v>
      </c>
    </row>
    <row r="1193" spans="1:13">
      <c r="A1193" t="s">
        <v>70</v>
      </c>
      <c r="B1193" t="s">
        <v>7</v>
      </c>
      <c r="C1193" t="s">
        <v>57</v>
      </c>
      <c r="D1193" s="3" t="s">
        <v>179</v>
      </c>
      <c r="E1193" s="5" t="str">
        <f>TEXT(D1193,"dd/mm/yyyy")</f>
        <v>29/06/2023</v>
      </c>
      <c r="F1193" s="5" t="str" cm="1">
        <f t="array" ref="F1193">RIGHT(_xlfn.ANCHORARRAY(E1193),4)</f>
        <v>2023</v>
      </c>
      <c r="G1193" s="5" t="str">
        <f>TEXT(E1193,"mm")</f>
        <v>29/06/2023</v>
      </c>
      <c r="H1193" s="6">
        <v>14592.11</v>
      </c>
      <c r="I1193">
        <v>509</v>
      </c>
      <c r="L1193" t="str">
        <f t="shared" si="18"/>
        <v>Above Average</v>
      </c>
      <c r="M1193">
        <f>RANK(H1193,H:H,0)</f>
        <v>174</v>
      </c>
    </row>
    <row r="1194" spans="1:13">
      <c r="A1194" t="s">
        <v>40</v>
      </c>
      <c r="B1194" t="s">
        <v>32</v>
      </c>
      <c r="C1194" t="s">
        <v>26</v>
      </c>
      <c r="D1194" s="3" t="s">
        <v>177</v>
      </c>
      <c r="E1194" s="5" t="str">
        <f>TEXT(D1194,"dd/mm/yyyy")</f>
        <v>15/06/2023</v>
      </c>
      <c r="F1194" s="5" t="str" cm="1">
        <f t="array" ref="F1194">RIGHT(_xlfn.ANCHORARRAY(E1194),4)</f>
        <v>2023</v>
      </c>
      <c r="G1194" s="5" t="str">
        <f>TEXT(E1194,"mm")</f>
        <v>15/06/2023</v>
      </c>
      <c r="H1194" s="6">
        <v>1114.1300000000001</v>
      </c>
      <c r="I1194">
        <v>106</v>
      </c>
      <c r="L1194" t="str">
        <f t="shared" si="18"/>
        <v>Below Average</v>
      </c>
      <c r="M1194">
        <f>RANK(H1194,H:H,0)</f>
        <v>2936</v>
      </c>
    </row>
    <row r="1195" spans="1:13">
      <c r="A1195" t="s">
        <v>53</v>
      </c>
      <c r="B1195" t="s">
        <v>32</v>
      </c>
      <c r="C1195" t="s">
        <v>23</v>
      </c>
      <c r="D1195" s="4">
        <v>45142</v>
      </c>
      <c r="E1195" s="5" t="str">
        <f>TEXT(D1195,"dd/mm/yyyy")</f>
        <v>04/08/2023</v>
      </c>
      <c r="F1195" s="5" t="str" cm="1">
        <f t="array" ref="F1195">RIGHT(_xlfn.ANCHORARRAY(E1195),4)</f>
        <v>2023</v>
      </c>
      <c r="G1195" s="5" t="str">
        <f>TEXT(E1195,"mm")</f>
        <v>04</v>
      </c>
      <c r="H1195" s="6">
        <v>13051.75</v>
      </c>
      <c r="I1195">
        <v>193</v>
      </c>
      <c r="L1195" t="str">
        <f t="shared" si="18"/>
        <v>Above Average</v>
      </c>
      <c r="M1195">
        <f>RANK(H1195,H:H,0)</f>
        <v>265</v>
      </c>
    </row>
    <row r="1196" spans="1:13">
      <c r="A1196" t="s">
        <v>58</v>
      </c>
      <c r="B1196" t="s">
        <v>15</v>
      </c>
      <c r="C1196" t="s">
        <v>73</v>
      </c>
      <c r="D1196" s="3" t="s">
        <v>175</v>
      </c>
      <c r="E1196" s="5" t="str">
        <f>TEXT(D1196,"dd/mm/yyyy")</f>
        <v>14/03/2023</v>
      </c>
      <c r="F1196" s="5" t="str" cm="1">
        <f t="array" ref="F1196">RIGHT(_xlfn.ANCHORARRAY(E1196),4)</f>
        <v>2023</v>
      </c>
      <c r="G1196" s="5" t="str">
        <f>TEXT(E1196,"mm")</f>
        <v>14/03/2023</v>
      </c>
      <c r="H1196" s="6">
        <v>5997.71</v>
      </c>
      <c r="I1196">
        <v>31</v>
      </c>
      <c r="L1196" t="str">
        <f t="shared" si="18"/>
        <v>Below Average</v>
      </c>
      <c r="M1196">
        <f>RANK(H1196,H:H,0)</f>
        <v>1436</v>
      </c>
    </row>
    <row r="1197" spans="1:13">
      <c r="A1197" t="s">
        <v>67</v>
      </c>
      <c r="B1197" t="s">
        <v>32</v>
      </c>
      <c r="C1197" t="s">
        <v>57</v>
      </c>
      <c r="D1197" s="3" t="s">
        <v>189</v>
      </c>
      <c r="E1197" s="5" t="str">
        <f>TEXT(D1197,"dd/mm/yyyy")</f>
        <v>15/07/2023</v>
      </c>
      <c r="F1197" s="5" t="str" cm="1">
        <f t="array" ref="F1197">RIGHT(_xlfn.ANCHORARRAY(E1197),4)</f>
        <v>2023</v>
      </c>
      <c r="G1197" s="5" t="str">
        <f>TEXT(E1197,"mm")</f>
        <v>15/07/2023</v>
      </c>
      <c r="H1197" s="6">
        <v>1588.28</v>
      </c>
      <c r="I1197">
        <v>352</v>
      </c>
      <c r="L1197" t="str">
        <f t="shared" si="18"/>
        <v>Below Average</v>
      </c>
      <c r="M1197">
        <f>RANK(H1197,H:H,0)</f>
        <v>2776</v>
      </c>
    </row>
    <row r="1198" spans="1:13">
      <c r="A1198" t="s">
        <v>70</v>
      </c>
      <c r="B1198" t="s">
        <v>10</v>
      </c>
      <c r="C1198" t="s">
        <v>36</v>
      </c>
      <c r="D1198" s="3" t="s">
        <v>188</v>
      </c>
      <c r="E1198" s="5" t="str">
        <f>TEXT(D1198,"dd/mm/yyyy")</f>
        <v>19/04/2023</v>
      </c>
      <c r="F1198" s="5" t="str" cm="1">
        <f t="array" ref="F1198">RIGHT(_xlfn.ANCHORARRAY(E1198),4)</f>
        <v>2023</v>
      </c>
      <c r="G1198" s="5" t="str">
        <f>TEXT(E1198,"mm")</f>
        <v>19/04/2023</v>
      </c>
      <c r="H1198" s="6">
        <v>5344.21</v>
      </c>
      <c r="I1198">
        <v>80</v>
      </c>
      <c r="L1198" t="str">
        <f t="shared" si="18"/>
        <v>Below Average</v>
      </c>
      <c r="M1198">
        <f>RANK(H1198,H:H,0)</f>
        <v>1604</v>
      </c>
    </row>
    <row r="1199" spans="1:13">
      <c r="A1199" t="s">
        <v>40</v>
      </c>
      <c r="B1199" t="s">
        <v>32</v>
      </c>
      <c r="C1199" t="s">
        <v>20</v>
      </c>
      <c r="D1199" s="3" t="s">
        <v>205</v>
      </c>
      <c r="E1199" s="5" t="str">
        <f>TEXT(D1199,"dd/mm/yyyy")</f>
        <v>28/03/2023</v>
      </c>
      <c r="F1199" s="5" t="str" cm="1">
        <f t="array" ref="F1199">RIGHT(_xlfn.ANCHORARRAY(E1199),4)</f>
        <v>2023</v>
      </c>
      <c r="G1199" s="5" t="str">
        <f>TEXT(E1199,"mm")</f>
        <v>28/03/2023</v>
      </c>
      <c r="H1199" s="6">
        <v>4646.91</v>
      </c>
      <c r="I1199">
        <v>317</v>
      </c>
      <c r="L1199" t="str">
        <f t="shared" si="18"/>
        <v>Below Average</v>
      </c>
      <c r="M1199">
        <f>RANK(H1199,H:H,0)</f>
        <v>1812</v>
      </c>
    </row>
    <row r="1200" spans="1:13">
      <c r="A1200" t="s">
        <v>28</v>
      </c>
      <c r="B1200" t="s">
        <v>35</v>
      </c>
      <c r="C1200" t="s">
        <v>50</v>
      </c>
      <c r="D1200" s="4">
        <v>45019</v>
      </c>
      <c r="E1200" s="5" t="str">
        <f>TEXT(D1200,"dd/mm/yyyy")</f>
        <v>03/04/2023</v>
      </c>
      <c r="F1200" s="5" t="str" cm="1">
        <f t="array" ref="F1200">RIGHT(_xlfn.ANCHORARRAY(E1200),4)</f>
        <v>2023</v>
      </c>
      <c r="G1200" s="5" t="str">
        <f>TEXT(E1200,"mm")</f>
        <v>03</v>
      </c>
      <c r="H1200" s="6">
        <v>8929.8799999999992</v>
      </c>
      <c r="I1200">
        <v>100</v>
      </c>
      <c r="L1200" t="str">
        <f t="shared" si="18"/>
        <v>Above Average</v>
      </c>
      <c r="M1200">
        <f>RANK(H1200,H:H,0)</f>
        <v>751</v>
      </c>
    </row>
    <row r="1201" spans="1:13">
      <c r="A1201" t="s">
        <v>37</v>
      </c>
      <c r="B1201" t="s">
        <v>25</v>
      </c>
      <c r="C1201" t="s">
        <v>100</v>
      </c>
      <c r="D1201" s="4">
        <v>44965</v>
      </c>
      <c r="E1201" s="5" t="str">
        <f>TEXT(D1201,"dd/mm/yyyy")</f>
        <v>08/02/2023</v>
      </c>
      <c r="F1201" s="5" t="str" cm="1">
        <f t="array" ref="F1201">RIGHT(_xlfn.ANCHORARRAY(E1201),4)</f>
        <v>2023</v>
      </c>
      <c r="G1201" s="5" t="str">
        <f>TEXT(E1201,"mm")</f>
        <v>08</v>
      </c>
      <c r="H1201" s="6">
        <v>141.22999999999999</v>
      </c>
      <c r="I1201">
        <v>38</v>
      </c>
      <c r="L1201" t="str">
        <f t="shared" si="18"/>
        <v>Below Average</v>
      </c>
      <c r="M1201">
        <f>RANK(H1201,H:H,0)</f>
        <v>3233</v>
      </c>
    </row>
    <row r="1202" spans="1:13">
      <c r="A1202" t="s">
        <v>53</v>
      </c>
      <c r="B1202" t="s">
        <v>7</v>
      </c>
      <c r="C1202" t="s">
        <v>50</v>
      </c>
      <c r="D1202" s="3" t="s">
        <v>206</v>
      </c>
      <c r="E1202" s="5" t="str">
        <f>TEXT(D1202,"dd/mm/yyyy")</f>
        <v>25/08/2023</v>
      </c>
      <c r="F1202" s="5" t="str" cm="1">
        <f t="array" ref="F1202">RIGHT(_xlfn.ANCHORARRAY(E1202),4)</f>
        <v>2023</v>
      </c>
      <c r="G1202" s="5" t="str">
        <f>TEXT(E1202,"mm")</f>
        <v>25/08/2023</v>
      </c>
      <c r="H1202" s="6">
        <v>5068.99</v>
      </c>
      <c r="I1202">
        <v>45</v>
      </c>
      <c r="L1202" t="str">
        <f t="shared" si="18"/>
        <v>Below Average</v>
      </c>
      <c r="M1202">
        <f>RANK(H1202,H:H,0)</f>
        <v>1685</v>
      </c>
    </row>
    <row r="1203" spans="1:13">
      <c r="A1203" t="s">
        <v>40</v>
      </c>
      <c r="B1203" t="s">
        <v>32</v>
      </c>
      <c r="C1203" t="s">
        <v>65</v>
      </c>
      <c r="D1203" s="3" t="s">
        <v>207</v>
      </c>
      <c r="E1203" s="5" t="str">
        <f>TEXT(D1203,"dd/mm/yyyy")</f>
        <v>25/02/2023</v>
      </c>
      <c r="F1203" s="5" t="str" cm="1">
        <f t="array" ref="F1203">RIGHT(_xlfn.ANCHORARRAY(E1203),4)</f>
        <v>2023</v>
      </c>
      <c r="G1203" s="5" t="str">
        <f>TEXT(E1203,"mm")</f>
        <v>25/02/2023</v>
      </c>
      <c r="H1203" s="6">
        <v>8012.72</v>
      </c>
      <c r="I1203">
        <v>163</v>
      </c>
      <c r="L1203" t="str">
        <f t="shared" si="18"/>
        <v>Above Average</v>
      </c>
      <c r="M1203">
        <f>RANK(H1203,H:H,0)</f>
        <v>934</v>
      </c>
    </row>
    <row r="1204" spans="1:13">
      <c r="A1204" t="s">
        <v>70</v>
      </c>
      <c r="B1204" t="s">
        <v>10</v>
      </c>
      <c r="C1204" t="s">
        <v>33</v>
      </c>
      <c r="D1204" s="4">
        <v>45113</v>
      </c>
      <c r="E1204" s="5" t="str">
        <f>TEXT(D1204,"dd/mm/yyyy")</f>
        <v>06/07/2023</v>
      </c>
      <c r="F1204" s="5" t="str" cm="1">
        <f t="array" ref="F1204">RIGHT(_xlfn.ANCHORARRAY(E1204),4)</f>
        <v>2023</v>
      </c>
      <c r="G1204" s="5" t="str">
        <f>TEXT(E1204,"mm")</f>
        <v>06</v>
      </c>
      <c r="H1204" s="6">
        <v>10587.71</v>
      </c>
      <c r="I1204">
        <v>134</v>
      </c>
      <c r="L1204" t="str">
        <f t="shared" si="18"/>
        <v>Above Average</v>
      </c>
      <c r="M1204">
        <f>RANK(H1204,H:H,0)</f>
        <v>502</v>
      </c>
    </row>
    <row r="1205" spans="1:13">
      <c r="A1205" t="s">
        <v>14</v>
      </c>
      <c r="B1205" t="s">
        <v>10</v>
      </c>
      <c r="C1205" t="s">
        <v>50</v>
      </c>
      <c r="D1205" s="4">
        <v>45264</v>
      </c>
      <c r="E1205" s="5" t="str">
        <f>TEXT(D1205,"dd/mm/yyyy")</f>
        <v>04/12/2023</v>
      </c>
      <c r="F1205" s="5" t="str" cm="1">
        <f t="array" ref="F1205">RIGHT(_xlfn.ANCHORARRAY(E1205),4)</f>
        <v>2023</v>
      </c>
      <c r="G1205" s="5" t="str">
        <f>TEXT(E1205,"mm")</f>
        <v>04</v>
      </c>
      <c r="H1205" s="6">
        <v>2155.62</v>
      </c>
      <c r="I1205">
        <v>495</v>
      </c>
      <c r="L1205" t="str">
        <f t="shared" si="18"/>
        <v>Below Average</v>
      </c>
      <c r="M1205">
        <f>RANK(H1205,H:H,0)</f>
        <v>2591</v>
      </c>
    </row>
    <row r="1206" spans="1:13">
      <c r="A1206" t="s">
        <v>83</v>
      </c>
      <c r="B1206" t="s">
        <v>10</v>
      </c>
      <c r="C1206" t="s">
        <v>50</v>
      </c>
      <c r="D1206" s="4">
        <v>45084</v>
      </c>
      <c r="E1206" s="5" t="str">
        <f>TEXT(D1206,"dd/mm/yyyy")</f>
        <v>07/06/2023</v>
      </c>
      <c r="F1206" s="5" t="str" cm="1">
        <f t="array" ref="F1206">RIGHT(_xlfn.ANCHORARRAY(E1206),4)</f>
        <v>2023</v>
      </c>
      <c r="G1206" s="5" t="str">
        <f>TEXT(E1206,"mm")</f>
        <v>07</v>
      </c>
      <c r="H1206" s="6">
        <v>11010.43</v>
      </c>
      <c r="I1206">
        <v>103</v>
      </c>
      <c r="L1206" t="str">
        <f t="shared" si="18"/>
        <v>Above Average</v>
      </c>
      <c r="M1206">
        <f>RANK(H1206,H:H,0)</f>
        <v>437</v>
      </c>
    </row>
    <row r="1207" spans="1:13">
      <c r="A1207" t="s">
        <v>70</v>
      </c>
      <c r="B1207" t="s">
        <v>7</v>
      </c>
      <c r="C1207" t="s">
        <v>18</v>
      </c>
      <c r="D1207" s="3" t="s">
        <v>208</v>
      </c>
      <c r="E1207" s="5" t="str">
        <f>TEXT(D1207,"dd/mm/yyyy")</f>
        <v>19/01/2023</v>
      </c>
      <c r="F1207" s="5" t="str" cm="1">
        <f t="array" ref="F1207">RIGHT(_xlfn.ANCHORARRAY(E1207),4)</f>
        <v>2023</v>
      </c>
      <c r="G1207" s="5" t="str">
        <f>TEXT(E1207,"mm")</f>
        <v>19/01/2023</v>
      </c>
      <c r="H1207" s="6">
        <v>6787.72</v>
      </c>
      <c r="I1207">
        <v>192</v>
      </c>
      <c r="L1207" t="str">
        <f t="shared" si="18"/>
        <v>Above Average</v>
      </c>
      <c r="M1207">
        <f>RANK(H1207,H:H,0)</f>
        <v>1244</v>
      </c>
    </row>
    <row r="1208" spans="1:13">
      <c r="A1208" t="s">
        <v>77</v>
      </c>
      <c r="B1208" t="s">
        <v>15</v>
      </c>
      <c r="C1208" t="s">
        <v>57</v>
      </c>
      <c r="D1208" s="4">
        <v>45047</v>
      </c>
      <c r="E1208" s="5" t="str">
        <f>TEXT(D1208,"dd/mm/yyyy")</f>
        <v>01/05/2023</v>
      </c>
      <c r="F1208" s="5" t="str" cm="1">
        <f t="array" ref="F1208">RIGHT(_xlfn.ANCHORARRAY(E1208),4)</f>
        <v>2023</v>
      </c>
      <c r="G1208" s="5" t="str">
        <f>TEXT(E1208,"mm")</f>
        <v>01</v>
      </c>
      <c r="H1208" s="6">
        <v>5715.07</v>
      </c>
      <c r="I1208">
        <v>90</v>
      </c>
      <c r="L1208" t="str">
        <f t="shared" si="18"/>
        <v>Below Average</v>
      </c>
      <c r="M1208">
        <f>RANK(H1208,H:H,0)</f>
        <v>1512</v>
      </c>
    </row>
    <row r="1209" spans="1:13">
      <c r="A1209" t="s">
        <v>77</v>
      </c>
      <c r="B1209" t="s">
        <v>35</v>
      </c>
      <c r="C1209" t="s">
        <v>100</v>
      </c>
      <c r="D1209" s="3" t="s">
        <v>209</v>
      </c>
      <c r="E1209" s="5" t="str">
        <f>TEXT(D1209,"dd/mm/yyyy")</f>
        <v>24/01/2023</v>
      </c>
      <c r="F1209" s="5" t="str" cm="1">
        <f t="array" ref="F1209">RIGHT(_xlfn.ANCHORARRAY(E1209),4)</f>
        <v>2023</v>
      </c>
      <c r="G1209" s="5" t="str">
        <f>TEXT(E1209,"mm")</f>
        <v>24/01/2023</v>
      </c>
      <c r="H1209" s="6">
        <v>12100.65</v>
      </c>
      <c r="I1209">
        <v>142</v>
      </c>
      <c r="L1209" t="str">
        <f t="shared" si="18"/>
        <v>Above Average</v>
      </c>
      <c r="M1209">
        <f>RANK(H1209,H:H,0)</f>
        <v>338</v>
      </c>
    </row>
    <row r="1210" spans="1:13">
      <c r="A1210" t="s">
        <v>64</v>
      </c>
      <c r="B1210" t="s">
        <v>15</v>
      </c>
      <c r="C1210" t="s">
        <v>38</v>
      </c>
      <c r="D1210" s="4">
        <v>45081</v>
      </c>
      <c r="E1210" s="5" t="str">
        <f>TEXT(D1210,"dd/mm/yyyy")</f>
        <v>04/06/2023</v>
      </c>
      <c r="F1210" s="5" t="str" cm="1">
        <f t="array" ref="F1210">RIGHT(_xlfn.ANCHORARRAY(E1210),4)</f>
        <v>2023</v>
      </c>
      <c r="G1210" s="5" t="str">
        <f>TEXT(E1210,"mm")</f>
        <v>04</v>
      </c>
      <c r="H1210" s="6">
        <v>623.75</v>
      </c>
      <c r="I1210">
        <v>285</v>
      </c>
      <c r="L1210" t="str">
        <f t="shared" si="18"/>
        <v>Below Average</v>
      </c>
      <c r="M1210">
        <f>RANK(H1210,H:H,0)</f>
        <v>3092</v>
      </c>
    </row>
    <row r="1211" spans="1:13">
      <c r="A1211" t="s">
        <v>22</v>
      </c>
      <c r="B1211" t="s">
        <v>15</v>
      </c>
      <c r="C1211" t="s">
        <v>57</v>
      </c>
      <c r="D1211" s="3" t="s">
        <v>177</v>
      </c>
      <c r="E1211" s="5" t="str">
        <f>TEXT(D1211,"dd/mm/yyyy")</f>
        <v>15/06/2023</v>
      </c>
      <c r="F1211" s="5" t="str" cm="1">
        <f t="array" ref="F1211">RIGHT(_xlfn.ANCHORARRAY(E1211),4)</f>
        <v>2023</v>
      </c>
      <c r="G1211" s="5" t="str">
        <f>TEXT(E1211,"mm")</f>
        <v>15/06/2023</v>
      </c>
      <c r="H1211" s="6">
        <v>6528.42</v>
      </c>
      <c r="I1211">
        <v>22</v>
      </c>
      <c r="L1211" t="str">
        <f t="shared" si="18"/>
        <v>Above Average</v>
      </c>
      <c r="M1211">
        <f>RANK(H1211,H:H,0)</f>
        <v>1299</v>
      </c>
    </row>
    <row r="1212" spans="1:13">
      <c r="A1212" t="s">
        <v>12</v>
      </c>
      <c r="B1212" t="s">
        <v>35</v>
      </c>
      <c r="C1212" t="s">
        <v>87</v>
      </c>
      <c r="D1212" s="3" t="s">
        <v>210</v>
      </c>
      <c r="E1212" s="5" t="str">
        <f>TEXT(D1212,"dd/mm/yyyy")</f>
        <v>28/01/2023</v>
      </c>
      <c r="F1212" s="5" t="str" cm="1">
        <f t="array" ref="F1212">RIGHT(_xlfn.ANCHORARRAY(E1212),4)</f>
        <v>2023</v>
      </c>
      <c r="G1212" s="5" t="str">
        <f>TEXT(E1212,"mm")</f>
        <v>28/01/2023</v>
      </c>
      <c r="H1212" s="6">
        <v>1540.55</v>
      </c>
      <c r="I1212">
        <v>47</v>
      </c>
      <c r="L1212" t="str">
        <f t="shared" si="18"/>
        <v>Below Average</v>
      </c>
      <c r="M1212">
        <f>RANK(H1212,H:H,0)</f>
        <v>2791</v>
      </c>
    </row>
    <row r="1213" spans="1:13">
      <c r="A1213" t="s">
        <v>70</v>
      </c>
      <c r="B1213" t="s">
        <v>10</v>
      </c>
      <c r="C1213" t="s">
        <v>90</v>
      </c>
      <c r="D1213" s="3" t="s">
        <v>211</v>
      </c>
      <c r="E1213" s="5" t="str">
        <f>TEXT(D1213,"dd/mm/yyyy")</f>
        <v>16/03/2023</v>
      </c>
      <c r="F1213" s="5" t="str" cm="1">
        <f t="array" ref="F1213">RIGHT(_xlfn.ANCHORARRAY(E1213),4)</f>
        <v>2023</v>
      </c>
      <c r="G1213" s="5" t="str">
        <f>TEXT(E1213,"mm")</f>
        <v>16/03/2023</v>
      </c>
      <c r="H1213" s="6">
        <v>487.06</v>
      </c>
      <c r="I1213">
        <v>123</v>
      </c>
      <c r="L1213" t="str">
        <f t="shared" si="18"/>
        <v>Below Average</v>
      </c>
      <c r="M1213">
        <f>RANK(H1213,H:H,0)</f>
        <v>3134</v>
      </c>
    </row>
    <row r="1214" spans="1:13">
      <c r="A1214" t="s">
        <v>29</v>
      </c>
      <c r="B1214" t="s">
        <v>15</v>
      </c>
      <c r="C1214" t="s">
        <v>38</v>
      </c>
      <c r="D1214" s="3" t="s">
        <v>212</v>
      </c>
      <c r="E1214" s="5" t="str">
        <f>TEXT(D1214,"dd/mm/yyyy")</f>
        <v>21/02/2023</v>
      </c>
      <c r="F1214" s="5" t="str" cm="1">
        <f t="array" ref="F1214">RIGHT(_xlfn.ANCHORARRAY(E1214),4)</f>
        <v>2023</v>
      </c>
      <c r="G1214" s="5" t="str">
        <f>TEXT(E1214,"mm")</f>
        <v>21/02/2023</v>
      </c>
      <c r="H1214" s="6">
        <v>11630.38</v>
      </c>
      <c r="I1214">
        <v>431</v>
      </c>
      <c r="L1214" t="str">
        <f t="shared" si="18"/>
        <v>Above Average</v>
      </c>
      <c r="M1214">
        <f>RANK(H1214,H:H,0)</f>
        <v>383</v>
      </c>
    </row>
    <row r="1215" spans="1:13">
      <c r="A1215" t="s">
        <v>70</v>
      </c>
      <c r="B1215" t="s">
        <v>32</v>
      </c>
      <c r="C1215" t="s">
        <v>60</v>
      </c>
      <c r="D1215" s="3" t="s">
        <v>171</v>
      </c>
      <c r="E1215" s="5" t="str">
        <f>TEXT(D1215,"dd/mm/yyyy")</f>
        <v>16/02/2023</v>
      </c>
      <c r="F1215" s="5" t="str" cm="1">
        <f t="array" ref="F1215">RIGHT(_xlfn.ANCHORARRAY(E1215),4)</f>
        <v>2023</v>
      </c>
      <c r="G1215" s="5" t="str">
        <f>TEXT(E1215,"mm")</f>
        <v>16/02/2023</v>
      </c>
      <c r="H1215" s="6">
        <v>17297.66</v>
      </c>
      <c r="I1215">
        <v>96</v>
      </c>
      <c r="L1215" t="str">
        <f t="shared" si="18"/>
        <v>Above Average</v>
      </c>
      <c r="M1215">
        <f>RANK(H1215,H:H,0)</f>
        <v>59</v>
      </c>
    </row>
    <row r="1216" spans="1:13">
      <c r="A1216" t="s">
        <v>6</v>
      </c>
      <c r="B1216" t="s">
        <v>35</v>
      </c>
      <c r="C1216" t="s">
        <v>50</v>
      </c>
      <c r="D1216" s="3" t="s">
        <v>167</v>
      </c>
      <c r="E1216" s="5" t="str">
        <f>TEXT(D1216,"dd/mm/yyyy")</f>
        <v>13/01/2023</v>
      </c>
      <c r="F1216" s="5" t="str" cm="1">
        <f t="array" ref="F1216">RIGHT(_xlfn.ANCHORARRAY(E1216),4)</f>
        <v>2023</v>
      </c>
      <c r="G1216" s="5" t="str">
        <f>TEXT(E1216,"mm")</f>
        <v>13/01/2023</v>
      </c>
      <c r="H1216" s="6">
        <v>2043.55</v>
      </c>
      <c r="I1216">
        <v>28</v>
      </c>
      <c r="L1216" t="str">
        <f t="shared" si="18"/>
        <v>Below Average</v>
      </c>
      <c r="M1216">
        <f>RANK(H1216,H:H,0)</f>
        <v>2623</v>
      </c>
    </row>
    <row r="1217" spans="1:13">
      <c r="A1217" t="s">
        <v>70</v>
      </c>
      <c r="B1217" t="s">
        <v>15</v>
      </c>
      <c r="C1217" t="s">
        <v>36</v>
      </c>
      <c r="D1217" s="3" t="s">
        <v>213</v>
      </c>
      <c r="E1217" s="5" t="str">
        <f>TEXT(D1217,"dd/mm/yyyy")</f>
        <v>23/03/2023</v>
      </c>
      <c r="F1217" s="5" t="str" cm="1">
        <f t="array" ref="F1217">RIGHT(_xlfn.ANCHORARRAY(E1217),4)</f>
        <v>2023</v>
      </c>
      <c r="G1217" s="5" t="str">
        <f>TEXT(E1217,"mm")</f>
        <v>23/03/2023</v>
      </c>
      <c r="H1217" s="6">
        <v>8168.86</v>
      </c>
      <c r="I1217">
        <v>570</v>
      </c>
      <c r="L1217" t="str">
        <f t="shared" si="18"/>
        <v>Above Average</v>
      </c>
      <c r="M1217">
        <f>RANK(H1217,H:H,0)</f>
        <v>901</v>
      </c>
    </row>
    <row r="1218" spans="1:13">
      <c r="A1218" t="s">
        <v>48</v>
      </c>
      <c r="B1218" t="s">
        <v>35</v>
      </c>
      <c r="C1218" t="s">
        <v>50</v>
      </c>
      <c r="D1218" s="3" t="s">
        <v>214</v>
      </c>
      <c r="E1218" s="5" t="str">
        <f>TEXT(D1218,"dd/mm/yyyy")</f>
        <v>16/06/2023</v>
      </c>
      <c r="F1218" s="5" t="str" cm="1">
        <f t="array" ref="F1218">RIGHT(_xlfn.ANCHORARRAY(E1218),4)</f>
        <v>2023</v>
      </c>
      <c r="G1218" s="5" t="str">
        <f>TEXT(E1218,"mm")</f>
        <v>16/06/2023</v>
      </c>
      <c r="H1218" s="6">
        <v>933.45</v>
      </c>
      <c r="I1218">
        <v>122</v>
      </c>
      <c r="L1218" t="str">
        <f t="shared" si="18"/>
        <v>Below Average</v>
      </c>
      <c r="M1218">
        <f>RANK(H1218,H:H,0)</f>
        <v>2996</v>
      </c>
    </row>
    <row r="1219" spans="1:13">
      <c r="A1219" t="s">
        <v>19</v>
      </c>
      <c r="B1219" t="s">
        <v>10</v>
      </c>
      <c r="C1219" t="s">
        <v>73</v>
      </c>
      <c r="D1219" s="3" t="s">
        <v>195</v>
      </c>
      <c r="E1219" s="5" t="str">
        <f>TEXT(D1219,"dd/mm/yyyy")</f>
        <v>14/04/2023</v>
      </c>
      <c r="F1219" s="5" t="str" cm="1">
        <f t="array" ref="F1219">RIGHT(_xlfn.ANCHORARRAY(E1219),4)</f>
        <v>2023</v>
      </c>
      <c r="G1219" s="5" t="str">
        <f>TEXT(E1219,"mm")</f>
        <v>14/04/2023</v>
      </c>
      <c r="H1219" s="6">
        <v>6826.32</v>
      </c>
      <c r="I1219">
        <v>44</v>
      </c>
      <c r="L1219" t="str">
        <f t="shared" ref="L1219:L1282" si="19">IF(H1219&gt;6030.34,"Above Average","Below Average")</f>
        <v>Above Average</v>
      </c>
      <c r="M1219">
        <f>RANK(H1219,H:H,0)</f>
        <v>1231</v>
      </c>
    </row>
    <row r="1220" spans="1:13">
      <c r="A1220" t="s">
        <v>70</v>
      </c>
      <c r="B1220" t="s">
        <v>7</v>
      </c>
      <c r="C1220" t="s">
        <v>36</v>
      </c>
      <c r="D1220" s="3" t="s">
        <v>164</v>
      </c>
      <c r="E1220" s="5" t="str">
        <f>TEXT(D1220,"dd/mm/yyyy")</f>
        <v>25/01/2023</v>
      </c>
      <c r="F1220" s="5" t="str" cm="1">
        <f t="array" ref="F1220">RIGHT(_xlfn.ANCHORARRAY(E1220),4)</f>
        <v>2023</v>
      </c>
      <c r="G1220" s="5" t="str">
        <f>TEXT(E1220,"mm")</f>
        <v>25/01/2023</v>
      </c>
      <c r="H1220" s="6">
        <v>5029.3500000000004</v>
      </c>
      <c r="I1220">
        <v>61</v>
      </c>
      <c r="L1220" t="str">
        <f t="shared" si="19"/>
        <v>Below Average</v>
      </c>
      <c r="M1220">
        <f>RANK(H1220,H:H,0)</f>
        <v>1698</v>
      </c>
    </row>
    <row r="1221" spans="1:13">
      <c r="A1221" t="s">
        <v>14</v>
      </c>
      <c r="B1221" t="s">
        <v>10</v>
      </c>
      <c r="C1221" t="s">
        <v>65</v>
      </c>
      <c r="D1221" s="4">
        <v>45233</v>
      </c>
      <c r="E1221" s="5" t="str">
        <f>TEXT(D1221,"dd/mm/yyyy")</f>
        <v>03/11/2023</v>
      </c>
      <c r="F1221" s="5" t="str" cm="1">
        <f t="array" ref="F1221">RIGHT(_xlfn.ANCHORARRAY(E1221),4)</f>
        <v>2023</v>
      </c>
      <c r="G1221" s="5" t="str">
        <f>TEXT(E1221,"mm")</f>
        <v>03</v>
      </c>
      <c r="H1221" s="6">
        <v>5143.49</v>
      </c>
      <c r="I1221">
        <v>21</v>
      </c>
      <c r="L1221" t="str">
        <f t="shared" si="19"/>
        <v>Below Average</v>
      </c>
      <c r="M1221">
        <f>RANK(H1221,H:H,0)</f>
        <v>1662</v>
      </c>
    </row>
    <row r="1222" spans="1:13">
      <c r="A1222" t="s">
        <v>79</v>
      </c>
      <c r="B1222" t="s">
        <v>7</v>
      </c>
      <c r="C1222" t="s">
        <v>65</v>
      </c>
      <c r="D1222" s="3" t="s">
        <v>168</v>
      </c>
      <c r="E1222" s="5" t="str">
        <f>TEXT(D1222,"dd/mm/yyyy")</f>
        <v>28/07/2023</v>
      </c>
      <c r="F1222" s="5" t="str" cm="1">
        <f t="array" ref="F1222">RIGHT(_xlfn.ANCHORARRAY(E1222),4)</f>
        <v>2023</v>
      </c>
      <c r="G1222" s="5" t="str">
        <f>TEXT(E1222,"mm")</f>
        <v>28/07/2023</v>
      </c>
      <c r="H1222" s="6">
        <v>16707.88</v>
      </c>
      <c r="I1222">
        <v>102</v>
      </c>
      <c r="L1222" t="str">
        <f t="shared" si="19"/>
        <v>Above Average</v>
      </c>
      <c r="M1222">
        <f>RANK(H1222,H:H,0)</f>
        <v>77</v>
      </c>
    </row>
    <row r="1223" spans="1:13">
      <c r="A1223" t="s">
        <v>40</v>
      </c>
      <c r="B1223" t="s">
        <v>25</v>
      </c>
      <c r="C1223" t="s">
        <v>23</v>
      </c>
      <c r="D1223" s="4">
        <v>45172</v>
      </c>
      <c r="E1223" s="5" t="str">
        <f>TEXT(D1223,"dd/mm/yyyy")</f>
        <v>03/09/2023</v>
      </c>
      <c r="F1223" s="5" t="str" cm="1">
        <f t="array" ref="F1223">RIGHT(_xlfn.ANCHORARRAY(E1223),4)</f>
        <v>2023</v>
      </c>
      <c r="G1223" s="5" t="str">
        <f>TEXT(E1223,"mm")</f>
        <v>03</v>
      </c>
      <c r="H1223" s="6">
        <v>1558.87</v>
      </c>
      <c r="I1223">
        <v>46</v>
      </c>
      <c r="L1223" t="str">
        <f t="shared" si="19"/>
        <v>Below Average</v>
      </c>
      <c r="M1223">
        <f>RANK(H1223,H:H,0)</f>
        <v>2785</v>
      </c>
    </row>
    <row r="1224" spans="1:13">
      <c r="A1224" t="s">
        <v>53</v>
      </c>
      <c r="B1224" t="s">
        <v>15</v>
      </c>
      <c r="C1224" t="s">
        <v>33</v>
      </c>
      <c r="D1224" s="3" t="s">
        <v>191</v>
      </c>
      <c r="E1224" s="5" t="str">
        <f>TEXT(D1224,"dd/mm/yyyy")</f>
        <v>28/06/2023</v>
      </c>
      <c r="F1224" s="5" t="str" cm="1">
        <f t="array" ref="F1224">RIGHT(_xlfn.ANCHORARRAY(E1224),4)</f>
        <v>2023</v>
      </c>
      <c r="G1224" s="5" t="str">
        <f>TEXT(E1224,"mm")</f>
        <v>28/06/2023</v>
      </c>
      <c r="H1224" s="6">
        <v>9332.76</v>
      </c>
      <c r="I1224">
        <v>196</v>
      </c>
      <c r="L1224" t="str">
        <f t="shared" si="19"/>
        <v>Above Average</v>
      </c>
      <c r="M1224">
        <f>RANK(H1224,H:H,0)</f>
        <v>682</v>
      </c>
    </row>
    <row r="1225" spans="1:13">
      <c r="A1225" t="s">
        <v>40</v>
      </c>
      <c r="B1225" t="s">
        <v>15</v>
      </c>
      <c r="C1225" t="s">
        <v>46</v>
      </c>
      <c r="D1225" s="3" t="s">
        <v>168</v>
      </c>
      <c r="E1225" s="5" t="str">
        <f>TEXT(D1225,"dd/mm/yyyy")</f>
        <v>28/07/2023</v>
      </c>
      <c r="F1225" s="5" t="str" cm="1">
        <f t="array" ref="F1225">RIGHT(_xlfn.ANCHORARRAY(E1225),4)</f>
        <v>2023</v>
      </c>
      <c r="G1225" s="5" t="str">
        <f>TEXT(E1225,"mm")</f>
        <v>28/07/2023</v>
      </c>
      <c r="H1225" s="6">
        <v>2673.47</v>
      </c>
      <c r="I1225">
        <v>375</v>
      </c>
      <c r="L1225" t="str">
        <f t="shared" si="19"/>
        <v>Below Average</v>
      </c>
      <c r="M1225">
        <f>RANK(H1225,H:H,0)</f>
        <v>2413</v>
      </c>
    </row>
    <row r="1226" spans="1:13">
      <c r="A1226" t="s">
        <v>70</v>
      </c>
      <c r="B1226" t="s">
        <v>35</v>
      </c>
      <c r="C1226" t="s">
        <v>20</v>
      </c>
      <c r="D1226" s="3" t="s">
        <v>215</v>
      </c>
      <c r="E1226" s="5" t="str">
        <f>TEXT(D1226,"dd/mm/yyyy")</f>
        <v>15/08/2023</v>
      </c>
      <c r="F1226" s="5" t="str" cm="1">
        <f t="array" ref="F1226">RIGHT(_xlfn.ANCHORARRAY(E1226),4)</f>
        <v>2023</v>
      </c>
      <c r="G1226" s="5" t="str">
        <f>TEXT(E1226,"mm")</f>
        <v>15/08/2023</v>
      </c>
      <c r="H1226" s="6">
        <v>4950.21</v>
      </c>
      <c r="I1226">
        <v>54</v>
      </c>
      <c r="L1226" t="str">
        <f t="shared" si="19"/>
        <v>Below Average</v>
      </c>
      <c r="M1226">
        <f>RANK(H1226,H:H,0)</f>
        <v>1716</v>
      </c>
    </row>
    <row r="1227" spans="1:13">
      <c r="A1227" t="s">
        <v>55</v>
      </c>
      <c r="B1227" t="s">
        <v>15</v>
      </c>
      <c r="C1227" t="s">
        <v>60</v>
      </c>
      <c r="D1227" s="4">
        <v>45261</v>
      </c>
      <c r="E1227" s="5" t="str">
        <f>TEXT(D1227,"dd/mm/yyyy")</f>
        <v>01/12/2023</v>
      </c>
      <c r="F1227" s="5" t="str" cm="1">
        <f t="array" ref="F1227">RIGHT(_xlfn.ANCHORARRAY(E1227),4)</f>
        <v>2023</v>
      </c>
      <c r="G1227" s="5" t="str">
        <f>TEXT(E1227,"mm")</f>
        <v>01</v>
      </c>
      <c r="H1227" s="6">
        <v>2919.11</v>
      </c>
      <c r="I1227">
        <v>271</v>
      </c>
      <c r="L1227" t="str">
        <f t="shared" si="19"/>
        <v>Below Average</v>
      </c>
      <c r="M1227">
        <f>RANK(H1227,H:H,0)</f>
        <v>2339</v>
      </c>
    </row>
    <row r="1228" spans="1:13">
      <c r="A1228" t="s">
        <v>41</v>
      </c>
      <c r="B1228" t="s">
        <v>25</v>
      </c>
      <c r="C1228" t="s">
        <v>59</v>
      </c>
      <c r="D1228" s="3" t="s">
        <v>165</v>
      </c>
      <c r="E1228" s="5" t="str">
        <f>TEXT(D1228,"dd/mm/yyyy")</f>
        <v>24/03/2023</v>
      </c>
      <c r="F1228" s="5" t="str" cm="1">
        <f t="array" ref="F1228">RIGHT(_xlfn.ANCHORARRAY(E1228),4)</f>
        <v>2023</v>
      </c>
      <c r="G1228" s="5" t="str">
        <f>TEXT(E1228,"mm")</f>
        <v>24/03/2023</v>
      </c>
      <c r="H1228" s="6">
        <v>8003.23</v>
      </c>
      <c r="I1228">
        <v>7</v>
      </c>
      <c r="L1228" t="str">
        <f t="shared" si="19"/>
        <v>Above Average</v>
      </c>
      <c r="M1228">
        <f>RANK(H1228,H:H,0)</f>
        <v>935</v>
      </c>
    </row>
    <row r="1229" spans="1:13">
      <c r="A1229" t="s">
        <v>9</v>
      </c>
      <c r="B1229" t="s">
        <v>7</v>
      </c>
      <c r="C1229" t="s">
        <v>46</v>
      </c>
      <c r="D1229" s="3" t="s">
        <v>216</v>
      </c>
      <c r="E1229" s="5" t="str">
        <f>TEXT(D1229,"dd/mm/yyyy")</f>
        <v>25/07/2023</v>
      </c>
      <c r="F1229" s="5" t="str" cm="1">
        <f t="array" ref="F1229">RIGHT(_xlfn.ANCHORARRAY(E1229),4)</f>
        <v>2023</v>
      </c>
      <c r="G1229" s="5" t="str">
        <f>TEXT(E1229,"mm")</f>
        <v>25/07/2023</v>
      </c>
      <c r="H1229" s="6">
        <v>4902.78</v>
      </c>
      <c r="I1229">
        <v>91</v>
      </c>
      <c r="L1229" t="str">
        <f t="shared" si="19"/>
        <v>Below Average</v>
      </c>
      <c r="M1229">
        <f>RANK(H1229,H:H,0)</f>
        <v>1730</v>
      </c>
    </row>
    <row r="1230" spans="1:13">
      <c r="A1230" t="s">
        <v>19</v>
      </c>
      <c r="B1230" t="s">
        <v>35</v>
      </c>
      <c r="C1230" t="s">
        <v>20</v>
      </c>
      <c r="D1230" s="4">
        <v>44934</v>
      </c>
      <c r="E1230" s="5" t="str">
        <f>TEXT(D1230,"dd/mm/yyyy")</f>
        <v>08/01/2023</v>
      </c>
      <c r="F1230" s="5" t="str" cm="1">
        <f t="array" ref="F1230">RIGHT(_xlfn.ANCHORARRAY(E1230),4)</f>
        <v>2023</v>
      </c>
      <c r="G1230" s="5" t="str">
        <f>TEXT(E1230,"mm")</f>
        <v>08</v>
      </c>
      <c r="H1230" s="6">
        <v>4033.53</v>
      </c>
      <c r="I1230">
        <v>430</v>
      </c>
      <c r="L1230" t="str">
        <f t="shared" si="19"/>
        <v>Below Average</v>
      </c>
      <c r="M1230">
        <f>RANK(H1230,H:H,0)</f>
        <v>1975</v>
      </c>
    </row>
    <row r="1231" spans="1:13">
      <c r="A1231" t="s">
        <v>9</v>
      </c>
      <c r="B1231" t="s">
        <v>10</v>
      </c>
      <c r="C1231" t="s">
        <v>42</v>
      </c>
      <c r="D1231" s="3" t="s">
        <v>192</v>
      </c>
      <c r="E1231" s="5" t="str">
        <f>TEXT(D1231,"dd/mm/yyyy")</f>
        <v>16/05/2023</v>
      </c>
      <c r="F1231" s="5" t="str" cm="1">
        <f t="array" ref="F1231">RIGHT(_xlfn.ANCHORARRAY(E1231),4)</f>
        <v>2023</v>
      </c>
      <c r="G1231" s="5" t="str">
        <f>TEXT(E1231,"mm")</f>
        <v>16/05/2023</v>
      </c>
      <c r="H1231" s="6">
        <v>22751.18</v>
      </c>
      <c r="I1231">
        <v>182</v>
      </c>
      <c r="L1231" t="str">
        <f t="shared" si="19"/>
        <v>Above Average</v>
      </c>
      <c r="M1231">
        <f>RANK(H1231,H:H,0)</f>
        <v>4</v>
      </c>
    </row>
    <row r="1232" spans="1:13">
      <c r="A1232" t="s">
        <v>45</v>
      </c>
      <c r="B1232" t="s">
        <v>10</v>
      </c>
      <c r="C1232" t="s">
        <v>18</v>
      </c>
      <c r="D1232" s="4">
        <v>45207</v>
      </c>
      <c r="E1232" s="5" t="str">
        <f>TEXT(D1232,"dd/mm/yyyy")</f>
        <v>08/10/2023</v>
      </c>
      <c r="F1232" s="5" t="str" cm="1">
        <f t="array" ref="F1232">RIGHT(_xlfn.ANCHORARRAY(E1232),4)</f>
        <v>2023</v>
      </c>
      <c r="G1232" s="5" t="str">
        <f>TEXT(E1232,"mm")</f>
        <v>08</v>
      </c>
      <c r="H1232" s="6">
        <v>5118.1099999999997</v>
      </c>
      <c r="I1232">
        <v>137</v>
      </c>
      <c r="L1232" t="str">
        <f t="shared" si="19"/>
        <v>Below Average</v>
      </c>
      <c r="M1232">
        <f>RANK(H1232,H:H,0)</f>
        <v>1667</v>
      </c>
    </row>
    <row r="1233" spans="1:13">
      <c r="A1233" t="s">
        <v>14</v>
      </c>
      <c r="B1233" t="s">
        <v>10</v>
      </c>
      <c r="C1233" t="s">
        <v>36</v>
      </c>
      <c r="D1233" s="4">
        <v>45047</v>
      </c>
      <c r="E1233" s="5" t="str">
        <f>TEXT(D1233,"dd/mm/yyyy")</f>
        <v>01/05/2023</v>
      </c>
      <c r="F1233" s="5" t="str" cm="1">
        <f t="array" ref="F1233">RIGHT(_xlfn.ANCHORARRAY(E1233),4)</f>
        <v>2023</v>
      </c>
      <c r="G1233" s="5" t="str">
        <f>TEXT(E1233,"mm")</f>
        <v>01</v>
      </c>
      <c r="H1233" s="6">
        <v>2835.9</v>
      </c>
      <c r="I1233">
        <v>26</v>
      </c>
      <c r="L1233" t="str">
        <f t="shared" si="19"/>
        <v>Below Average</v>
      </c>
      <c r="M1233">
        <f>RANK(H1233,H:H,0)</f>
        <v>2358</v>
      </c>
    </row>
    <row r="1234" spans="1:13">
      <c r="A1234" t="s">
        <v>83</v>
      </c>
      <c r="B1234" t="s">
        <v>7</v>
      </c>
      <c r="C1234" t="s">
        <v>18</v>
      </c>
      <c r="D1234" s="4">
        <v>45237</v>
      </c>
      <c r="E1234" s="5" t="str">
        <f>TEXT(D1234,"dd/mm/yyyy")</f>
        <v>07/11/2023</v>
      </c>
      <c r="F1234" s="5" t="str" cm="1">
        <f t="array" ref="F1234">RIGHT(_xlfn.ANCHORARRAY(E1234),4)</f>
        <v>2023</v>
      </c>
      <c r="G1234" s="5" t="str">
        <f>TEXT(E1234,"mm")</f>
        <v>07</v>
      </c>
      <c r="H1234" s="6">
        <v>5828.22</v>
      </c>
      <c r="I1234">
        <v>121</v>
      </c>
      <c r="L1234" t="str">
        <f t="shared" si="19"/>
        <v>Below Average</v>
      </c>
      <c r="M1234">
        <f>RANK(H1234,H:H,0)</f>
        <v>1479</v>
      </c>
    </row>
    <row r="1235" spans="1:13">
      <c r="A1235" t="s">
        <v>64</v>
      </c>
      <c r="B1235" t="s">
        <v>32</v>
      </c>
      <c r="C1235" t="s">
        <v>23</v>
      </c>
      <c r="D1235" s="3" t="s">
        <v>217</v>
      </c>
      <c r="E1235" s="5" t="str">
        <f>TEXT(D1235,"dd/mm/yyyy")</f>
        <v>25/04/2023</v>
      </c>
      <c r="F1235" s="5" t="str" cm="1">
        <f t="array" ref="F1235">RIGHT(_xlfn.ANCHORARRAY(E1235),4)</f>
        <v>2023</v>
      </c>
      <c r="G1235" s="5" t="str">
        <f>TEXT(E1235,"mm")</f>
        <v>25/04/2023</v>
      </c>
      <c r="H1235" s="6">
        <v>396.19</v>
      </c>
      <c r="I1235">
        <v>32</v>
      </c>
      <c r="L1235" t="str">
        <f t="shared" si="19"/>
        <v>Below Average</v>
      </c>
      <c r="M1235">
        <f>RANK(H1235,H:H,0)</f>
        <v>3164</v>
      </c>
    </row>
    <row r="1236" spans="1:13">
      <c r="A1236" t="s">
        <v>12</v>
      </c>
      <c r="B1236" t="s">
        <v>25</v>
      </c>
      <c r="C1236" t="s">
        <v>57</v>
      </c>
      <c r="D1236" s="4">
        <v>45020</v>
      </c>
      <c r="E1236" s="5" t="str">
        <f>TEXT(D1236,"dd/mm/yyyy")</f>
        <v>04/04/2023</v>
      </c>
      <c r="F1236" s="5" t="str" cm="1">
        <f t="array" ref="F1236">RIGHT(_xlfn.ANCHORARRAY(E1236),4)</f>
        <v>2023</v>
      </c>
      <c r="G1236" s="5" t="str">
        <f>TEXT(E1236,"mm")</f>
        <v>04</v>
      </c>
      <c r="H1236" s="6">
        <v>11226.5</v>
      </c>
      <c r="I1236">
        <v>118</v>
      </c>
      <c r="L1236" t="str">
        <f t="shared" si="19"/>
        <v>Above Average</v>
      </c>
      <c r="M1236">
        <f>RANK(H1236,H:H,0)</f>
        <v>424</v>
      </c>
    </row>
    <row r="1237" spans="1:13">
      <c r="A1237" t="s">
        <v>31</v>
      </c>
      <c r="B1237" t="s">
        <v>32</v>
      </c>
      <c r="C1237" t="s">
        <v>73</v>
      </c>
      <c r="D1237" s="4">
        <v>45264</v>
      </c>
      <c r="E1237" s="5" t="str">
        <f>TEXT(D1237,"dd/mm/yyyy")</f>
        <v>04/12/2023</v>
      </c>
      <c r="F1237" s="5" t="str" cm="1">
        <f t="array" ref="F1237">RIGHT(_xlfn.ANCHORARRAY(E1237),4)</f>
        <v>2023</v>
      </c>
      <c r="G1237" s="5" t="str">
        <f>TEXT(E1237,"mm")</f>
        <v>04</v>
      </c>
      <c r="H1237" s="6">
        <v>10102.86</v>
      </c>
      <c r="I1237">
        <v>107</v>
      </c>
      <c r="L1237" t="str">
        <f t="shared" si="19"/>
        <v>Above Average</v>
      </c>
      <c r="M1237">
        <f>RANK(H1237,H:H,0)</f>
        <v>566</v>
      </c>
    </row>
    <row r="1238" spans="1:13">
      <c r="A1238" t="s">
        <v>64</v>
      </c>
      <c r="B1238" t="s">
        <v>25</v>
      </c>
      <c r="C1238" t="s">
        <v>11</v>
      </c>
      <c r="D1238" s="4">
        <v>44965</v>
      </c>
      <c r="E1238" s="5" t="str">
        <f>TEXT(D1238,"dd/mm/yyyy")</f>
        <v>08/02/2023</v>
      </c>
      <c r="F1238" s="5" t="str" cm="1">
        <f t="array" ref="F1238">RIGHT(_xlfn.ANCHORARRAY(E1238),4)</f>
        <v>2023</v>
      </c>
      <c r="G1238" s="5" t="str">
        <f>TEXT(E1238,"mm")</f>
        <v>08</v>
      </c>
      <c r="H1238" s="6">
        <v>2084.86</v>
      </c>
      <c r="I1238">
        <v>119</v>
      </c>
      <c r="L1238" t="str">
        <f t="shared" si="19"/>
        <v>Below Average</v>
      </c>
      <c r="M1238">
        <f>RANK(H1238,H:H,0)</f>
        <v>2608</v>
      </c>
    </row>
    <row r="1239" spans="1:13">
      <c r="A1239" t="s">
        <v>12</v>
      </c>
      <c r="B1239" t="s">
        <v>25</v>
      </c>
      <c r="C1239" t="s">
        <v>60</v>
      </c>
      <c r="D1239" s="3" t="s">
        <v>191</v>
      </c>
      <c r="E1239" s="5" t="str">
        <f>TEXT(D1239,"dd/mm/yyyy")</f>
        <v>28/06/2023</v>
      </c>
      <c r="F1239" s="5" t="str" cm="1">
        <f t="array" ref="F1239">RIGHT(_xlfn.ANCHORARRAY(E1239),4)</f>
        <v>2023</v>
      </c>
      <c r="G1239" s="5" t="str">
        <f>TEXT(E1239,"mm")</f>
        <v>28/06/2023</v>
      </c>
      <c r="H1239" s="6">
        <v>8495.7900000000009</v>
      </c>
      <c r="I1239">
        <v>268</v>
      </c>
      <c r="L1239" t="str">
        <f t="shared" si="19"/>
        <v>Above Average</v>
      </c>
      <c r="M1239">
        <f>RANK(H1239,H:H,0)</f>
        <v>836</v>
      </c>
    </row>
    <row r="1240" spans="1:13">
      <c r="A1240" t="s">
        <v>83</v>
      </c>
      <c r="B1240" t="s">
        <v>15</v>
      </c>
      <c r="C1240" t="s">
        <v>36</v>
      </c>
      <c r="D1240" s="4">
        <v>45053</v>
      </c>
      <c r="E1240" s="5" t="str">
        <f>TEXT(D1240,"dd/mm/yyyy")</f>
        <v>07/05/2023</v>
      </c>
      <c r="F1240" s="5" t="str" cm="1">
        <f t="array" ref="F1240">RIGHT(_xlfn.ANCHORARRAY(E1240),4)</f>
        <v>2023</v>
      </c>
      <c r="G1240" s="5" t="str">
        <f>TEXT(E1240,"mm")</f>
        <v>07</v>
      </c>
      <c r="H1240" s="6">
        <v>4248.34</v>
      </c>
      <c r="I1240">
        <v>130</v>
      </c>
      <c r="L1240" t="str">
        <f t="shared" si="19"/>
        <v>Below Average</v>
      </c>
      <c r="M1240">
        <f>RANK(H1240,H:H,0)</f>
        <v>1917</v>
      </c>
    </row>
    <row r="1241" spans="1:13">
      <c r="A1241" t="s">
        <v>29</v>
      </c>
      <c r="B1241" t="s">
        <v>25</v>
      </c>
      <c r="C1241" t="s">
        <v>75</v>
      </c>
      <c r="D1241" s="4">
        <v>45113</v>
      </c>
      <c r="E1241" s="5" t="str">
        <f>TEXT(D1241,"dd/mm/yyyy")</f>
        <v>06/07/2023</v>
      </c>
      <c r="F1241" s="5" t="str" cm="1">
        <f t="array" ref="F1241">RIGHT(_xlfn.ANCHORARRAY(E1241),4)</f>
        <v>2023</v>
      </c>
      <c r="G1241" s="5" t="str">
        <f>TEXT(E1241,"mm")</f>
        <v>06</v>
      </c>
      <c r="H1241" s="6">
        <v>2236.11</v>
      </c>
      <c r="I1241">
        <v>46</v>
      </c>
      <c r="L1241" t="str">
        <f t="shared" si="19"/>
        <v>Below Average</v>
      </c>
      <c r="M1241">
        <f>RANK(H1241,H:H,0)</f>
        <v>2570</v>
      </c>
    </row>
    <row r="1242" spans="1:13">
      <c r="A1242" t="s">
        <v>28</v>
      </c>
      <c r="B1242" t="s">
        <v>25</v>
      </c>
      <c r="C1242" t="s">
        <v>18</v>
      </c>
      <c r="D1242" s="3" t="s">
        <v>218</v>
      </c>
      <c r="E1242" s="5" t="str">
        <f>TEXT(D1242,"dd/mm/yyyy")</f>
        <v>18/01/2023</v>
      </c>
      <c r="F1242" s="5" t="str" cm="1">
        <f t="array" ref="F1242">RIGHT(_xlfn.ANCHORARRAY(E1242),4)</f>
        <v>2023</v>
      </c>
      <c r="G1242" s="5" t="str">
        <f>TEXT(E1242,"mm")</f>
        <v>18/01/2023</v>
      </c>
      <c r="H1242" s="6">
        <v>1124.27</v>
      </c>
      <c r="I1242">
        <v>26</v>
      </c>
      <c r="L1242" t="str">
        <f t="shared" si="19"/>
        <v>Below Average</v>
      </c>
      <c r="M1242">
        <f>RANK(H1242,H:H,0)</f>
        <v>2930</v>
      </c>
    </row>
    <row r="1243" spans="1:13">
      <c r="A1243" t="s">
        <v>28</v>
      </c>
      <c r="B1243" t="s">
        <v>15</v>
      </c>
      <c r="C1243" t="s">
        <v>87</v>
      </c>
      <c r="D1243" s="4">
        <v>45017</v>
      </c>
      <c r="E1243" s="5" t="str">
        <f>TEXT(D1243,"dd/mm/yyyy")</f>
        <v>01/04/2023</v>
      </c>
      <c r="F1243" s="5" t="str" cm="1">
        <f t="array" ref="F1243">RIGHT(_xlfn.ANCHORARRAY(E1243),4)</f>
        <v>2023</v>
      </c>
      <c r="G1243" s="5" t="str">
        <f>TEXT(E1243,"mm")</f>
        <v>01</v>
      </c>
      <c r="H1243" s="6">
        <v>12870.47</v>
      </c>
      <c r="I1243">
        <v>227</v>
      </c>
      <c r="L1243" t="str">
        <f t="shared" si="19"/>
        <v>Above Average</v>
      </c>
      <c r="M1243">
        <f>RANK(H1243,H:H,0)</f>
        <v>275</v>
      </c>
    </row>
    <row r="1244" spans="1:13">
      <c r="A1244" t="s">
        <v>58</v>
      </c>
      <c r="B1244" t="s">
        <v>15</v>
      </c>
      <c r="C1244" t="s">
        <v>20</v>
      </c>
      <c r="D1244" s="3" t="s">
        <v>200</v>
      </c>
      <c r="E1244" s="5" t="str">
        <f>TEXT(D1244,"dd/mm/yyyy")</f>
        <v>31/01/2023</v>
      </c>
      <c r="F1244" s="5" t="str" cm="1">
        <f t="array" ref="F1244">RIGHT(_xlfn.ANCHORARRAY(E1244),4)</f>
        <v>2023</v>
      </c>
      <c r="G1244" s="5" t="str">
        <f>TEXT(E1244,"mm")</f>
        <v>31/01/2023</v>
      </c>
      <c r="H1244" s="6">
        <v>3017.66</v>
      </c>
      <c r="I1244">
        <v>19</v>
      </c>
      <c r="L1244" t="str">
        <f t="shared" si="19"/>
        <v>Below Average</v>
      </c>
      <c r="M1244">
        <f>RANK(H1244,H:H,0)</f>
        <v>2298</v>
      </c>
    </row>
    <row r="1245" spans="1:13">
      <c r="A1245" t="s">
        <v>70</v>
      </c>
      <c r="B1245" t="s">
        <v>10</v>
      </c>
      <c r="C1245" t="s">
        <v>65</v>
      </c>
      <c r="D1245" s="3" t="s">
        <v>175</v>
      </c>
      <c r="E1245" s="5" t="str">
        <f>TEXT(D1245,"dd/mm/yyyy")</f>
        <v>14/03/2023</v>
      </c>
      <c r="F1245" s="5" t="str" cm="1">
        <f t="array" ref="F1245">RIGHT(_xlfn.ANCHORARRAY(E1245),4)</f>
        <v>2023</v>
      </c>
      <c r="G1245" s="5" t="str">
        <f>TEXT(E1245,"mm")</f>
        <v>14/03/2023</v>
      </c>
      <c r="H1245" s="6">
        <v>3574.12</v>
      </c>
      <c r="I1245">
        <v>149</v>
      </c>
      <c r="L1245" t="str">
        <f t="shared" si="19"/>
        <v>Below Average</v>
      </c>
      <c r="M1245">
        <f>RANK(H1245,H:H,0)</f>
        <v>2116</v>
      </c>
    </row>
    <row r="1246" spans="1:13">
      <c r="A1246" t="s">
        <v>71</v>
      </c>
      <c r="B1246" t="s">
        <v>15</v>
      </c>
      <c r="C1246" t="s">
        <v>100</v>
      </c>
      <c r="D1246" s="3" t="s">
        <v>219</v>
      </c>
      <c r="E1246" s="5" t="str">
        <f>TEXT(D1246,"dd/mm/yyyy")</f>
        <v>29/04/2023</v>
      </c>
      <c r="F1246" s="5" t="str" cm="1">
        <f t="array" ref="F1246">RIGHT(_xlfn.ANCHORARRAY(E1246),4)</f>
        <v>2023</v>
      </c>
      <c r="G1246" s="5" t="str">
        <f>TEXT(E1246,"mm")</f>
        <v>29/04/2023</v>
      </c>
      <c r="H1246" s="6">
        <v>6249.31</v>
      </c>
      <c r="I1246">
        <v>509</v>
      </c>
      <c r="L1246" t="str">
        <f t="shared" si="19"/>
        <v>Above Average</v>
      </c>
      <c r="M1246">
        <f>RANK(H1246,H:H,0)</f>
        <v>1369</v>
      </c>
    </row>
    <row r="1247" spans="1:13">
      <c r="A1247" t="s">
        <v>19</v>
      </c>
      <c r="B1247" t="s">
        <v>10</v>
      </c>
      <c r="C1247" t="s">
        <v>18</v>
      </c>
      <c r="D1247" s="4">
        <v>45109</v>
      </c>
      <c r="E1247" s="5" t="str">
        <f>TEXT(D1247,"dd/mm/yyyy")</f>
        <v>02/07/2023</v>
      </c>
      <c r="F1247" s="5" t="str" cm="1">
        <f t="array" ref="F1247">RIGHT(_xlfn.ANCHORARRAY(E1247),4)</f>
        <v>2023</v>
      </c>
      <c r="G1247" s="5" t="str">
        <f>TEXT(E1247,"mm")</f>
        <v>02</v>
      </c>
      <c r="H1247" s="6">
        <v>10759.61</v>
      </c>
      <c r="I1247">
        <v>107</v>
      </c>
      <c r="L1247" t="str">
        <f t="shared" si="19"/>
        <v>Above Average</v>
      </c>
      <c r="M1247">
        <f>RANK(H1247,H:H,0)</f>
        <v>482</v>
      </c>
    </row>
    <row r="1248" spans="1:13">
      <c r="A1248" t="s">
        <v>55</v>
      </c>
      <c r="B1248" t="s">
        <v>7</v>
      </c>
      <c r="C1248" t="s">
        <v>42</v>
      </c>
      <c r="D1248" s="3" t="s">
        <v>220</v>
      </c>
      <c r="E1248" s="5" t="str">
        <f>TEXT(D1248,"dd/mm/yyyy")</f>
        <v>31/03/2023</v>
      </c>
      <c r="F1248" s="5" t="str" cm="1">
        <f t="array" ref="F1248">RIGHT(_xlfn.ANCHORARRAY(E1248),4)</f>
        <v>2023</v>
      </c>
      <c r="G1248" s="5" t="str">
        <f>TEXT(E1248,"mm")</f>
        <v>31/03/2023</v>
      </c>
      <c r="H1248" s="6">
        <v>2508.0300000000002</v>
      </c>
      <c r="I1248">
        <v>175</v>
      </c>
      <c r="L1248" t="str">
        <f t="shared" si="19"/>
        <v>Below Average</v>
      </c>
      <c r="M1248">
        <f>RANK(H1248,H:H,0)</f>
        <v>2468</v>
      </c>
    </row>
    <row r="1249" spans="1:13">
      <c r="A1249" t="s">
        <v>40</v>
      </c>
      <c r="B1249" t="s">
        <v>10</v>
      </c>
      <c r="C1249" t="s">
        <v>90</v>
      </c>
      <c r="D1249" s="3" t="s">
        <v>211</v>
      </c>
      <c r="E1249" s="5" t="str">
        <f>TEXT(D1249,"dd/mm/yyyy")</f>
        <v>16/03/2023</v>
      </c>
      <c r="F1249" s="5" t="str" cm="1">
        <f t="array" ref="F1249">RIGHT(_xlfn.ANCHORARRAY(E1249),4)</f>
        <v>2023</v>
      </c>
      <c r="G1249" s="5" t="str">
        <f>TEXT(E1249,"mm")</f>
        <v>16/03/2023</v>
      </c>
      <c r="H1249" s="6">
        <v>4997.82</v>
      </c>
      <c r="I1249">
        <v>83</v>
      </c>
      <c r="L1249" t="str">
        <f t="shared" si="19"/>
        <v>Below Average</v>
      </c>
      <c r="M1249">
        <f>RANK(H1249,H:H,0)</f>
        <v>1705</v>
      </c>
    </row>
    <row r="1250" spans="1:13">
      <c r="A1250" t="s">
        <v>37</v>
      </c>
      <c r="B1250" t="s">
        <v>7</v>
      </c>
      <c r="C1250" t="s">
        <v>36</v>
      </c>
      <c r="D1250" s="3" t="s">
        <v>164</v>
      </c>
      <c r="E1250" s="5" t="str">
        <f>TEXT(D1250,"dd/mm/yyyy")</f>
        <v>25/01/2023</v>
      </c>
      <c r="F1250" s="5" t="str" cm="1">
        <f t="array" ref="F1250">RIGHT(_xlfn.ANCHORARRAY(E1250),4)</f>
        <v>2023</v>
      </c>
      <c r="G1250" s="5" t="str">
        <f>TEXT(E1250,"mm")</f>
        <v>25/01/2023</v>
      </c>
      <c r="H1250" s="6">
        <v>7901.09</v>
      </c>
      <c r="I1250">
        <v>200</v>
      </c>
      <c r="L1250" t="str">
        <f t="shared" si="19"/>
        <v>Above Average</v>
      </c>
      <c r="M1250">
        <f>RANK(H1250,H:H,0)</f>
        <v>966</v>
      </c>
    </row>
    <row r="1251" spans="1:13">
      <c r="A1251" t="s">
        <v>9</v>
      </c>
      <c r="B1251" t="s">
        <v>10</v>
      </c>
      <c r="C1251" t="s">
        <v>87</v>
      </c>
      <c r="D1251" s="3" t="s">
        <v>196</v>
      </c>
      <c r="E1251" s="5" t="str">
        <f>TEXT(D1251,"dd/mm/yyyy")</f>
        <v>20/06/2023</v>
      </c>
      <c r="F1251" s="5" t="str" cm="1">
        <f t="array" ref="F1251">RIGHT(_xlfn.ANCHORARRAY(E1251),4)</f>
        <v>2023</v>
      </c>
      <c r="G1251" s="5" t="str">
        <f>TEXT(E1251,"mm")</f>
        <v>20/06/2023</v>
      </c>
      <c r="H1251" s="6">
        <v>3133.42</v>
      </c>
      <c r="I1251">
        <v>479</v>
      </c>
      <c r="L1251" t="str">
        <f t="shared" si="19"/>
        <v>Below Average</v>
      </c>
      <c r="M1251">
        <f>RANK(H1251,H:H,0)</f>
        <v>2258</v>
      </c>
    </row>
    <row r="1252" spans="1:13">
      <c r="A1252" t="s">
        <v>12</v>
      </c>
      <c r="B1252" t="s">
        <v>7</v>
      </c>
      <c r="C1252" t="s">
        <v>23</v>
      </c>
      <c r="D1252" s="3" t="s">
        <v>221</v>
      </c>
      <c r="E1252" s="5" t="str">
        <f>TEXT(D1252,"dd/mm/yyyy")</f>
        <v>29/03/2023</v>
      </c>
      <c r="F1252" s="5" t="str" cm="1">
        <f t="array" ref="F1252">RIGHT(_xlfn.ANCHORARRAY(E1252),4)</f>
        <v>2023</v>
      </c>
      <c r="G1252" s="5" t="str">
        <f>TEXT(E1252,"mm")</f>
        <v>29/03/2023</v>
      </c>
      <c r="H1252" s="6">
        <v>8320.2900000000009</v>
      </c>
      <c r="I1252">
        <v>171</v>
      </c>
      <c r="L1252" t="str">
        <f t="shared" si="19"/>
        <v>Above Average</v>
      </c>
      <c r="M1252">
        <f>RANK(H1252,H:H,0)</f>
        <v>868</v>
      </c>
    </row>
    <row r="1253" spans="1:13">
      <c r="A1253" t="s">
        <v>48</v>
      </c>
      <c r="B1253" t="s">
        <v>15</v>
      </c>
      <c r="C1253" t="s">
        <v>33</v>
      </c>
      <c r="D1253" s="4">
        <v>45267</v>
      </c>
      <c r="E1253" s="5" t="str">
        <f>TEXT(D1253,"dd/mm/yyyy")</f>
        <v>07/12/2023</v>
      </c>
      <c r="F1253" s="5" t="str" cm="1">
        <f t="array" ref="F1253">RIGHT(_xlfn.ANCHORARRAY(E1253),4)</f>
        <v>2023</v>
      </c>
      <c r="G1253" s="5" t="str">
        <f>TEXT(E1253,"mm")</f>
        <v>07</v>
      </c>
      <c r="H1253" s="6">
        <v>909.93</v>
      </c>
      <c r="I1253">
        <v>132</v>
      </c>
      <c r="L1253" t="str">
        <f t="shared" si="19"/>
        <v>Below Average</v>
      </c>
      <c r="M1253">
        <f>RANK(H1253,H:H,0)</f>
        <v>3001</v>
      </c>
    </row>
    <row r="1254" spans="1:13">
      <c r="A1254" t="s">
        <v>6</v>
      </c>
      <c r="B1254" t="s">
        <v>35</v>
      </c>
      <c r="C1254" t="s">
        <v>18</v>
      </c>
      <c r="D1254" s="4">
        <v>45237</v>
      </c>
      <c r="E1254" s="5" t="str">
        <f>TEXT(D1254,"dd/mm/yyyy")</f>
        <v>07/11/2023</v>
      </c>
      <c r="F1254" s="5" t="str" cm="1">
        <f t="array" ref="F1254">RIGHT(_xlfn.ANCHORARRAY(E1254),4)</f>
        <v>2023</v>
      </c>
      <c r="G1254" s="5" t="str">
        <f>TEXT(E1254,"mm")</f>
        <v>07</v>
      </c>
      <c r="H1254" s="6">
        <v>5631.26</v>
      </c>
      <c r="I1254">
        <v>142</v>
      </c>
      <c r="L1254" t="str">
        <f t="shared" si="19"/>
        <v>Below Average</v>
      </c>
      <c r="M1254">
        <f>RANK(H1254,H:H,0)</f>
        <v>1534</v>
      </c>
    </row>
    <row r="1255" spans="1:13">
      <c r="A1255" t="s">
        <v>37</v>
      </c>
      <c r="B1255" t="s">
        <v>35</v>
      </c>
      <c r="C1255" t="s">
        <v>18</v>
      </c>
      <c r="D1255" s="3" t="s">
        <v>208</v>
      </c>
      <c r="E1255" s="5" t="str">
        <f>TEXT(D1255,"dd/mm/yyyy")</f>
        <v>19/01/2023</v>
      </c>
      <c r="F1255" s="5" t="str" cm="1">
        <f t="array" ref="F1255">RIGHT(_xlfn.ANCHORARRAY(E1255),4)</f>
        <v>2023</v>
      </c>
      <c r="G1255" s="5" t="str">
        <f>TEXT(E1255,"mm")</f>
        <v>19/01/2023</v>
      </c>
      <c r="H1255" s="6">
        <v>3283.44</v>
      </c>
      <c r="I1255">
        <v>186</v>
      </c>
      <c r="L1255" t="str">
        <f t="shared" si="19"/>
        <v>Below Average</v>
      </c>
      <c r="M1255">
        <f>RANK(H1255,H:H,0)</f>
        <v>2215</v>
      </c>
    </row>
    <row r="1256" spans="1:13">
      <c r="A1256" t="s">
        <v>67</v>
      </c>
      <c r="B1256" t="s">
        <v>32</v>
      </c>
      <c r="C1256" t="s">
        <v>11</v>
      </c>
      <c r="D1256" s="4">
        <v>45050</v>
      </c>
      <c r="E1256" s="5" t="str">
        <f>TEXT(D1256,"dd/mm/yyyy")</f>
        <v>04/05/2023</v>
      </c>
      <c r="F1256" s="5" t="str" cm="1">
        <f t="array" ref="F1256">RIGHT(_xlfn.ANCHORARRAY(E1256),4)</f>
        <v>2023</v>
      </c>
      <c r="G1256" s="5" t="str">
        <f>TEXT(E1256,"mm")</f>
        <v>04</v>
      </c>
      <c r="H1256" s="6">
        <v>9458.0300000000007</v>
      </c>
      <c r="I1256">
        <v>87</v>
      </c>
      <c r="L1256" t="str">
        <f t="shared" si="19"/>
        <v>Above Average</v>
      </c>
      <c r="M1256">
        <f>RANK(H1256,H:H,0)</f>
        <v>663</v>
      </c>
    </row>
    <row r="1257" spans="1:13">
      <c r="A1257" t="s">
        <v>6</v>
      </c>
      <c r="B1257" t="s">
        <v>35</v>
      </c>
      <c r="C1257" t="s">
        <v>46</v>
      </c>
      <c r="D1257" s="3" t="s">
        <v>212</v>
      </c>
      <c r="E1257" s="5" t="str">
        <f>TEXT(D1257,"dd/mm/yyyy")</f>
        <v>21/02/2023</v>
      </c>
      <c r="F1257" s="5" t="str" cm="1">
        <f t="array" ref="F1257">RIGHT(_xlfn.ANCHORARRAY(E1257),4)</f>
        <v>2023</v>
      </c>
      <c r="G1257" s="5" t="str">
        <f>TEXT(E1257,"mm")</f>
        <v>21/02/2023</v>
      </c>
      <c r="H1257" s="6">
        <v>7726.25</v>
      </c>
      <c r="I1257">
        <v>12</v>
      </c>
      <c r="L1257" t="str">
        <f t="shared" si="19"/>
        <v>Above Average</v>
      </c>
      <c r="M1257">
        <f>RANK(H1257,H:H,0)</f>
        <v>1005</v>
      </c>
    </row>
    <row r="1258" spans="1:13">
      <c r="A1258" t="s">
        <v>29</v>
      </c>
      <c r="B1258" t="s">
        <v>25</v>
      </c>
      <c r="C1258" t="s">
        <v>90</v>
      </c>
      <c r="D1258" s="3" t="s">
        <v>222</v>
      </c>
      <c r="E1258" s="5" t="str">
        <f>TEXT(D1258,"dd/mm/yyyy")</f>
        <v>20/05/2023</v>
      </c>
      <c r="F1258" s="5" t="str" cm="1">
        <f t="array" ref="F1258">RIGHT(_xlfn.ANCHORARRAY(E1258),4)</f>
        <v>2023</v>
      </c>
      <c r="G1258" s="5" t="str">
        <f>TEXT(E1258,"mm")</f>
        <v>20/05/2023</v>
      </c>
      <c r="H1258" s="6">
        <v>14369.4</v>
      </c>
      <c r="I1258">
        <v>15</v>
      </c>
      <c r="L1258" t="str">
        <f t="shared" si="19"/>
        <v>Above Average</v>
      </c>
      <c r="M1258">
        <f>RANK(H1258,H:H,0)</f>
        <v>185</v>
      </c>
    </row>
    <row r="1259" spans="1:13">
      <c r="A1259" t="s">
        <v>34</v>
      </c>
      <c r="B1259" t="s">
        <v>15</v>
      </c>
      <c r="C1259" t="s">
        <v>46</v>
      </c>
      <c r="D1259" s="3" t="s">
        <v>223</v>
      </c>
      <c r="E1259" s="5" t="str">
        <f>TEXT(D1259,"dd/mm/yyyy")</f>
        <v>29/07/2023</v>
      </c>
      <c r="F1259" s="5" t="str" cm="1">
        <f t="array" ref="F1259">RIGHT(_xlfn.ANCHORARRAY(E1259),4)</f>
        <v>2023</v>
      </c>
      <c r="G1259" s="5" t="str">
        <f>TEXT(E1259,"mm")</f>
        <v>29/07/2023</v>
      </c>
      <c r="H1259" s="6">
        <v>2829.57</v>
      </c>
      <c r="I1259">
        <v>106</v>
      </c>
      <c r="L1259" t="str">
        <f t="shared" si="19"/>
        <v>Below Average</v>
      </c>
      <c r="M1259">
        <f>RANK(H1259,H:H,0)</f>
        <v>2361</v>
      </c>
    </row>
    <row r="1260" spans="1:13">
      <c r="A1260" t="s">
        <v>31</v>
      </c>
      <c r="B1260" t="s">
        <v>32</v>
      </c>
      <c r="C1260" t="s">
        <v>57</v>
      </c>
      <c r="D1260" s="3" t="s">
        <v>210</v>
      </c>
      <c r="E1260" s="5" t="str">
        <f>TEXT(D1260,"dd/mm/yyyy")</f>
        <v>28/01/2023</v>
      </c>
      <c r="F1260" s="5" t="str" cm="1">
        <f t="array" ref="F1260">RIGHT(_xlfn.ANCHORARRAY(E1260),4)</f>
        <v>2023</v>
      </c>
      <c r="G1260" s="5" t="str">
        <f>TEXT(E1260,"mm")</f>
        <v>28/01/2023</v>
      </c>
      <c r="H1260" s="6">
        <v>9370.61</v>
      </c>
      <c r="I1260">
        <v>45</v>
      </c>
      <c r="L1260" t="str">
        <f t="shared" si="19"/>
        <v>Above Average</v>
      </c>
      <c r="M1260">
        <f>RANK(H1260,H:H,0)</f>
        <v>678</v>
      </c>
    </row>
    <row r="1261" spans="1:13">
      <c r="A1261" t="s">
        <v>40</v>
      </c>
      <c r="B1261" t="s">
        <v>7</v>
      </c>
      <c r="C1261" t="s">
        <v>90</v>
      </c>
      <c r="D1261" s="3" t="s">
        <v>187</v>
      </c>
      <c r="E1261" s="5" t="str">
        <f>TEXT(D1261,"dd/mm/yyyy")</f>
        <v>19/07/2023</v>
      </c>
      <c r="F1261" s="5" t="str" cm="1">
        <f t="array" ref="F1261">RIGHT(_xlfn.ANCHORARRAY(E1261),4)</f>
        <v>2023</v>
      </c>
      <c r="G1261" s="5" t="str">
        <f>TEXT(E1261,"mm")</f>
        <v>19/07/2023</v>
      </c>
      <c r="H1261" s="6">
        <v>3651.49</v>
      </c>
      <c r="I1261">
        <v>112</v>
      </c>
      <c r="L1261" t="str">
        <f t="shared" si="19"/>
        <v>Below Average</v>
      </c>
      <c r="M1261">
        <f>RANK(H1261,H:H,0)</f>
        <v>2088</v>
      </c>
    </row>
    <row r="1262" spans="1:13">
      <c r="A1262" t="s">
        <v>34</v>
      </c>
      <c r="B1262" t="s">
        <v>25</v>
      </c>
      <c r="C1262" t="s">
        <v>60</v>
      </c>
      <c r="D1262" s="3" t="s">
        <v>224</v>
      </c>
      <c r="E1262" s="5" t="str">
        <f>TEXT(D1262,"dd/mm/yyyy")</f>
        <v>13/04/2023</v>
      </c>
      <c r="F1262" s="5" t="str" cm="1">
        <f t="array" ref="F1262">RIGHT(_xlfn.ANCHORARRAY(E1262),4)</f>
        <v>2023</v>
      </c>
      <c r="G1262" s="5" t="str">
        <f>TEXT(E1262,"mm")</f>
        <v>13/04/2023</v>
      </c>
      <c r="H1262" s="6">
        <v>10229.99</v>
      </c>
      <c r="I1262">
        <v>12</v>
      </c>
      <c r="L1262" t="str">
        <f t="shared" si="19"/>
        <v>Above Average</v>
      </c>
      <c r="M1262">
        <f>RANK(H1262,H:H,0)</f>
        <v>546</v>
      </c>
    </row>
    <row r="1263" spans="1:13">
      <c r="A1263" t="s">
        <v>45</v>
      </c>
      <c r="B1263" t="s">
        <v>10</v>
      </c>
      <c r="C1263" t="s">
        <v>13</v>
      </c>
      <c r="D1263" s="4">
        <v>45232</v>
      </c>
      <c r="E1263" s="5" t="str">
        <f>TEXT(D1263,"dd/mm/yyyy")</f>
        <v>02/11/2023</v>
      </c>
      <c r="F1263" s="5" t="str" cm="1">
        <f t="array" ref="F1263">RIGHT(_xlfn.ANCHORARRAY(E1263),4)</f>
        <v>2023</v>
      </c>
      <c r="G1263" s="5" t="str">
        <f>TEXT(E1263,"mm")</f>
        <v>02</v>
      </c>
      <c r="H1263" s="6">
        <v>11596.89</v>
      </c>
      <c r="I1263">
        <v>22</v>
      </c>
      <c r="L1263" t="str">
        <f t="shared" si="19"/>
        <v>Above Average</v>
      </c>
      <c r="M1263">
        <f>RANK(H1263,H:H,0)</f>
        <v>386</v>
      </c>
    </row>
    <row r="1264" spans="1:13">
      <c r="A1264" t="s">
        <v>45</v>
      </c>
      <c r="B1264" t="s">
        <v>25</v>
      </c>
      <c r="C1264" t="s">
        <v>46</v>
      </c>
      <c r="D1264" s="4">
        <v>44960</v>
      </c>
      <c r="E1264" s="5" t="str">
        <f>TEXT(D1264,"dd/mm/yyyy")</f>
        <v>03/02/2023</v>
      </c>
      <c r="F1264" s="5" t="str" cm="1">
        <f t="array" ref="F1264">RIGHT(_xlfn.ANCHORARRAY(E1264),4)</f>
        <v>2023</v>
      </c>
      <c r="G1264" s="5" t="str">
        <f>TEXT(E1264,"mm")</f>
        <v>03</v>
      </c>
      <c r="H1264" s="6">
        <v>5857.9</v>
      </c>
      <c r="I1264">
        <v>111</v>
      </c>
      <c r="L1264" t="str">
        <f t="shared" si="19"/>
        <v>Below Average</v>
      </c>
      <c r="M1264">
        <f>RANK(H1264,H:H,0)</f>
        <v>1471</v>
      </c>
    </row>
    <row r="1265" spans="1:13">
      <c r="A1265" t="s">
        <v>83</v>
      </c>
      <c r="B1265" t="s">
        <v>15</v>
      </c>
      <c r="C1265" t="s">
        <v>59</v>
      </c>
      <c r="D1265" s="4">
        <v>44960</v>
      </c>
      <c r="E1265" s="5" t="str">
        <f>TEXT(D1265,"dd/mm/yyyy")</f>
        <v>03/02/2023</v>
      </c>
      <c r="F1265" s="5" t="str" cm="1">
        <f t="array" ref="F1265">RIGHT(_xlfn.ANCHORARRAY(E1265),4)</f>
        <v>2023</v>
      </c>
      <c r="G1265" s="5" t="str">
        <f>TEXT(E1265,"mm")</f>
        <v>03</v>
      </c>
      <c r="H1265" s="6">
        <v>1177.6400000000001</v>
      </c>
      <c r="I1265">
        <v>206</v>
      </c>
      <c r="L1265" t="str">
        <f t="shared" si="19"/>
        <v>Below Average</v>
      </c>
      <c r="M1265">
        <f>RANK(H1265,H:H,0)</f>
        <v>2911</v>
      </c>
    </row>
    <row r="1266" spans="1:13">
      <c r="A1266" t="s">
        <v>9</v>
      </c>
      <c r="B1266" t="s">
        <v>32</v>
      </c>
      <c r="C1266" t="s">
        <v>20</v>
      </c>
      <c r="D1266" s="3" t="s">
        <v>168</v>
      </c>
      <c r="E1266" s="5" t="str">
        <f>TEXT(D1266,"dd/mm/yyyy")</f>
        <v>28/07/2023</v>
      </c>
      <c r="F1266" s="5" t="str" cm="1">
        <f t="array" ref="F1266">RIGHT(_xlfn.ANCHORARRAY(E1266),4)</f>
        <v>2023</v>
      </c>
      <c r="G1266" s="5" t="str">
        <f>TEXT(E1266,"mm")</f>
        <v>28/07/2023</v>
      </c>
      <c r="H1266" s="6">
        <v>12930.11</v>
      </c>
      <c r="I1266">
        <v>6</v>
      </c>
      <c r="L1266" t="str">
        <f t="shared" si="19"/>
        <v>Above Average</v>
      </c>
      <c r="M1266">
        <f>RANK(H1266,H:H,0)</f>
        <v>271</v>
      </c>
    </row>
    <row r="1267" spans="1:13">
      <c r="A1267" t="s">
        <v>70</v>
      </c>
      <c r="B1267" t="s">
        <v>10</v>
      </c>
      <c r="C1267" t="s">
        <v>23</v>
      </c>
      <c r="D1267" s="4">
        <v>45108</v>
      </c>
      <c r="E1267" s="5" t="str">
        <f>TEXT(D1267,"dd/mm/yyyy")</f>
        <v>01/07/2023</v>
      </c>
      <c r="F1267" s="5" t="str" cm="1">
        <f t="array" ref="F1267">RIGHT(_xlfn.ANCHORARRAY(E1267),4)</f>
        <v>2023</v>
      </c>
      <c r="G1267" s="5" t="str">
        <f>TEXT(E1267,"mm")</f>
        <v>01</v>
      </c>
      <c r="H1267" s="6">
        <v>1732.04</v>
      </c>
      <c r="I1267">
        <v>531</v>
      </c>
      <c r="L1267" t="str">
        <f t="shared" si="19"/>
        <v>Below Average</v>
      </c>
      <c r="M1267">
        <f>RANK(H1267,H:H,0)</f>
        <v>2724</v>
      </c>
    </row>
    <row r="1268" spans="1:13">
      <c r="A1268" t="s">
        <v>28</v>
      </c>
      <c r="B1268" t="s">
        <v>7</v>
      </c>
      <c r="C1268" t="s">
        <v>59</v>
      </c>
      <c r="D1268" s="4">
        <v>45264</v>
      </c>
      <c r="E1268" s="5" t="str">
        <f>TEXT(D1268,"dd/mm/yyyy")</f>
        <v>04/12/2023</v>
      </c>
      <c r="F1268" s="5" t="str" cm="1">
        <f t="array" ref="F1268">RIGHT(_xlfn.ANCHORARRAY(E1268),4)</f>
        <v>2023</v>
      </c>
      <c r="G1268" s="5" t="str">
        <f>TEXT(E1268,"mm")</f>
        <v>04</v>
      </c>
      <c r="H1268" s="6">
        <v>5837.17</v>
      </c>
      <c r="I1268">
        <v>173</v>
      </c>
      <c r="L1268" t="str">
        <f t="shared" si="19"/>
        <v>Below Average</v>
      </c>
      <c r="M1268">
        <f>RANK(H1268,H:H,0)</f>
        <v>1476</v>
      </c>
    </row>
    <row r="1269" spans="1:13">
      <c r="A1269" t="s">
        <v>9</v>
      </c>
      <c r="B1269" t="s">
        <v>35</v>
      </c>
      <c r="C1269" t="s">
        <v>65</v>
      </c>
      <c r="D1269" s="3" t="s">
        <v>172</v>
      </c>
      <c r="E1269" s="5" t="str">
        <f>TEXT(D1269,"dd/mm/yyyy")</f>
        <v>27/06/2023</v>
      </c>
      <c r="F1269" s="5" t="str" cm="1">
        <f t="array" ref="F1269">RIGHT(_xlfn.ANCHORARRAY(E1269),4)</f>
        <v>2023</v>
      </c>
      <c r="G1269" s="5" t="str">
        <f>TEXT(E1269,"mm")</f>
        <v>27/06/2023</v>
      </c>
      <c r="H1269" s="6">
        <v>3424.66</v>
      </c>
      <c r="I1269">
        <v>70</v>
      </c>
      <c r="L1269" t="str">
        <f t="shared" si="19"/>
        <v>Below Average</v>
      </c>
      <c r="M1269">
        <f>RANK(H1269,H:H,0)</f>
        <v>2166</v>
      </c>
    </row>
    <row r="1270" spans="1:13">
      <c r="A1270" t="s">
        <v>6</v>
      </c>
      <c r="B1270" t="s">
        <v>15</v>
      </c>
      <c r="C1270" t="s">
        <v>26</v>
      </c>
      <c r="D1270" s="3" t="s">
        <v>225</v>
      </c>
      <c r="E1270" s="5" t="str">
        <f>TEXT(D1270,"dd/mm/yyyy")</f>
        <v>14/01/2023</v>
      </c>
      <c r="F1270" s="5" t="str" cm="1">
        <f t="array" ref="F1270">RIGHT(_xlfn.ANCHORARRAY(E1270),4)</f>
        <v>2023</v>
      </c>
      <c r="G1270" s="5" t="str">
        <f>TEXT(E1270,"mm")</f>
        <v>14/01/2023</v>
      </c>
      <c r="H1270" s="6">
        <v>5700.28</v>
      </c>
      <c r="I1270">
        <v>422</v>
      </c>
      <c r="L1270" t="str">
        <f t="shared" si="19"/>
        <v>Below Average</v>
      </c>
      <c r="M1270">
        <f>RANK(H1270,H:H,0)</f>
        <v>1516</v>
      </c>
    </row>
    <row r="1271" spans="1:13">
      <c r="A1271" t="s">
        <v>37</v>
      </c>
      <c r="B1271" t="s">
        <v>7</v>
      </c>
      <c r="C1271" t="s">
        <v>87</v>
      </c>
      <c r="D1271" s="4">
        <v>45109</v>
      </c>
      <c r="E1271" s="5" t="str">
        <f>TEXT(D1271,"dd/mm/yyyy")</f>
        <v>02/07/2023</v>
      </c>
      <c r="F1271" s="5" t="str" cm="1">
        <f t="array" ref="F1271">RIGHT(_xlfn.ANCHORARRAY(E1271),4)</f>
        <v>2023</v>
      </c>
      <c r="G1271" s="5" t="str">
        <f>TEXT(E1271,"mm")</f>
        <v>02</v>
      </c>
      <c r="H1271" s="6">
        <v>5094.4799999999996</v>
      </c>
      <c r="I1271">
        <v>373</v>
      </c>
      <c r="L1271" t="str">
        <f t="shared" si="19"/>
        <v>Below Average</v>
      </c>
      <c r="M1271">
        <f>RANK(H1271,H:H,0)</f>
        <v>1674</v>
      </c>
    </row>
    <row r="1272" spans="1:13">
      <c r="A1272" t="s">
        <v>6</v>
      </c>
      <c r="B1272" t="s">
        <v>15</v>
      </c>
      <c r="C1272" t="s">
        <v>33</v>
      </c>
      <c r="D1272" s="3" t="s">
        <v>213</v>
      </c>
      <c r="E1272" s="5" t="str">
        <f>TEXT(D1272,"dd/mm/yyyy")</f>
        <v>23/03/2023</v>
      </c>
      <c r="F1272" s="5" t="str" cm="1">
        <f t="array" ref="F1272">RIGHT(_xlfn.ANCHORARRAY(E1272),4)</f>
        <v>2023</v>
      </c>
      <c r="G1272" s="5" t="str">
        <f>TEXT(E1272,"mm")</f>
        <v>23/03/2023</v>
      </c>
      <c r="H1272" s="6">
        <v>14529.2</v>
      </c>
      <c r="I1272">
        <v>26</v>
      </c>
      <c r="L1272" t="str">
        <f t="shared" si="19"/>
        <v>Above Average</v>
      </c>
      <c r="M1272">
        <f>RANK(H1272,H:H,0)</f>
        <v>178</v>
      </c>
    </row>
    <row r="1273" spans="1:13">
      <c r="A1273" t="s">
        <v>40</v>
      </c>
      <c r="B1273" t="s">
        <v>10</v>
      </c>
      <c r="C1273" t="s">
        <v>13</v>
      </c>
      <c r="D1273" s="4">
        <v>45200</v>
      </c>
      <c r="E1273" s="5" t="str">
        <f>TEXT(D1273,"dd/mm/yyyy")</f>
        <v>01/10/2023</v>
      </c>
      <c r="F1273" s="5" t="str" cm="1">
        <f t="array" ref="F1273">RIGHT(_xlfn.ANCHORARRAY(E1273),4)</f>
        <v>2023</v>
      </c>
      <c r="G1273" s="5" t="str">
        <f>TEXT(E1273,"mm")</f>
        <v>01</v>
      </c>
      <c r="H1273" s="6">
        <v>6761.28</v>
      </c>
      <c r="I1273">
        <v>145</v>
      </c>
      <c r="L1273" t="str">
        <f t="shared" si="19"/>
        <v>Above Average</v>
      </c>
      <c r="M1273">
        <f>RANK(H1273,H:H,0)</f>
        <v>1252</v>
      </c>
    </row>
    <row r="1274" spans="1:13">
      <c r="A1274" t="s">
        <v>19</v>
      </c>
      <c r="B1274" t="s">
        <v>7</v>
      </c>
      <c r="C1274" t="s">
        <v>75</v>
      </c>
      <c r="D1274" s="3" t="s">
        <v>226</v>
      </c>
      <c r="E1274" s="5" t="str">
        <f>TEXT(D1274,"dd/mm/yyyy")</f>
        <v>17/03/2023</v>
      </c>
      <c r="F1274" s="5" t="str" cm="1">
        <f t="array" ref="F1274">RIGHT(_xlfn.ANCHORARRAY(E1274),4)</f>
        <v>2023</v>
      </c>
      <c r="G1274" s="5" t="str">
        <f>TEXT(E1274,"mm")</f>
        <v>17/03/2023</v>
      </c>
      <c r="H1274" s="6">
        <v>10370.44</v>
      </c>
      <c r="I1274">
        <v>44</v>
      </c>
      <c r="L1274" t="str">
        <f t="shared" si="19"/>
        <v>Above Average</v>
      </c>
      <c r="M1274">
        <f>RANK(H1274,H:H,0)</f>
        <v>524</v>
      </c>
    </row>
    <row r="1275" spans="1:13">
      <c r="A1275" t="s">
        <v>12</v>
      </c>
      <c r="B1275" t="s">
        <v>32</v>
      </c>
      <c r="C1275" t="s">
        <v>50</v>
      </c>
      <c r="D1275" s="3" t="s">
        <v>227</v>
      </c>
      <c r="E1275" s="5" t="str">
        <f>TEXT(D1275,"dd/mm/yyyy")</f>
        <v>21/01/2023</v>
      </c>
      <c r="F1275" s="5" t="str" cm="1">
        <f t="array" ref="F1275">RIGHT(_xlfn.ANCHORARRAY(E1275),4)</f>
        <v>2023</v>
      </c>
      <c r="G1275" s="5" t="str">
        <f>TEXT(E1275,"mm")</f>
        <v>21/01/2023</v>
      </c>
      <c r="H1275" s="6">
        <v>12450.24</v>
      </c>
      <c r="I1275">
        <v>57</v>
      </c>
      <c r="L1275" t="str">
        <f t="shared" si="19"/>
        <v>Above Average</v>
      </c>
      <c r="M1275">
        <f>RANK(H1275,H:H,0)</f>
        <v>305</v>
      </c>
    </row>
    <row r="1276" spans="1:13">
      <c r="A1276" t="s">
        <v>31</v>
      </c>
      <c r="B1276" t="s">
        <v>15</v>
      </c>
      <c r="C1276" t="s">
        <v>59</v>
      </c>
      <c r="D1276" s="4">
        <v>45023</v>
      </c>
      <c r="E1276" s="5" t="str">
        <f>TEXT(D1276,"dd/mm/yyyy")</f>
        <v>07/04/2023</v>
      </c>
      <c r="F1276" s="5" t="str" cm="1">
        <f t="array" ref="F1276">RIGHT(_xlfn.ANCHORARRAY(E1276),4)</f>
        <v>2023</v>
      </c>
      <c r="G1276" s="5" t="str">
        <f>TEXT(E1276,"mm")</f>
        <v>07</v>
      </c>
      <c r="H1276" s="6">
        <v>8927.6299999999992</v>
      </c>
      <c r="I1276">
        <v>386</v>
      </c>
      <c r="L1276" t="str">
        <f t="shared" si="19"/>
        <v>Above Average</v>
      </c>
      <c r="M1276">
        <f>RANK(H1276,H:H,0)</f>
        <v>753</v>
      </c>
    </row>
    <row r="1277" spans="1:13">
      <c r="A1277" t="s">
        <v>55</v>
      </c>
      <c r="B1277" t="s">
        <v>35</v>
      </c>
      <c r="C1277" t="s">
        <v>13</v>
      </c>
      <c r="D1277" s="4">
        <v>45023</v>
      </c>
      <c r="E1277" s="5" t="str">
        <f>TEXT(D1277,"dd/mm/yyyy")</f>
        <v>07/04/2023</v>
      </c>
      <c r="F1277" s="5" t="str" cm="1">
        <f t="array" ref="F1277">RIGHT(_xlfn.ANCHORARRAY(E1277),4)</f>
        <v>2023</v>
      </c>
      <c r="G1277" s="5" t="str">
        <f>TEXT(E1277,"mm")</f>
        <v>07</v>
      </c>
      <c r="H1277" s="6">
        <v>3438.7</v>
      </c>
      <c r="I1277">
        <v>191</v>
      </c>
      <c r="L1277" t="str">
        <f t="shared" si="19"/>
        <v>Below Average</v>
      </c>
      <c r="M1277">
        <f>RANK(H1277,H:H,0)</f>
        <v>2157</v>
      </c>
    </row>
    <row r="1278" spans="1:13">
      <c r="A1278" t="s">
        <v>79</v>
      </c>
      <c r="B1278" t="s">
        <v>32</v>
      </c>
      <c r="C1278" t="s">
        <v>60</v>
      </c>
      <c r="D1278" s="4">
        <v>45207</v>
      </c>
      <c r="E1278" s="5" t="str">
        <f>TEXT(D1278,"dd/mm/yyyy")</f>
        <v>08/10/2023</v>
      </c>
      <c r="F1278" s="5" t="str" cm="1">
        <f t="array" ref="F1278">RIGHT(_xlfn.ANCHORARRAY(E1278),4)</f>
        <v>2023</v>
      </c>
      <c r="G1278" s="5" t="str">
        <f>TEXT(E1278,"mm")</f>
        <v>08</v>
      </c>
      <c r="H1278" s="6">
        <v>299.70999999999998</v>
      </c>
      <c r="I1278">
        <v>207</v>
      </c>
      <c r="L1278" t="str">
        <f t="shared" si="19"/>
        <v>Below Average</v>
      </c>
      <c r="M1278">
        <f>RANK(H1278,H:H,0)</f>
        <v>3195</v>
      </c>
    </row>
    <row r="1279" spans="1:13">
      <c r="A1279" t="s">
        <v>58</v>
      </c>
      <c r="B1279" t="s">
        <v>15</v>
      </c>
      <c r="C1279" t="s">
        <v>26</v>
      </c>
      <c r="D1279" s="4">
        <v>44930</v>
      </c>
      <c r="E1279" s="5" t="str">
        <f>TEXT(D1279,"dd/mm/yyyy")</f>
        <v>04/01/2023</v>
      </c>
      <c r="F1279" s="5" t="str" cm="1">
        <f t="array" ref="F1279">RIGHT(_xlfn.ANCHORARRAY(E1279),4)</f>
        <v>2023</v>
      </c>
      <c r="G1279" s="5" t="str">
        <f>TEXT(E1279,"mm")</f>
        <v>04</v>
      </c>
      <c r="H1279" s="6">
        <v>7374.26</v>
      </c>
      <c r="I1279">
        <v>12</v>
      </c>
      <c r="L1279" t="str">
        <f t="shared" si="19"/>
        <v>Above Average</v>
      </c>
      <c r="M1279">
        <f>RANK(H1279,H:H,0)</f>
        <v>1091</v>
      </c>
    </row>
    <row r="1280" spans="1:13">
      <c r="A1280" t="s">
        <v>12</v>
      </c>
      <c r="B1280" t="s">
        <v>10</v>
      </c>
      <c r="C1280" t="s">
        <v>73</v>
      </c>
      <c r="D1280" s="3" t="s">
        <v>228</v>
      </c>
      <c r="E1280" s="5" t="str">
        <f>TEXT(D1280,"dd/mm/yyyy")</f>
        <v>22/02/2023</v>
      </c>
      <c r="F1280" s="5" t="str" cm="1">
        <f t="array" ref="F1280">RIGHT(_xlfn.ANCHORARRAY(E1280),4)</f>
        <v>2023</v>
      </c>
      <c r="G1280" s="5" t="str">
        <f>TEXT(E1280,"mm")</f>
        <v>22/02/2023</v>
      </c>
      <c r="H1280" s="6">
        <v>2775.87</v>
      </c>
      <c r="I1280">
        <v>174</v>
      </c>
      <c r="L1280" t="str">
        <f t="shared" si="19"/>
        <v>Below Average</v>
      </c>
      <c r="M1280">
        <f>RANK(H1280,H:H,0)</f>
        <v>2382</v>
      </c>
    </row>
    <row r="1281" spans="1:13">
      <c r="A1281" t="s">
        <v>71</v>
      </c>
      <c r="B1281" t="s">
        <v>7</v>
      </c>
      <c r="C1281" t="s">
        <v>59</v>
      </c>
      <c r="D1281" s="4">
        <v>44986</v>
      </c>
      <c r="E1281" s="5" t="str">
        <f>TEXT(D1281,"dd/mm/yyyy")</f>
        <v>01/03/2023</v>
      </c>
      <c r="F1281" s="5" t="str" cm="1">
        <f t="array" ref="F1281">RIGHT(_xlfn.ANCHORARRAY(E1281),4)</f>
        <v>2023</v>
      </c>
      <c r="G1281" s="5" t="str">
        <f>TEXT(E1281,"mm")</f>
        <v>01</v>
      </c>
      <c r="H1281" s="6">
        <v>9957.66</v>
      </c>
      <c r="I1281">
        <v>194</v>
      </c>
      <c r="L1281" t="str">
        <f t="shared" si="19"/>
        <v>Above Average</v>
      </c>
      <c r="M1281">
        <f>RANK(H1281,H:H,0)</f>
        <v>588</v>
      </c>
    </row>
    <row r="1282" spans="1:13">
      <c r="A1282" t="s">
        <v>37</v>
      </c>
      <c r="B1282" t="s">
        <v>10</v>
      </c>
      <c r="C1282" t="s">
        <v>38</v>
      </c>
      <c r="D1282" s="3" t="s">
        <v>229</v>
      </c>
      <c r="E1282" s="5" t="str">
        <f>TEXT(D1282,"dd/mm/yyyy")</f>
        <v>31/05/2023</v>
      </c>
      <c r="F1282" s="5" t="str" cm="1">
        <f t="array" ref="F1282">RIGHT(_xlfn.ANCHORARRAY(E1282),4)</f>
        <v>2023</v>
      </c>
      <c r="G1282" s="5" t="str">
        <f>TEXT(E1282,"mm")</f>
        <v>31/05/2023</v>
      </c>
      <c r="H1282" s="6">
        <v>5064.88</v>
      </c>
      <c r="I1282">
        <v>251</v>
      </c>
      <c r="L1282" t="str">
        <f t="shared" si="19"/>
        <v>Below Average</v>
      </c>
      <c r="M1282">
        <f>RANK(H1282,H:H,0)</f>
        <v>1686</v>
      </c>
    </row>
    <row r="1283" spans="1:13">
      <c r="A1283" t="s">
        <v>79</v>
      </c>
      <c r="B1283" t="s">
        <v>7</v>
      </c>
      <c r="C1283" t="s">
        <v>20</v>
      </c>
      <c r="D1283" s="4">
        <v>44986</v>
      </c>
      <c r="E1283" s="5" t="str">
        <f>TEXT(D1283,"dd/mm/yyyy")</f>
        <v>01/03/2023</v>
      </c>
      <c r="F1283" s="5" t="str" cm="1">
        <f t="array" ref="F1283">RIGHT(_xlfn.ANCHORARRAY(E1283),4)</f>
        <v>2023</v>
      </c>
      <c r="G1283" s="5" t="str">
        <f>TEXT(E1283,"mm")</f>
        <v>01</v>
      </c>
      <c r="H1283" s="6">
        <v>9865.0499999999993</v>
      </c>
      <c r="I1283">
        <v>273</v>
      </c>
      <c r="L1283" t="str">
        <f t="shared" ref="L1283:L1346" si="20">IF(H1283&gt;6030.34,"Above Average","Below Average")</f>
        <v>Above Average</v>
      </c>
      <c r="M1283">
        <f>RANK(H1283,H:H,0)</f>
        <v>603</v>
      </c>
    </row>
    <row r="1284" spans="1:13">
      <c r="A1284" t="s">
        <v>53</v>
      </c>
      <c r="B1284" t="s">
        <v>25</v>
      </c>
      <c r="C1284" t="s">
        <v>90</v>
      </c>
      <c r="D1284" s="3" t="s">
        <v>199</v>
      </c>
      <c r="E1284" s="5" t="str">
        <f>TEXT(D1284,"dd/mm/yyyy")</f>
        <v>27/01/2023</v>
      </c>
      <c r="F1284" s="5" t="str" cm="1">
        <f t="array" ref="F1284">RIGHT(_xlfn.ANCHORARRAY(E1284),4)</f>
        <v>2023</v>
      </c>
      <c r="G1284" s="5" t="str">
        <f>TEXT(E1284,"mm")</f>
        <v>27/01/2023</v>
      </c>
      <c r="H1284" s="6">
        <v>571.52</v>
      </c>
      <c r="I1284">
        <v>489</v>
      </c>
      <c r="L1284" t="str">
        <f t="shared" si="20"/>
        <v>Below Average</v>
      </c>
      <c r="M1284">
        <f>RANK(H1284,H:H,0)</f>
        <v>3106</v>
      </c>
    </row>
    <row r="1285" spans="1:13">
      <c r="A1285" t="s">
        <v>31</v>
      </c>
      <c r="B1285" t="s">
        <v>7</v>
      </c>
      <c r="C1285" t="s">
        <v>26</v>
      </c>
      <c r="D1285" s="3" t="s">
        <v>210</v>
      </c>
      <c r="E1285" s="5" t="str">
        <f>TEXT(D1285,"dd/mm/yyyy")</f>
        <v>28/01/2023</v>
      </c>
      <c r="F1285" s="5" t="str" cm="1">
        <f t="array" ref="F1285">RIGHT(_xlfn.ANCHORARRAY(E1285),4)</f>
        <v>2023</v>
      </c>
      <c r="G1285" s="5" t="str">
        <f>TEXT(E1285,"mm")</f>
        <v>28/01/2023</v>
      </c>
      <c r="H1285" s="6">
        <v>656.44</v>
      </c>
      <c r="I1285">
        <v>67</v>
      </c>
      <c r="L1285" t="str">
        <f t="shared" si="20"/>
        <v>Below Average</v>
      </c>
      <c r="M1285">
        <f>RANK(H1285,H:H,0)</f>
        <v>3082</v>
      </c>
    </row>
    <row r="1286" spans="1:13">
      <c r="A1286" t="s">
        <v>48</v>
      </c>
      <c r="B1286" t="s">
        <v>15</v>
      </c>
      <c r="C1286" t="s">
        <v>42</v>
      </c>
      <c r="D1286" s="3" t="s">
        <v>191</v>
      </c>
      <c r="E1286" s="5" t="str">
        <f>TEXT(D1286,"dd/mm/yyyy")</f>
        <v>28/06/2023</v>
      </c>
      <c r="F1286" s="5" t="str" cm="1">
        <f t="array" ref="F1286">RIGHT(_xlfn.ANCHORARRAY(E1286),4)</f>
        <v>2023</v>
      </c>
      <c r="G1286" s="5" t="str">
        <f>TEXT(E1286,"mm")</f>
        <v>28/06/2023</v>
      </c>
      <c r="H1286" s="6">
        <v>4008.93</v>
      </c>
      <c r="I1286">
        <v>301</v>
      </c>
      <c r="L1286" t="str">
        <f t="shared" si="20"/>
        <v>Below Average</v>
      </c>
      <c r="M1286">
        <f>RANK(H1286,H:H,0)</f>
        <v>1985</v>
      </c>
    </row>
    <row r="1287" spans="1:13">
      <c r="A1287" t="s">
        <v>53</v>
      </c>
      <c r="B1287" t="s">
        <v>7</v>
      </c>
      <c r="C1287" t="s">
        <v>75</v>
      </c>
      <c r="D1287" s="4">
        <v>44960</v>
      </c>
      <c r="E1287" s="5" t="str">
        <f>TEXT(D1287,"dd/mm/yyyy")</f>
        <v>03/02/2023</v>
      </c>
      <c r="F1287" s="5" t="str" cm="1">
        <f t="array" ref="F1287">RIGHT(_xlfn.ANCHORARRAY(E1287),4)</f>
        <v>2023</v>
      </c>
      <c r="G1287" s="5" t="str">
        <f>TEXT(E1287,"mm")</f>
        <v>03</v>
      </c>
      <c r="H1287" s="6">
        <v>4679.0600000000004</v>
      </c>
      <c r="I1287">
        <v>43</v>
      </c>
      <c r="L1287" t="str">
        <f t="shared" si="20"/>
        <v>Below Average</v>
      </c>
      <c r="M1287">
        <f>RANK(H1287,H:H,0)</f>
        <v>1803</v>
      </c>
    </row>
    <row r="1288" spans="1:13">
      <c r="A1288" t="s">
        <v>64</v>
      </c>
      <c r="B1288" t="s">
        <v>15</v>
      </c>
      <c r="C1288" t="s">
        <v>23</v>
      </c>
      <c r="D1288" s="3" t="s">
        <v>194</v>
      </c>
      <c r="E1288" s="5" t="str">
        <f>TEXT(D1288,"dd/mm/yyyy")</f>
        <v>27/05/2023</v>
      </c>
      <c r="F1288" s="5" t="str" cm="1">
        <f t="array" ref="F1288">RIGHT(_xlfn.ANCHORARRAY(E1288),4)</f>
        <v>2023</v>
      </c>
      <c r="G1288" s="5" t="str">
        <f>TEXT(E1288,"mm")</f>
        <v>27/05/2023</v>
      </c>
      <c r="H1288" s="6">
        <v>3446.84</v>
      </c>
      <c r="I1288">
        <v>28</v>
      </c>
      <c r="L1288" t="str">
        <f t="shared" si="20"/>
        <v>Below Average</v>
      </c>
      <c r="M1288">
        <f>RANK(H1288,H:H,0)</f>
        <v>2155</v>
      </c>
    </row>
    <row r="1289" spans="1:13">
      <c r="A1289" t="s">
        <v>58</v>
      </c>
      <c r="B1289" t="s">
        <v>32</v>
      </c>
      <c r="C1289" t="s">
        <v>65</v>
      </c>
      <c r="D1289" s="3" t="s">
        <v>180</v>
      </c>
      <c r="E1289" s="5" t="str">
        <f>TEXT(D1289,"dd/mm/yyyy")</f>
        <v>30/06/2023</v>
      </c>
      <c r="F1289" s="5" t="str" cm="1">
        <f t="array" ref="F1289">RIGHT(_xlfn.ANCHORARRAY(E1289),4)</f>
        <v>2023</v>
      </c>
      <c r="G1289" s="5" t="str">
        <f>TEXT(E1289,"mm")</f>
        <v>30/06/2023</v>
      </c>
      <c r="H1289" s="6">
        <v>11884.52</v>
      </c>
      <c r="I1289">
        <v>82</v>
      </c>
      <c r="L1289" t="str">
        <f t="shared" si="20"/>
        <v>Above Average</v>
      </c>
      <c r="M1289">
        <f>RANK(H1289,H:H,0)</f>
        <v>351</v>
      </c>
    </row>
    <row r="1290" spans="1:13">
      <c r="A1290" t="s">
        <v>31</v>
      </c>
      <c r="B1290" t="s">
        <v>35</v>
      </c>
      <c r="C1290" t="s">
        <v>13</v>
      </c>
      <c r="D1290" s="4">
        <v>45113</v>
      </c>
      <c r="E1290" s="5" t="str">
        <f>TEXT(D1290,"dd/mm/yyyy")</f>
        <v>06/07/2023</v>
      </c>
      <c r="F1290" s="5" t="str" cm="1">
        <f t="array" ref="F1290">RIGHT(_xlfn.ANCHORARRAY(E1290),4)</f>
        <v>2023</v>
      </c>
      <c r="G1290" s="5" t="str">
        <f>TEXT(E1290,"mm")</f>
        <v>06</v>
      </c>
      <c r="H1290" s="6">
        <v>2167.19</v>
      </c>
      <c r="I1290">
        <v>85</v>
      </c>
      <c r="L1290" t="str">
        <f t="shared" si="20"/>
        <v>Below Average</v>
      </c>
      <c r="M1290">
        <f>RANK(H1290,H:H,0)</f>
        <v>2587</v>
      </c>
    </row>
    <row r="1291" spans="1:13">
      <c r="A1291" t="s">
        <v>55</v>
      </c>
      <c r="B1291" t="s">
        <v>32</v>
      </c>
      <c r="C1291" t="s">
        <v>100</v>
      </c>
      <c r="D1291" s="4">
        <v>45265</v>
      </c>
      <c r="E1291" s="5" t="str">
        <f>TEXT(D1291,"dd/mm/yyyy")</f>
        <v>05/12/2023</v>
      </c>
      <c r="F1291" s="5" t="str" cm="1">
        <f t="array" ref="F1291">RIGHT(_xlfn.ANCHORARRAY(E1291),4)</f>
        <v>2023</v>
      </c>
      <c r="G1291" s="5" t="str">
        <f>TEXT(E1291,"mm")</f>
        <v>05</v>
      </c>
      <c r="H1291" s="6">
        <v>4199.84</v>
      </c>
      <c r="I1291">
        <v>107</v>
      </c>
      <c r="L1291" t="str">
        <f t="shared" si="20"/>
        <v>Below Average</v>
      </c>
      <c r="M1291">
        <f>RANK(H1291,H:H,0)</f>
        <v>1927</v>
      </c>
    </row>
    <row r="1292" spans="1:13">
      <c r="A1292" t="s">
        <v>31</v>
      </c>
      <c r="B1292" t="s">
        <v>25</v>
      </c>
      <c r="C1292" t="s">
        <v>73</v>
      </c>
      <c r="D1292" s="3" t="s">
        <v>223</v>
      </c>
      <c r="E1292" s="5" t="str">
        <f>TEXT(D1292,"dd/mm/yyyy")</f>
        <v>29/07/2023</v>
      </c>
      <c r="F1292" s="5" t="str" cm="1">
        <f t="array" ref="F1292">RIGHT(_xlfn.ANCHORARRAY(E1292),4)</f>
        <v>2023</v>
      </c>
      <c r="G1292" s="5" t="str">
        <f>TEXT(E1292,"mm")</f>
        <v>29/07/2023</v>
      </c>
      <c r="H1292" s="6">
        <v>7358.7</v>
      </c>
      <c r="I1292">
        <v>68</v>
      </c>
      <c r="L1292" t="str">
        <f t="shared" si="20"/>
        <v>Above Average</v>
      </c>
      <c r="M1292">
        <f>RANK(H1292,H:H,0)</f>
        <v>1097</v>
      </c>
    </row>
    <row r="1293" spans="1:13">
      <c r="A1293" t="s">
        <v>58</v>
      </c>
      <c r="B1293" t="s">
        <v>7</v>
      </c>
      <c r="C1293" t="s">
        <v>59</v>
      </c>
      <c r="D1293" s="4">
        <v>44993</v>
      </c>
      <c r="E1293" s="5" t="str">
        <f>TEXT(D1293,"dd/mm/yyyy")</f>
        <v>08/03/2023</v>
      </c>
      <c r="F1293" s="5" t="str" cm="1">
        <f t="array" ref="F1293">RIGHT(_xlfn.ANCHORARRAY(E1293),4)</f>
        <v>2023</v>
      </c>
      <c r="G1293" s="5" t="str">
        <f>TEXT(E1293,"mm")</f>
        <v>08</v>
      </c>
      <c r="H1293" s="6">
        <v>7870.09</v>
      </c>
      <c r="I1293">
        <v>274</v>
      </c>
      <c r="L1293" t="str">
        <f t="shared" si="20"/>
        <v>Above Average</v>
      </c>
      <c r="M1293">
        <f>RANK(H1293,H:H,0)</f>
        <v>979</v>
      </c>
    </row>
    <row r="1294" spans="1:13">
      <c r="A1294" t="s">
        <v>31</v>
      </c>
      <c r="B1294" t="s">
        <v>10</v>
      </c>
      <c r="C1294" t="s">
        <v>87</v>
      </c>
      <c r="D1294" s="3" t="s">
        <v>201</v>
      </c>
      <c r="E1294" s="5" t="str">
        <f>TEXT(D1294,"dd/mm/yyyy")</f>
        <v>18/08/2023</v>
      </c>
      <c r="F1294" s="5" t="str" cm="1">
        <f t="array" ref="F1294">RIGHT(_xlfn.ANCHORARRAY(E1294),4)</f>
        <v>2023</v>
      </c>
      <c r="G1294" s="5" t="str">
        <f>TEXT(E1294,"mm")</f>
        <v>18/08/2023</v>
      </c>
      <c r="H1294" s="6">
        <v>7454.25</v>
      </c>
      <c r="I1294">
        <v>148</v>
      </c>
      <c r="L1294" t="str">
        <f t="shared" si="20"/>
        <v>Above Average</v>
      </c>
      <c r="M1294">
        <f>RANK(H1294,H:H,0)</f>
        <v>1078</v>
      </c>
    </row>
    <row r="1295" spans="1:13">
      <c r="A1295" t="s">
        <v>9</v>
      </c>
      <c r="B1295" t="s">
        <v>25</v>
      </c>
      <c r="C1295" t="s">
        <v>18</v>
      </c>
      <c r="D1295" s="3" t="s">
        <v>230</v>
      </c>
      <c r="E1295" s="5" t="str">
        <f>TEXT(D1295,"dd/mm/yyyy")</f>
        <v>14/06/2023</v>
      </c>
      <c r="F1295" s="5" t="str" cm="1">
        <f t="array" ref="F1295">RIGHT(_xlfn.ANCHORARRAY(E1295),4)</f>
        <v>2023</v>
      </c>
      <c r="G1295" s="5" t="str">
        <f>TEXT(E1295,"mm")</f>
        <v>14/06/2023</v>
      </c>
      <c r="H1295" s="6">
        <v>3112.3</v>
      </c>
      <c r="I1295">
        <v>41</v>
      </c>
      <c r="L1295" t="str">
        <f t="shared" si="20"/>
        <v>Below Average</v>
      </c>
      <c r="M1295">
        <f>RANK(H1295,H:H,0)</f>
        <v>2264</v>
      </c>
    </row>
    <row r="1296" spans="1:13">
      <c r="A1296" t="s">
        <v>41</v>
      </c>
      <c r="B1296" t="s">
        <v>7</v>
      </c>
      <c r="C1296" t="s">
        <v>59</v>
      </c>
      <c r="D1296" s="3" t="s">
        <v>180</v>
      </c>
      <c r="E1296" s="5" t="str">
        <f>TEXT(D1296,"dd/mm/yyyy")</f>
        <v>30/06/2023</v>
      </c>
      <c r="F1296" s="5" t="str" cm="1">
        <f t="array" ref="F1296">RIGHT(_xlfn.ANCHORARRAY(E1296),4)</f>
        <v>2023</v>
      </c>
      <c r="G1296" s="5" t="str">
        <f>TEXT(E1296,"mm")</f>
        <v>30/06/2023</v>
      </c>
      <c r="H1296" s="6">
        <v>6901.22</v>
      </c>
      <c r="I1296">
        <v>80</v>
      </c>
      <c r="L1296" t="str">
        <f t="shared" si="20"/>
        <v>Above Average</v>
      </c>
      <c r="M1296">
        <f>RANK(H1296,H:H,0)</f>
        <v>1204</v>
      </c>
    </row>
    <row r="1297" spans="1:13">
      <c r="A1297" t="s">
        <v>71</v>
      </c>
      <c r="B1297" t="s">
        <v>25</v>
      </c>
      <c r="C1297" t="s">
        <v>8</v>
      </c>
      <c r="D1297" s="3" t="s">
        <v>231</v>
      </c>
      <c r="E1297" s="5" t="str">
        <f>TEXT(D1297,"dd/mm/yyyy")</f>
        <v>13/06/2023</v>
      </c>
      <c r="F1297" s="5" t="str" cm="1">
        <f t="array" ref="F1297">RIGHT(_xlfn.ANCHORARRAY(E1297),4)</f>
        <v>2023</v>
      </c>
      <c r="G1297" s="5" t="str">
        <f>TEXT(E1297,"mm")</f>
        <v>13/06/2023</v>
      </c>
      <c r="H1297" s="6">
        <v>1178</v>
      </c>
      <c r="I1297">
        <v>199</v>
      </c>
      <c r="L1297" t="str">
        <f t="shared" si="20"/>
        <v>Below Average</v>
      </c>
      <c r="M1297">
        <f>RANK(H1297,H:H,0)</f>
        <v>2910</v>
      </c>
    </row>
    <row r="1298" spans="1:13">
      <c r="A1298" t="s">
        <v>83</v>
      </c>
      <c r="B1298" t="s">
        <v>7</v>
      </c>
      <c r="C1298" t="s">
        <v>33</v>
      </c>
      <c r="D1298" s="3" t="s">
        <v>162</v>
      </c>
      <c r="E1298" s="5" t="str">
        <f>TEXT(D1298,"dd/mm/yyyy")</f>
        <v>27/04/2023</v>
      </c>
      <c r="F1298" s="5" t="str" cm="1">
        <f t="array" ref="F1298">RIGHT(_xlfn.ANCHORARRAY(E1298),4)</f>
        <v>2023</v>
      </c>
      <c r="G1298" s="5" t="str">
        <f>TEXT(E1298,"mm")</f>
        <v>27/04/2023</v>
      </c>
      <c r="H1298" s="6">
        <v>14953.83</v>
      </c>
      <c r="I1298">
        <v>53</v>
      </c>
      <c r="L1298" t="str">
        <f t="shared" si="20"/>
        <v>Above Average</v>
      </c>
      <c r="M1298">
        <f>RANK(H1298,H:H,0)</f>
        <v>149</v>
      </c>
    </row>
    <row r="1299" spans="1:13">
      <c r="A1299" t="s">
        <v>14</v>
      </c>
      <c r="B1299" t="s">
        <v>15</v>
      </c>
      <c r="C1299" t="s">
        <v>59</v>
      </c>
      <c r="D1299" s="3" t="s">
        <v>232</v>
      </c>
      <c r="E1299" s="5" t="str">
        <f>TEXT(D1299,"dd/mm/yyyy")</f>
        <v>27/07/2023</v>
      </c>
      <c r="F1299" s="5" t="str" cm="1">
        <f t="array" ref="F1299">RIGHT(_xlfn.ANCHORARRAY(E1299),4)</f>
        <v>2023</v>
      </c>
      <c r="G1299" s="5" t="str">
        <f>TEXT(E1299,"mm")</f>
        <v>27/07/2023</v>
      </c>
      <c r="H1299" s="6">
        <v>3958.57</v>
      </c>
      <c r="I1299">
        <v>33</v>
      </c>
      <c r="L1299" t="str">
        <f t="shared" si="20"/>
        <v>Below Average</v>
      </c>
      <c r="M1299">
        <f>RANK(H1299,H:H,0)</f>
        <v>1997</v>
      </c>
    </row>
    <row r="1300" spans="1:13">
      <c r="A1300" t="s">
        <v>34</v>
      </c>
      <c r="B1300" t="s">
        <v>35</v>
      </c>
      <c r="C1300" t="s">
        <v>11</v>
      </c>
      <c r="D1300" s="3" t="s">
        <v>166</v>
      </c>
      <c r="E1300" s="5" t="str">
        <f>TEXT(D1300,"dd/mm/yyyy")</f>
        <v>20/04/2023</v>
      </c>
      <c r="F1300" s="5" t="str" cm="1">
        <f t="array" ref="F1300">RIGHT(_xlfn.ANCHORARRAY(E1300),4)</f>
        <v>2023</v>
      </c>
      <c r="G1300" s="5" t="str">
        <f>TEXT(E1300,"mm")</f>
        <v>20/04/2023</v>
      </c>
      <c r="H1300" s="6">
        <v>1639.01</v>
      </c>
      <c r="I1300">
        <v>430</v>
      </c>
      <c r="L1300" t="str">
        <f t="shared" si="20"/>
        <v>Below Average</v>
      </c>
      <c r="M1300">
        <f>RANK(H1300,H:H,0)</f>
        <v>2757</v>
      </c>
    </row>
    <row r="1301" spans="1:13">
      <c r="A1301" t="s">
        <v>29</v>
      </c>
      <c r="B1301" t="s">
        <v>10</v>
      </c>
      <c r="C1301" t="s">
        <v>50</v>
      </c>
      <c r="D1301" s="4">
        <v>45017</v>
      </c>
      <c r="E1301" s="5" t="str">
        <f>TEXT(D1301,"dd/mm/yyyy")</f>
        <v>01/04/2023</v>
      </c>
      <c r="F1301" s="5" t="str" cm="1">
        <f t="array" ref="F1301">RIGHT(_xlfn.ANCHORARRAY(E1301),4)</f>
        <v>2023</v>
      </c>
      <c r="G1301" s="5" t="str">
        <f>TEXT(E1301,"mm")</f>
        <v>01</v>
      </c>
      <c r="H1301" s="6">
        <v>8586.0400000000009</v>
      </c>
      <c r="I1301">
        <v>144</v>
      </c>
      <c r="L1301" t="str">
        <f t="shared" si="20"/>
        <v>Above Average</v>
      </c>
      <c r="M1301">
        <f>RANK(H1301,H:H,0)</f>
        <v>815</v>
      </c>
    </row>
    <row r="1302" spans="1:13">
      <c r="A1302" t="s">
        <v>83</v>
      </c>
      <c r="B1302" t="s">
        <v>15</v>
      </c>
      <c r="C1302" t="s">
        <v>8</v>
      </c>
      <c r="D1302" s="3" t="s">
        <v>212</v>
      </c>
      <c r="E1302" s="5" t="str">
        <f>TEXT(D1302,"dd/mm/yyyy")</f>
        <v>21/02/2023</v>
      </c>
      <c r="F1302" s="5" t="str" cm="1">
        <f t="array" ref="F1302">RIGHT(_xlfn.ANCHORARRAY(E1302),4)</f>
        <v>2023</v>
      </c>
      <c r="G1302" s="5" t="str">
        <f>TEXT(E1302,"mm")</f>
        <v>21/02/2023</v>
      </c>
      <c r="H1302" s="6">
        <v>10000.219999999999</v>
      </c>
      <c r="I1302">
        <v>98</v>
      </c>
      <c r="L1302" t="str">
        <f t="shared" si="20"/>
        <v>Above Average</v>
      </c>
      <c r="M1302">
        <f>RANK(H1302,H:H,0)</f>
        <v>581</v>
      </c>
    </row>
    <row r="1303" spans="1:13">
      <c r="A1303" t="s">
        <v>37</v>
      </c>
      <c r="B1303" t="s">
        <v>15</v>
      </c>
      <c r="C1303" t="s">
        <v>59</v>
      </c>
      <c r="D1303" s="4">
        <v>45047</v>
      </c>
      <c r="E1303" s="5" t="str">
        <f>TEXT(D1303,"dd/mm/yyyy")</f>
        <v>01/05/2023</v>
      </c>
      <c r="F1303" s="5" t="str" cm="1">
        <f t="array" ref="F1303">RIGHT(_xlfn.ANCHORARRAY(E1303),4)</f>
        <v>2023</v>
      </c>
      <c r="G1303" s="5" t="str">
        <f>TEXT(E1303,"mm")</f>
        <v>01</v>
      </c>
      <c r="H1303" s="6">
        <v>8448.39</v>
      </c>
      <c r="I1303">
        <v>52</v>
      </c>
      <c r="L1303" t="str">
        <f t="shared" si="20"/>
        <v>Above Average</v>
      </c>
      <c r="M1303">
        <f>RANK(H1303,H:H,0)</f>
        <v>845</v>
      </c>
    </row>
    <row r="1304" spans="1:13">
      <c r="A1304" t="s">
        <v>41</v>
      </c>
      <c r="B1304" t="s">
        <v>10</v>
      </c>
      <c r="C1304" t="s">
        <v>38</v>
      </c>
      <c r="D1304" s="3" t="s">
        <v>189</v>
      </c>
      <c r="E1304" s="5" t="str">
        <f>TEXT(D1304,"dd/mm/yyyy")</f>
        <v>15/07/2023</v>
      </c>
      <c r="F1304" s="5" t="str" cm="1">
        <f t="array" ref="F1304">RIGHT(_xlfn.ANCHORARRAY(E1304),4)</f>
        <v>2023</v>
      </c>
      <c r="G1304" s="5" t="str">
        <f>TEXT(E1304,"mm")</f>
        <v>15/07/2023</v>
      </c>
      <c r="H1304" s="6">
        <v>6984.74</v>
      </c>
      <c r="I1304">
        <v>51</v>
      </c>
      <c r="L1304" t="str">
        <f t="shared" si="20"/>
        <v>Above Average</v>
      </c>
      <c r="M1304">
        <f>RANK(H1304,H:H,0)</f>
        <v>1186</v>
      </c>
    </row>
    <row r="1305" spans="1:13">
      <c r="A1305" t="s">
        <v>28</v>
      </c>
      <c r="B1305" t="s">
        <v>15</v>
      </c>
      <c r="C1305" t="s">
        <v>75</v>
      </c>
      <c r="D1305" s="3" t="s">
        <v>203</v>
      </c>
      <c r="E1305" s="5" t="str">
        <f>TEXT(D1305,"dd/mm/yyyy")</f>
        <v>25/05/2023</v>
      </c>
      <c r="F1305" s="5" t="str" cm="1">
        <f t="array" ref="F1305">RIGHT(_xlfn.ANCHORARRAY(E1305),4)</f>
        <v>2023</v>
      </c>
      <c r="G1305" s="5" t="str">
        <f>TEXT(E1305,"mm")</f>
        <v>25/05/2023</v>
      </c>
      <c r="H1305" s="6">
        <v>5641.54</v>
      </c>
      <c r="I1305">
        <v>61</v>
      </c>
      <c r="L1305" t="str">
        <f t="shared" si="20"/>
        <v>Below Average</v>
      </c>
      <c r="M1305">
        <f>RANK(H1305,H:H,0)</f>
        <v>1532</v>
      </c>
    </row>
    <row r="1306" spans="1:13">
      <c r="A1306" t="s">
        <v>37</v>
      </c>
      <c r="B1306" t="s">
        <v>35</v>
      </c>
      <c r="C1306" t="s">
        <v>36</v>
      </c>
      <c r="D1306" s="3" t="s">
        <v>166</v>
      </c>
      <c r="E1306" s="5" t="str">
        <f>TEXT(D1306,"dd/mm/yyyy")</f>
        <v>20/04/2023</v>
      </c>
      <c r="F1306" s="5" t="str" cm="1">
        <f t="array" ref="F1306">RIGHT(_xlfn.ANCHORARRAY(E1306),4)</f>
        <v>2023</v>
      </c>
      <c r="G1306" s="5" t="str">
        <f>TEXT(E1306,"mm")</f>
        <v>20/04/2023</v>
      </c>
      <c r="H1306" s="6">
        <v>3850.87</v>
      </c>
      <c r="I1306">
        <v>372</v>
      </c>
      <c r="L1306" t="str">
        <f t="shared" si="20"/>
        <v>Below Average</v>
      </c>
      <c r="M1306">
        <f>RANK(H1306,H:H,0)</f>
        <v>2026</v>
      </c>
    </row>
    <row r="1307" spans="1:13">
      <c r="A1307" t="s">
        <v>12</v>
      </c>
      <c r="B1307" t="s">
        <v>32</v>
      </c>
      <c r="C1307" t="s">
        <v>20</v>
      </c>
      <c r="D1307" s="4">
        <v>44963</v>
      </c>
      <c r="E1307" s="5" t="str">
        <f>TEXT(D1307,"dd/mm/yyyy")</f>
        <v>06/02/2023</v>
      </c>
      <c r="F1307" s="5" t="str" cm="1">
        <f t="array" ref="F1307">RIGHT(_xlfn.ANCHORARRAY(E1307),4)</f>
        <v>2023</v>
      </c>
      <c r="G1307" s="5" t="str">
        <f>TEXT(E1307,"mm")</f>
        <v>06</v>
      </c>
      <c r="H1307" s="6">
        <v>885.68</v>
      </c>
      <c r="I1307">
        <v>240</v>
      </c>
      <c r="L1307" t="str">
        <f t="shared" si="20"/>
        <v>Below Average</v>
      </c>
      <c r="M1307">
        <f>RANK(H1307,H:H,0)</f>
        <v>3007</v>
      </c>
    </row>
    <row r="1308" spans="1:13">
      <c r="A1308" t="s">
        <v>40</v>
      </c>
      <c r="B1308" t="s">
        <v>7</v>
      </c>
      <c r="C1308" t="s">
        <v>18</v>
      </c>
      <c r="D1308" s="3" t="s">
        <v>233</v>
      </c>
      <c r="E1308" s="5" t="str">
        <f>TEXT(D1308,"dd/mm/yyyy")</f>
        <v>13/05/2023</v>
      </c>
      <c r="F1308" s="5" t="str" cm="1">
        <f t="array" ref="F1308">RIGHT(_xlfn.ANCHORARRAY(E1308),4)</f>
        <v>2023</v>
      </c>
      <c r="G1308" s="5" t="str">
        <f>TEXT(E1308,"mm")</f>
        <v>13/05/2023</v>
      </c>
      <c r="H1308" s="6">
        <v>21251.67</v>
      </c>
      <c r="I1308">
        <v>91</v>
      </c>
      <c r="L1308" t="str">
        <f t="shared" si="20"/>
        <v>Above Average</v>
      </c>
      <c r="M1308">
        <f>RANK(H1308,H:H,0)</f>
        <v>12</v>
      </c>
    </row>
    <row r="1309" spans="1:13">
      <c r="A1309" t="s">
        <v>41</v>
      </c>
      <c r="B1309" t="s">
        <v>25</v>
      </c>
      <c r="C1309" t="s">
        <v>87</v>
      </c>
      <c r="D1309" s="4">
        <v>44993</v>
      </c>
      <c r="E1309" s="5" t="str">
        <f>TEXT(D1309,"dd/mm/yyyy")</f>
        <v>08/03/2023</v>
      </c>
      <c r="F1309" s="5" t="str" cm="1">
        <f t="array" ref="F1309">RIGHT(_xlfn.ANCHORARRAY(E1309),4)</f>
        <v>2023</v>
      </c>
      <c r="G1309" s="5" t="str">
        <f>TEXT(E1309,"mm")</f>
        <v>08</v>
      </c>
      <c r="H1309" s="6">
        <v>1452.61</v>
      </c>
      <c r="I1309">
        <v>142</v>
      </c>
      <c r="L1309" t="str">
        <f t="shared" si="20"/>
        <v>Below Average</v>
      </c>
      <c r="M1309">
        <f>RANK(H1309,H:H,0)</f>
        <v>2819</v>
      </c>
    </row>
    <row r="1310" spans="1:13">
      <c r="A1310" t="s">
        <v>41</v>
      </c>
      <c r="B1310" t="s">
        <v>15</v>
      </c>
      <c r="C1310" t="s">
        <v>46</v>
      </c>
      <c r="D1310" s="3" t="s">
        <v>203</v>
      </c>
      <c r="E1310" s="5" t="str">
        <f>TEXT(D1310,"dd/mm/yyyy")</f>
        <v>25/05/2023</v>
      </c>
      <c r="F1310" s="5" t="str" cm="1">
        <f t="array" ref="F1310">RIGHT(_xlfn.ANCHORARRAY(E1310),4)</f>
        <v>2023</v>
      </c>
      <c r="G1310" s="5" t="str">
        <f>TEXT(E1310,"mm")</f>
        <v>25/05/2023</v>
      </c>
      <c r="H1310" s="6">
        <v>793.17</v>
      </c>
      <c r="I1310">
        <v>400</v>
      </c>
      <c r="L1310" t="str">
        <f t="shared" si="20"/>
        <v>Below Average</v>
      </c>
      <c r="M1310">
        <f>RANK(H1310,H:H,0)</f>
        <v>3028</v>
      </c>
    </row>
    <row r="1311" spans="1:13">
      <c r="A1311" t="s">
        <v>9</v>
      </c>
      <c r="B1311" t="s">
        <v>7</v>
      </c>
      <c r="C1311" t="s">
        <v>73</v>
      </c>
      <c r="D1311" s="3" t="s">
        <v>211</v>
      </c>
      <c r="E1311" s="5" t="str">
        <f>TEXT(D1311,"dd/mm/yyyy")</f>
        <v>16/03/2023</v>
      </c>
      <c r="F1311" s="5" t="str" cm="1">
        <f t="array" ref="F1311">RIGHT(_xlfn.ANCHORARRAY(E1311),4)</f>
        <v>2023</v>
      </c>
      <c r="G1311" s="5" t="str">
        <f>TEXT(E1311,"mm")</f>
        <v>16/03/2023</v>
      </c>
      <c r="H1311" s="6">
        <v>7152.22</v>
      </c>
      <c r="I1311">
        <v>83</v>
      </c>
      <c r="L1311" t="str">
        <f t="shared" si="20"/>
        <v>Above Average</v>
      </c>
      <c r="M1311">
        <f>RANK(H1311,H:H,0)</f>
        <v>1147</v>
      </c>
    </row>
    <row r="1312" spans="1:13">
      <c r="A1312" t="s">
        <v>14</v>
      </c>
      <c r="B1312" t="s">
        <v>15</v>
      </c>
      <c r="C1312" t="s">
        <v>33</v>
      </c>
      <c r="D1312" s="4">
        <v>45023</v>
      </c>
      <c r="E1312" s="5" t="str">
        <f>TEXT(D1312,"dd/mm/yyyy")</f>
        <v>07/04/2023</v>
      </c>
      <c r="F1312" s="5" t="str" cm="1">
        <f t="array" ref="F1312">RIGHT(_xlfn.ANCHORARRAY(E1312),4)</f>
        <v>2023</v>
      </c>
      <c r="G1312" s="5" t="str">
        <f>TEXT(E1312,"mm")</f>
        <v>07</v>
      </c>
      <c r="H1312" s="6">
        <v>3364.44</v>
      </c>
      <c r="I1312">
        <v>126</v>
      </c>
      <c r="L1312" t="str">
        <f t="shared" si="20"/>
        <v>Below Average</v>
      </c>
      <c r="M1312">
        <f>RANK(H1312,H:H,0)</f>
        <v>2192</v>
      </c>
    </row>
    <row r="1313" spans="1:13">
      <c r="A1313" t="s">
        <v>6</v>
      </c>
      <c r="B1313" t="s">
        <v>10</v>
      </c>
      <c r="C1313" t="s">
        <v>26</v>
      </c>
      <c r="D1313" s="4">
        <v>45053</v>
      </c>
      <c r="E1313" s="5" t="str">
        <f>TEXT(D1313,"dd/mm/yyyy")</f>
        <v>07/05/2023</v>
      </c>
      <c r="F1313" s="5" t="str" cm="1">
        <f t="array" ref="F1313">RIGHT(_xlfn.ANCHORARRAY(E1313),4)</f>
        <v>2023</v>
      </c>
      <c r="G1313" s="5" t="str">
        <f>TEXT(E1313,"mm")</f>
        <v>07</v>
      </c>
      <c r="H1313" s="6">
        <v>3470.6</v>
      </c>
      <c r="I1313">
        <v>129</v>
      </c>
      <c r="L1313" t="str">
        <f t="shared" si="20"/>
        <v>Below Average</v>
      </c>
      <c r="M1313">
        <f>RANK(H1313,H:H,0)</f>
        <v>2150</v>
      </c>
    </row>
    <row r="1314" spans="1:13">
      <c r="A1314" t="s">
        <v>77</v>
      </c>
      <c r="B1314" t="s">
        <v>32</v>
      </c>
      <c r="C1314" t="s">
        <v>23</v>
      </c>
      <c r="D1314" s="3" t="s">
        <v>234</v>
      </c>
      <c r="E1314" s="5" t="str">
        <f>TEXT(D1314,"dd/mm/yyyy")</f>
        <v>15/03/2023</v>
      </c>
      <c r="F1314" s="5" t="str" cm="1">
        <f t="array" ref="F1314">RIGHT(_xlfn.ANCHORARRAY(E1314),4)</f>
        <v>2023</v>
      </c>
      <c r="G1314" s="5" t="str">
        <f>TEXT(E1314,"mm")</f>
        <v>15/03/2023</v>
      </c>
      <c r="H1314" s="6">
        <v>4676.32</v>
      </c>
      <c r="I1314">
        <v>440</v>
      </c>
      <c r="L1314" t="str">
        <f t="shared" si="20"/>
        <v>Below Average</v>
      </c>
      <c r="M1314">
        <f>RANK(H1314,H:H,0)</f>
        <v>1804</v>
      </c>
    </row>
    <row r="1315" spans="1:13">
      <c r="A1315" t="s">
        <v>31</v>
      </c>
      <c r="B1315" t="s">
        <v>7</v>
      </c>
      <c r="C1315" t="s">
        <v>73</v>
      </c>
      <c r="D1315" s="3" t="s">
        <v>186</v>
      </c>
      <c r="E1315" s="5" t="str">
        <f>TEXT(D1315,"dd/mm/yyyy")</f>
        <v>22/08/2023</v>
      </c>
      <c r="F1315" s="5" t="str" cm="1">
        <f t="array" ref="F1315">RIGHT(_xlfn.ANCHORARRAY(E1315),4)</f>
        <v>2023</v>
      </c>
      <c r="G1315" s="5" t="str">
        <f>TEXT(E1315,"mm")</f>
        <v>22/08/2023</v>
      </c>
      <c r="H1315" s="6">
        <v>6323.45</v>
      </c>
      <c r="I1315">
        <v>70</v>
      </c>
      <c r="L1315" t="str">
        <f t="shared" si="20"/>
        <v>Above Average</v>
      </c>
      <c r="M1315">
        <f>RANK(H1315,H:H,0)</f>
        <v>1348</v>
      </c>
    </row>
    <row r="1316" spans="1:13">
      <c r="A1316" t="s">
        <v>83</v>
      </c>
      <c r="B1316" t="s">
        <v>15</v>
      </c>
      <c r="C1316" t="s">
        <v>100</v>
      </c>
      <c r="D1316" s="4">
        <v>45261</v>
      </c>
      <c r="E1316" s="5" t="str">
        <f>TEXT(D1316,"dd/mm/yyyy")</f>
        <v>01/12/2023</v>
      </c>
      <c r="F1316" s="5" t="str" cm="1">
        <f t="array" ref="F1316">RIGHT(_xlfn.ANCHORARRAY(E1316),4)</f>
        <v>2023</v>
      </c>
      <c r="G1316" s="5" t="str">
        <f>TEXT(E1316,"mm")</f>
        <v>01</v>
      </c>
      <c r="H1316" s="6">
        <v>3252.7</v>
      </c>
      <c r="I1316">
        <v>119</v>
      </c>
      <c r="L1316" t="str">
        <f t="shared" si="20"/>
        <v>Below Average</v>
      </c>
      <c r="M1316">
        <f>RANK(H1316,H:H,0)</f>
        <v>2222</v>
      </c>
    </row>
    <row r="1317" spans="1:13">
      <c r="A1317" t="s">
        <v>40</v>
      </c>
      <c r="B1317" t="s">
        <v>7</v>
      </c>
      <c r="C1317" t="s">
        <v>87</v>
      </c>
      <c r="D1317" s="4">
        <v>45205</v>
      </c>
      <c r="E1317" s="5" t="str">
        <f>TEXT(D1317,"dd/mm/yyyy")</f>
        <v>06/10/2023</v>
      </c>
      <c r="F1317" s="5" t="str" cm="1">
        <f t="array" ref="F1317">RIGHT(_xlfn.ANCHORARRAY(E1317),4)</f>
        <v>2023</v>
      </c>
      <c r="G1317" s="5" t="str">
        <f>TEXT(E1317,"mm")</f>
        <v>06</v>
      </c>
      <c r="H1317" s="6">
        <v>254.16</v>
      </c>
      <c r="I1317">
        <v>161</v>
      </c>
      <c r="L1317" t="str">
        <f t="shared" si="20"/>
        <v>Below Average</v>
      </c>
      <c r="M1317">
        <f>RANK(H1317,H:H,0)</f>
        <v>3206</v>
      </c>
    </row>
    <row r="1318" spans="1:13">
      <c r="A1318" t="s">
        <v>55</v>
      </c>
      <c r="B1318" t="s">
        <v>15</v>
      </c>
      <c r="C1318" t="s">
        <v>13</v>
      </c>
      <c r="D1318" s="3" t="s">
        <v>235</v>
      </c>
      <c r="E1318" s="5" t="str">
        <f>TEXT(D1318,"dd/mm/yyyy")</f>
        <v>25/03/2023</v>
      </c>
      <c r="F1318" s="5" t="str" cm="1">
        <f t="array" ref="F1318">RIGHT(_xlfn.ANCHORARRAY(E1318),4)</f>
        <v>2023</v>
      </c>
      <c r="G1318" s="5" t="str">
        <f>TEXT(E1318,"mm")</f>
        <v>25/03/2023</v>
      </c>
      <c r="H1318" s="6">
        <v>6127.37</v>
      </c>
      <c r="I1318">
        <v>299</v>
      </c>
      <c r="L1318" t="str">
        <f t="shared" si="20"/>
        <v>Above Average</v>
      </c>
      <c r="M1318">
        <f>RANK(H1318,H:H,0)</f>
        <v>1398</v>
      </c>
    </row>
    <row r="1319" spans="1:13">
      <c r="A1319" t="s">
        <v>29</v>
      </c>
      <c r="B1319" t="s">
        <v>10</v>
      </c>
      <c r="C1319" t="s">
        <v>65</v>
      </c>
      <c r="D1319" s="3" t="s">
        <v>232</v>
      </c>
      <c r="E1319" s="5" t="str">
        <f>TEXT(D1319,"dd/mm/yyyy")</f>
        <v>27/07/2023</v>
      </c>
      <c r="F1319" s="5" t="str" cm="1">
        <f t="array" ref="F1319">RIGHT(_xlfn.ANCHORARRAY(E1319),4)</f>
        <v>2023</v>
      </c>
      <c r="G1319" s="5" t="str">
        <f>TEXT(E1319,"mm")</f>
        <v>27/07/2023</v>
      </c>
      <c r="H1319" s="6">
        <v>3791.66</v>
      </c>
      <c r="I1319">
        <v>100</v>
      </c>
      <c r="L1319" t="str">
        <f t="shared" si="20"/>
        <v>Below Average</v>
      </c>
      <c r="M1319">
        <f>RANK(H1319,H:H,0)</f>
        <v>2040</v>
      </c>
    </row>
    <row r="1320" spans="1:13">
      <c r="A1320" t="s">
        <v>53</v>
      </c>
      <c r="B1320" t="s">
        <v>7</v>
      </c>
      <c r="C1320" t="s">
        <v>90</v>
      </c>
      <c r="D1320" s="3" t="s">
        <v>184</v>
      </c>
      <c r="E1320" s="5" t="str">
        <f>TEXT(D1320,"dd/mm/yyyy")</f>
        <v>15/04/2023</v>
      </c>
      <c r="F1320" s="5" t="str" cm="1">
        <f t="array" ref="F1320">RIGHT(_xlfn.ANCHORARRAY(E1320),4)</f>
        <v>2023</v>
      </c>
      <c r="G1320" s="5" t="str">
        <f>TEXT(E1320,"mm")</f>
        <v>15/04/2023</v>
      </c>
      <c r="H1320" s="6">
        <v>17059.689999999999</v>
      </c>
      <c r="I1320">
        <v>456</v>
      </c>
      <c r="L1320" t="str">
        <f t="shared" si="20"/>
        <v>Above Average</v>
      </c>
      <c r="M1320">
        <f>RANK(H1320,H:H,0)</f>
        <v>67</v>
      </c>
    </row>
    <row r="1321" spans="1:13">
      <c r="A1321" t="s">
        <v>45</v>
      </c>
      <c r="B1321" t="s">
        <v>10</v>
      </c>
      <c r="C1321" t="s">
        <v>33</v>
      </c>
      <c r="D1321" s="3" t="s">
        <v>172</v>
      </c>
      <c r="E1321" s="5" t="str">
        <f>TEXT(D1321,"dd/mm/yyyy")</f>
        <v>27/06/2023</v>
      </c>
      <c r="F1321" s="5" t="str" cm="1">
        <f t="array" ref="F1321">RIGHT(_xlfn.ANCHORARRAY(E1321),4)</f>
        <v>2023</v>
      </c>
      <c r="G1321" s="5" t="str">
        <f>TEXT(E1321,"mm")</f>
        <v>27/06/2023</v>
      </c>
      <c r="H1321" s="6">
        <v>4154.4399999999996</v>
      </c>
      <c r="I1321">
        <v>18</v>
      </c>
      <c r="L1321" t="str">
        <f t="shared" si="20"/>
        <v>Below Average</v>
      </c>
      <c r="M1321">
        <f>RANK(H1321,H:H,0)</f>
        <v>1943</v>
      </c>
    </row>
    <row r="1322" spans="1:13">
      <c r="A1322" t="s">
        <v>6</v>
      </c>
      <c r="B1322" t="s">
        <v>7</v>
      </c>
      <c r="C1322" t="s">
        <v>100</v>
      </c>
      <c r="D1322" s="3" t="s">
        <v>195</v>
      </c>
      <c r="E1322" s="5" t="str">
        <f>TEXT(D1322,"dd/mm/yyyy")</f>
        <v>14/04/2023</v>
      </c>
      <c r="F1322" s="5" t="str" cm="1">
        <f t="array" ref="F1322">RIGHT(_xlfn.ANCHORARRAY(E1322),4)</f>
        <v>2023</v>
      </c>
      <c r="G1322" s="5" t="str">
        <f>TEXT(E1322,"mm")</f>
        <v>14/04/2023</v>
      </c>
      <c r="H1322" s="6">
        <v>6168.51</v>
      </c>
      <c r="I1322">
        <v>280</v>
      </c>
      <c r="L1322" t="str">
        <f t="shared" si="20"/>
        <v>Above Average</v>
      </c>
      <c r="M1322">
        <f>RANK(H1322,H:H,0)</f>
        <v>1389</v>
      </c>
    </row>
    <row r="1323" spans="1:13">
      <c r="A1323" t="s">
        <v>53</v>
      </c>
      <c r="B1323" t="s">
        <v>15</v>
      </c>
      <c r="C1323" t="s">
        <v>60</v>
      </c>
      <c r="D1323" s="3" t="s">
        <v>234</v>
      </c>
      <c r="E1323" s="5" t="str">
        <f>TEXT(D1323,"dd/mm/yyyy")</f>
        <v>15/03/2023</v>
      </c>
      <c r="F1323" s="5" t="str" cm="1">
        <f t="array" ref="F1323">RIGHT(_xlfn.ANCHORARRAY(E1323),4)</f>
        <v>2023</v>
      </c>
      <c r="G1323" s="5" t="str">
        <f>TEXT(E1323,"mm")</f>
        <v>15/03/2023</v>
      </c>
      <c r="H1323" s="6">
        <v>7984.45</v>
      </c>
      <c r="I1323">
        <v>95</v>
      </c>
      <c r="L1323" t="str">
        <f t="shared" si="20"/>
        <v>Above Average</v>
      </c>
      <c r="M1323">
        <f>RANK(H1323,H:H,0)</f>
        <v>940</v>
      </c>
    </row>
    <row r="1324" spans="1:13">
      <c r="A1324" t="s">
        <v>77</v>
      </c>
      <c r="B1324" t="s">
        <v>32</v>
      </c>
      <c r="C1324" t="s">
        <v>36</v>
      </c>
      <c r="D1324" s="3" t="s">
        <v>236</v>
      </c>
      <c r="E1324" s="5" t="str">
        <f>TEXT(D1324,"dd/mm/yyyy")</f>
        <v>18/03/2023</v>
      </c>
      <c r="F1324" s="5" t="str" cm="1">
        <f t="array" ref="F1324">RIGHT(_xlfn.ANCHORARRAY(E1324),4)</f>
        <v>2023</v>
      </c>
      <c r="G1324" s="5" t="str">
        <f>TEXT(E1324,"mm")</f>
        <v>18/03/2023</v>
      </c>
      <c r="H1324" s="6">
        <v>9108.33</v>
      </c>
      <c r="I1324">
        <v>213</v>
      </c>
      <c r="L1324" t="str">
        <f t="shared" si="20"/>
        <v>Above Average</v>
      </c>
      <c r="M1324">
        <f>RANK(H1324,H:H,0)</f>
        <v>718</v>
      </c>
    </row>
    <row r="1325" spans="1:13">
      <c r="A1325" t="s">
        <v>28</v>
      </c>
      <c r="B1325" t="s">
        <v>10</v>
      </c>
      <c r="C1325" t="s">
        <v>36</v>
      </c>
      <c r="D1325" s="3" t="s">
        <v>219</v>
      </c>
      <c r="E1325" s="5" t="str">
        <f>TEXT(D1325,"dd/mm/yyyy")</f>
        <v>29/04/2023</v>
      </c>
      <c r="F1325" s="5" t="str" cm="1">
        <f t="array" ref="F1325">RIGHT(_xlfn.ANCHORARRAY(E1325),4)</f>
        <v>2023</v>
      </c>
      <c r="G1325" s="5" t="str">
        <f>TEXT(E1325,"mm")</f>
        <v>29/04/2023</v>
      </c>
      <c r="H1325" s="6">
        <v>1511.51</v>
      </c>
      <c r="I1325">
        <v>58</v>
      </c>
      <c r="L1325" t="str">
        <f t="shared" si="20"/>
        <v>Below Average</v>
      </c>
      <c r="M1325">
        <f>RANK(H1325,H:H,0)</f>
        <v>2805</v>
      </c>
    </row>
    <row r="1326" spans="1:13">
      <c r="A1326" t="s">
        <v>34</v>
      </c>
      <c r="B1326" t="s">
        <v>25</v>
      </c>
      <c r="C1326" t="s">
        <v>59</v>
      </c>
      <c r="D1326" s="3" t="s">
        <v>207</v>
      </c>
      <c r="E1326" s="5" t="str">
        <f>TEXT(D1326,"dd/mm/yyyy")</f>
        <v>25/02/2023</v>
      </c>
      <c r="F1326" s="5" t="str" cm="1">
        <f t="array" ref="F1326">RIGHT(_xlfn.ANCHORARRAY(E1326),4)</f>
        <v>2023</v>
      </c>
      <c r="G1326" s="5" t="str">
        <f>TEXT(E1326,"mm")</f>
        <v>25/02/2023</v>
      </c>
      <c r="H1326" s="6">
        <v>3364.28</v>
      </c>
      <c r="I1326">
        <v>265</v>
      </c>
      <c r="L1326" t="str">
        <f t="shared" si="20"/>
        <v>Below Average</v>
      </c>
      <c r="M1326">
        <f>RANK(H1326,H:H,0)</f>
        <v>2193</v>
      </c>
    </row>
    <row r="1327" spans="1:13">
      <c r="A1327" t="s">
        <v>53</v>
      </c>
      <c r="B1327" t="s">
        <v>32</v>
      </c>
      <c r="C1327" t="s">
        <v>46</v>
      </c>
      <c r="D1327" s="4">
        <v>44960</v>
      </c>
      <c r="E1327" s="5" t="str">
        <f>TEXT(D1327,"dd/mm/yyyy")</f>
        <v>03/02/2023</v>
      </c>
      <c r="F1327" s="5" t="str" cm="1">
        <f t="array" ref="F1327">RIGHT(_xlfn.ANCHORARRAY(E1327),4)</f>
        <v>2023</v>
      </c>
      <c r="G1327" s="5" t="str">
        <f>TEXT(E1327,"mm")</f>
        <v>03</v>
      </c>
      <c r="H1327" s="6">
        <v>934.49</v>
      </c>
      <c r="I1327">
        <v>54</v>
      </c>
      <c r="L1327" t="str">
        <f t="shared" si="20"/>
        <v>Below Average</v>
      </c>
      <c r="M1327">
        <f>RANK(H1327,H:H,0)</f>
        <v>2995</v>
      </c>
    </row>
    <row r="1328" spans="1:13">
      <c r="A1328" t="s">
        <v>9</v>
      </c>
      <c r="B1328" t="s">
        <v>15</v>
      </c>
      <c r="C1328" t="s">
        <v>46</v>
      </c>
      <c r="D1328" s="3" t="s">
        <v>196</v>
      </c>
      <c r="E1328" s="5" t="str">
        <f>TEXT(D1328,"dd/mm/yyyy")</f>
        <v>20/06/2023</v>
      </c>
      <c r="F1328" s="5" t="str" cm="1">
        <f t="array" ref="F1328">RIGHT(_xlfn.ANCHORARRAY(E1328),4)</f>
        <v>2023</v>
      </c>
      <c r="G1328" s="5" t="str">
        <f>TEXT(E1328,"mm")</f>
        <v>20/06/2023</v>
      </c>
      <c r="H1328" s="6">
        <v>8895.7000000000007</v>
      </c>
      <c r="I1328">
        <v>91</v>
      </c>
      <c r="L1328" t="str">
        <f t="shared" si="20"/>
        <v>Above Average</v>
      </c>
      <c r="M1328">
        <f>RANK(H1328,H:H,0)</f>
        <v>761</v>
      </c>
    </row>
    <row r="1329" spans="1:13">
      <c r="A1329" t="s">
        <v>41</v>
      </c>
      <c r="B1329" t="s">
        <v>35</v>
      </c>
      <c r="C1329" t="s">
        <v>59</v>
      </c>
      <c r="D1329" s="3" t="s">
        <v>189</v>
      </c>
      <c r="E1329" s="5" t="str">
        <f>TEXT(D1329,"dd/mm/yyyy")</f>
        <v>15/07/2023</v>
      </c>
      <c r="F1329" s="5" t="str" cm="1">
        <f t="array" ref="F1329">RIGHT(_xlfn.ANCHORARRAY(E1329),4)</f>
        <v>2023</v>
      </c>
      <c r="G1329" s="5" t="str">
        <f>TEXT(E1329,"mm")</f>
        <v>15/07/2023</v>
      </c>
      <c r="H1329" s="6">
        <v>9957.2000000000007</v>
      </c>
      <c r="I1329">
        <v>185</v>
      </c>
      <c r="L1329" t="str">
        <f t="shared" si="20"/>
        <v>Above Average</v>
      </c>
      <c r="M1329">
        <f>RANK(H1329,H:H,0)</f>
        <v>589</v>
      </c>
    </row>
    <row r="1330" spans="1:13">
      <c r="A1330" t="s">
        <v>79</v>
      </c>
      <c r="B1330" t="s">
        <v>15</v>
      </c>
      <c r="C1330" t="s">
        <v>26</v>
      </c>
      <c r="D1330" s="4">
        <v>45265</v>
      </c>
      <c r="E1330" s="5" t="str">
        <f>TEXT(D1330,"dd/mm/yyyy")</f>
        <v>05/12/2023</v>
      </c>
      <c r="F1330" s="5" t="str" cm="1">
        <f t="array" ref="F1330">RIGHT(_xlfn.ANCHORARRAY(E1330),4)</f>
        <v>2023</v>
      </c>
      <c r="G1330" s="5" t="str">
        <f>TEXT(E1330,"mm")</f>
        <v>05</v>
      </c>
      <c r="H1330" s="6">
        <v>3359.18</v>
      </c>
      <c r="I1330">
        <v>256</v>
      </c>
      <c r="L1330" t="str">
        <f t="shared" si="20"/>
        <v>Below Average</v>
      </c>
      <c r="M1330">
        <f>RANK(H1330,H:H,0)</f>
        <v>2195</v>
      </c>
    </row>
    <row r="1331" spans="1:13">
      <c r="A1331" t="s">
        <v>34</v>
      </c>
      <c r="B1331" t="s">
        <v>25</v>
      </c>
      <c r="C1331" t="s">
        <v>42</v>
      </c>
      <c r="D1331" s="4">
        <v>44933</v>
      </c>
      <c r="E1331" s="5" t="str">
        <f>TEXT(D1331,"dd/mm/yyyy")</f>
        <v>07/01/2023</v>
      </c>
      <c r="F1331" s="5" t="str" cm="1">
        <f t="array" ref="F1331">RIGHT(_xlfn.ANCHORARRAY(E1331),4)</f>
        <v>2023</v>
      </c>
      <c r="G1331" s="5" t="str">
        <f>TEXT(E1331,"mm")</f>
        <v>07</v>
      </c>
      <c r="H1331" s="6">
        <v>5098.29</v>
      </c>
      <c r="I1331">
        <v>276</v>
      </c>
      <c r="L1331" t="str">
        <f t="shared" si="20"/>
        <v>Below Average</v>
      </c>
      <c r="M1331">
        <f>RANK(H1331,H:H,0)</f>
        <v>1671</v>
      </c>
    </row>
    <row r="1332" spans="1:13">
      <c r="A1332" t="s">
        <v>53</v>
      </c>
      <c r="B1332" t="s">
        <v>32</v>
      </c>
      <c r="C1332" t="s">
        <v>11</v>
      </c>
      <c r="D1332" s="4">
        <v>45146</v>
      </c>
      <c r="E1332" s="5" t="str">
        <f>TEXT(D1332,"dd/mm/yyyy")</f>
        <v>08/08/2023</v>
      </c>
      <c r="F1332" s="5" t="str" cm="1">
        <f t="array" ref="F1332">RIGHT(_xlfn.ANCHORARRAY(E1332),4)</f>
        <v>2023</v>
      </c>
      <c r="G1332" s="5" t="str">
        <f>TEXT(E1332,"mm")</f>
        <v>08</v>
      </c>
      <c r="H1332" s="6">
        <v>398.28</v>
      </c>
      <c r="I1332">
        <v>52</v>
      </c>
      <c r="L1332" t="str">
        <f t="shared" si="20"/>
        <v>Below Average</v>
      </c>
      <c r="M1332">
        <f>RANK(H1332,H:H,0)</f>
        <v>3163</v>
      </c>
    </row>
    <row r="1333" spans="1:13">
      <c r="A1333" t="s">
        <v>77</v>
      </c>
      <c r="B1333" t="s">
        <v>15</v>
      </c>
      <c r="C1333" t="s">
        <v>26</v>
      </c>
      <c r="D1333" s="3" t="s">
        <v>216</v>
      </c>
      <c r="E1333" s="5" t="str">
        <f>TEXT(D1333,"dd/mm/yyyy")</f>
        <v>25/07/2023</v>
      </c>
      <c r="F1333" s="5" t="str" cm="1">
        <f t="array" ref="F1333">RIGHT(_xlfn.ANCHORARRAY(E1333),4)</f>
        <v>2023</v>
      </c>
      <c r="G1333" s="5" t="str">
        <f>TEXT(E1333,"mm")</f>
        <v>25/07/2023</v>
      </c>
      <c r="H1333" s="6">
        <v>7473.14</v>
      </c>
      <c r="I1333">
        <v>6</v>
      </c>
      <c r="L1333" t="str">
        <f t="shared" si="20"/>
        <v>Above Average</v>
      </c>
      <c r="M1333">
        <f>RANK(H1333,H:H,0)</f>
        <v>1072</v>
      </c>
    </row>
    <row r="1334" spans="1:13">
      <c r="A1334" t="s">
        <v>64</v>
      </c>
      <c r="B1334" t="s">
        <v>7</v>
      </c>
      <c r="C1334" t="s">
        <v>38</v>
      </c>
      <c r="D1334" s="3" t="s">
        <v>190</v>
      </c>
      <c r="E1334" s="5" t="str">
        <f>TEXT(D1334,"dd/mm/yyyy")</f>
        <v>18/05/2023</v>
      </c>
      <c r="F1334" s="5" t="str" cm="1">
        <f t="array" ref="F1334">RIGHT(_xlfn.ANCHORARRAY(E1334),4)</f>
        <v>2023</v>
      </c>
      <c r="G1334" s="5" t="str">
        <f>TEXT(E1334,"mm")</f>
        <v>18/05/2023</v>
      </c>
      <c r="H1334" s="6">
        <v>3638.66</v>
      </c>
      <c r="I1334">
        <v>59</v>
      </c>
      <c r="L1334" t="str">
        <f t="shared" si="20"/>
        <v>Below Average</v>
      </c>
      <c r="M1334">
        <f>RANK(H1334,H:H,0)</f>
        <v>2093</v>
      </c>
    </row>
    <row r="1335" spans="1:13">
      <c r="A1335" t="s">
        <v>71</v>
      </c>
      <c r="B1335" t="s">
        <v>10</v>
      </c>
      <c r="C1335" t="s">
        <v>13</v>
      </c>
      <c r="D1335" s="3" t="s">
        <v>189</v>
      </c>
      <c r="E1335" s="5" t="str">
        <f>TEXT(D1335,"dd/mm/yyyy")</f>
        <v>15/07/2023</v>
      </c>
      <c r="F1335" s="5" t="str" cm="1">
        <f t="array" ref="F1335">RIGHT(_xlfn.ANCHORARRAY(E1335),4)</f>
        <v>2023</v>
      </c>
      <c r="G1335" s="5" t="str">
        <f>TEXT(E1335,"mm")</f>
        <v>15/07/2023</v>
      </c>
      <c r="H1335" s="6">
        <v>12507.08</v>
      </c>
      <c r="I1335">
        <v>284</v>
      </c>
      <c r="L1335" t="str">
        <f t="shared" si="20"/>
        <v>Above Average</v>
      </c>
      <c r="M1335">
        <f>RANK(H1335,H:H,0)</f>
        <v>301</v>
      </c>
    </row>
    <row r="1336" spans="1:13">
      <c r="A1336" t="s">
        <v>48</v>
      </c>
      <c r="B1336" t="s">
        <v>10</v>
      </c>
      <c r="C1336" t="s">
        <v>100</v>
      </c>
      <c r="D1336" s="4">
        <v>45053</v>
      </c>
      <c r="E1336" s="5" t="str">
        <f>TEXT(D1336,"dd/mm/yyyy")</f>
        <v>07/05/2023</v>
      </c>
      <c r="F1336" s="5" t="str" cm="1">
        <f t="array" ref="F1336">RIGHT(_xlfn.ANCHORARRAY(E1336),4)</f>
        <v>2023</v>
      </c>
      <c r="G1336" s="5" t="str">
        <f>TEXT(E1336,"mm")</f>
        <v>07</v>
      </c>
      <c r="H1336" s="6">
        <v>2393.79</v>
      </c>
      <c r="I1336">
        <v>48</v>
      </c>
      <c r="L1336" t="str">
        <f t="shared" si="20"/>
        <v>Below Average</v>
      </c>
      <c r="M1336">
        <f>RANK(H1336,H:H,0)</f>
        <v>2517</v>
      </c>
    </row>
    <row r="1337" spans="1:13">
      <c r="A1337" t="s">
        <v>34</v>
      </c>
      <c r="B1337" t="s">
        <v>32</v>
      </c>
      <c r="C1337" t="s">
        <v>60</v>
      </c>
      <c r="D1337" s="4">
        <v>45023</v>
      </c>
      <c r="E1337" s="5" t="str">
        <f>TEXT(D1337,"dd/mm/yyyy")</f>
        <v>07/04/2023</v>
      </c>
      <c r="F1337" s="5" t="str" cm="1">
        <f t="array" ref="F1337">RIGHT(_xlfn.ANCHORARRAY(E1337),4)</f>
        <v>2023</v>
      </c>
      <c r="G1337" s="5" t="str">
        <f>TEXT(E1337,"mm")</f>
        <v>07</v>
      </c>
      <c r="H1337" s="6">
        <v>6136.99</v>
      </c>
      <c r="I1337">
        <v>94</v>
      </c>
      <c r="L1337" t="str">
        <f t="shared" si="20"/>
        <v>Above Average</v>
      </c>
      <c r="M1337">
        <f>RANK(H1337,H:H,0)</f>
        <v>1397</v>
      </c>
    </row>
    <row r="1338" spans="1:13">
      <c r="A1338" t="s">
        <v>79</v>
      </c>
      <c r="B1338" t="s">
        <v>7</v>
      </c>
      <c r="C1338" t="s">
        <v>100</v>
      </c>
      <c r="D1338" s="3" t="s">
        <v>196</v>
      </c>
      <c r="E1338" s="5" t="str">
        <f>TEXT(D1338,"dd/mm/yyyy")</f>
        <v>20/06/2023</v>
      </c>
      <c r="F1338" s="5" t="str" cm="1">
        <f t="array" ref="F1338">RIGHT(_xlfn.ANCHORARRAY(E1338),4)</f>
        <v>2023</v>
      </c>
      <c r="G1338" s="5" t="str">
        <f>TEXT(E1338,"mm")</f>
        <v>20/06/2023</v>
      </c>
      <c r="H1338" s="6">
        <v>1264.43</v>
      </c>
      <c r="I1338">
        <v>232</v>
      </c>
      <c r="L1338" t="str">
        <f t="shared" si="20"/>
        <v>Below Average</v>
      </c>
      <c r="M1338">
        <f>RANK(H1338,H:H,0)</f>
        <v>2888</v>
      </c>
    </row>
    <row r="1339" spans="1:13">
      <c r="A1339" t="s">
        <v>22</v>
      </c>
      <c r="B1339" t="s">
        <v>15</v>
      </c>
      <c r="C1339" t="s">
        <v>65</v>
      </c>
      <c r="D1339" s="3" t="s">
        <v>164</v>
      </c>
      <c r="E1339" s="5" t="str">
        <f>TEXT(D1339,"dd/mm/yyyy")</f>
        <v>25/01/2023</v>
      </c>
      <c r="F1339" s="5" t="str" cm="1">
        <f t="array" ref="F1339">RIGHT(_xlfn.ANCHORARRAY(E1339),4)</f>
        <v>2023</v>
      </c>
      <c r="G1339" s="5" t="str">
        <f>TEXT(E1339,"mm")</f>
        <v>25/01/2023</v>
      </c>
      <c r="H1339" s="6">
        <v>4101.26</v>
      </c>
      <c r="I1339">
        <v>425</v>
      </c>
      <c r="L1339" t="str">
        <f t="shared" si="20"/>
        <v>Below Average</v>
      </c>
      <c r="M1339">
        <f>RANK(H1339,H:H,0)</f>
        <v>1958</v>
      </c>
    </row>
    <row r="1340" spans="1:13">
      <c r="A1340" t="s">
        <v>55</v>
      </c>
      <c r="B1340" t="s">
        <v>25</v>
      </c>
      <c r="C1340" t="s">
        <v>50</v>
      </c>
      <c r="D1340" s="4">
        <v>44933</v>
      </c>
      <c r="E1340" s="5" t="str">
        <f>TEXT(D1340,"dd/mm/yyyy")</f>
        <v>07/01/2023</v>
      </c>
      <c r="F1340" s="5" t="str" cm="1">
        <f t="array" ref="F1340">RIGHT(_xlfn.ANCHORARRAY(E1340),4)</f>
        <v>2023</v>
      </c>
      <c r="G1340" s="5" t="str">
        <f>TEXT(E1340,"mm")</f>
        <v>07</v>
      </c>
      <c r="H1340" s="6">
        <v>8106.88</v>
      </c>
      <c r="I1340">
        <v>40</v>
      </c>
      <c r="L1340" t="str">
        <f t="shared" si="20"/>
        <v>Above Average</v>
      </c>
      <c r="M1340">
        <f>RANK(H1340,H:H,0)</f>
        <v>913</v>
      </c>
    </row>
    <row r="1341" spans="1:13">
      <c r="A1341" t="s">
        <v>12</v>
      </c>
      <c r="B1341" t="s">
        <v>32</v>
      </c>
      <c r="C1341" t="s">
        <v>26</v>
      </c>
      <c r="D1341" s="3" t="s">
        <v>224</v>
      </c>
      <c r="E1341" s="5" t="str">
        <f>TEXT(D1341,"dd/mm/yyyy")</f>
        <v>13/04/2023</v>
      </c>
      <c r="F1341" s="5" t="str" cm="1">
        <f t="array" ref="F1341">RIGHT(_xlfn.ANCHORARRAY(E1341),4)</f>
        <v>2023</v>
      </c>
      <c r="G1341" s="5" t="str">
        <f>TEXT(E1341,"mm")</f>
        <v>13/04/2023</v>
      </c>
      <c r="H1341" s="6">
        <v>2456.1</v>
      </c>
      <c r="I1341">
        <v>58</v>
      </c>
      <c r="L1341" t="str">
        <f t="shared" si="20"/>
        <v>Below Average</v>
      </c>
      <c r="M1341">
        <f>RANK(H1341,H:H,0)</f>
        <v>2492</v>
      </c>
    </row>
    <row r="1342" spans="1:13">
      <c r="A1342" t="s">
        <v>41</v>
      </c>
      <c r="B1342" t="s">
        <v>7</v>
      </c>
      <c r="C1342" t="s">
        <v>18</v>
      </c>
      <c r="D1342" s="4">
        <v>45021</v>
      </c>
      <c r="E1342" s="5" t="str">
        <f>TEXT(D1342,"dd/mm/yyyy")</f>
        <v>05/04/2023</v>
      </c>
      <c r="F1342" s="5" t="str" cm="1">
        <f t="array" ref="F1342">RIGHT(_xlfn.ANCHORARRAY(E1342),4)</f>
        <v>2023</v>
      </c>
      <c r="G1342" s="5" t="str">
        <f>TEXT(E1342,"mm")</f>
        <v>05</v>
      </c>
      <c r="H1342" s="6">
        <v>4726.6000000000004</v>
      </c>
      <c r="I1342">
        <v>75</v>
      </c>
      <c r="L1342" t="str">
        <f t="shared" si="20"/>
        <v>Below Average</v>
      </c>
      <c r="M1342">
        <f>RANK(H1342,H:H,0)</f>
        <v>1793</v>
      </c>
    </row>
    <row r="1343" spans="1:13">
      <c r="A1343" t="s">
        <v>41</v>
      </c>
      <c r="B1343" t="s">
        <v>15</v>
      </c>
      <c r="C1343" t="s">
        <v>87</v>
      </c>
      <c r="D1343" s="4">
        <v>45024</v>
      </c>
      <c r="E1343" s="5" t="str">
        <f>TEXT(D1343,"dd/mm/yyyy")</f>
        <v>08/04/2023</v>
      </c>
      <c r="F1343" s="5" t="str" cm="1">
        <f t="array" ref="F1343">RIGHT(_xlfn.ANCHORARRAY(E1343),4)</f>
        <v>2023</v>
      </c>
      <c r="G1343" s="5" t="str">
        <f>TEXT(E1343,"mm")</f>
        <v>08</v>
      </c>
      <c r="H1343" s="6">
        <v>3482.73</v>
      </c>
      <c r="I1343">
        <v>108</v>
      </c>
      <c r="L1343" t="str">
        <f t="shared" si="20"/>
        <v>Below Average</v>
      </c>
      <c r="M1343">
        <f>RANK(H1343,H:H,0)</f>
        <v>2142</v>
      </c>
    </row>
    <row r="1344" spans="1:13">
      <c r="A1344" t="s">
        <v>41</v>
      </c>
      <c r="B1344" t="s">
        <v>10</v>
      </c>
      <c r="C1344" t="s">
        <v>100</v>
      </c>
      <c r="D1344" s="4">
        <v>44932</v>
      </c>
      <c r="E1344" s="5" t="str">
        <f>TEXT(D1344,"dd/mm/yyyy")</f>
        <v>06/01/2023</v>
      </c>
      <c r="F1344" s="5" t="str" cm="1">
        <f t="array" ref="F1344">RIGHT(_xlfn.ANCHORARRAY(E1344),4)</f>
        <v>2023</v>
      </c>
      <c r="G1344" s="5" t="str">
        <f>TEXT(E1344,"mm")</f>
        <v>06</v>
      </c>
      <c r="H1344" s="6">
        <v>467.19</v>
      </c>
      <c r="I1344">
        <v>159</v>
      </c>
      <c r="L1344" t="str">
        <f t="shared" si="20"/>
        <v>Below Average</v>
      </c>
      <c r="M1344">
        <f>RANK(H1344,H:H,0)</f>
        <v>3146</v>
      </c>
    </row>
    <row r="1345" spans="1:13">
      <c r="A1345" t="s">
        <v>6</v>
      </c>
      <c r="B1345" t="s">
        <v>7</v>
      </c>
      <c r="C1345" t="s">
        <v>75</v>
      </c>
      <c r="D1345" s="3" t="s">
        <v>237</v>
      </c>
      <c r="E1345" s="5" t="str">
        <f>TEXT(D1345,"dd/mm/yyyy")</f>
        <v>22/04/2023</v>
      </c>
      <c r="F1345" s="5" t="str" cm="1">
        <f t="array" ref="F1345">RIGHT(_xlfn.ANCHORARRAY(E1345),4)</f>
        <v>2023</v>
      </c>
      <c r="G1345" s="5" t="str">
        <f>TEXT(E1345,"mm")</f>
        <v>22/04/2023</v>
      </c>
      <c r="H1345" s="6">
        <v>4875.38</v>
      </c>
      <c r="I1345">
        <v>185</v>
      </c>
      <c r="L1345" t="str">
        <f t="shared" si="20"/>
        <v>Below Average</v>
      </c>
      <c r="M1345">
        <f>RANK(H1345,H:H,0)</f>
        <v>1742</v>
      </c>
    </row>
    <row r="1346" spans="1:13">
      <c r="A1346" t="s">
        <v>55</v>
      </c>
      <c r="B1346" t="s">
        <v>32</v>
      </c>
      <c r="C1346" t="s">
        <v>26</v>
      </c>
      <c r="D1346" s="4">
        <v>44993</v>
      </c>
      <c r="E1346" s="5" t="str">
        <f>TEXT(D1346,"dd/mm/yyyy")</f>
        <v>08/03/2023</v>
      </c>
      <c r="F1346" s="5" t="str" cm="1">
        <f t="array" ref="F1346">RIGHT(_xlfn.ANCHORARRAY(E1346),4)</f>
        <v>2023</v>
      </c>
      <c r="G1346" s="5" t="str">
        <f>TEXT(E1346,"mm")</f>
        <v>08</v>
      </c>
      <c r="H1346" s="6">
        <v>70.599999999999994</v>
      </c>
      <c r="I1346">
        <v>27</v>
      </c>
      <c r="L1346" t="str">
        <f t="shared" si="20"/>
        <v>Below Average</v>
      </c>
      <c r="M1346">
        <f>RANK(H1346,H:H,0)</f>
        <v>3258</v>
      </c>
    </row>
    <row r="1347" spans="1:13">
      <c r="A1347" t="s">
        <v>83</v>
      </c>
      <c r="B1347" t="s">
        <v>32</v>
      </c>
      <c r="C1347" t="s">
        <v>33</v>
      </c>
      <c r="D1347" s="4">
        <v>45205</v>
      </c>
      <c r="E1347" s="5" t="str">
        <f>TEXT(D1347,"dd/mm/yyyy")</f>
        <v>06/10/2023</v>
      </c>
      <c r="F1347" s="5" t="str" cm="1">
        <f t="array" ref="F1347">RIGHT(_xlfn.ANCHORARRAY(E1347),4)</f>
        <v>2023</v>
      </c>
      <c r="G1347" s="5" t="str">
        <f>TEXT(E1347,"mm")</f>
        <v>06</v>
      </c>
      <c r="H1347" s="6">
        <v>1835.22</v>
      </c>
      <c r="I1347">
        <v>73</v>
      </c>
      <c r="L1347" t="str">
        <f t="shared" ref="L1347:L1410" si="21">IF(H1347&gt;6030.34,"Above Average","Below Average")</f>
        <v>Below Average</v>
      </c>
      <c r="M1347">
        <f>RANK(H1347,H:H,0)</f>
        <v>2691</v>
      </c>
    </row>
    <row r="1348" spans="1:13">
      <c r="A1348" t="s">
        <v>22</v>
      </c>
      <c r="B1348" t="s">
        <v>7</v>
      </c>
      <c r="C1348" t="s">
        <v>60</v>
      </c>
      <c r="D1348" s="3" t="s">
        <v>172</v>
      </c>
      <c r="E1348" s="5" t="str">
        <f>TEXT(D1348,"dd/mm/yyyy")</f>
        <v>27/06/2023</v>
      </c>
      <c r="F1348" s="5" t="str" cm="1">
        <f t="array" ref="F1348">RIGHT(_xlfn.ANCHORARRAY(E1348),4)</f>
        <v>2023</v>
      </c>
      <c r="G1348" s="5" t="str">
        <f>TEXT(E1348,"mm")</f>
        <v>27/06/2023</v>
      </c>
      <c r="H1348" s="6">
        <v>7304.74</v>
      </c>
      <c r="I1348">
        <v>49</v>
      </c>
      <c r="L1348" t="str">
        <f t="shared" si="21"/>
        <v>Above Average</v>
      </c>
      <c r="M1348">
        <f>RANK(H1348,H:H,0)</f>
        <v>1107</v>
      </c>
    </row>
    <row r="1349" spans="1:13">
      <c r="A1349" t="s">
        <v>40</v>
      </c>
      <c r="B1349" t="s">
        <v>15</v>
      </c>
      <c r="C1349" t="s">
        <v>18</v>
      </c>
      <c r="D1349" s="4">
        <v>44986</v>
      </c>
      <c r="E1349" s="5" t="str">
        <f>TEXT(D1349,"dd/mm/yyyy")</f>
        <v>01/03/2023</v>
      </c>
      <c r="F1349" s="5" t="str" cm="1">
        <f t="array" ref="F1349">RIGHT(_xlfn.ANCHORARRAY(E1349),4)</f>
        <v>2023</v>
      </c>
      <c r="G1349" s="5" t="str">
        <f>TEXT(E1349,"mm")</f>
        <v>01</v>
      </c>
      <c r="H1349" s="6">
        <v>3967.85</v>
      </c>
      <c r="I1349">
        <v>163</v>
      </c>
      <c r="L1349" t="str">
        <f t="shared" si="21"/>
        <v>Below Average</v>
      </c>
      <c r="M1349">
        <f>RANK(H1349,H:H,0)</f>
        <v>1995</v>
      </c>
    </row>
    <row r="1350" spans="1:13">
      <c r="A1350" t="s">
        <v>40</v>
      </c>
      <c r="B1350" t="s">
        <v>10</v>
      </c>
      <c r="C1350" t="s">
        <v>23</v>
      </c>
      <c r="D1350" s="4">
        <v>45237</v>
      </c>
      <c r="E1350" s="5" t="str">
        <f>TEXT(D1350,"dd/mm/yyyy")</f>
        <v>07/11/2023</v>
      </c>
      <c r="F1350" s="5" t="str" cm="1">
        <f t="array" ref="F1350">RIGHT(_xlfn.ANCHORARRAY(E1350),4)</f>
        <v>2023</v>
      </c>
      <c r="G1350" s="5" t="str">
        <f>TEXT(E1350,"mm")</f>
        <v>07</v>
      </c>
      <c r="H1350" s="6">
        <v>2800.67</v>
      </c>
      <c r="I1350">
        <v>190</v>
      </c>
      <c r="L1350" t="str">
        <f t="shared" si="21"/>
        <v>Below Average</v>
      </c>
      <c r="M1350">
        <f>RANK(H1350,H:H,0)</f>
        <v>2371</v>
      </c>
    </row>
    <row r="1351" spans="1:13">
      <c r="A1351" t="s">
        <v>83</v>
      </c>
      <c r="B1351" t="s">
        <v>25</v>
      </c>
      <c r="C1351" t="s">
        <v>46</v>
      </c>
      <c r="D1351" s="3" t="s">
        <v>238</v>
      </c>
      <c r="E1351" s="5" t="str">
        <f>TEXT(D1351,"dd/mm/yyyy")</f>
        <v>17/08/2023</v>
      </c>
      <c r="F1351" s="5" t="str" cm="1">
        <f t="array" ref="F1351">RIGHT(_xlfn.ANCHORARRAY(E1351),4)</f>
        <v>2023</v>
      </c>
      <c r="G1351" s="5" t="str">
        <f>TEXT(E1351,"mm")</f>
        <v>17/08/2023</v>
      </c>
      <c r="H1351" s="6">
        <v>4474.5200000000004</v>
      </c>
      <c r="I1351">
        <v>120</v>
      </c>
      <c r="L1351" t="str">
        <f t="shared" si="21"/>
        <v>Below Average</v>
      </c>
      <c r="M1351">
        <f>RANK(H1351,H:H,0)</f>
        <v>1860</v>
      </c>
    </row>
    <row r="1352" spans="1:13">
      <c r="A1352" t="s">
        <v>29</v>
      </c>
      <c r="B1352" t="s">
        <v>32</v>
      </c>
      <c r="C1352" t="s">
        <v>57</v>
      </c>
      <c r="D1352" s="3" t="s">
        <v>218</v>
      </c>
      <c r="E1352" s="5" t="str">
        <f>TEXT(D1352,"dd/mm/yyyy")</f>
        <v>18/01/2023</v>
      </c>
      <c r="F1352" s="5" t="str" cm="1">
        <f t="array" ref="F1352">RIGHT(_xlfn.ANCHORARRAY(E1352),4)</f>
        <v>2023</v>
      </c>
      <c r="G1352" s="5" t="str">
        <f>TEXT(E1352,"mm")</f>
        <v>18/01/2023</v>
      </c>
      <c r="H1352" s="6">
        <v>2737.03</v>
      </c>
      <c r="I1352">
        <v>63</v>
      </c>
      <c r="L1352" t="str">
        <f t="shared" si="21"/>
        <v>Below Average</v>
      </c>
      <c r="M1352">
        <f>RANK(H1352,H:H,0)</f>
        <v>2394</v>
      </c>
    </row>
    <row r="1353" spans="1:13">
      <c r="A1353" t="s">
        <v>83</v>
      </c>
      <c r="B1353" t="s">
        <v>10</v>
      </c>
      <c r="C1353" t="s">
        <v>42</v>
      </c>
      <c r="D1353" s="4">
        <v>45141</v>
      </c>
      <c r="E1353" s="5" t="str">
        <f>TEXT(D1353,"dd/mm/yyyy")</f>
        <v>03/08/2023</v>
      </c>
      <c r="F1353" s="5" t="str" cm="1">
        <f t="array" ref="F1353">RIGHT(_xlfn.ANCHORARRAY(E1353),4)</f>
        <v>2023</v>
      </c>
      <c r="G1353" s="5" t="str">
        <f>TEXT(E1353,"mm")</f>
        <v>03</v>
      </c>
      <c r="H1353" s="6">
        <v>16717.259999999998</v>
      </c>
      <c r="I1353">
        <v>102</v>
      </c>
      <c r="L1353" t="str">
        <f t="shared" si="21"/>
        <v>Above Average</v>
      </c>
      <c r="M1353">
        <f>RANK(H1353,H:H,0)</f>
        <v>76</v>
      </c>
    </row>
    <row r="1354" spans="1:13">
      <c r="A1354" t="s">
        <v>34</v>
      </c>
      <c r="B1354" t="s">
        <v>15</v>
      </c>
      <c r="C1354" t="s">
        <v>33</v>
      </c>
      <c r="D1354" s="4">
        <v>45110</v>
      </c>
      <c r="E1354" s="5" t="str">
        <f>TEXT(D1354,"dd/mm/yyyy")</f>
        <v>03/07/2023</v>
      </c>
      <c r="F1354" s="5" t="str" cm="1">
        <f t="array" ref="F1354">RIGHT(_xlfn.ANCHORARRAY(E1354),4)</f>
        <v>2023</v>
      </c>
      <c r="G1354" s="5" t="str">
        <f>TEXT(E1354,"mm")</f>
        <v>03</v>
      </c>
      <c r="H1354" s="6">
        <v>16112.73</v>
      </c>
      <c r="I1354">
        <v>282</v>
      </c>
      <c r="L1354" t="str">
        <f t="shared" si="21"/>
        <v>Above Average</v>
      </c>
      <c r="M1354">
        <f>RANK(H1354,H:H,0)</f>
        <v>98</v>
      </c>
    </row>
    <row r="1355" spans="1:13">
      <c r="A1355" t="s">
        <v>53</v>
      </c>
      <c r="B1355" t="s">
        <v>10</v>
      </c>
      <c r="C1355" t="s">
        <v>100</v>
      </c>
      <c r="D1355" s="4">
        <v>45174</v>
      </c>
      <c r="E1355" s="5" t="str">
        <f>TEXT(D1355,"dd/mm/yyyy")</f>
        <v>05/09/2023</v>
      </c>
      <c r="F1355" s="5" t="str" cm="1">
        <f t="array" ref="F1355">RIGHT(_xlfn.ANCHORARRAY(E1355),4)</f>
        <v>2023</v>
      </c>
      <c r="G1355" s="5" t="str">
        <f>TEXT(E1355,"mm")</f>
        <v>05</v>
      </c>
      <c r="H1355" s="6">
        <v>6898</v>
      </c>
      <c r="I1355">
        <v>163</v>
      </c>
      <c r="L1355" t="str">
        <f t="shared" si="21"/>
        <v>Above Average</v>
      </c>
      <c r="M1355">
        <f>RANK(H1355,H:H,0)</f>
        <v>1206</v>
      </c>
    </row>
    <row r="1356" spans="1:13">
      <c r="A1356" t="s">
        <v>31</v>
      </c>
      <c r="B1356" t="s">
        <v>25</v>
      </c>
      <c r="C1356" t="s">
        <v>11</v>
      </c>
      <c r="D1356" s="3" t="s">
        <v>239</v>
      </c>
      <c r="E1356" s="5" t="str">
        <f>TEXT(D1356,"dd/mm/yyyy")</f>
        <v>23/05/2023</v>
      </c>
      <c r="F1356" s="5" t="str" cm="1">
        <f t="array" ref="F1356">RIGHT(_xlfn.ANCHORARRAY(E1356),4)</f>
        <v>2023</v>
      </c>
      <c r="G1356" s="5" t="str">
        <f>TEXT(E1356,"mm")</f>
        <v>23/05/2023</v>
      </c>
      <c r="H1356" s="6">
        <v>2151.04</v>
      </c>
      <c r="I1356">
        <v>170</v>
      </c>
      <c r="L1356" t="str">
        <f t="shared" si="21"/>
        <v>Below Average</v>
      </c>
      <c r="M1356">
        <f>RANK(H1356,H:H,0)</f>
        <v>2592</v>
      </c>
    </row>
    <row r="1357" spans="1:13">
      <c r="A1357" t="s">
        <v>77</v>
      </c>
      <c r="B1357" t="s">
        <v>7</v>
      </c>
      <c r="C1357" t="s">
        <v>90</v>
      </c>
      <c r="D1357" s="3" t="s">
        <v>184</v>
      </c>
      <c r="E1357" s="5" t="str">
        <f>TEXT(D1357,"dd/mm/yyyy")</f>
        <v>15/04/2023</v>
      </c>
      <c r="F1357" s="5" t="str" cm="1">
        <f t="array" ref="F1357">RIGHT(_xlfn.ANCHORARRAY(E1357),4)</f>
        <v>2023</v>
      </c>
      <c r="G1357" s="5" t="str">
        <f>TEXT(E1357,"mm")</f>
        <v>15/04/2023</v>
      </c>
      <c r="H1357" s="6">
        <v>172.51</v>
      </c>
      <c r="I1357">
        <v>152</v>
      </c>
      <c r="L1357" t="str">
        <f t="shared" si="21"/>
        <v>Below Average</v>
      </c>
      <c r="M1357">
        <f>RANK(H1357,H:H,0)</f>
        <v>3222</v>
      </c>
    </row>
    <row r="1358" spans="1:13">
      <c r="A1358" t="s">
        <v>12</v>
      </c>
      <c r="B1358" t="s">
        <v>15</v>
      </c>
      <c r="C1358" t="s">
        <v>38</v>
      </c>
      <c r="D1358" s="3" t="s">
        <v>232</v>
      </c>
      <c r="E1358" s="5" t="str">
        <f>TEXT(D1358,"dd/mm/yyyy")</f>
        <v>27/07/2023</v>
      </c>
      <c r="F1358" s="5" t="str" cm="1">
        <f t="array" ref="F1358">RIGHT(_xlfn.ANCHORARRAY(E1358),4)</f>
        <v>2023</v>
      </c>
      <c r="G1358" s="5" t="str">
        <f>TEXT(E1358,"mm")</f>
        <v>27/07/2023</v>
      </c>
      <c r="H1358" s="6">
        <v>2949.02</v>
      </c>
      <c r="I1358">
        <v>153</v>
      </c>
      <c r="L1358" t="str">
        <f t="shared" si="21"/>
        <v>Below Average</v>
      </c>
      <c r="M1358">
        <f>RANK(H1358,H:H,0)</f>
        <v>2325</v>
      </c>
    </row>
    <row r="1359" spans="1:13">
      <c r="A1359" t="s">
        <v>40</v>
      </c>
      <c r="B1359" t="s">
        <v>35</v>
      </c>
      <c r="C1359" t="s">
        <v>75</v>
      </c>
      <c r="D1359" s="3" t="s">
        <v>186</v>
      </c>
      <c r="E1359" s="5" t="str">
        <f>TEXT(D1359,"dd/mm/yyyy")</f>
        <v>22/08/2023</v>
      </c>
      <c r="F1359" s="5" t="str" cm="1">
        <f t="array" ref="F1359">RIGHT(_xlfn.ANCHORARRAY(E1359),4)</f>
        <v>2023</v>
      </c>
      <c r="G1359" s="5" t="str">
        <f>TEXT(E1359,"mm")</f>
        <v>22/08/2023</v>
      </c>
      <c r="H1359" s="6">
        <v>2790.72</v>
      </c>
      <c r="I1359">
        <v>435</v>
      </c>
      <c r="L1359" t="str">
        <f t="shared" si="21"/>
        <v>Below Average</v>
      </c>
      <c r="M1359">
        <f>RANK(H1359,H:H,0)</f>
        <v>2377</v>
      </c>
    </row>
    <row r="1360" spans="1:13">
      <c r="A1360" t="s">
        <v>83</v>
      </c>
      <c r="B1360" t="s">
        <v>32</v>
      </c>
      <c r="C1360" t="s">
        <v>100</v>
      </c>
      <c r="D1360" s="4">
        <v>45235</v>
      </c>
      <c r="E1360" s="5" t="str">
        <f>TEXT(D1360,"dd/mm/yyyy")</f>
        <v>05/11/2023</v>
      </c>
      <c r="F1360" s="5" t="str" cm="1">
        <f t="array" ref="F1360">RIGHT(_xlfn.ANCHORARRAY(E1360),4)</f>
        <v>2023</v>
      </c>
      <c r="G1360" s="5" t="str">
        <f>TEXT(E1360,"mm")</f>
        <v>05</v>
      </c>
      <c r="H1360" s="6">
        <v>5054.42</v>
      </c>
      <c r="I1360">
        <v>127</v>
      </c>
      <c r="L1360" t="str">
        <f t="shared" si="21"/>
        <v>Below Average</v>
      </c>
      <c r="M1360">
        <f>RANK(H1360,H:H,0)</f>
        <v>1692</v>
      </c>
    </row>
    <row r="1361" spans="1:13">
      <c r="A1361" t="s">
        <v>77</v>
      </c>
      <c r="B1361" t="s">
        <v>10</v>
      </c>
      <c r="C1361" t="s">
        <v>42</v>
      </c>
      <c r="D1361" s="3" t="s">
        <v>169</v>
      </c>
      <c r="E1361" s="5" t="str">
        <f>TEXT(D1361,"dd/mm/yyyy")</f>
        <v>26/01/2023</v>
      </c>
      <c r="F1361" s="5" t="str" cm="1">
        <f t="array" ref="F1361">RIGHT(_xlfn.ANCHORARRAY(E1361),4)</f>
        <v>2023</v>
      </c>
      <c r="G1361" s="5" t="str">
        <f>TEXT(E1361,"mm")</f>
        <v>26/01/2023</v>
      </c>
      <c r="H1361" s="6">
        <v>5418.75</v>
      </c>
      <c r="I1361">
        <v>37</v>
      </c>
      <c r="L1361" t="str">
        <f t="shared" si="21"/>
        <v>Below Average</v>
      </c>
      <c r="M1361">
        <f>RANK(H1361,H:H,0)</f>
        <v>1590</v>
      </c>
    </row>
    <row r="1362" spans="1:13">
      <c r="A1362" t="s">
        <v>31</v>
      </c>
      <c r="B1362" t="s">
        <v>32</v>
      </c>
      <c r="C1362" t="s">
        <v>26</v>
      </c>
      <c r="D1362" s="3" t="s">
        <v>195</v>
      </c>
      <c r="E1362" s="5" t="str">
        <f>TEXT(D1362,"dd/mm/yyyy")</f>
        <v>14/04/2023</v>
      </c>
      <c r="F1362" s="5" t="str" cm="1">
        <f t="array" ref="F1362">RIGHT(_xlfn.ANCHORARRAY(E1362),4)</f>
        <v>2023</v>
      </c>
      <c r="G1362" s="5" t="str">
        <f>TEXT(E1362,"mm")</f>
        <v>14/04/2023</v>
      </c>
      <c r="H1362" s="6">
        <v>14604.67</v>
      </c>
      <c r="I1362">
        <v>128</v>
      </c>
      <c r="L1362" t="str">
        <f t="shared" si="21"/>
        <v>Above Average</v>
      </c>
      <c r="M1362">
        <f>RANK(H1362,H:H,0)</f>
        <v>171</v>
      </c>
    </row>
    <row r="1363" spans="1:13">
      <c r="A1363" t="s">
        <v>58</v>
      </c>
      <c r="B1363" t="s">
        <v>25</v>
      </c>
      <c r="C1363" t="s">
        <v>8</v>
      </c>
      <c r="D1363" s="4">
        <v>45050</v>
      </c>
      <c r="E1363" s="5" t="str">
        <f>TEXT(D1363,"dd/mm/yyyy")</f>
        <v>04/05/2023</v>
      </c>
      <c r="F1363" s="5" t="str" cm="1">
        <f t="array" ref="F1363">RIGHT(_xlfn.ANCHORARRAY(E1363),4)</f>
        <v>2023</v>
      </c>
      <c r="G1363" s="5" t="str">
        <f>TEXT(E1363,"mm")</f>
        <v>04</v>
      </c>
      <c r="H1363" s="6">
        <v>6668.93</v>
      </c>
      <c r="I1363">
        <v>419</v>
      </c>
      <c r="L1363" t="str">
        <f t="shared" si="21"/>
        <v>Above Average</v>
      </c>
      <c r="M1363">
        <f>RANK(H1363,H:H,0)</f>
        <v>1268</v>
      </c>
    </row>
    <row r="1364" spans="1:13">
      <c r="A1364" t="s">
        <v>40</v>
      </c>
      <c r="B1364" t="s">
        <v>25</v>
      </c>
      <c r="C1364" t="s">
        <v>18</v>
      </c>
      <c r="D1364" s="3" t="s">
        <v>230</v>
      </c>
      <c r="E1364" s="5" t="str">
        <f>TEXT(D1364,"dd/mm/yyyy")</f>
        <v>14/06/2023</v>
      </c>
      <c r="F1364" s="5" t="str" cm="1">
        <f t="array" ref="F1364">RIGHT(_xlfn.ANCHORARRAY(E1364),4)</f>
        <v>2023</v>
      </c>
      <c r="G1364" s="5" t="str">
        <f>TEXT(E1364,"mm")</f>
        <v>14/06/2023</v>
      </c>
      <c r="H1364" s="6">
        <v>9689.7000000000007</v>
      </c>
      <c r="I1364">
        <v>58</v>
      </c>
      <c r="L1364" t="str">
        <f t="shared" si="21"/>
        <v>Above Average</v>
      </c>
      <c r="M1364">
        <f>RANK(H1364,H:H,0)</f>
        <v>631</v>
      </c>
    </row>
    <row r="1365" spans="1:13">
      <c r="A1365" t="s">
        <v>28</v>
      </c>
      <c r="B1365" t="s">
        <v>35</v>
      </c>
      <c r="C1365" t="s">
        <v>65</v>
      </c>
      <c r="D1365" s="3" t="s">
        <v>224</v>
      </c>
      <c r="E1365" s="5" t="str">
        <f>TEXT(D1365,"dd/mm/yyyy")</f>
        <v>13/04/2023</v>
      </c>
      <c r="F1365" s="5" t="str" cm="1">
        <f t="array" ref="F1365">RIGHT(_xlfn.ANCHORARRAY(E1365),4)</f>
        <v>2023</v>
      </c>
      <c r="G1365" s="5" t="str">
        <f>TEXT(E1365,"mm")</f>
        <v>13/04/2023</v>
      </c>
      <c r="H1365" s="6">
        <v>5026.8100000000004</v>
      </c>
      <c r="I1365">
        <v>123</v>
      </c>
      <c r="L1365" t="str">
        <f t="shared" si="21"/>
        <v>Below Average</v>
      </c>
      <c r="M1365">
        <f>RANK(H1365,H:H,0)</f>
        <v>1699</v>
      </c>
    </row>
    <row r="1366" spans="1:13">
      <c r="A1366" t="s">
        <v>41</v>
      </c>
      <c r="B1366" t="s">
        <v>15</v>
      </c>
      <c r="C1366" t="s">
        <v>59</v>
      </c>
      <c r="D1366" s="3" t="s">
        <v>172</v>
      </c>
      <c r="E1366" s="5" t="str">
        <f>TEXT(D1366,"dd/mm/yyyy")</f>
        <v>27/06/2023</v>
      </c>
      <c r="F1366" s="5" t="str" cm="1">
        <f t="array" ref="F1366">RIGHT(_xlfn.ANCHORARRAY(E1366),4)</f>
        <v>2023</v>
      </c>
      <c r="G1366" s="5" t="str">
        <f>TEXT(E1366,"mm")</f>
        <v>27/06/2023</v>
      </c>
      <c r="H1366" s="6">
        <v>2379.0100000000002</v>
      </c>
      <c r="I1366">
        <v>178</v>
      </c>
      <c r="L1366" t="str">
        <f t="shared" si="21"/>
        <v>Below Average</v>
      </c>
      <c r="M1366">
        <f>RANK(H1366,H:H,0)</f>
        <v>2522</v>
      </c>
    </row>
    <row r="1367" spans="1:13">
      <c r="A1367" t="s">
        <v>79</v>
      </c>
      <c r="B1367" t="s">
        <v>15</v>
      </c>
      <c r="C1367" t="s">
        <v>36</v>
      </c>
      <c r="D1367" s="3" t="s">
        <v>169</v>
      </c>
      <c r="E1367" s="5" t="str">
        <f>TEXT(D1367,"dd/mm/yyyy")</f>
        <v>26/01/2023</v>
      </c>
      <c r="F1367" s="5" t="str" cm="1">
        <f t="array" ref="F1367">RIGHT(_xlfn.ANCHORARRAY(E1367),4)</f>
        <v>2023</v>
      </c>
      <c r="G1367" s="5" t="str">
        <f>TEXT(E1367,"mm")</f>
        <v>26/01/2023</v>
      </c>
      <c r="H1367" s="6">
        <v>7770.55</v>
      </c>
      <c r="I1367">
        <v>3</v>
      </c>
      <c r="L1367" t="str">
        <f t="shared" si="21"/>
        <v>Above Average</v>
      </c>
      <c r="M1367">
        <f>RANK(H1367,H:H,0)</f>
        <v>995</v>
      </c>
    </row>
    <row r="1368" spans="1:13">
      <c r="A1368" t="s">
        <v>31</v>
      </c>
      <c r="B1368" t="s">
        <v>7</v>
      </c>
      <c r="C1368" t="s">
        <v>59</v>
      </c>
      <c r="D1368" s="4">
        <v>45053</v>
      </c>
      <c r="E1368" s="5" t="str">
        <f>TEXT(D1368,"dd/mm/yyyy")</f>
        <v>07/05/2023</v>
      </c>
      <c r="F1368" s="5" t="str" cm="1">
        <f t="array" ref="F1368">RIGHT(_xlfn.ANCHORARRAY(E1368),4)</f>
        <v>2023</v>
      </c>
      <c r="G1368" s="5" t="str">
        <f>TEXT(E1368,"mm")</f>
        <v>07</v>
      </c>
      <c r="H1368" s="6">
        <v>1837.47</v>
      </c>
      <c r="I1368">
        <v>77</v>
      </c>
      <c r="L1368" t="str">
        <f t="shared" si="21"/>
        <v>Below Average</v>
      </c>
      <c r="M1368">
        <f>RANK(H1368,H:H,0)</f>
        <v>2689</v>
      </c>
    </row>
    <row r="1369" spans="1:13">
      <c r="A1369" t="s">
        <v>41</v>
      </c>
      <c r="B1369" t="s">
        <v>35</v>
      </c>
      <c r="C1369" t="s">
        <v>87</v>
      </c>
      <c r="D1369" s="4">
        <v>45231</v>
      </c>
      <c r="E1369" s="5" t="str">
        <f>TEXT(D1369,"dd/mm/yyyy")</f>
        <v>01/11/2023</v>
      </c>
      <c r="F1369" s="5" t="str" cm="1">
        <f t="array" ref="F1369">RIGHT(_xlfn.ANCHORARRAY(E1369),4)</f>
        <v>2023</v>
      </c>
      <c r="G1369" s="5" t="str">
        <f>TEXT(E1369,"mm")</f>
        <v>01</v>
      </c>
      <c r="H1369" s="6">
        <v>14625.75</v>
      </c>
      <c r="I1369">
        <v>90</v>
      </c>
      <c r="L1369" t="str">
        <f t="shared" si="21"/>
        <v>Above Average</v>
      </c>
      <c r="M1369">
        <f>RANK(H1369,H:H,0)</f>
        <v>168</v>
      </c>
    </row>
    <row r="1370" spans="1:13">
      <c r="A1370" t="s">
        <v>70</v>
      </c>
      <c r="B1370" t="s">
        <v>32</v>
      </c>
      <c r="C1370" t="s">
        <v>59</v>
      </c>
      <c r="D1370" s="4">
        <v>45110</v>
      </c>
      <c r="E1370" s="5" t="str">
        <f>TEXT(D1370,"dd/mm/yyyy")</f>
        <v>03/07/2023</v>
      </c>
      <c r="F1370" s="5" t="str" cm="1">
        <f t="array" ref="F1370">RIGHT(_xlfn.ANCHORARRAY(E1370),4)</f>
        <v>2023</v>
      </c>
      <c r="G1370" s="5" t="str">
        <f>TEXT(E1370,"mm")</f>
        <v>03</v>
      </c>
      <c r="H1370" s="6">
        <v>10305.4</v>
      </c>
      <c r="I1370">
        <v>22</v>
      </c>
      <c r="L1370" t="str">
        <f t="shared" si="21"/>
        <v>Above Average</v>
      </c>
      <c r="M1370">
        <f>RANK(H1370,H:H,0)</f>
        <v>534</v>
      </c>
    </row>
    <row r="1371" spans="1:13">
      <c r="A1371" t="s">
        <v>55</v>
      </c>
      <c r="B1371" t="s">
        <v>35</v>
      </c>
      <c r="C1371" t="s">
        <v>26</v>
      </c>
      <c r="D1371" s="4">
        <v>45019</v>
      </c>
      <c r="E1371" s="5" t="str">
        <f>TEXT(D1371,"dd/mm/yyyy")</f>
        <v>03/04/2023</v>
      </c>
      <c r="F1371" s="5" t="str" cm="1">
        <f t="array" ref="F1371">RIGHT(_xlfn.ANCHORARRAY(E1371),4)</f>
        <v>2023</v>
      </c>
      <c r="G1371" s="5" t="str">
        <f>TEXT(E1371,"mm")</f>
        <v>03</v>
      </c>
      <c r="H1371" s="6">
        <v>8798.99</v>
      </c>
      <c r="I1371">
        <v>99</v>
      </c>
      <c r="L1371" t="str">
        <f t="shared" si="21"/>
        <v>Above Average</v>
      </c>
      <c r="M1371">
        <f>RANK(H1371,H:H,0)</f>
        <v>782</v>
      </c>
    </row>
    <row r="1372" spans="1:13">
      <c r="A1372" t="s">
        <v>37</v>
      </c>
      <c r="B1372" t="s">
        <v>35</v>
      </c>
      <c r="C1372" t="s">
        <v>42</v>
      </c>
      <c r="D1372" s="3" t="s">
        <v>189</v>
      </c>
      <c r="E1372" s="5" t="str">
        <f>TEXT(D1372,"dd/mm/yyyy")</f>
        <v>15/07/2023</v>
      </c>
      <c r="F1372" s="5" t="str" cm="1">
        <f t="array" ref="F1372">RIGHT(_xlfn.ANCHORARRAY(E1372),4)</f>
        <v>2023</v>
      </c>
      <c r="G1372" s="5" t="str">
        <f>TEXT(E1372,"mm")</f>
        <v>15/07/2023</v>
      </c>
      <c r="H1372" s="6">
        <v>2466.59</v>
      </c>
      <c r="I1372">
        <v>309</v>
      </c>
      <c r="L1372" t="str">
        <f t="shared" si="21"/>
        <v>Below Average</v>
      </c>
      <c r="M1372">
        <f>RANK(H1372,H:H,0)</f>
        <v>2487</v>
      </c>
    </row>
    <row r="1373" spans="1:13">
      <c r="A1373" t="s">
        <v>55</v>
      </c>
      <c r="B1373" t="s">
        <v>7</v>
      </c>
      <c r="C1373" t="s">
        <v>13</v>
      </c>
      <c r="D1373" s="4">
        <v>45235</v>
      </c>
      <c r="E1373" s="5" t="str">
        <f>TEXT(D1373,"dd/mm/yyyy")</f>
        <v>05/11/2023</v>
      </c>
      <c r="F1373" s="5" t="str" cm="1">
        <f t="array" ref="F1373">RIGHT(_xlfn.ANCHORARRAY(E1373),4)</f>
        <v>2023</v>
      </c>
      <c r="G1373" s="5" t="str">
        <f>TEXT(E1373,"mm")</f>
        <v>05</v>
      </c>
      <c r="H1373" s="6">
        <v>6564.2</v>
      </c>
      <c r="I1373">
        <v>92</v>
      </c>
      <c r="L1373" t="str">
        <f t="shared" si="21"/>
        <v>Above Average</v>
      </c>
      <c r="M1373">
        <f>RANK(H1373,H:H,0)</f>
        <v>1290</v>
      </c>
    </row>
    <row r="1374" spans="1:13">
      <c r="A1374" t="s">
        <v>37</v>
      </c>
      <c r="B1374" t="s">
        <v>32</v>
      </c>
      <c r="C1374" t="s">
        <v>46</v>
      </c>
      <c r="D1374" s="3" t="s">
        <v>199</v>
      </c>
      <c r="E1374" s="5" t="str">
        <f>TEXT(D1374,"dd/mm/yyyy")</f>
        <v>27/01/2023</v>
      </c>
      <c r="F1374" s="5" t="str" cm="1">
        <f t="array" ref="F1374">RIGHT(_xlfn.ANCHORARRAY(E1374),4)</f>
        <v>2023</v>
      </c>
      <c r="G1374" s="5" t="str">
        <f>TEXT(E1374,"mm")</f>
        <v>27/01/2023</v>
      </c>
      <c r="H1374" s="6">
        <v>4764.5600000000004</v>
      </c>
      <c r="I1374">
        <v>7</v>
      </c>
      <c r="L1374" t="str">
        <f t="shared" si="21"/>
        <v>Below Average</v>
      </c>
      <c r="M1374">
        <f>RANK(H1374,H:H,0)</f>
        <v>1778</v>
      </c>
    </row>
    <row r="1375" spans="1:13">
      <c r="A1375" t="s">
        <v>37</v>
      </c>
      <c r="B1375" t="s">
        <v>10</v>
      </c>
      <c r="C1375" t="s">
        <v>33</v>
      </c>
      <c r="D1375" s="3" t="s">
        <v>172</v>
      </c>
      <c r="E1375" s="5" t="str">
        <f>TEXT(D1375,"dd/mm/yyyy")</f>
        <v>27/06/2023</v>
      </c>
      <c r="F1375" s="5" t="str" cm="1">
        <f t="array" ref="F1375">RIGHT(_xlfn.ANCHORARRAY(E1375),4)</f>
        <v>2023</v>
      </c>
      <c r="G1375" s="5" t="str">
        <f>TEXT(E1375,"mm")</f>
        <v>27/06/2023</v>
      </c>
      <c r="H1375" s="6">
        <v>3172.08</v>
      </c>
      <c r="I1375">
        <v>153</v>
      </c>
      <c r="L1375" t="str">
        <f t="shared" si="21"/>
        <v>Below Average</v>
      </c>
      <c r="M1375">
        <f>RANK(H1375,H:H,0)</f>
        <v>2243</v>
      </c>
    </row>
    <row r="1376" spans="1:13">
      <c r="A1376" t="s">
        <v>83</v>
      </c>
      <c r="B1376" t="s">
        <v>10</v>
      </c>
      <c r="C1376" t="s">
        <v>18</v>
      </c>
      <c r="D1376" s="4">
        <v>44993</v>
      </c>
      <c r="E1376" s="5" t="str">
        <f>TEXT(D1376,"dd/mm/yyyy")</f>
        <v>08/03/2023</v>
      </c>
      <c r="F1376" s="5" t="str" cm="1">
        <f t="array" ref="F1376">RIGHT(_xlfn.ANCHORARRAY(E1376),4)</f>
        <v>2023</v>
      </c>
      <c r="G1376" s="5" t="str">
        <f>TEXT(E1376,"mm")</f>
        <v>08</v>
      </c>
      <c r="H1376" s="6">
        <v>8062</v>
      </c>
      <c r="I1376">
        <v>20</v>
      </c>
      <c r="L1376" t="str">
        <f t="shared" si="21"/>
        <v>Above Average</v>
      </c>
      <c r="M1376">
        <f>RANK(H1376,H:H,0)</f>
        <v>926</v>
      </c>
    </row>
    <row r="1377" spans="1:13">
      <c r="A1377" t="s">
        <v>64</v>
      </c>
      <c r="B1377" t="s">
        <v>25</v>
      </c>
      <c r="C1377" t="s">
        <v>8</v>
      </c>
      <c r="D1377" s="3" t="s">
        <v>240</v>
      </c>
      <c r="E1377" s="5" t="str">
        <f>TEXT(D1377,"dd/mm/yyyy")</f>
        <v>19/08/2023</v>
      </c>
      <c r="F1377" s="5" t="str" cm="1">
        <f t="array" ref="F1377">RIGHT(_xlfn.ANCHORARRAY(E1377),4)</f>
        <v>2023</v>
      </c>
      <c r="G1377" s="5" t="str">
        <f>TEXT(E1377,"mm")</f>
        <v>19/08/2023</v>
      </c>
      <c r="H1377" s="6">
        <v>12382.41</v>
      </c>
      <c r="I1377">
        <v>245</v>
      </c>
      <c r="L1377" t="str">
        <f t="shared" si="21"/>
        <v>Above Average</v>
      </c>
      <c r="M1377">
        <f>RANK(H1377,H:H,0)</f>
        <v>313</v>
      </c>
    </row>
    <row r="1378" spans="1:13">
      <c r="A1378" t="s">
        <v>64</v>
      </c>
      <c r="B1378" t="s">
        <v>15</v>
      </c>
      <c r="C1378" t="s">
        <v>57</v>
      </c>
      <c r="D1378" s="3" t="s">
        <v>177</v>
      </c>
      <c r="E1378" s="5" t="str">
        <f>TEXT(D1378,"dd/mm/yyyy")</f>
        <v>15/06/2023</v>
      </c>
      <c r="F1378" s="5" t="str" cm="1">
        <f t="array" ref="F1378">RIGHT(_xlfn.ANCHORARRAY(E1378),4)</f>
        <v>2023</v>
      </c>
      <c r="G1378" s="5" t="str">
        <f>TEXT(E1378,"mm")</f>
        <v>15/06/2023</v>
      </c>
      <c r="H1378" s="6">
        <v>413.6</v>
      </c>
      <c r="I1378">
        <v>111</v>
      </c>
      <c r="L1378" t="str">
        <f t="shared" si="21"/>
        <v>Below Average</v>
      </c>
      <c r="M1378">
        <f>RANK(H1378,H:H,0)</f>
        <v>3162</v>
      </c>
    </row>
    <row r="1379" spans="1:13">
      <c r="A1379" t="s">
        <v>58</v>
      </c>
      <c r="B1379" t="s">
        <v>7</v>
      </c>
      <c r="C1379" t="s">
        <v>13</v>
      </c>
      <c r="D1379" s="4">
        <v>45109</v>
      </c>
      <c r="E1379" s="5" t="str">
        <f>TEXT(D1379,"dd/mm/yyyy")</f>
        <v>02/07/2023</v>
      </c>
      <c r="F1379" s="5" t="str" cm="1">
        <f t="array" ref="F1379">RIGHT(_xlfn.ANCHORARRAY(E1379),4)</f>
        <v>2023</v>
      </c>
      <c r="G1379" s="5" t="str">
        <f>TEXT(E1379,"mm")</f>
        <v>02</v>
      </c>
      <c r="H1379" s="6">
        <v>10186.18</v>
      </c>
      <c r="I1379">
        <v>154</v>
      </c>
      <c r="L1379" t="str">
        <f t="shared" si="21"/>
        <v>Above Average</v>
      </c>
      <c r="M1379">
        <f>RANK(H1379,H:H,0)</f>
        <v>554</v>
      </c>
    </row>
    <row r="1380" spans="1:13">
      <c r="A1380" t="s">
        <v>37</v>
      </c>
      <c r="B1380" t="s">
        <v>15</v>
      </c>
      <c r="C1380" t="s">
        <v>65</v>
      </c>
      <c r="D1380" s="4">
        <v>45145</v>
      </c>
      <c r="E1380" s="5" t="str">
        <f>TEXT(D1380,"dd/mm/yyyy")</f>
        <v>07/08/2023</v>
      </c>
      <c r="F1380" s="5" t="str" cm="1">
        <f t="array" ref="F1380">RIGHT(_xlfn.ANCHORARRAY(E1380),4)</f>
        <v>2023</v>
      </c>
      <c r="G1380" s="5" t="str">
        <f>TEXT(E1380,"mm")</f>
        <v>07</v>
      </c>
      <c r="H1380" s="6">
        <v>7936.84</v>
      </c>
      <c r="I1380">
        <v>138</v>
      </c>
      <c r="L1380" t="str">
        <f t="shared" si="21"/>
        <v>Above Average</v>
      </c>
      <c r="M1380">
        <f>RANK(H1380,H:H,0)</f>
        <v>955</v>
      </c>
    </row>
    <row r="1381" spans="1:13">
      <c r="A1381" t="s">
        <v>58</v>
      </c>
      <c r="B1381" t="s">
        <v>10</v>
      </c>
      <c r="C1381" t="s">
        <v>46</v>
      </c>
      <c r="D1381" s="3" t="s">
        <v>241</v>
      </c>
      <c r="E1381" s="5" t="str">
        <f>TEXT(D1381,"dd/mm/yyyy")</f>
        <v>21/04/2023</v>
      </c>
      <c r="F1381" s="5" t="str" cm="1">
        <f t="array" ref="F1381">RIGHT(_xlfn.ANCHORARRAY(E1381),4)</f>
        <v>2023</v>
      </c>
      <c r="G1381" s="5" t="str">
        <f>TEXT(E1381,"mm")</f>
        <v>21/04/2023</v>
      </c>
      <c r="H1381" s="6">
        <v>1712.72</v>
      </c>
      <c r="I1381">
        <v>93</v>
      </c>
      <c r="L1381" t="str">
        <f t="shared" si="21"/>
        <v>Below Average</v>
      </c>
      <c r="M1381">
        <f>RANK(H1381,H:H,0)</f>
        <v>2730</v>
      </c>
    </row>
    <row r="1382" spans="1:13">
      <c r="A1382" t="s">
        <v>83</v>
      </c>
      <c r="B1382" t="s">
        <v>7</v>
      </c>
      <c r="C1382" t="s">
        <v>8</v>
      </c>
      <c r="D1382" s="4">
        <v>45142</v>
      </c>
      <c r="E1382" s="5" t="str">
        <f>TEXT(D1382,"dd/mm/yyyy")</f>
        <v>04/08/2023</v>
      </c>
      <c r="F1382" s="5" t="str" cm="1">
        <f t="array" ref="F1382">RIGHT(_xlfn.ANCHORARRAY(E1382),4)</f>
        <v>2023</v>
      </c>
      <c r="G1382" s="5" t="str">
        <f>TEXT(E1382,"mm")</f>
        <v>04</v>
      </c>
      <c r="H1382" s="6">
        <v>3088.98</v>
      </c>
      <c r="I1382">
        <v>226</v>
      </c>
      <c r="L1382" t="str">
        <f t="shared" si="21"/>
        <v>Below Average</v>
      </c>
      <c r="M1382">
        <f>RANK(H1382,H:H,0)</f>
        <v>2273</v>
      </c>
    </row>
    <row r="1383" spans="1:13">
      <c r="A1383" t="s">
        <v>53</v>
      </c>
      <c r="B1383" t="s">
        <v>15</v>
      </c>
      <c r="C1383" t="s">
        <v>26</v>
      </c>
      <c r="D1383" s="3" t="s">
        <v>240</v>
      </c>
      <c r="E1383" s="5" t="str">
        <f>TEXT(D1383,"dd/mm/yyyy")</f>
        <v>19/08/2023</v>
      </c>
      <c r="F1383" s="5" t="str" cm="1">
        <f t="array" ref="F1383">RIGHT(_xlfn.ANCHORARRAY(E1383),4)</f>
        <v>2023</v>
      </c>
      <c r="G1383" s="5" t="str">
        <f>TEXT(E1383,"mm")</f>
        <v>19/08/2023</v>
      </c>
      <c r="H1383" s="6">
        <v>14953.43</v>
      </c>
      <c r="I1383">
        <v>51</v>
      </c>
      <c r="L1383" t="str">
        <f t="shared" si="21"/>
        <v>Above Average</v>
      </c>
      <c r="M1383">
        <f>RANK(H1383,H:H,0)</f>
        <v>150</v>
      </c>
    </row>
    <row r="1384" spans="1:13">
      <c r="A1384" t="s">
        <v>14</v>
      </c>
      <c r="B1384" t="s">
        <v>10</v>
      </c>
      <c r="C1384" t="s">
        <v>57</v>
      </c>
      <c r="D1384" s="4">
        <v>45021</v>
      </c>
      <c r="E1384" s="5" t="str">
        <f>TEXT(D1384,"dd/mm/yyyy")</f>
        <v>05/04/2023</v>
      </c>
      <c r="F1384" s="5" t="str" cm="1">
        <f t="array" ref="F1384">RIGHT(_xlfn.ANCHORARRAY(E1384),4)</f>
        <v>2023</v>
      </c>
      <c r="G1384" s="5" t="str">
        <f>TEXT(E1384,"mm")</f>
        <v>05</v>
      </c>
      <c r="H1384" s="6">
        <v>3219.13</v>
      </c>
      <c r="I1384">
        <v>54</v>
      </c>
      <c r="L1384" t="str">
        <f t="shared" si="21"/>
        <v>Below Average</v>
      </c>
      <c r="M1384">
        <f>RANK(H1384,H:H,0)</f>
        <v>2229</v>
      </c>
    </row>
    <row r="1385" spans="1:13">
      <c r="A1385" t="s">
        <v>34</v>
      </c>
      <c r="B1385" t="s">
        <v>32</v>
      </c>
      <c r="C1385" t="s">
        <v>11</v>
      </c>
      <c r="D1385" s="4">
        <v>45235</v>
      </c>
      <c r="E1385" s="5" t="str">
        <f>TEXT(D1385,"dd/mm/yyyy")</f>
        <v>05/11/2023</v>
      </c>
      <c r="F1385" s="5" t="str" cm="1">
        <f t="array" ref="F1385">RIGHT(_xlfn.ANCHORARRAY(E1385),4)</f>
        <v>2023</v>
      </c>
      <c r="G1385" s="5" t="str">
        <f>TEXT(E1385,"mm")</f>
        <v>05</v>
      </c>
      <c r="H1385" s="6">
        <v>2700.61</v>
      </c>
      <c r="I1385">
        <v>112</v>
      </c>
      <c r="L1385" t="str">
        <f t="shared" si="21"/>
        <v>Below Average</v>
      </c>
      <c r="M1385">
        <f>RANK(H1385,H:H,0)</f>
        <v>2405</v>
      </c>
    </row>
    <row r="1386" spans="1:13">
      <c r="A1386" t="s">
        <v>34</v>
      </c>
      <c r="B1386" t="s">
        <v>32</v>
      </c>
      <c r="C1386" t="s">
        <v>36</v>
      </c>
      <c r="D1386" s="3" t="s">
        <v>242</v>
      </c>
      <c r="E1386" s="5" t="str">
        <f>TEXT(D1386,"dd/mm/yyyy")</f>
        <v>22/03/2023</v>
      </c>
      <c r="F1386" s="5" t="str" cm="1">
        <f t="array" ref="F1386">RIGHT(_xlfn.ANCHORARRAY(E1386),4)</f>
        <v>2023</v>
      </c>
      <c r="G1386" s="5" t="str">
        <f>TEXT(E1386,"mm")</f>
        <v>22/03/2023</v>
      </c>
      <c r="H1386" s="6">
        <v>7219.96</v>
      </c>
      <c r="I1386">
        <v>53</v>
      </c>
      <c r="L1386" t="str">
        <f t="shared" si="21"/>
        <v>Above Average</v>
      </c>
      <c r="M1386">
        <f>RANK(H1386,H:H,0)</f>
        <v>1127</v>
      </c>
    </row>
    <row r="1387" spans="1:13">
      <c r="A1387" t="s">
        <v>58</v>
      </c>
      <c r="B1387" t="s">
        <v>35</v>
      </c>
      <c r="C1387" t="s">
        <v>50</v>
      </c>
      <c r="D1387" s="4">
        <v>45207</v>
      </c>
      <c r="E1387" s="5" t="str">
        <f>TEXT(D1387,"dd/mm/yyyy")</f>
        <v>08/10/2023</v>
      </c>
      <c r="F1387" s="5" t="str" cm="1">
        <f t="array" ref="F1387">RIGHT(_xlfn.ANCHORARRAY(E1387),4)</f>
        <v>2023</v>
      </c>
      <c r="G1387" s="5" t="str">
        <f>TEXT(E1387,"mm")</f>
        <v>08</v>
      </c>
      <c r="H1387" s="6">
        <v>2634.13</v>
      </c>
      <c r="I1387">
        <v>234</v>
      </c>
      <c r="L1387" t="str">
        <f t="shared" si="21"/>
        <v>Below Average</v>
      </c>
      <c r="M1387">
        <f>RANK(H1387,H:H,0)</f>
        <v>2430</v>
      </c>
    </row>
    <row r="1388" spans="1:13">
      <c r="A1388" t="s">
        <v>58</v>
      </c>
      <c r="B1388" t="s">
        <v>32</v>
      </c>
      <c r="C1388" t="s">
        <v>57</v>
      </c>
      <c r="D1388" s="4">
        <v>45021</v>
      </c>
      <c r="E1388" s="5" t="str">
        <f>TEXT(D1388,"dd/mm/yyyy")</f>
        <v>05/04/2023</v>
      </c>
      <c r="F1388" s="5" t="str" cm="1">
        <f t="array" ref="F1388">RIGHT(_xlfn.ANCHORARRAY(E1388),4)</f>
        <v>2023</v>
      </c>
      <c r="G1388" s="5" t="str">
        <f>TEXT(E1388,"mm")</f>
        <v>05</v>
      </c>
      <c r="H1388" s="6">
        <v>1630.95</v>
      </c>
      <c r="I1388">
        <v>321</v>
      </c>
      <c r="L1388" t="str">
        <f t="shared" si="21"/>
        <v>Below Average</v>
      </c>
      <c r="M1388">
        <f>RANK(H1388,H:H,0)</f>
        <v>2761</v>
      </c>
    </row>
    <row r="1389" spans="1:13">
      <c r="A1389" t="s">
        <v>70</v>
      </c>
      <c r="B1389" t="s">
        <v>32</v>
      </c>
      <c r="C1389" t="s">
        <v>20</v>
      </c>
      <c r="D1389" s="3" t="s">
        <v>201</v>
      </c>
      <c r="E1389" s="5" t="str">
        <f>TEXT(D1389,"dd/mm/yyyy")</f>
        <v>18/08/2023</v>
      </c>
      <c r="F1389" s="5" t="str" cm="1">
        <f t="array" ref="F1389">RIGHT(_xlfn.ANCHORARRAY(E1389),4)</f>
        <v>2023</v>
      </c>
      <c r="G1389" s="5" t="str">
        <f>TEXT(E1389,"mm")</f>
        <v>18/08/2023</v>
      </c>
      <c r="H1389" s="6">
        <v>8250.66</v>
      </c>
      <c r="I1389">
        <v>258</v>
      </c>
      <c r="L1389" t="str">
        <f t="shared" si="21"/>
        <v>Above Average</v>
      </c>
      <c r="M1389">
        <f>RANK(H1389,H:H,0)</f>
        <v>884</v>
      </c>
    </row>
    <row r="1390" spans="1:13">
      <c r="A1390" t="s">
        <v>79</v>
      </c>
      <c r="B1390" t="s">
        <v>35</v>
      </c>
      <c r="C1390" t="s">
        <v>73</v>
      </c>
      <c r="D1390" s="4">
        <v>44993</v>
      </c>
      <c r="E1390" s="5" t="str">
        <f>TEXT(D1390,"dd/mm/yyyy")</f>
        <v>08/03/2023</v>
      </c>
      <c r="F1390" s="5" t="str" cm="1">
        <f t="array" ref="F1390">RIGHT(_xlfn.ANCHORARRAY(E1390),4)</f>
        <v>2023</v>
      </c>
      <c r="G1390" s="5" t="str">
        <f>TEXT(E1390,"mm")</f>
        <v>08</v>
      </c>
      <c r="H1390" s="6">
        <v>4849.3</v>
      </c>
      <c r="I1390">
        <v>248</v>
      </c>
      <c r="L1390" t="str">
        <f t="shared" si="21"/>
        <v>Below Average</v>
      </c>
      <c r="M1390">
        <f>RANK(H1390,H:H,0)</f>
        <v>1753</v>
      </c>
    </row>
    <row r="1391" spans="1:13">
      <c r="A1391" t="s">
        <v>40</v>
      </c>
      <c r="B1391" t="s">
        <v>25</v>
      </c>
      <c r="C1391" t="s">
        <v>46</v>
      </c>
      <c r="D1391" s="3" t="s">
        <v>225</v>
      </c>
      <c r="E1391" s="5" t="str">
        <f>TEXT(D1391,"dd/mm/yyyy")</f>
        <v>14/01/2023</v>
      </c>
      <c r="F1391" s="5" t="str" cm="1">
        <f t="array" ref="F1391">RIGHT(_xlfn.ANCHORARRAY(E1391),4)</f>
        <v>2023</v>
      </c>
      <c r="G1391" s="5" t="str">
        <f>TEXT(E1391,"mm")</f>
        <v>14/01/2023</v>
      </c>
      <c r="H1391" s="6">
        <v>7940.49</v>
      </c>
      <c r="I1391">
        <v>328</v>
      </c>
      <c r="L1391" t="str">
        <f t="shared" si="21"/>
        <v>Above Average</v>
      </c>
      <c r="M1391">
        <f>RANK(H1391,H:H,0)</f>
        <v>954</v>
      </c>
    </row>
    <row r="1392" spans="1:13">
      <c r="A1392" t="s">
        <v>77</v>
      </c>
      <c r="B1392" t="s">
        <v>15</v>
      </c>
      <c r="C1392" t="s">
        <v>75</v>
      </c>
      <c r="D1392" s="4">
        <v>45142</v>
      </c>
      <c r="E1392" s="5" t="str">
        <f>TEXT(D1392,"dd/mm/yyyy")</f>
        <v>04/08/2023</v>
      </c>
      <c r="F1392" s="5" t="str" cm="1">
        <f t="array" ref="F1392">RIGHT(_xlfn.ANCHORARRAY(E1392),4)</f>
        <v>2023</v>
      </c>
      <c r="G1392" s="5" t="str">
        <f>TEXT(E1392,"mm")</f>
        <v>04</v>
      </c>
      <c r="H1392" s="6">
        <v>2106.9299999999998</v>
      </c>
      <c r="I1392">
        <v>69</v>
      </c>
      <c r="L1392" t="str">
        <f t="shared" si="21"/>
        <v>Below Average</v>
      </c>
      <c r="M1392">
        <f>RANK(H1392,H:H,0)</f>
        <v>2599</v>
      </c>
    </row>
    <row r="1393" spans="1:13">
      <c r="A1393" t="s">
        <v>70</v>
      </c>
      <c r="B1393" t="s">
        <v>7</v>
      </c>
      <c r="C1393" t="s">
        <v>33</v>
      </c>
      <c r="D1393" s="4">
        <v>44934</v>
      </c>
      <c r="E1393" s="5" t="str">
        <f>TEXT(D1393,"dd/mm/yyyy")</f>
        <v>08/01/2023</v>
      </c>
      <c r="F1393" s="5" t="str" cm="1">
        <f t="array" ref="F1393">RIGHT(_xlfn.ANCHORARRAY(E1393),4)</f>
        <v>2023</v>
      </c>
      <c r="G1393" s="5" t="str">
        <f>TEXT(E1393,"mm")</f>
        <v>08</v>
      </c>
      <c r="H1393" s="6">
        <v>3911.85</v>
      </c>
      <c r="I1393">
        <v>3</v>
      </c>
      <c r="L1393" t="str">
        <f t="shared" si="21"/>
        <v>Below Average</v>
      </c>
      <c r="M1393">
        <f>RANK(H1393,H:H,0)</f>
        <v>2009</v>
      </c>
    </row>
    <row r="1394" spans="1:13">
      <c r="A1394" t="s">
        <v>58</v>
      </c>
      <c r="B1394" t="s">
        <v>35</v>
      </c>
      <c r="C1394" t="s">
        <v>36</v>
      </c>
      <c r="D1394" s="3" t="s">
        <v>234</v>
      </c>
      <c r="E1394" s="5" t="str">
        <f>TEXT(D1394,"dd/mm/yyyy")</f>
        <v>15/03/2023</v>
      </c>
      <c r="F1394" s="5" t="str" cm="1">
        <f t="array" ref="F1394">RIGHT(_xlfn.ANCHORARRAY(E1394),4)</f>
        <v>2023</v>
      </c>
      <c r="G1394" s="5" t="str">
        <f>TEXT(E1394,"mm")</f>
        <v>15/03/2023</v>
      </c>
      <c r="H1394" s="6">
        <v>483.04</v>
      </c>
      <c r="I1394">
        <v>45</v>
      </c>
      <c r="L1394" t="str">
        <f t="shared" si="21"/>
        <v>Below Average</v>
      </c>
      <c r="M1394">
        <f>RANK(H1394,H:H,0)</f>
        <v>3135</v>
      </c>
    </row>
    <row r="1395" spans="1:13">
      <c r="A1395" t="s">
        <v>37</v>
      </c>
      <c r="B1395" t="s">
        <v>10</v>
      </c>
      <c r="C1395" t="s">
        <v>8</v>
      </c>
      <c r="D1395" s="3" t="s">
        <v>189</v>
      </c>
      <c r="E1395" s="5" t="str">
        <f>TEXT(D1395,"dd/mm/yyyy")</f>
        <v>15/07/2023</v>
      </c>
      <c r="F1395" s="5" t="str" cm="1">
        <f t="array" ref="F1395">RIGHT(_xlfn.ANCHORARRAY(E1395),4)</f>
        <v>2023</v>
      </c>
      <c r="G1395" s="5" t="str">
        <f>TEXT(E1395,"mm")</f>
        <v>15/07/2023</v>
      </c>
      <c r="H1395" s="6">
        <v>11380.7</v>
      </c>
      <c r="I1395">
        <v>192</v>
      </c>
      <c r="L1395" t="str">
        <f t="shared" si="21"/>
        <v>Above Average</v>
      </c>
      <c r="M1395">
        <f>RANK(H1395,H:H,0)</f>
        <v>407</v>
      </c>
    </row>
    <row r="1396" spans="1:13">
      <c r="A1396" t="s">
        <v>31</v>
      </c>
      <c r="B1396" t="s">
        <v>25</v>
      </c>
      <c r="C1396" t="s">
        <v>65</v>
      </c>
      <c r="D1396" s="3" t="s">
        <v>167</v>
      </c>
      <c r="E1396" s="5" t="str">
        <f>TEXT(D1396,"dd/mm/yyyy")</f>
        <v>13/01/2023</v>
      </c>
      <c r="F1396" s="5" t="str" cm="1">
        <f t="array" ref="F1396">RIGHT(_xlfn.ANCHORARRAY(E1396),4)</f>
        <v>2023</v>
      </c>
      <c r="G1396" s="5" t="str">
        <f>TEXT(E1396,"mm")</f>
        <v>13/01/2023</v>
      </c>
      <c r="H1396" s="6">
        <v>6372.68</v>
      </c>
      <c r="I1396">
        <v>131</v>
      </c>
      <c r="L1396" t="str">
        <f t="shared" si="21"/>
        <v>Above Average</v>
      </c>
      <c r="M1396">
        <f>RANK(H1396,H:H,0)</f>
        <v>1337</v>
      </c>
    </row>
    <row r="1397" spans="1:13">
      <c r="A1397" t="s">
        <v>34</v>
      </c>
      <c r="B1397" t="s">
        <v>15</v>
      </c>
      <c r="C1397" t="s">
        <v>11</v>
      </c>
      <c r="D1397" s="3" t="s">
        <v>197</v>
      </c>
      <c r="E1397" s="5" t="str">
        <f>TEXT(D1397,"dd/mm/yyyy")</f>
        <v>26/08/2023</v>
      </c>
      <c r="F1397" s="5" t="str" cm="1">
        <f t="array" ref="F1397">RIGHT(_xlfn.ANCHORARRAY(E1397),4)</f>
        <v>2023</v>
      </c>
      <c r="G1397" s="5" t="str">
        <f>TEXT(E1397,"mm")</f>
        <v>26/08/2023</v>
      </c>
      <c r="H1397" s="6">
        <v>2714.76</v>
      </c>
      <c r="I1397">
        <v>52</v>
      </c>
      <c r="L1397" t="str">
        <f t="shared" si="21"/>
        <v>Below Average</v>
      </c>
      <c r="M1397">
        <f>RANK(H1397,H:H,0)</f>
        <v>2400</v>
      </c>
    </row>
    <row r="1398" spans="1:13">
      <c r="A1398" t="s">
        <v>83</v>
      </c>
      <c r="B1398" t="s">
        <v>35</v>
      </c>
      <c r="C1398" t="s">
        <v>36</v>
      </c>
      <c r="D1398" s="4">
        <v>45200</v>
      </c>
      <c r="E1398" s="5" t="str">
        <f>TEXT(D1398,"dd/mm/yyyy")</f>
        <v>01/10/2023</v>
      </c>
      <c r="F1398" s="5" t="str" cm="1">
        <f t="array" ref="F1398">RIGHT(_xlfn.ANCHORARRAY(E1398),4)</f>
        <v>2023</v>
      </c>
      <c r="G1398" s="5" t="str">
        <f>TEXT(E1398,"mm")</f>
        <v>01</v>
      </c>
      <c r="H1398" s="6">
        <v>2106.17</v>
      </c>
      <c r="I1398">
        <v>172</v>
      </c>
      <c r="L1398" t="str">
        <f t="shared" si="21"/>
        <v>Below Average</v>
      </c>
      <c r="M1398">
        <f>RANK(H1398,H:H,0)</f>
        <v>2600</v>
      </c>
    </row>
    <row r="1399" spans="1:13">
      <c r="A1399" t="s">
        <v>12</v>
      </c>
      <c r="B1399" t="s">
        <v>15</v>
      </c>
      <c r="C1399" t="s">
        <v>59</v>
      </c>
      <c r="D1399" s="4">
        <v>45235</v>
      </c>
      <c r="E1399" s="5" t="str">
        <f>TEXT(D1399,"dd/mm/yyyy")</f>
        <v>05/11/2023</v>
      </c>
      <c r="F1399" s="5" t="str" cm="1">
        <f t="array" ref="F1399">RIGHT(_xlfn.ANCHORARRAY(E1399),4)</f>
        <v>2023</v>
      </c>
      <c r="G1399" s="5" t="str">
        <f>TEXT(E1399,"mm")</f>
        <v>05</v>
      </c>
      <c r="H1399" s="6">
        <v>5805.24</v>
      </c>
      <c r="I1399">
        <v>83</v>
      </c>
      <c r="L1399" t="str">
        <f t="shared" si="21"/>
        <v>Below Average</v>
      </c>
      <c r="M1399">
        <f>RANK(H1399,H:H,0)</f>
        <v>1485</v>
      </c>
    </row>
    <row r="1400" spans="1:13">
      <c r="A1400" t="s">
        <v>41</v>
      </c>
      <c r="B1400" t="s">
        <v>25</v>
      </c>
      <c r="C1400" t="s">
        <v>11</v>
      </c>
      <c r="D1400" s="3" t="s">
        <v>243</v>
      </c>
      <c r="E1400" s="5" t="str">
        <f>TEXT(D1400,"dd/mm/yyyy")</f>
        <v>30/08/2023</v>
      </c>
      <c r="F1400" s="5" t="str" cm="1">
        <f t="array" ref="F1400">RIGHT(_xlfn.ANCHORARRAY(E1400),4)</f>
        <v>2023</v>
      </c>
      <c r="G1400" s="5" t="str">
        <f>TEXT(E1400,"mm")</f>
        <v>30/08/2023</v>
      </c>
      <c r="H1400" s="6">
        <v>12205.52</v>
      </c>
      <c r="I1400">
        <v>23</v>
      </c>
      <c r="L1400" t="str">
        <f t="shared" si="21"/>
        <v>Above Average</v>
      </c>
      <c r="M1400">
        <f>RANK(H1400,H:H,0)</f>
        <v>326</v>
      </c>
    </row>
    <row r="1401" spans="1:13">
      <c r="A1401" t="s">
        <v>55</v>
      </c>
      <c r="B1401" t="s">
        <v>32</v>
      </c>
      <c r="C1401" t="s">
        <v>90</v>
      </c>
      <c r="D1401" s="3" t="s">
        <v>244</v>
      </c>
      <c r="E1401" s="5" t="str">
        <f>TEXT(D1401,"dd/mm/yyyy")</f>
        <v>21/07/2023</v>
      </c>
      <c r="F1401" s="5" t="str" cm="1">
        <f t="array" ref="F1401">RIGHT(_xlfn.ANCHORARRAY(E1401),4)</f>
        <v>2023</v>
      </c>
      <c r="G1401" s="5" t="str">
        <f>TEXT(E1401,"mm")</f>
        <v>21/07/2023</v>
      </c>
      <c r="H1401" s="6">
        <v>6318.7</v>
      </c>
      <c r="I1401">
        <v>124</v>
      </c>
      <c r="L1401" t="str">
        <f t="shared" si="21"/>
        <v>Above Average</v>
      </c>
      <c r="M1401">
        <f>RANK(H1401,H:H,0)</f>
        <v>1352</v>
      </c>
    </row>
    <row r="1402" spans="1:13">
      <c r="A1402" t="s">
        <v>34</v>
      </c>
      <c r="B1402" t="s">
        <v>15</v>
      </c>
      <c r="C1402" t="s">
        <v>65</v>
      </c>
      <c r="D1402" s="4">
        <v>44934</v>
      </c>
      <c r="E1402" s="5" t="str">
        <f>TEXT(D1402,"dd/mm/yyyy")</f>
        <v>08/01/2023</v>
      </c>
      <c r="F1402" s="5" t="str" cm="1">
        <f t="array" ref="F1402">RIGHT(_xlfn.ANCHORARRAY(E1402),4)</f>
        <v>2023</v>
      </c>
      <c r="G1402" s="5" t="str">
        <f>TEXT(E1402,"mm")</f>
        <v>08</v>
      </c>
      <c r="H1402" s="6">
        <v>8522.7999999999993</v>
      </c>
      <c r="I1402">
        <v>137</v>
      </c>
      <c r="L1402" t="str">
        <f t="shared" si="21"/>
        <v>Above Average</v>
      </c>
      <c r="M1402">
        <f>RANK(H1402,H:H,0)</f>
        <v>828</v>
      </c>
    </row>
    <row r="1403" spans="1:13">
      <c r="A1403" t="s">
        <v>28</v>
      </c>
      <c r="B1403" t="s">
        <v>35</v>
      </c>
      <c r="C1403" t="s">
        <v>11</v>
      </c>
      <c r="D1403" s="3" t="s">
        <v>173</v>
      </c>
      <c r="E1403" s="5" t="str">
        <f>TEXT(D1403,"dd/mm/yyyy")</f>
        <v>17/02/2023</v>
      </c>
      <c r="F1403" s="5" t="str" cm="1">
        <f t="array" ref="F1403">RIGHT(_xlfn.ANCHORARRAY(E1403),4)</f>
        <v>2023</v>
      </c>
      <c r="G1403" s="5" t="str">
        <f>TEXT(E1403,"mm")</f>
        <v>17/02/2023</v>
      </c>
      <c r="H1403" s="6">
        <v>10315.879999999999</v>
      </c>
      <c r="I1403">
        <v>268</v>
      </c>
      <c r="L1403" t="str">
        <f t="shared" si="21"/>
        <v>Above Average</v>
      </c>
      <c r="M1403">
        <f>RANK(H1403,H:H,0)</f>
        <v>533</v>
      </c>
    </row>
    <row r="1404" spans="1:13">
      <c r="A1404" t="s">
        <v>28</v>
      </c>
      <c r="B1404" t="s">
        <v>15</v>
      </c>
      <c r="C1404" t="s">
        <v>38</v>
      </c>
      <c r="D1404" s="3" t="s">
        <v>232</v>
      </c>
      <c r="E1404" s="5" t="str">
        <f>TEXT(D1404,"dd/mm/yyyy")</f>
        <v>27/07/2023</v>
      </c>
      <c r="F1404" s="5" t="str" cm="1">
        <f t="array" ref="F1404">RIGHT(_xlfn.ANCHORARRAY(E1404),4)</f>
        <v>2023</v>
      </c>
      <c r="G1404" s="5" t="str">
        <f>TEXT(E1404,"mm")</f>
        <v>27/07/2023</v>
      </c>
      <c r="H1404" s="6">
        <v>7262.12</v>
      </c>
      <c r="I1404">
        <v>158</v>
      </c>
      <c r="L1404" t="str">
        <f t="shared" si="21"/>
        <v>Above Average</v>
      </c>
      <c r="M1404">
        <f>RANK(H1404,H:H,0)</f>
        <v>1117</v>
      </c>
    </row>
    <row r="1405" spans="1:13">
      <c r="A1405" t="s">
        <v>79</v>
      </c>
      <c r="B1405" t="s">
        <v>32</v>
      </c>
      <c r="C1405" t="s">
        <v>33</v>
      </c>
      <c r="D1405" s="3" t="s">
        <v>185</v>
      </c>
      <c r="E1405" s="5" t="str">
        <f>TEXT(D1405,"dd/mm/yyyy")</f>
        <v>23/02/2023</v>
      </c>
      <c r="F1405" s="5" t="str" cm="1">
        <f t="array" ref="F1405">RIGHT(_xlfn.ANCHORARRAY(E1405),4)</f>
        <v>2023</v>
      </c>
      <c r="G1405" s="5" t="str">
        <f>TEXT(E1405,"mm")</f>
        <v>23/02/2023</v>
      </c>
      <c r="H1405" s="6">
        <v>1414.84</v>
      </c>
      <c r="I1405">
        <v>112</v>
      </c>
      <c r="L1405" t="str">
        <f t="shared" si="21"/>
        <v>Below Average</v>
      </c>
      <c r="M1405">
        <f>RANK(H1405,H:H,0)</f>
        <v>2833</v>
      </c>
    </row>
    <row r="1406" spans="1:13">
      <c r="A1406" t="s">
        <v>29</v>
      </c>
      <c r="B1406" t="s">
        <v>15</v>
      </c>
      <c r="C1406" t="s">
        <v>26</v>
      </c>
      <c r="D1406" s="3" t="s">
        <v>242</v>
      </c>
      <c r="E1406" s="5" t="str">
        <f>TEXT(D1406,"dd/mm/yyyy")</f>
        <v>22/03/2023</v>
      </c>
      <c r="F1406" s="5" t="str" cm="1">
        <f t="array" ref="F1406">RIGHT(_xlfn.ANCHORARRAY(E1406),4)</f>
        <v>2023</v>
      </c>
      <c r="G1406" s="5" t="str">
        <f>TEXT(E1406,"mm")</f>
        <v>22/03/2023</v>
      </c>
      <c r="H1406" s="6">
        <v>3067.9</v>
      </c>
      <c r="I1406">
        <v>42</v>
      </c>
      <c r="L1406" t="str">
        <f t="shared" si="21"/>
        <v>Below Average</v>
      </c>
      <c r="M1406">
        <f>RANK(H1406,H:H,0)</f>
        <v>2282</v>
      </c>
    </row>
    <row r="1407" spans="1:13">
      <c r="A1407" t="s">
        <v>58</v>
      </c>
      <c r="B1407" t="s">
        <v>10</v>
      </c>
      <c r="C1407" t="s">
        <v>20</v>
      </c>
      <c r="D1407" s="3" t="s">
        <v>245</v>
      </c>
      <c r="E1407" s="5" t="str">
        <f>TEXT(D1407,"dd/mm/yyyy")</f>
        <v>23/06/2023</v>
      </c>
      <c r="F1407" s="5" t="str" cm="1">
        <f t="array" ref="F1407">RIGHT(_xlfn.ANCHORARRAY(E1407),4)</f>
        <v>2023</v>
      </c>
      <c r="G1407" s="5" t="str">
        <f>TEXT(E1407,"mm")</f>
        <v>23/06/2023</v>
      </c>
      <c r="H1407" s="6">
        <v>7369.69</v>
      </c>
      <c r="I1407">
        <v>325</v>
      </c>
      <c r="L1407" t="str">
        <f t="shared" si="21"/>
        <v>Above Average</v>
      </c>
      <c r="M1407">
        <f>RANK(H1407,H:H,0)</f>
        <v>1092</v>
      </c>
    </row>
    <row r="1408" spans="1:13">
      <c r="A1408" t="s">
        <v>48</v>
      </c>
      <c r="B1408" t="s">
        <v>7</v>
      </c>
      <c r="C1408" t="s">
        <v>59</v>
      </c>
      <c r="D1408" s="4">
        <v>44928</v>
      </c>
      <c r="E1408" s="5" t="str">
        <f>TEXT(D1408,"dd/mm/yyyy")</f>
        <v>02/01/2023</v>
      </c>
      <c r="F1408" s="5" t="str" cm="1">
        <f t="array" ref="F1408">RIGHT(_xlfn.ANCHORARRAY(E1408),4)</f>
        <v>2023</v>
      </c>
      <c r="G1408" s="5" t="str">
        <f>TEXT(E1408,"mm")</f>
        <v>02</v>
      </c>
      <c r="H1408" s="6">
        <v>1775.18</v>
      </c>
      <c r="I1408">
        <v>73</v>
      </c>
      <c r="L1408" t="str">
        <f t="shared" si="21"/>
        <v>Below Average</v>
      </c>
      <c r="M1408">
        <f>RANK(H1408,H:H,0)</f>
        <v>2706</v>
      </c>
    </row>
    <row r="1409" spans="1:13">
      <c r="A1409" t="s">
        <v>70</v>
      </c>
      <c r="B1409" t="s">
        <v>15</v>
      </c>
      <c r="C1409" t="s">
        <v>23</v>
      </c>
      <c r="D1409" s="4">
        <v>44960</v>
      </c>
      <c r="E1409" s="5" t="str">
        <f>TEXT(D1409,"dd/mm/yyyy")</f>
        <v>03/02/2023</v>
      </c>
      <c r="F1409" s="5" t="str" cm="1">
        <f t="array" ref="F1409">RIGHT(_xlfn.ANCHORARRAY(E1409),4)</f>
        <v>2023</v>
      </c>
      <c r="G1409" s="5" t="str">
        <f>TEXT(E1409,"mm")</f>
        <v>03</v>
      </c>
      <c r="H1409" s="6">
        <v>7683.78</v>
      </c>
      <c r="I1409">
        <v>279</v>
      </c>
      <c r="L1409" t="str">
        <f t="shared" si="21"/>
        <v>Above Average</v>
      </c>
      <c r="M1409">
        <f>RANK(H1409,H:H,0)</f>
        <v>1021</v>
      </c>
    </row>
    <row r="1410" spans="1:13">
      <c r="A1410" t="s">
        <v>12</v>
      </c>
      <c r="B1410" t="s">
        <v>7</v>
      </c>
      <c r="C1410" t="s">
        <v>57</v>
      </c>
      <c r="D1410" s="4">
        <v>45081</v>
      </c>
      <c r="E1410" s="5" t="str">
        <f>TEXT(D1410,"dd/mm/yyyy")</f>
        <v>04/06/2023</v>
      </c>
      <c r="F1410" s="5" t="str" cm="1">
        <f t="array" ref="F1410">RIGHT(_xlfn.ANCHORARRAY(E1410),4)</f>
        <v>2023</v>
      </c>
      <c r="G1410" s="5" t="str">
        <f>TEXT(E1410,"mm")</f>
        <v>04</v>
      </c>
      <c r="H1410" s="6">
        <v>1412.22</v>
      </c>
      <c r="I1410">
        <v>90</v>
      </c>
      <c r="L1410" t="str">
        <f t="shared" si="21"/>
        <v>Below Average</v>
      </c>
      <c r="M1410">
        <f>RANK(H1410,H:H,0)</f>
        <v>2837</v>
      </c>
    </row>
    <row r="1411" spans="1:13">
      <c r="A1411" t="s">
        <v>22</v>
      </c>
      <c r="B1411" t="s">
        <v>15</v>
      </c>
      <c r="C1411" t="s">
        <v>73</v>
      </c>
      <c r="D1411" s="3" t="s">
        <v>226</v>
      </c>
      <c r="E1411" s="5" t="str">
        <f>TEXT(D1411,"dd/mm/yyyy")</f>
        <v>17/03/2023</v>
      </c>
      <c r="F1411" s="5" t="str" cm="1">
        <f t="array" ref="F1411">RIGHT(_xlfn.ANCHORARRAY(E1411),4)</f>
        <v>2023</v>
      </c>
      <c r="G1411" s="5" t="str">
        <f>TEXT(E1411,"mm")</f>
        <v>17/03/2023</v>
      </c>
      <c r="H1411" s="6">
        <v>607.08000000000004</v>
      </c>
      <c r="I1411">
        <v>76</v>
      </c>
      <c r="L1411" t="str">
        <f t="shared" ref="L1411:L1474" si="22">IF(H1411&gt;6030.34,"Above Average","Below Average")</f>
        <v>Below Average</v>
      </c>
      <c r="M1411">
        <f>RANK(H1411,H:H,0)</f>
        <v>3096</v>
      </c>
    </row>
    <row r="1412" spans="1:13">
      <c r="A1412" t="s">
        <v>48</v>
      </c>
      <c r="B1412" t="s">
        <v>7</v>
      </c>
      <c r="C1412" t="s">
        <v>57</v>
      </c>
      <c r="D1412" s="3" t="s">
        <v>246</v>
      </c>
      <c r="E1412" s="5" t="str">
        <f>TEXT(D1412,"dd/mm/yyyy")</f>
        <v>24/06/2023</v>
      </c>
      <c r="F1412" s="5" t="str" cm="1">
        <f t="array" ref="F1412">RIGHT(_xlfn.ANCHORARRAY(E1412),4)</f>
        <v>2023</v>
      </c>
      <c r="G1412" s="5" t="str">
        <f>TEXT(E1412,"mm")</f>
        <v>24/06/2023</v>
      </c>
      <c r="H1412" s="6">
        <v>11688.75</v>
      </c>
      <c r="I1412">
        <v>136</v>
      </c>
      <c r="L1412" t="str">
        <f t="shared" si="22"/>
        <v>Above Average</v>
      </c>
      <c r="M1412">
        <f>RANK(H1412,H:H,0)</f>
        <v>377</v>
      </c>
    </row>
    <row r="1413" spans="1:13">
      <c r="A1413" t="s">
        <v>31</v>
      </c>
      <c r="B1413" t="s">
        <v>35</v>
      </c>
      <c r="C1413" t="s">
        <v>26</v>
      </c>
      <c r="D1413" s="3" t="s">
        <v>187</v>
      </c>
      <c r="E1413" s="5" t="str">
        <f>TEXT(D1413,"dd/mm/yyyy")</f>
        <v>19/07/2023</v>
      </c>
      <c r="F1413" s="5" t="str" cm="1">
        <f t="array" ref="F1413">RIGHT(_xlfn.ANCHORARRAY(E1413),4)</f>
        <v>2023</v>
      </c>
      <c r="G1413" s="5" t="str">
        <f>TEXT(E1413,"mm")</f>
        <v>19/07/2023</v>
      </c>
      <c r="H1413" s="6">
        <v>10275.549999999999</v>
      </c>
      <c r="I1413">
        <v>301</v>
      </c>
      <c r="L1413" t="str">
        <f t="shared" si="22"/>
        <v>Above Average</v>
      </c>
      <c r="M1413">
        <f>RANK(H1413,H:H,0)</f>
        <v>539</v>
      </c>
    </row>
    <row r="1414" spans="1:13">
      <c r="A1414" t="s">
        <v>48</v>
      </c>
      <c r="B1414" t="s">
        <v>32</v>
      </c>
      <c r="C1414" t="s">
        <v>50</v>
      </c>
      <c r="D1414" s="4">
        <v>45237</v>
      </c>
      <c r="E1414" s="5" t="str">
        <f>TEXT(D1414,"dd/mm/yyyy")</f>
        <v>07/11/2023</v>
      </c>
      <c r="F1414" s="5" t="str" cm="1">
        <f t="array" ref="F1414">RIGHT(_xlfn.ANCHORARRAY(E1414),4)</f>
        <v>2023</v>
      </c>
      <c r="G1414" s="5" t="str">
        <f>TEXT(E1414,"mm")</f>
        <v>07</v>
      </c>
      <c r="H1414" s="6">
        <v>1788.1</v>
      </c>
      <c r="I1414">
        <v>271</v>
      </c>
      <c r="L1414" t="str">
        <f t="shared" si="22"/>
        <v>Below Average</v>
      </c>
      <c r="M1414">
        <f>RANK(H1414,H:H,0)</f>
        <v>2705</v>
      </c>
    </row>
    <row r="1415" spans="1:13">
      <c r="A1415" t="s">
        <v>28</v>
      </c>
      <c r="B1415" t="s">
        <v>10</v>
      </c>
      <c r="C1415" t="s">
        <v>65</v>
      </c>
      <c r="D1415" s="3" t="s">
        <v>167</v>
      </c>
      <c r="E1415" s="5" t="str">
        <f>TEXT(D1415,"dd/mm/yyyy")</f>
        <v>13/01/2023</v>
      </c>
      <c r="F1415" s="5" t="str" cm="1">
        <f t="array" ref="F1415">RIGHT(_xlfn.ANCHORARRAY(E1415),4)</f>
        <v>2023</v>
      </c>
      <c r="G1415" s="5" t="str">
        <f>TEXT(E1415,"mm")</f>
        <v>13/01/2023</v>
      </c>
      <c r="H1415" s="6">
        <v>2378.08</v>
      </c>
      <c r="I1415">
        <v>222</v>
      </c>
      <c r="L1415" t="str">
        <f t="shared" si="22"/>
        <v>Below Average</v>
      </c>
      <c r="M1415">
        <f>RANK(H1415,H:H,0)</f>
        <v>2523</v>
      </c>
    </row>
    <row r="1416" spans="1:13">
      <c r="A1416" t="s">
        <v>19</v>
      </c>
      <c r="B1416" t="s">
        <v>25</v>
      </c>
      <c r="C1416" t="s">
        <v>18</v>
      </c>
      <c r="D1416" s="4">
        <v>45114</v>
      </c>
      <c r="E1416" s="5" t="str">
        <f>TEXT(D1416,"dd/mm/yyyy")</f>
        <v>07/07/2023</v>
      </c>
      <c r="F1416" s="5" t="str" cm="1">
        <f t="array" ref="F1416">RIGHT(_xlfn.ANCHORARRAY(E1416),4)</f>
        <v>2023</v>
      </c>
      <c r="G1416" s="5" t="str">
        <f>TEXT(E1416,"mm")</f>
        <v>07</v>
      </c>
      <c r="H1416" s="6">
        <v>9545.0300000000007</v>
      </c>
      <c r="I1416">
        <v>64</v>
      </c>
      <c r="L1416" t="str">
        <f t="shared" si="22"/>
        <v>Above Average</v>
      </c>
      <c r="M1416">
        <f>RANK(H1416,H:H,0)</f>
        <v>648</v>
      </c>
    </row>
    <row r="1417" spans="1:13">
      <c r="A1417" t="s">
        <v>14</v>
      </c>
      <c r="B1417" t="s">
        <v>10</v>
      </c>
      <c r="C1417" t="s">
        <v>11</v>
      </c>
      <c r="D1417" s="3" t="s">
        <v>203</v>
      </c>
      <c r="E1417" s="5" t="str">
        <f>TEXT(D1417,"dd/mm/yyyy")</f>
        <v>25/05/2023</v>
      </c>
      <c r="F1417" s="5" t="str" cm="1">
        <f t="array" ref="F1417">RIGHT(_xlfn.ANCHORARRAY(E1417),4)</f>
        <v>2023</v>
      </c>
      <c r="G1417" s="5" t="str">
        <f>TEXT(E1417,"mm")</f>
        <v>25/05/2023</v>
      </c>
      <c r="H1417" s="6">
        <v>4999.5200000000004</v>
      </c>
      <c r="I1417">
        <v>446</v>
      </c>
      <c r="L1417" t="str">
        <f t="shared" si="22"/>
        <v>Below Average</v>
      </c>
      <c r="M1417">
        <f>RANK(H1417,H:H,0)</f>
        <v>1704</v>
      </c>
    </row>
    <row r="1418" spans="1:13">
      <c r="A1418" t="s">
        <v>40</v>
      </c>
      <c r="B1418" t="s">
        <v>10</v>
      </c>
      <c r="C1418" t="s">
        <v>57</v>
      </c>
      <c r="D1418" s="3" t="s">
        <v>224</v>
      </c>
      <c r="E1418" s="5" t="str">
        <f>TEXT(D1418,"dd/mm/yyyy")</f>
        <v>13/04/2023</v>
      </c>
      <c r="F1418" s="5" t="str" cm="1">
        <f t="array" ref="F1418">RIGHT(_xlfn.ANCHORARRAY(E1418),4)</f>
        <v>2023</v>
      </c>
      <c r="G1418" s="5" t="str">
        <f>TEXT(E1418,"mm")</f>
        <v>13/04/2023</v>
      </c>
      <c r="H1418" s="6">
        <v>5312.5</v>
      </c>
      <c r="I1418">
        <v>160</v>
      </c>
      <c r="L1418" t="str">
        <f t="shared" si="22"/>
        <v>Below Average</v>
      </c>
      <c r="M1418">
        <f>RANK(H1418,H:H,0)</f>
        <v>1613</v>
      </c>
    </row>
    <row r="1419" spans="1:13">
      <c r="A1419" t="s">
        <v>67</v>
      </c>
      <c r="B1419" t="s">
        <v>25</v>
      </c>
      <c r="C1419" t="s">
        <v>26</v>
      </c>
      <c r="D1419" s="4">
        <v>44960</v>
      </c>
      <c r="E1419" s="5" t="str">
        <f>TEXT(D1419,"dd/mm/yyyy")</f>
        <v>03/02/2023</v>
      </c>
      <c r="F1419" s="5" t="str" cm="1">
        <f t="array" ref="F1419">RIGHT(_xlfn.ANCHORARRAY(E1419),4)</f>
        <v>2023</v>
      </c>
      <c r="G1419" s="5" t="str">
        <f>TEXT(E1419,"mm")</f>
        <v>03</v>
      </c>
      <c r="H1419" s="6">
        <v>3750.88</v>
      </c>
      <c r="I1419">
        <v>208</v>
      </c>
      <c r="L1419" t="str">
        <f t="shared" si="22"/>
        <v>Below Average</v>
      </c>
      <c r="M1419">
        <f>RANK(H1419,H:H,0)</f>
        <v>2054</v>
      </c>
    </row>
    <row r="1420" spans="1:13">
      <c r="A1420" t="s">
        <v>22</v>
      </c>
      <c r="B1420" t="s">
        <v>35</v>
      </c>
      <c r="C1420" t="s">
        <v>73</v>
      </c>
      <c r="D1420" s="3" t="s">
        <v>245</v>
      </c>
      <c r="E1420" s="5" t="str">
        <f>TEXT(D1420,"dd/mm/yyyy")</f>
        <v>23/06/2023</v>
      </c>
      <c r="F1420" s="5" t="str" cm="1">
        <f t="array" ref="F1420">RIGHT(_xlfn.ANCHORARRAY(E1420),4)</f>
        <v>2023</v>
      </c>
      <c r="G1420" s="5" t="str">
        <f>TEXT(E1420,"mm")</f>
        <v>23/06/2023</v>
      </c>
      <c r="H1420" s="6">
        <v>2375.7399999999998</v>
      </c>
      <c r="I1420">
        <v>129</v>
      </c>
      <c r="L1420" t="str">
        <f t="shared" si="22"/>
        <v>Below Average</v>
      </c>
      <c r="M1420">
        <f>RANK(H1420,H:H,0)</f>
        <v>2524</v>
      </c>
    </row>
    <row r="1421" spans="1:13">
      <c r="A1421" t="s">
        <v>70</v>
      </c>
      <c r="B1421" t="s">
        <v>32</v>
      </c>
      <c r="C1421" t="s">
        <v>38</v>
      </c>
      <c r="D1421" s="3" t="s">
        <v>204</v>
      </c>
      <c r="E1421" s="5" t="str">
        <f>TEXT(D1421,"dd/mm/yyyy")</f>
        <v>26/07/2023</v>
      </c>
      <c r="F1421" s="5" t="str" cm="1">
        <f t="array" ref="F1421">RIGHT(_xlfn.ANCHORARRAY(E1421),4)</f>
        <v>2023</v>
      </c>
      <c r="G1421" s="5" t="str">
        <f>TEXT(E1421,"mm")</f>
        <v>26/07/2023</v>
      </c>
      <c r="H1421" s="6">
        <v>7013.61</v>
      </c>
      <c r="I1421">
        <v>170</v>
      </c>
      <c r="L1421" t="str">
        <f t="shared" si="22"/>
        <v>Above Average</v>
      </c>
      <c r="M1421">
        <f>RANK(H1421,H:H,0)</f>
        <v>1176</v>
      </c>
    </row>
    <row r="1422" spans="1:13">
      <c r="A1422" t="s">
        <v>9</v>
      </c>
      <c r="B1422" t="s">
        <v>35</v>
      </c>
      <c r="C1422" t="s">
        <v>59</v>
      </c>
      <c r="D1422" s="3" t="s">
        <v>242</v>
      </c>
      <c r="E1422" s="5" t="str">
        <f>TEXT(D1422,"dd/mm/yyyy")</f>
        <v>22/03/2023</v>
      </c>
      <c r="F1422" s="5" t="str" cm="1">
        <f t="array" ref="F1422">RIGHT(_xlfn.ANCHORARRAY(E1422),4)</f>
        <v>2023</v>
      </c>
      <c r="G1422" s="5" t="str">
        <f>TEXT(E1422,"mm")</f>
        <v>22/03/2023</v>
      </c>
      <c r="H1422" s="6">
        <v>481.52</v>
      </c>
      <c r="I1422">
        <v>3</v>
      </c>
      <c r="L1422" t="str">
        <f t="shared" si="22"/>
        <v>Below Average</v>
      </c>
      <c r="M1422">
        <f>RANK(H1422,H:H,0)</f>
        <v>3139</v>
      </c>
    </row>
    <row r="1423" spans="1:13">
      <c r="A1423" t="s">
        <v>29</v>
      </c>
      <c r="B1423" t="s">
        <v>32</v>
      </c>
      <c r="C1423" t="s">
        <v>87</v>
      </c>
      <c r="D1423" s="4">
        <v>45175</v>
      </c>
      <c r="E1423" s="5" t="str">
        <f>TEXT(D1423,"dd/mm/yyyy")</f>
        <v>06/09/2023</v>
      </c>
      <c r="F1423" s="5" t="str" cm="1">
        <f t="array" ref="F1423">RIGHT(_xlfn.ANCHORARRAY(E1423),4)</f>
        <v>2023</v>
      </c>
      <c r="G1423" s="5" t="str">
        <f>TEXT(E1423,"mm")</f>
        <v>06</v>
      </c>
      <c r="H1423" s="6">
        <v>3136.92</v>
      </c>
      <c r="I1423">
        <v>64</v>
      </c>
      <c r="L1423" t="str">
        <f t="shared" si="22"/>
        <v>Below Average</v>
      </c>
      <c r="M1423">
        <f>RANK(H1423,H:H,0)</f>
        <v>2255</v>
      </c>
    </row>
    <row r="1424" spans="1:13">
      <c r="A1424" t="s">
        <v>9</v>
      </c>
      <c r="B1424" t="s">
        <v>15</v>
      </c>
      <c r="C1424" t="s">
        <v>90</v>
      </c>
      <c r="D1424" s="3" t="s">
        <v>247</v>
      </c>
      <c r="E1424" s="5" t="str">
        <f>TEXT(D1424,"dd/mm/yyyy")</f>
        <v>17/05/2023</v>
      </c>
      <c r="F1424" s="5" t="str" cm="1">
        <f t="array" ref="F1424">RIGHT(_xlfn.ANCHORARRAY(E1424),4)</f>
        <v>2023</v>
      </c>
      <c r="G1424" s="5" t="str">
        <f>TEXT(E1424,"mm")</f>
        <v>17/05/2023</v>
      </c>
      <c r="H1424" s="6">
        <v>6584.26</v>
      </c>
      <c r="I1424">
        <v>62</v>
      </c>
      <c r="L1424" t="str">
        <f t="shared" si="22"/>
        <v>Above Average</v>
      </c>
      <c r="M1424">
        <f>RANK(H1424,H:H,0)</f>
        <v>1284</v>
      </c>
    </row>
    <row r="1425" spans="1:13">
      <c r="A1425" t="s">
        <v>83</v>
      </c>
      <c r="B1425" t="s">
        <v>25</v>
      </c>
      <c r="C1425" t="s">
        <v>13</v>
      </c>
      <c r="D1425" s="4">
        <v>45019</v>
      </c>
      <c r="E1425" s="5" t="str">
        <f>TEXT(D1425,"dd/mm/yyyy")</f>
        <v>03/04/2023</v>
      </c>
      <c r="F1425" s="5" t="str" cm="1">
        <f t="array" ref="F1425">RIGHT(_xlfn.ANCHORARRAY(E1425),4)</f>
        <v>2023</v>
      </c>
      <c r="G1425" s="5" t="str">
        <f>TEXT(E1425,"mm")</f>
        <v>03</v>
      </c>
      <c r="H1425" s="6">
        <v>1024.77</v>
      </c>
      <c r="I1425">
        <v>260</v>
      </c>
      <c r="L1425" t="str">
        <f t="shared" si="22"/>
        <v>Below Average</v>
      </c>
      <c r="M1425">
        <f>RANK(H1425,H:H,0)</f>
        <v>2965</v>
      </c>
    </row>
    <row r="1426" spans="1:13">
      <c r="A1426" t="s">
        <v>70</v>
      </c>
      <c r="B1426" t="s">
        <v>35</v>
      </c>
      <c r="C1426" t="s">
        <v>46</v>
      </c>
      <c r="D1426" s="4">
        <v>45114</v>
      </c>
      <c r="E1426" s="5" t="str">
        <f>TEXT(D1426,"dd/mm/yyyy")</f>
        <v>07/07/2023</v>
      </c>
      <c r="F1426" s="5" t="str" cm="1">
        <f t="array" ref="F1426">RIGHT(_xlfn.ANCHORARRAY(E1426),4)</f>
        <v>2023</v>
      </c>
      <c r="G1426" s="5" t="str">
        <f>TEXT(E1426,"mm")</f>
        <v>07</v>
      </c>
      <c r="H1426" s="6">
        <v>17680.189999999999</v>
      </c>
      <c r="I1426">
        <v>27</v>
      </c>
      <c r="L1426" t="str">
        <f t="shared" si="22"/>
        <v>Above Average</v>
      </c>
      <c r="M1426">
        <f>RANK(H1426,H:H,0)</f>
        <v>47</v>
      </c>
    </row>
    <row r="1427" spans="1:13">
      <c r="A1427" t="s">
        <v>58</v>
      </c>
      <c r="B1427" t="s">
        <v>35</v>
      </c>
      <c r="C1427" t="s">
        <v>75</v>
      </c>
      <c r="D1427" s="3" t="s">
        <v>167</v>
      </c>
      <c r="E1427" s="5" t="str">
        <f>TEXT(D1427,"dd/mm/yyyy")</f>
        <v>13/01/2023</v>
      </c>
      <c r="F1427" s="5" t="str" cm="1">
        <f t="array" ref="F1427">RIGHT(_xlfn.ANCHORARRAY(E1427),4)</f>
        <v>2023</v>
      </c>
      <c r="G1427" s="5" t="str">
        <f>TEXT(E1427,"mm")</f>
        <v>13/01/2023</v>
      </c>
      <c r="H1427" s="6">
        <v>10707.82</v>
      </c>
      <c r="I1427">
        <v>124</v>
      </c>
      <c r="L1427" t="str">
        <f t="shared" si="22"/>
        <v>Above Average</v>
      </c>
      <c r="M1427">
        <f>RANK(H1427,H:H,0)</f>
        <v>490</v>
      </c>
    </row>
    <row r="1428" spans="1:13">
      <c r="A1428" t="s">
        <v>48</v>
      </c>
      <c r="B1428" t="s">
        <v>15</v>
      </c>
      <c r="C1428" t="s">
        <v>65</v>
      </c>
      <c r="D1428" s="3" t="s">
        <v>198</v>
      </c>
      <c r="E1428" s="5" t="str">
        <f>TEXT(D1428,"dd/mm/yyyy")</f>
        <v>13/07/2023</v>
      </c>
      <c r="F1428" s="5" t="str" cm="1">
        <f t="array" ref="F1428">RIGHT(_xlfn.ANCHORARRAY(E1428),4)</f>
        <v>2023</v>
      </c>
      <c r="G1428" s="5" t="str">
        <f>TEXT(E1428,"mm")</f>
        <v>13/07/2023</v>
      </c>
      <c r="H1428" s="6">
        <v>3019.09</v>
      </c>
      <c r="I1428">
        <v>78</v>
      </c>
      <c r="L1428" t="str">
        <f t="shared" si="22"/>
        <v>Below Average</v>
      </c>
      <c r="M1428">
        <f>RANK(H1428,H:H,0)</f>
        <v>2297</v>
      </c>
    </row>
    <row r="1429" spans="1:13">
      <c r="A1429" t="s">
        <v>77</v>
      </c>
      <c r="B1429" t="s">
        <v>15</v>
      </c>
      <c r="C1429" t="s">
        <v>11</v>
      </c>
      <c r="D1429" s="3" t="s">
        <v>214</v>
      </c>
      <c r="E1429" s="5" t="str">
        <f>TEXT(D1429,"dd/mm/yyyy")</f>
        <v>16/06/2023</v>
      </c>
      <c r="F1429" s="5" t="str" cm="1">
        <f t="array" ref="F1429">RIGHT(_xlfn.ANCHORARRAY(E1429),4)</f>
        <v>2023</v>
      </c>
      <c r="G1429" s="5" t="str">
        <f>TEXT(E1429,"mm")</f>
        <v>16/06/2023</v>
      </c>
      <c r="H1429" s="6">
        <v>1758.62</v>
      </c>
      <c r="I1429">
        <v>329</v>
      </c>
      <c r="L1429" t="str">
        <f t="shared" si="22"/>
        <v>Below Average</v>
      </c>
      <c r="M1429">
        <f>RANK(H1429,H:H,0)</f>
        <v>2707</v>
      </c>
    </row>
    <row r="1430" spans="1:13">
      <c r="A1430" t="s">
        <v>12</v>
      </c>
      <c r="B1430" t="s">
        <v>7</v>
      </c>
      <c r="C1430" t="s">
        <v>26</v>
      </c>
      <c r="D1430" s="3" t="s">
        <v>248</v>
      </c>
      <c r="E1430" s="5" t="str">
        <f>TEXT(D1430,"dd/mm/yyyy")</f>
        <v>18/07/2023</v>
      </c>
      <c r="F1430" s="5" t="str" cm="1">
        <f t="array" ref="F1430">RIGHT(_xlfn.ANCHORARRAY(E1430),4)</f>
        <v>2023</v>
      </c>
      <c r="G1430" s="5" t="str">
        <f>TEXT(E1430,"mm")</f>
        <v>18/07/2023</v>
      </c>
      <c r="H1430" s="6">
        <v>8385.3799999999992</v>
      </c>
      <c r="I1430">
        <v>73</v>
      </c>
      <c r="L1430" t="str">
        <f t="shared" si="22"/>
        <v>Above Average</v>
      </c>
      <c r="M1430">
        <f>RANK(H1430,H:H,0)</f>
        <v>855</v>
      </c>
    </row>
    <row r="1431" spans="1:13">
      <c r="A1431" t="s">
        <v>83</v>
      </c>
      <c r="B1431" t="s">
        <v>7</v>
      </c>
      <c r="C1431" t="s">
        <v>60</v>
      </c>
      <c r="D1431" s="3" t="s">
        <v>174</v>
      </c>
      <c r="E1431" s="5" t="str">
        <f>TEXT(D1431,"dd/mm/yyyy")</f>
        <v>30/05/2023</v>
      </c>
      <c r="F1431" s="5" t="str" cm="1">
        <f t="array" ref="F1431">RIGHT(_xlfn.ANCHORARRAY(E1431),4)</f>
        <v>2023</v>
      </c>
      <c r="G1431" s="5" t="str">
        <f>TEXT(E1431,"mm")</f>
        <v>30/05/2023</v>
      </c>
      <c r="H1431" s="6">
        <v>4854.12</v>
      </c>
      <c r="I1431">
        <v>411</v>
      </c>
      <c r="L1431" t="str">
        <f t="shared" si="22"/>
        <v>Below Average</v>
      </c>
      <c r="M1431">
        <f>RANK(H1431,H:H,0)</f>
        <v>1752</v>
      </c>
    </row>
    <row r="1432" spans="1:13">
      <c r="A1432" t="s">
        <v>12</v>
      </c>
      <c r="B1432" t="s">
        <v>7</v>
      </c>
      <c r="C1432" t="s">
        <v>100</v>
      </c>
      <c r="D1432" s="3" t="s">
        <v>249</v>
      </c>
      <c r="E1432" s="5" t="str">
        <f>TEXT(D1432,"dd/mm/yyyy")</f>
        <v>21/06/2023</v>
      </c>
      <c r="F1432" s="5" t="str" cm="1">
        <f t="array" ref="F1432">RIGHT(_xlfn.ANCHORARRAY(E1432),4)</f>
        <v>2023</v>
      </c>
      <c r="G1432" s="5" t="str">
        <f>TEXT(E1432,"mm")</f>
        <v>21/06/2023</v>
      </c>
      <c r="H1432" s="6">
        <v>949.18</v>
      </c>
      <c r="I1432">
        <v>83</v>
      </c>
      <c r="L1432" t="str">
        <f t="shared" si="22"/>
        <v>Below Average</v>
      </c>
      <c r="M1432">
        <f>RANK(H1432,H:H,0)</f>
        <v>2990</v>
      </c>
    </row>
    <row r="1433" spans="1:13">
      <c r="A1433" t="s">
        <v>6</v>
      </c>
      <c r="B1433" t="s">
        <v>15</v>
      </c>
      <c r="C1433" t="s">
        <v>13</v>
      </c>
      <c r="D1433" s="3" t="s">
        <v>246</v>
      </c>
      <c r="E1433" s="5" t="str">
        <f>TEXT(D1433,"dd/mm/yyyy")</f>
        <v>24/06/2023</v>
      </c>
      <c r="F1433" s="5" t="str" cm="1">
        <f t="array" ref="F1433">RIGHT(_xlfn.ANCHORARRAY(E1433),4)</f>
        <v>2023</v>
      </c>
      <c r="G1433" s="5" t="str">
        <f>TEXT(E1433,"mm")</f>
        <v>24/06/2023</v>
      </c>
      <c r="H1433" s="6">
        <v>6047.05</v>
      </c>
      <c r="I1433">
        <v>40</v>
      </c>
      <c r="L1433" t="str">
        <f t="shared" si="22"/>
        <v>Above Average</v>
      </c>
      <c r="M1433">
        <f>RANK(H1433,H:H,0)</f>
        <v>1424</v>
      </c>
    </row>
    <row r="1434" spans="1:13">
      <c r="A1434" t="s">
        <v>40</v>
      </c>
      <c r="B1434" t="s">
        <v>10</v>
      </c>
      <c r="C1434" t="s">
        <v>36</v>
      </c>
      <c r="D1434" s="3" t="s">
        <v>167</v>
      </c>
      <c r="E1434" s="5" t="str">
        <f>TEXT(D1434,"dd/mm/yyyy")</f>
        <v>13/01/2023</v>
      </c>
      <c r="F1434" s="5" t="str" cm="1">
        <f t="array" ref="F1434">RIGHT(_xlfn.ANCHORARRAY(E1434),4)</f>
        <v>2023</v>
      </c>
      <c r="G1434" s="5" t="str">
        <f>TEXT(E1434,"mm")</f>
        <v>13/01/2023</v>
      </c>
      <c r="H1434" s="6">
        <v>3883.32</v>
      </c>
      <c r="I1434">
        <v>94</v>
      </c>
      <c r="L1434" t="str">
        <f t="shared" si="22"/>
        <v>Below Average</v>
      </c>
      <c r="M1434">
        <f>RANK(H1434,H:H,0)</f>
        <v>2016</v>
      </c>
    </row>
    <row r="1435" spans="1:13">
      <c r="A1435" t="s">
        <v>48</v>
      </c>
      <c r="B1435" t="s">
        <v>35</v>
      </c>
      <c r="C1435" t="s">
        <v>57</v>
      </c>
      <c r="D1435" s="4">
        <v>45020</v>
      </c>
      <c r="E1435" s="5" t="str">
        <f>TEXT(D1435,"dd/mm/yyyy")</f>
        <v>04/04/2023</v>
      </c>
      <c r="F1435" s="5" t="str" cm="1">
        <f t="array" ref="F1435">RIGHT(_xlfn.ANCHORARRAY(E1435),4)</f>
        <v>2023</v>
      </c>
      <c r="G1435" s="5" t="str">
        <f>TEXT(E1435,"mm")</f>
        <v>04</v>
      </c>
      <c r="H1435" s="6">
        <v>4382.07</v>
      </c>
      <c r="I1435">
        <v>210</v>
      </c>
      <c r="L1435" t="str">
        <f t="shared" si="22"/>
        <v>Below Average</v>
      </c>
      <c r="M1435">
        <f>RANK(H1435,H:H,0)</f>
        <v>1880</v>
      </c>
    </row>
    <row r="1436" spans="1:13">
      <c r="A1436" t="s">
        <v>55</v>
      </c>
      <c r="B1436" t="s">
        <v>7</v>
      </c>
      <c r="C1436" t="s">
        <v>18</v>
      </c>
      <c r="D1436" s="4">
        <v>45144</v>
      </c>
      <c r="E1436" s="5" t="str">
        <f>TEXT(D1436,"dd/mm/yyyy")</f>
        <v>06/08/2023</v>
      </c>
      <c r="F1436" s="5" t="str" cm="1">
        <f t="array" ref="F1436">RIGHT(_xlfn.ANCHORARRAY(E1436),4)</f>
        <v>2023</v>
      </c>
      <c r="G1436" s="5" t="str">
        <f>TEXT(E1436,"mm")</f>
        <v>06</v>
      </c>
      <c r="H1436" s="6">
        <v>9928.1</v>
      </c>
      <c r="I1436">
        <v>599</v>
      </c>
      <c r="L1436" t="str">
        <f t="shared" si="22"/>
        <v>Above Average</v>
      </c>
      <c r="M1436">
        <f>RANK(H1436,H:H,0)</f>
        <v>593</v>
      </c>
    </row>
    <row r="1437" spans="1:13">
      <c r="A1437" t="s">
        <v>37</v>
      </c>
      <c r="B1437" t="s">
        <v>35</v>
      </c>
      <c r="C1437" t="s">
        <v>50</v>
      </c>
      <c r="D1437" s="4">
        <v>44965</v>
      </c>
      <c r="E1437" s="5" t="str">
        <f>TEXT(D1437,"dd/mm/yyyy")</f>
        <v>08/02/2023</v>
      </c>
      <c r="F1437" s="5" t="str" cm="1">
        <f t="array" ref="F1437">RIGHT(_xlfn.ANCHORARRAY(E1437),4)</f>
        <v>2023</v>
      </c>
      <c r="G1437" s="5" t="str">
        <f>TEXT(E1437,"mm")</f>
        <v>08</v>
      </c>
      <c r="H1437" s="6">
        <v>6315.53</v>
      </c>
      <c r="I1437">
        <v>51</v>
      </c>
      <c r="L1437" t="str">
        <f t="shared" si="22"/>
        <v>Above Average</v>
      </c>
      <c r="M1437">
        <f>RANK(H1437,H:H,0)</f>
        <v>1353</v>
      </c>
    </row>
    <row r="1438" spans="1:13">
      <c r="A1438" t="s">
        <v>70</v>
      </c>
      <c r="B1438" t="s">
        <v>32</v>
      </c>
      <c r="C1438" t="s">
        <v>42</v>
      </c>
      <c r="D1438" s="3" t="s">
        <v>244</v>
      </c>
      <c r="E1438" s="5" t="str">
        <f>TEXT(D1438,"dd/mm/yyyy")</f>
        <v>21/07/2023</v>
      </c>
      <c r="F1438" s="5" t="str" cm="1">
        <f t="array" ref="F1438">RIGHT(_xlfn.ANCHORARRAY(E1438),4)</f>
        <v>2023</v>
      </c>
      <c r="G1438" s="5" t="str">
        <f>TEXT(E1438,"mm")</f>
        <v>21/07/2023</v>
      </c>
      <c r="H1438" s="6">
        <v>10630.08</v>
      </c>
      <c r="I1438">
        <v>155</v>
      </c>
      <c r="L1438" t="str">
        <f t="shared" si="22"/>
        <v>Above Average</v>
      </c>
      <c r="M1438">
        <f>RANK(H1438,H:H,0)</f>
        <v>498</v>
      </c>
    </row>
    <row r="1439" spans="1:13">
      <c r="A1439" t="s">
        <v>48</v>
      </c>
      <c r="B1439" t="s">
        <v>10</v>
      </c>
      <c r="C1439" t="s">
        <v>50</v>
      </c>
      <c r="D1439" s="3" t="s">
        <v>196</v>
      </c>
      <c r="E1439" s="5" t="str">
        <f>TEXT(D1439,"dd/mm/yyyy")</f>
        <v>20/06/2023</v>
      </c>
      <c r="F1439" s="5" t="str" cm="1">
        <f t="array" ref="F1439">RIGHT(_xlfn.ANCHORARRAY(E1439),4)</f>
        <v>2023</v>
      </c>
      <c r="G1439" s="5" t="str">
        <f>TEXT(E1439,"mm")</f>
        <v>20/06/2023</v>
      </c>
      <c r="H1439" s="6">
        <v>167.33</v>
      </c>
      <c r="I1439">
        <v>143</v>
      </c>
      <c r="L1439" t="str">
        <f t="shared" si="22"/>
        <v>Below Average</v>
      </c>
      <c r="M1439">
        <f>RANK(H1439,H:H,0)</f>
        <v>3227</v>
      </c>
    </row>
    <row r="1440" spans="1:13">
      <c r="A1440" t="s">
        <v>45</v>
      </c>
      <c r="B1440" t="s">
        <v>10</v>
      </c>
      <c r="C1440" t="s">
        <v>23</v>
      </c>
      <c r="D1440" s="3" t="s">
        <v>250</v>
      </c>
      <c r="E1440" s="5" t="str">
        <f>TEXT(D1440,"dd/mm/yyyy")</f>
        <v>22/06/2023</v>
      </c>
      <c r="F1440" s="5" t="str" cm="1">
        <f t="array" ref="F1440">RIGHT(_xlfn.ANCHORARRAY(E1440),4)</f>
        <v>2023</v>
      </c>
      <c r="G1440" s="5" t="str">
        <f>TEXT(E1440,"mm")</f>
        <v>22/06/2023</v>
      </c>
      <c r="H1440" s="6">
        <v>2690.14</v>
      </c>
      <c r="I1440">
        <v>117</v>
      </c>
      <c r="L1440" t="str">
        <f t="shared" si="22"/>
        <v>Below Average</v>
      </c>
      <c r="M1440">
        <f>RANK(H1440,H:H,0)</f>
        <v>2407</v>
      </c>
    </row>
    <row r="1441" spans="1:13">
      <c r="A1441" t="s">
        <v>71</v>
      </c>
      <c r="B1441" t="s">
        <v>15</v>
      </c>
      <c r="C1441" t="s">
        <v>90</v>
      </c>
      <c r="D1441" s="4">
        <v>44962</v>
      </c>
      <c r="E1441" s="5" t="str">
        <f>TEXT(D1441,"dd/mm/yyyy")</f>
        <v>05/02/2023</v>
      </c>
      <c r="F1441" s="5" t="str" cm="1">
        <f t="array" ref="F1441">RIGHT(_xlfn.ANCHORARRAY(E1441),4)</f>
        <v>2023</v>
      </c>
      <c r="G1441" s="5" t="str">
        <f>TEXT(E1441,"mm")</f>
        <v>05</v>
      </c>
      <c r="H1441" s="6">
        <v>3242.04</v>
      </c>
      <c r="I1441">
        <v>15</v>
      </c>
      <c r="L1441" t="str">
        <f t="shared" si="22"/>
        <v>Below Average</v>
      </c>
      <c r="M1441">
        <f>RANK(H1441,H:H,0)</f>
        <v>2226</v>
      </c>
    </row>
    <row r="1442" spans="1:13">
      <c r="A1442" t="s">
        <v>48</v>
      </c>
      <c r="B1442" t="s">
        <v>15</v>
      </c>
      <c r="C1442" t="s">
        <v>20</v>
      </c>
      <c r="D1442" s="4">
        <v>45108</v>
      </c>
      <c r="E1442" s="5" t="str">
        <f>TEXT(D1442,"dd/mm/yyyy")</f>
        <v>01/07/2023</v>
      </c>
      <c r="F1442" s="5" t="str" cm="1">
        <f t="array" ref="F1442">RIGHT(_xlfn.ANCHORARRAY(E1442),4)</f>
        <v>2023</v>
      </c>
      <c r="G1442" s="5" t="str">
        <f>TEXT(E1442,"mm")</f>
        <v>01</v>
      </c>
      <c r="H1442" s="6">
        <v>5363.69</v>
      </c>
      <c r="I1442">
        <v>87</v>
      </c>
      <c r="L1442" t="str">
        <f t="shared" si="22"/>
        <v>Below Average</v>
      </c>
      <c r="M1442">
        <f>RANK(H1442,H:H,0)</f>
        <v>1599</v>
      </c>
    </row>
    <row r="1443" spans="1:13">
      <c r="A1443" t="s">
        <v>34</v>
      </c>
      <c r="B1443" t="s">
        <v>7</v>
      </c>
      <c r="C1443" t="s">
        <v>26</v>
      </c>
      <c r="D1443" s="3" t="s">
        <v>212</v>
      </c>
      <c r="E1443" s="5" t="str">
        <f>TEXT(D1443,"dd/mm/yyyy")</f>
        <v>21/02/2023</v>
      </c>
      <c r="F1443" s="5" t="str" cm="1">
        <f t="array" ref="F1443">RIGHT(_xlfn.ANCHORARRAY(E1443),4)</f>
        <v>2023</v>
      </c>
      <c r="G1443" s="5" t="str">
        <f>TEXT(E1443,"mm")</f>
        <v>21/02/2023</v>
      </c>
      <c r="H1443" s="6">
        <v>6160.89</v>
      </c>
      <c r="I1443">
        <v>95</v>
      </c>
      <c r="L1443" t="str">
        <f t="shared" si="22"/>
        <v>Above Average</v>
      </c>
      <c r="M1443">
        <f>RANK(H1443,H:H,0)</f>
        <v>1392</v>
      </c>
    </row>
    <row r="1444" spans="1:13">
      <c r="A1444" t="s">
        <v>83</v>
      </c>
      <c r="B1444" t="s">
        <v>35</v>
      </c>
      <c r="C1444" t="s">
        <v>87</v>
      </c>
      <c r="D1444" s="3" t="s">
        <v>251</v>
      </c>
      <c r="E1444" s="5" t="str">
        <f>TEXT(D1444,"dd/mm/yyyy")</f>
        <v>21/03/2023</v>
      </c>
      <c r="F1444" s="5" t="str" cm="1">
        <f t="array" ref="F1444">RIGHT(_xlfn.ANCHORARRAY(E1444),4)</f>
        <v>2023</v>
      </c>
      <c r="G1444" s="5" t="str">
        <f>TEXT(E1444,"mm")</f>
        <v>21/03/2023</v>
      </c>
      <c r="H1444" s="6">
        <v>7968.23</v>
      </c>
      <c r="I1444">
        <v>373</v>
      </c>
      <c r="L1444" t="str">
        <f t="shared" si="22"/>
        <v>Above Average</v>
      </c>
      <c r="M1444">
        <f>RANK(H1444,H:H,0)</f>
        <v>944</v>
      </c>
    </row>
    <row r="1445" spans="1:13">
      <c r="A1445" t="s">
        <v>9</v>
      </c>
      <c r="B1445" t="s">
        <v>7</v>
      </c>
      <c r="C1445" t="s">
        <v>38</v>
      </c>
      <c r="D1445" s="4">
        <v>45020</v>
      </c>
      <c r="E1445" s="5" t="str">
        <f>TEXT(D1445,"dd/mm/yyyy")</f>
        <v>04/04/2023</v>
      </c>
      <c r="F1445" s="5" t="str" cm="1">
        <f t="array" ref="F1445">RIGHT(_xlfn.ANCHORARRAY(E1445),4)</f>
        <v>2023</v>
      </c>
      <c r="G1445" s="5" t="str">
        <f>TEXT(E1445,"mm")</f>
        <v>04</v>
      </c>
      <c r="H1445" s="6">
        <v>6388.95</v>
      </c>
      <c r="I1445">
        <v>131</v>
      </c>
      <c r="L1445" t="str">
        <f t="shared" si="22"/>
        <v>Above Average</v>
      </c>
      <c r="M1445">
        <f>RANK(H1445,H:H,0)</f>
        <v>1334</v>
      </c>
    </row>
    <row r="1446" spans="1:13">
      <c r="A1446" t="s">
        <v>22</v>
      </c>
      <c r="B1446" t="s">
        <v>35</v>
      </c>
      <c r="C1446" t="s">
        <v>57</v>
      </c>
      <c r="D1446" s="3" t="s">
        <v>165</v>
      </c>
      <c r="E1446" s="5" t="str">
        <f>TEXT(D1446,"dd/mm/yyyy")</f>
        <v>24/03/2023</v>
      </c>
      <c r="F1446" s="5" t="str" cm="1">
        <f t="array" ref="F1446">RIGHT(_xlfn.ANCHORARRAY(E1446),4)</f>
        <v>2023</v>
      </c>
      <c r="G1446" s="5" t="str">
        <f>TEXT(E1446,"mm")</f>
        <v>24/03/2023</v>
      </c>
      <c r="H1446" s="6">
        <v>15840.74</v>
      </c>
      <c r="I1446">
        <v>216</v>
      </c>
      <c r="L1446" t="str">
        <f t="shared" si="22"/>
        <v>Above Average</v>
      </c>
      <c r="M1446">
        <f>RANK(H1446,H:H,0)</f>
        <v>108</v>
      </c>
    </row>
    <row r="1447" spans="1:13">
      <c r="A1447" t="s">
        <v>22</v>
      </c>
      <c r="B1447" t="s">
        <v>25</v>
      </c>
      <c r="C1447" t="s">
        <v>50</v>
      </c>
      <c r="D1447" s="3" t="s">
        <v>191</v>
      </c>
      <c r="E1447" s="5" t="str">
        <f>TEXT(D1447,"dd/mm/yyyy")</f>
        <v>28/06/2023</v>
      </c>
      <c r="F1447" s="5" t="str" cm="1">
        <f t="array" ref="F1447">RIGHT(_xlfn.ANCHORARRAY(E1447),4)</f>
        <v>2023</v>
      </c>
      <c r="G1447" s="5" t="str">
        <f>TEXT(E1447,"mm")</f>
        <v>28/06/2023</v>
      </c>
      <c r="H1447" s="6">
        <v>7265.05</v>
      </c>
      <c r="I1447">
        <v>194</v>
      </c>
      <c r="L1447" t="str">
        <f t="shared" si="22"/>
        <v>Above Average</v>
      </c>
      <c r="M1447">
        <f>RANK(H1447,H:H,0)</f>
        <v>1116</v>
      </c>
    </row>
    <row r="1448" spans="1:13">
      <c r="A1448" t="s">
        <v>22</v>
      </c>
      <c r="B1448" t="s">
        <v>15</v>
      </c>
      <c r="C1448" t="s">
        <v>38</v>
      </c>
      <c r="D1448" s="3" t="s">
        <v>225</v>
      </c>
      <c r="E1448" s="5" t="str">
        <f>TEXT(D1448,"dd/mm/yyyy")</f>
        <v>14/01/2023</v>
      </c>
      <c r="F1448" s="5" t="str" cm="1">
        <f t="array" ref="F1448">RIGHT(_xlfn.ANCHORARRAY(E1448),4)</f>
        <v>2023</v>
      </c>
      <c r="G1448" s="5" t="str">
        <f>TEXT(E1448,"mm")</f>
        <v>14/01/2023</v>
      </c>
      <c r="H1448" s="6">
        <v>2342.4899999999998</v>
      </c>
      <c r="I1448">
        <v>192</v>
      </c>
      <c r="L1448" t="str">
        <f t="shared" si="22"/>
        <v>Below Average</v>
      </c>
      <c r="M1448">
        <f>RANK(H1448,H:H,0)</f>
        <v>2533</v>
      </c>
    </row>
    <row r="1449" spans="1:13">
      <c r="A1449" t="s">
        <v>37</v>
      </c>
      <c r="B1449" t="s">
        <v>25</v>
      </c>
      <c r="C1449" t="s">
        <v>57</v>
      </c>
      <c r="D1449" s="4">
        <v>45109</v>
      </c>
      <c r="E1449" s="5" t="str">
        <f>TEXT(D1449,"dd/mm/yyyy")</f>
        <v>02/07/2023</v>
      </c>
      <c r="F1449" s="5" t="str" cm="1">
        <f t="array" ref="F1449">RIGHT(_xlfn.ANCHORARRAY(E1449),4)</f>
        <v>2023</v>
      </c>
      <c r="G1449" s="5" t="str">
        <f>TEXT(E1449,"mm")</f>
        <v>02</v>
      </c>
      <c r="H1449" s="6">
        <v>1365.88</v>
      </c>
      <c r="I1449">
        <v>147</v>
      </c>
      <c r="L1449" t="str">
        <f t="shared" si="22"/>
        <v>Below Average</v>
      </c>
      <c r="M1449">
        <f>RANK(H1449,H:H,0)</f>
        <v>2856</v>
      </c>
    </row>
    <row r="1450" spans="1:13">
      <c r="A1450" t="s">
        <v>58</v>
      </c>
      <c r="B1450" t="s">
        <v>25</v>
      </c>
      <c r="C1450" t="s">
        <v>38</v>
      </c>
      <c r="D1450" s="4">
        <v>45231</v>
      </c>
      <c r="E1450" s="5" t="str">
        <f>TEXT(D1450,"dd/mm/yyyy")</f>
        <v>01/11/2023</v>
      </c>
      <c r="F1450" s="5" t="str" cm="1">
        <f t="array" ref="F1450">RIGHT(_xlfn.ANCHORARRAY(E1450),4)</f>
        <v>2023</v>
      </c>
      <c r="G1450" s="5" t="str">
        <f>TEXT(E1450,"mm")</f>
        <v>01</v>
      </c>
      <c r="H1450" s="6">
        <v>4437.46</v>
      </c>
      <c r="I1450">
        <v>196</v>
      </c>
      <c r="L1450" t="str">
        <f t="shared" si="22"/>
        <v>Below Average</v>
      </c>
      <c r="M1450">
        <f>RANK(H1450,H:H,0)</f>
        <v>1869</v>
      </c>
    </row>
    <row r="1451" spans="1:13">
      <c r="A1451" t="s">
        <v>6</v>
      </c>
      <c r="B1451" t="s">
        <v>10</v>
      </c>
      <c r="C1451" t="s">
        <v>20</v>
      </c>
      <c r="D1451" s="3" t="s">
        <v>207</v>
      </c>
      <c r="E1451" s="5" t="str">
        <f>TEXT(D1451,"dd/mm/yyyy")</f>
        <v>25/02/2023</v>
      </c>
      <c r="F1451" s="5" t="str" cm="1">
        <f t="array" ref="F1451">RIGHT(_xlfn.ANCHORARRAY(E1451),4)</f>
        <v>2023</v>
      </c>
      <c r="G1451" s="5" t="str">
        <f>TEXT(E1451,"mm")</f>
        <v>25/02/2023</v>
      </c>
      <c r="H1451" s="6">
        <v>2072.2399999999998</v>
      </c>
      <c r="I1451">
        <v>232</v>
      </c>
      <c r="L1451" t="str">
        <f t="shared" si="22"/>
        <v>Below Average</v>
      </c>
      <c r="M1451">
        <f>RANK(H1451,H:H,0)</f>
        <v>2609</v>
      </c>
    </row>
    <row r="1452" spans="1:13">
      <c r="A1452" t="s">
        <v>79</v>
      </c>
      <c r="B1452" t="s">
        <v>15</v>
      </c>
      <c r="C1452" t="s">
        <v>8</v>
      </c>
      <c r="D1452" s="4">
        <v>44934</v>
      </c>
      <c r="E1452" s="5" t="str">
        <f>TEXT(D1452,"dd/mm/yyyy")</f>
        <v>08/01/2023</v>
      </c>
      <c r="F1452" s="5" t="str" cm="1">
        <f t="array" ref="F1452">RIGHT(_xlfn.ANCHORARRAY(E1452),4)</f>
        <v>2023</v>
      </c>
      <c r="G1452" s="5" t="str">
        <f>TEXT(E1452,"mm")</f>
        <v>08</v>
      </c>
      <c r="H1452" s="6">
        <v>7091.81</v>
      </c>
      <c r="I1452">
        <v>27</v>
      </c>
      <c r="L1452" t="str">
        <f t="shared" si="22"/>
        <v>Above Average</v>
      </c>
      <c r="M1452">
        <f>RANK(H1452,H:H,0)</f>
        <v>1159</v>
      </c>
    </row>
    <row r="1453" spans="1:13">
      <c r="A1453" t="s">
        <v>45</v>
      </c>
      <c r="B1453" t="s">
        <v>15</v>
      </c>
      <c r="C1453" t="s">
        <v>8</v>
      </c>
      <c r="D1453" s="4">
        <v>45051</v>
      </c>
      <c r="E1453" s="5" t="str">
        <f>TEXT(D1453,"dd/mm/yyyy")</f>
        <v>05/05/2023</v>
      </c>
      <c r="F1453" s="5" t="str" cm="1">
        <f t="array" ref="F1453">RIGHT(_xlfn.ANCHORARRAY(E1453),4)</f>
        <v>2023</v>
      </c>
      <c r="G1453" s="5" t="str">
        <f>TEXT(E1453,"mm")</f>
        <v>05</v>
      </c>
      <c r="H1453" s="6">
        <v>7213.16</v>
      </c>
      <c r="I1453">
        <v>277</v>
      </c>
      <c r="L1453" t="str">
        <f t="shared" si="22"/>
        <v>Above Average</v>
      </c>
      <c r="M1453">
        <f>RANK(H1453,H:H,0)</f>
        <v>1128</v>
      </c>
    </row>
    <row r="1454" spans="1:13">
      <c r="A1454" t="s">
        <v>77</v>
      </c>
      <c r="B1454" t="s">
        <v>25</v>
      </c>
      <c r="C1454" t="s">
        <v>73</v>
      </c>
      <c r="D1454" s="3" t="s">
        <v>190</v>
      </c>
      <c r="E1454" s="5" t="str">
        <f>TEXT(D1454,"dd/mm/yyyy")</f>
        <v>18/05/2023</v>
      </c>
      <c r="F1454" s="5" t="str" cm="1">
        <f t="array" ref="F1454">RIGHT(_xlfn.ANCHORARRAY(E1454),4)</f>
        <v>2023</v>
      </c>
      <c r="G1454" s="5" t="str">
        <f>TEXT(E1454,"mm")</f>
        <v>18/05/2023</v>
      </c>
      <c r="H1454" s="6">
        <v>9672.76</v>
      </c>
      <c r="I1454">
        <v>411</v>
      </c>
      <c r="L1454" t="str">
        <f t="shared" si="22"/>
        <v>Above Average</v>
      </c>
      <c r="M1454">
        <f>RANK(H1454,H:H,0)</f>
        <v>633</v>
      </c>
    </row>
    <row r="1455" spans="1:13">
      <c r="A1455" t="s">
        <v>79</v>
      </c>
      <c r="B1455" t="s">
        <v>25</v>
      </c>
      <c r="C1455" t="s">
        <v>75</v>
      </c>
      <c r="D1455" s="4">
        <v>45017</v>
      </c>
      <c r="E1455" s="5" t="str">
        <f>TEXT(D1455,"dd/mm/yyyy")</f>
        <v>01/04/2023</v>
      </c>
      <c r="F1455" s="5" t="str" cm="1">
        <f t="array" ref="F1455">RIGHT(_xlfn.ANCHORARRAY(E1455),4)</f>
        <v>2023</v>
      </c>
      <c r="G1455" s="5" t="str">
        <f>TEXT(E1455,"mm")</f>
        <v>01</v>
      </c>
      <c r="H1455" s="6">
        <v>5750.05</v>
      </c>
      <c r="I1455">
        <v>350</v>
      </c>
      <c r="L1455" t="str">
        <f t="shared" si="22"/>
        <v>Below Average</v>
      </c>
      <c r="M1455">
        <f>RANK(H1455,H:H,0)</f>
        <v>1505</v>
      </c>
    </row>
    <row r="1456" spans="1:13">
      <c r="A1456" t="s">
        <v>45</v>
      </c>
      <c r="B1456" t="s">
        <v>25</v>
      </c>
      <c r="C1456" t="s">
        <v>26</v>
      </c>
      <c r="D1456" s="4">
        <v>45174</v>
      </c>
      <c r="E1456" s="5" t="str">
        <f>TEXT(D1456,"dd/mm/yyyy")</f>
        <v>05/09/2023</v>
      </c>
      <c r="F1456" s="5" t="str" cm="1">
        <f t="array" ref="F1456">RIGHT(_xlfn.ANCHORARRAY(E1456),4)</f>
        <v>2023</v>
      </c>
      <c r="G1456" s="5" t="str">
        <f>TEXT(E1456,"mm")</f>
        <v>05</v>
      </c>
      <c r="H1456" s="6">
        <v>4641.29</v>
      </c>
      <c r="I1456">
        <v>220</v>
      </c>
      <c r="L1456" t="str">
        <f t="shared" si="22"/>
        <v>Below Average</v>
      </c>
      <c r="M1456">
        <f>RANK(H1456,H:H,0)</f>
        <v>1813</v>
      </c>
    </row>
    <row r="1457" spans="1:13">
      <c r="A1457" t="s">
        <v>29</v>
      </c>
      <c r="B1457" t="s">
        <v>10</v>
      </c>
      <c r="C1457" t="s">
        <v>18</v>
      </c>
      <c r="D1457" s="4">
        <v>45082</v>
      </c>
      <c r="E1457" s="5" t="str">
        <f>TEXT(D1457,"dd/mm/yyyy")</f>
        <v>05/06/2023</v>
      </c>
      <c r="F1457" s="5" t="str" cm="1">
        <f t="array" ref="F1457">RIGHT(_xlfn.ANCHORARRAY(E1457),4)</f>
        <v>2023</v>
      </c>
      <c r="G1457" s="5" t="str">
        <f>TEXT(E1457,"mm")</f>
        <v>05</v>
      </c>
      <c r="H1457" s="6">
        <v>1871.33</v>
      </c>
      <c r="I1457">
        <v>88</v>
      </c>
      <c r="L1457" t="str">
        <f t="shared" si="22"/>
        <v>Below Average</v>
      </c>
      <c r="M1457">
        <f>RANK(H1457,H:H,0)</f>
        <v>2673</v>
      </c>
    </row>
    <row r="1458" spans="1:13">
      <c r="A1458" t="s">
        <v>53</v>
      </c>
      <c r="B1458" t="s">
        <v>7</v>
      </c>
      <c r="C1458" t="s">
        <v>59</v>
      </c>
      <c r="D1458" s="3" t="s">
        <v>167</v>
      </c>
      <c r="E1458" s="5" t="str">
        <f>TEXT(D1458,"dd/mm/yyyy")</f>
        <v>13/01/2023</v>
      </c>
      <c r="F1458" s="5" t="str" cm="1">
        <f t="array" ref="F1458">RIGHT(_xlfn.ANCHORARRAY(E1458),4)</f>
        <v>2023</v>
      </c>
      <c r="G1458" s="5" t="str">
        <f>TEXT(E1458,"mm")</f>
        <v>13/01/2023</v>
      </c>
      <c r="H1458" s="6">
        <v>10843.46</v>
      </c>
      <c r="I1458">
        <v>142</v>
      </c>
      <c r="L1458" t="str">
        <f t="shared" si="22"/>
        <v>Above Average</v>
      </c>
      <c r="M1458">
        <f>RANK(H1458,H:H,0)</f>
        <v>465</v>
      </c>
    </row>
    <row r="1459" spans="1:13">
      <c r="A1459" t="s">
        <v>45</v>
      </c>
      <c r="B1459" t="s">
        <v>15</v>
      </c>
      <c r="C1459" t="s">
        <v>65</v>
      </c>
      <c r="D1459" s="3" t="s">
        <v>246</v>
      </c>
      <c r="E1459" s="5" t="str">
        <f>TEXT(D1459,"dd/mm/yyyy")</f>
        <v>24/06/2023</v>
      </c>
      <c r="F1459" s="5" t="str" cm="1">
        <f t="array" ref="F1459">RIGHT(_xlfn.ANCHORARRAY(E1459),4)</f>
        <v>2023</v>
      </c>
      <c r="G1459" s="5" t="str">
        <f>TEXT(E1459,"mm")</f>
        <v>24/06/2023</v>
      </c>
      <c r="H1459" s="6">
        <v>5032.45</v>
      </c>
      <c r="I1459">
        <v>79</v>
      </c>
      <c r="L1459" t="str">
        <f t="shared" si="22"/>
        <v>Below Average</v>
      </c>
      <c r="M1459">
        <f>RANK(H1459,H:H,0)</f>
        <v>1695</v>
      </c>
    </row>
    <row r="1460" spans="1:13">
      <c r="A1460" t="s">
        <v>9</v>
      </c>
      <c r="B1460" t="s">
        <v>32</v>
      </c>
      <c r="C1460" t="s">
        <v>90</v>
      </c>
      <c r="D1460" s="3" t="s">
        <v>170</v>
      </c>
      <c r="E1460" s="5" t="str">
        <f>TEXT(D1460,"dd/mm/yyyy")</f>
        <v>14/02/2023</v>
      </c>
      <c r="F1460" s="5" t="str" cm="1">
        <f t="array" ref="F1460">RIGHT(_xlfn.ANCHORARRAY(E1460),4)</f>
        <v>2023</v>
      </c>
      <c r="G1460" s="5" t="str">
        <f>TEXT(E1460,"mm")</f>
        <v>14/02/2023</v>
      </c>
      <c r="H1460" s="6">
        <v>1106.3800000000001</v>
      </c>
      <c r="I1460">
        <v>21</v>
      </c>
      <c r="L1460" t="str">
        <f t="shared" si="22"/>
        <v>Below Average</v>
      </c>
      <c r="M1460">
        <f>RANK(H1460,H:H,0)</f>
        <v>2939</v>
      </c>
    </row>
    <row r="1461" spans="1:13">
      <c r="A1461" t="s">
        <v>71</v>
      </c>
      <c r="B1461" t="s">
        <v>15</v>
      </c>
      <c r="C1461" t="s">
        <v>20</v>
      </c>
      <c r="D1461" s="3" t="s">
        <v>218</v>
      </c>
      <c r="E1461" s="5" t="str">
        <f>TEXT(D1461,"dd/mm/yyyy")</f>
        <v>18/01/2023</v>
      </c>
      <c r="F1461" s="5" t="str" cm="1">
        <f t="array" ref="F1461">RIGHT(_xlfn.ANCHORARRAY(E1461),4)</f>
        <v>2023</v>
      </c>
      <c r="G1461" s="5" t="str">
        <f>TEXT(E1461,"mm")</f>
        <v>18/01/2023</v>
      </c>
      <c r="H1461" s="6">
        <v>4977.55</v>
      </c>
      <c r="I1461">
        <v>97</v>
      </c>
      <c r="L1461" t="str">
        <f t="shared" si="22"/>
        <v>Below Average</v>
      </c>
      <c r="M1461">
        <f>RANK(H1461,H:H,0)</f>
        <v>1712</v>
      </c>
    </row>
    <row r="1462" spans="1:13">
      <c r="A1462" t="s">
        <v>55</v>
      </c>
      <c r="B1462" t="s">
        <v>10</v>
      </c>
      <c r="C1462" t="s">
        <v>46</v>
      </c>
      <c r="D1462" s="4">
        <v>44962</v>
      </c>
      <c r="E1462" s="5" t="str">
        <f>TEXT(D1462,"dd/mm/yyyy")</f>
        <v>05/02/2023</v>
      </c>
      <c r="F1462" s="5" t="str" cm="1">
        <f t="array" ref="F1462">RIGHT(_xlfn.ANCHORARRAY(E1462),4)</f>
        <v>2023</v>
      </c>
      <c r="G1462" s="5" t="str">
        <f>TEXT(E1462,"mm")</f>
        <v>05</v>
      </c>
      <c r="H1462" s="6">
        <v>3210.14</v>
      </c>
      <c r="I1462">
        <v>92</v>
      </c>
      <c r="L1462" t="str">
        <f t="shared" si="22"/>
        <v>Below Average</v>
      </c>
      <c r="M1462">
        <f>RANK(H1462,H:H,0)</f>
        <v>2232</v>
      </c>
    </row>
    <row r="1463" spans="1:13">
      <c r="A1463" t="s">
        <v>83</v>
      </c>
      <c r="B1463" t="s">
        <v>15</v>
      </c>
      <c r="C1463" t="s">
        <v>18</v>
      </c>
      <c r="D1463" s="3" t="s">
        <v>192</v>
      </c>
      <c r="E1463" s="5" t="str">
        <f>TEXT(D1463,"dd/mm/yyyy")</f>
        <v>16/05/2023</v>
      </c>
      <c r="F1463" s="5" t="str" cm="1">
        <f t="array" ref="F1463">RIGHT(_xlfn.ANCHORARRAY(E1463),4)</f>
        <v>2023</v>
      </c>
      <c r="G1463" s="5" t="str">
        <f>TEXT(E1463,"mm")</f>
        <v>16/05/2023</v>
      </c>
      <c r="H1463" s="6">
        <v>7794.8</v>
      </c>
      <c r="I1463">
        <v>54</v>
      </c>
      <c r="L1463" t="str">
        <f t="shared" si="22"/>
        <v>Above Average</v>
      </c>
      <c r="M1463">
        <f>RANK(H1463,H:H,0)</f>
        <v>992</v>
      </c>
    </row>
    <row r="1464" spans="1:13">
      <c r="A1464" t="s">
        <v>34</v>
      </c>
      <c r="B1464" t="s">
        <v>32</v>
      </c>
      <c r="C1464" t="s">
        <v>65</v>
      </c>
      <c r="D1464" s="3" t="s">
        <v>210</v>
      </c>
      <c r="E1464" s="5" t="str">
        <f>TEXT(D1464,"dd/mm/yyyy")</f>
        <v>28/01/2023</v>
      </c>
      <c r="F1464" s="5" t="str" cm="1">
        <f t="array" ref="F1464">RIGHT(_xlfn.ANCHORARRAY(E1464),4)</f>
        <v>2023</v>
      </c>
      <c r="G1464" s="5" t="str">
        <f>TEXT(E1464,"mm")</f>
        <v>28/01/2023</v>
      </c>
      <c r="H1464" s="6">
        <v>7613.37</v>
      </c>
      <c r="I1464">
        <v>370</v>
      </c>
      <c r="L1464" t="str">
        <f t="shared" si="22"/>
        <v>Above Average</v>
      </c>
      <c r="M1464">
        <f>RANK(H1464,H:H,0)</f>
        <v>1041</v>
      </c>
    </row>
    <row r="1465" spans="1:13">
      <c r="A1465" t="s">
        <v>55</v>
      </c>
      <c r="B1465" t="s">
        <v>35</v>
      </c>
      <c r="C1465" t="s">
        <v>20</v>
      </c>
      <c r="D1465" s="3" t="s">
        <v>246</v>
      </c>
      <c r="E1465" s="5" t="str">
        <f>TEXT(D1465,"dd/mm/yyyy")</f>
        <v>24/06/2023</v>
      </c>
      <c r="F1465" s="5" t="str" cm="1">
        <f t="array" ref="F1465">RIGHT(_xlfn.ANCHORARRAY(E1465),4)</f>
        <v>2023</v>
      </c>
      <c r="G1465" s="5" t="str">
        <f>TEXT(E1465,"mm")</f>
        <v>24/06/2023</v>
      </c>
      <c r="H1465" s="6">
        <v>1332.76</v>
      </c>
      <c r="I1465">
        <v>409</v>
      </c>
      <c r="L1465" t="str">
        <f t="shared" si="22"/>
        <v>Below Average</v>
      </c>
      <c r="M1465">
        <f>RANK(H1465,H:H,0)</f>
        <v>2865</v>
      </c>
    </row>
    <row r="1466" spans="1:13">
      <c r="A1466" t="s">
        <v>19</v>
      </c>
      <c r="B1466" t="s">
        <v>7</v>
      </c>
      <c r="C1466" t="s">
        <v>23</v>
      </c>
      <c r="D1466" s="3" t="s">
        <v>248</v>
      </c>
      <c r="E1466" s="5" t="str">
        <f>TEXT(D1466,"dd/mm/yyyy")</f>
        <v>18/07/2023</v>
      </c>
      <c r="F1466" s="5" t="str" cm="1">
        <f t="array" ref="F1466">RIGHT(_xlfn.ANCHORARRAY(E1466),4)</f>
        <v>2023</v>
      </c>
      <c r="G1466" s="5" t="str">
        <f>TEXT(E1466,"mm")</f>
        <v>18/07/2023</v>
      </c>
      <c r="H1466" s="6">
        <v>2587.7600000000002</v>
      </c>
      <c r="I1466">
        <v>108</v>
      </c>
      <c r="L1466" t="str">
        <f t="shared" si="22"/>
        <v>Below Average</v>
      </c>
      <c r="M1466">
        <f>RANK(H1466,H:H,0)</f>
        <v>2442</v>
      </c>
    </row>
    <row r="1467" spans="1:13">
      <c r="A1467" t="s">
        <v>22</v>
      </c>
      <c r="B1467" t="s">
        <v>7</v>
      </c>
      <c r="C1467" t="s">
        <v>36</v>
      </c>
      <c r="D1467" s="3" t="s">
        <v>224</v>
      </c>
      <c r="E1467" s="5" t="str">
        <f>TEXT(D1467,"dd/mm/yyyy")</f>
        <v>13/04/2023</v>
      </c>
      <c r="F1467" s="5" t="str" cm="1">
        <f t="array" ref="F1467">RIGHT(_xlfn.ANCHORARRAY(E1467),4)</f>
        <v>2023</v>
      </c>
      <c r="G1467" s="5" t="str">
        <f>TEXT(E1467,"mm")</f>
        <v>13/04/2023</v>
      </c>
      <c r="H1467" s="6">
        <v>3826.22</v>
      </c>
      <c r="I1467">
        <v>169</v>
      </c>
      <c r="L1467" t="str">
        <f t="shared" si="22"/>
        <v>Below Average</v>
      </c>
      <c r="M1467">
        <f>RANK(H1467,H:H,0)</f>
        <v>2031</v>
      </c>
    </row>
    <row r="1468" spans="1:13">
      <c r="A1468" t="s">
        <v>79</v>
      </c>
      <c r="B1468" t="s">
        <v>32</v>
      </c>
      <c r="C1468" t="s">
        <v>90</v>
      </c>
      <c r="D1468" s="3" t="s">
        <v>184</v>
      </c>
      <c r="E1468" s="5" t="str">
        <f>TEXT(D1468,"dd/mm/yyyy")</f>
        <v>15/04/2023</v>
      </c>
      <c r="F1468" s="5" t="str" cm="1">
        <f t="array" ref="F1468">RIGHT(_xlfn.ANCHORARRAY(E1468),4)</f>
        <v>2023</v>
      </c>
      <c r="G1468" s="5" t="str">
        <f>TEXT(E1468,"mm")</f>
        <v>15/04/2023</v>
      </c>
      <c r="H1468" s="6">
        <v>18687.87</v>
      </c>
      <c r="I1468">
        <v>80</v>
      </c>
      <c r="L1468" t="str">
        <f t="shared" si="22"/>
        <v>Above Average</v>
      </c>
      <c r="M1468">
        <f>RANK(H1468,H:H,0)</f>
        <v>32</v>
      </c>
    </row>
    <row r="1469" spans="1:13">
      <c r="A1469" t="s">
        <v>14</v>
      </c>
      <c r="B1469" t="s">
        <v>10</v>
      </c>
      <c r="C1469" t="s">
        <v>13</v>
      </c>
      <c r="D1469" s="4">
        <v>45017</v>
      </c>
      <c r="E1469" s="5" t="str">
        <f>TEXT(D1469,"dd/mm/yyyy")</f>
        <v>01/04/2023</v>
      </c>
      <c r="F1469" s="5" t="str" cm="1">
        <f t="array" ref="F1469">RIGHT(_xlfn.ANCHORARRAY(E1469),4)</f>
        <v>2023</v>
      </c>
      <c r="G1469" s="5" t="str">
        <f>TEXT(E1469,"mm")</f>
        <v>01</v>
      </c>
      <c r="H1469" s="6">
        <v>8859.6299999999992</v>
      </c>
      <c r="I1469">
        <v>184</v>
      </c>
      <c r="L1469" t="str">
        <f t="shared" si="22"/>
        <v>Above Average</v>
      </c>
      <c r="M1469">
        <f>RANK(H1469,H:H,0)</f>
        <v>767</v>
      </c>
    </row>
    <row r="1470" spans="1:13">
      <c r="A1470" t="s">
        <v>53</v>
      </c>
      <c r="B1470" t="s">
        <v>15</v>
      </c>
      <c r="C1470" t="s">
        <v>36</v>
      </c>
      <c r="D1470" s="4">
        <v>45023</v>
      </c>
      <c r="E1470" s="5" t="str">
        <f>TEXT(D1470,"dd/mm/yyyy")</f>
        <v>07/04/2023</v>
      </c>
      <c r="F1470" s="5" t="str" cm="1">
        <f t="array" ref="F1470">RIGHT(_xlfn.ANCHORARRAY(E1470),4)</f>
        <v>2023</v>
      </c>
      <c r="G1470" s="5" t="str">
        <f>TEXT(E1470,"mm")</f>
        <v>07</v>
      </c>
      <c r="H1470" s="6">
        <v>7299.4</v>
      </c>
      <c r="I1470">
        <v>34</v>
      </c>
      <c r="L1470" t="str">
        <f t="shared" si="22"/>
        <v>Above Average</v>
      </c>
      <c r="M1470">
        <f>RANK(H1470,H:H,0)</f>
        <v>1111</v>
      </c>
    </row>
    <row r="1471" spans="1:13">
      <c r="A1471" t="s">
        <v>41</v>
      </c>
      <c r="B1471" t="s">
        <v>32</v>
      </c>
      <c r="C1471" t="s">
        <v>18</v>
      </c>
      <c r="D1471" s="3" t="s">
        <v>165</v>
      </c>
      <c r="E1471" s="5" t="str">
        <f>TEXT(D1471,"dd/mm/yyyy")</f>
        <v>24/03/2023</v>
      </c>
      <c r="F1471" s="5" t="str" cm="1">
        <f t="array" ref="F1471">RIGHT(_xlfn.ANCHORARRAY(E1471),4)</f>
        <v>2023</v>
      </c>
      <c r="G1471" s="5" t="str">
        <f>TEXT(E1471,"mm")</f>
        <v>24/03/2023</v>
      </c>
      <c r="H1471" s="6">
        <v>2556.2600000000002</v>
      </c>
      <c r="I1471">
        <v>354</v>
      </c>
      <c r="L1471" t="str">
        <f t="shared" si="22"/>
        <v>Below Average</v>
      </c>
      <c r="M1471">
        <f>RANK(H1471,H:H,0)</f>
        <v>2450</v>
      </c>
    </row>
    <row r="1472" spans="1:13">
      <c r="A1472" t="s">
        <v>71</v>
      </c>
      <c r="B1472" t="s">
        <v>15</v>
      </c>
      <c r="C1472" t="s">
        <v>60</v>
      </c>
      <c r="D1472" s="3" t="s">
        <v>226</v>
      </c>
      <c r="E1472" s="5" t="str">
        <f>TEXT(D1472,"dd/mm/yyyy")</f>
        <v>17/03/2023</v>
      </c>
      <c r="F1472" s="5" t="str" cm="1">
        <f t="array" ref="F1472">RIGHT(_xlfn.ANCHORARRAY(E1472),4)</f>
        <v>2023</v>
      </c>
      <c r="G1472" s="5" t="str">
        <f>TEXT(E1472,"mm")</f>
        <v>17/03/2023</v>
      </c>
      <c r="H1472" s="6">
        <v>703.4</v>
      </c>
      <c r="I1472">
        <v>181</v>
      </c>
      <c r="L1472" t="str">
        <f t="shared" si="22"/>
        <v>Below Average</v>
      </c>
      <c r="M1472">
        <f>RANK(H1472,H:H,0)</f>
        <v>3063</v>
      </c>
    </row>
    <row r="1473" spans="1:13">
      <c r="A1473" t="s">
        <v>19</v>
      </c>
      <c r="B1473" t="s">
        <v>15</v>
      </c>
      <c r="C1473" t="s">
        <v>65</v>
      </c>
      <c r="D1473" s="3" t="s">
        <v>252</v>
      </c>
      <c r="E1473" s="5" t="str">
        <f>TEXT(D1473,"dd/mm/yyyy")</f>
        <v>15/02/2023</v>
      </c>
      <c r="F1473" s="5" t="str" cm="1">
        <f t="array" ref="F1473">RIGHT(_xlfn.ANCHORARRAY(E1473),4)</f>
        <v>2023</v>
      </c>
      <c r="G1473" s="5" t="str">
        <f>TEXT(E1473,"mm")</f>
        <v>15/02/2023</v>
      </c>
      <c r="H1473" s="6">
        <v>6421.18</v>
      </c>
      <c r="I1473">
        <v>242</v>
      </c>
      <c r="L1473" t="str">
        <f t="shared" si="22"/>
        <v>Above Average</v>
      </c>
      <c r="M1473">
        <f>RANK(H1473,H:H,0)</f>
        <v>1329</v>
      </c>
    </row>
    <row r="1474" spans="1:13">
      <c r="A1474" t="s">
        <v>14</v>
      </c>
      <c r="B1474" t="s">
        <v>32</v>
      </c>
      <c r="C1474" t="s">
        <v>33</v>
      </c>
      <c r="D1474" s="3" t="s">
        <v>179</v>
      </c>
      <c r="E1474" s="5" t="str">
        <f>TEXT(D1474,"dd/mm/yyyy")</f>
        <v>29/06/2023</v>
      </c>
      <c r="F1474" s="5" t="str" cm="1">
        <f t="array" ref="F1474">RIGHT(_xlfn.ANCHORARRAY(E1474),4)</f>
        <v>2023</v>
      </c>
      <c r="G1474" s="5" t="str">
        <f>TEXT(E1474,"mm")</f>
        <v>29/06/2023</v>
      </c>
      <c r="H1474" s="6">
        <v>1048.26</v>
      </c>
      <c r="I1474">
        <v>149</v>
      </c>
      <c r="L1474" t="str">
        <f t="shared" si="22"/>
        <v>Below Average</v>
      </c>
      <c r="M1474">
        <f>RANK(H1474,H:H,0)</f>
        <v>2956</v>
      </c>
    </row>
    <row r="1475" spans="1:13">
      <c r="A1475" t="s">
        <v>12</v>
      </c>
      <c r="B1475" t="s">
        <v>32</v>
      </c>
      <c r="C1475" t="s">
        <v>57</v>
      </c>
      <c r="D1475" s="3" t="s">
        <v>178</v>
      </c>
      <c r="E1475" s="5" t="str">
        <f>TEXT(D1475,"dd/mm/yyyy")</f>
        <v>24/05/2023</v>
      </c>
      <c r="F1475" s="5" t="str" cm="1">
        <f t="array" ref="F1475">RIGHT(_xlfn.ANCHORARRAY(E1475),4)</f>
        <v>2023</v>
      </c>
      <c r="G1475" s="5" t="str">
        <f>TEXT(E1475,"mm")</f>
        <v>24/05/2023</v>
      </c>
      <c r="H1475" s="6">
        <v>3099.14</v>
      </c>
      <c r="I1475">
        <v>115</v>
      </c>
      <c r="L1475" t="str">
        <f t="shared" ref="L1475:L1538" si="23">IF(H1475&gt;6030.34,"Above Average","Below Average")</f>
        <v>Below Average</v>
      </c>
      <c r="M1475">
        <f>RANK(H1475,H:H,0)</f>
        <v>2270</v>
      </c>
    </row>
    <row r="1476" spans="1:13">
      <c r="A1476" t="s">
        <v>34</v>
      </c>
      <c r="B1476" t="s">
        <v>7</v>
      </c>
      <c r="C1476" t="s">
        <v>46</v>
      </c>
      <c r="D1476" s="4">
        <v>45200</v>
      </c>
      <c r="E1476" s="5" t="str">
        <f>TEXT(D1476,"dd/mm/yyyy")</f>
        <v>01/10/2023</v>
      </c>
      <c r="F1476" s="5" t="str" cm="1">
        <f t="array" ref="F1476">RIGHT(_xlfn.ANCHORARRAY(E1476),4)</f>
        <v>2023</v>
      </c>
      <c r="G1476" s="5" t="str">
        <f>TEXT(E1476,"mm")</f>
        <v>01</v>
      </c>
      <c r="H1476" s="6">
        <v>3737.68</v>
      </c>
      <c r="I1476">
        <v>282</v>
      </c>
      <c r="L1476" t="str">
        <f t="shared" si="23"/>
        <v>Below Average</v>
      </c>
      <c r="M1476">
        <f>RANK(H1476,H:H,0)</f>
        <v>2060</v>
      </c>
    </row>
    <row r="1477" spans="1:13">
      <c r="A1477" t="s">
        <v>48</v>
      </c>
      <c r="B1477" t="s">
        <v>32</v>
      </c>
      <c r="C1477" t="s">
        <v>73</v>
      </c>
      <c r="D1477" s="3" t="s">
        <v>234</v>
      </c>
      <c r="E1477" s="5" t="str">
        <f>TEXT(D1477,"dd/mm/yyyy")</f>
        <v>15/03/2023</v>
      </c>
      <c r="F1477" s="5" t="str" cm="1">
        <f t="array" ref="F1477">RIGHT(_xlfn.ANCHORARRAY(E1477),4)</f>
        <v>2023</v>
      </c>
      <c r="G1477" s="5" t="str">
        <f>TEXT(E1477,"mm")</f>
        <v>15/03/2023</v>
      </c>
      <c r="H1477" s="6">
        <v>3086.89</v>
      </c>
      <c r="I1477">
        <v>153</v>
      </c>
      <c r="L1477" t="str">
        <f t="shared" si="23"/>
        <v>Below Average</v>
      </c>
      <c r="M1477">
        <f>RANK(H1477,H:H,0)</f>
        <v>2275</v>
      </c>
    </row>
    <row r="1478" spans="1:13">
      <c r="A1478" t="s">
        <v>40</v>
      </c>
      <c r="B1478" t="s">
        <v>35</v>
      </c>
      <c r="C1478" t="s">
        <v>46</v>
      </c>
      <c r="D1478" s="4">
        <v>45140</v>
      </c>
      <c r="E1478" s="5" t="str">
        <f>TEXT(D1478,"dd/mm/yyyy")</f>
        <v>02/08/2023</v>
      </c>
      <c r="F1478" s="5" t="str" cm="1">
        <f t="array" ref="F1478">RIGHT(_xlfn.ANCHORARRAY(E1478),4)</f>
        <v>2023</v>
      </c>
      <c r="G1478" s="5" t="str">
        <f>TEXT(E1478,"mm")</f>
        <v>02</v>
      </c>
      <c r="H1478" s="6">
        <v>2618.15</v>
      </c>
      <c r="I1478">
        <v>312</v>
      </c>
      <c r="L1478" t="str">
        <f t="shared" si="23"/>
        <v>Below Average</v>
      </c>
      <c r="M1478">
        <f>RANK(H1478,H:H,0)</f>
        <v>2436</v>
      </c>
    </row>
    <row r="1479" spans="1:13">
      <c r="A1479" t="s">
        <v>28</v>
      </c>
      <c r="B1479" t="s">
        <v>10</v>
      </c>
      <c r="C1479" t="s">
        <v>90</v>
      </c>
      <c r="D1479" s="3" t="s">
        <v>207</v>
      </c>
      <c r="E1479" s="5" t="str">
        <f>TEXT(D1479,"dd/mm/yyyy")</f>
        <v>25/02/2023</v>
      </c>
      <c r="F1479" s="5" t="str" cm="1">
        <f t="array" ref="F1479">RIGHT(_xlfn.ANCHORARRAY(E1479),4)</f>
        <v>2023</v>
      </c>
      <c r="G1479" s="5" t="str">
        <f>TEXT(E1479,"mm")</f>
        <v>25/02/2023</v>
      </c>
      <c r="H1479" s="6">
        <v>1643.45</v>
      </c>
      <c r="I1479">
        <v>110</v>
      </c>
      <c r="L1479" t="str">
        <f t="shared" si="23"/>
        <v>Below Average</v>
      </c>
      <c r="M1479">
        <f>RANK(H1479,H:H,0)</f>
        <v>2754</v>
      </c>
    </row>
    <row r="1480" spans="1:13">
      <c r="A1480" t="s">
        <v>22</v>
      </c>
      <c r="B1480" t="s">
        <v>32</v>
      </c>
      <c r="C1480" t="s">
        <v>36</v>
      </c>
      <c r="D1480" s="4">
        <v>44990</v>
      </c>
      <c r="E1480" s="5" t="str">
        <f>TEXT(D1480,"dd/mm/yyyy")</f>
        <v>05/03/2023</v>
      </c>
      <c r="F1480" s="5" t="str" cm="1">
        <f t="array" ref="F1480">RIGHT(_xlfn.ANCHORARRAY(E1480),4)</f>
        <v>2023</v>
      </c>
      <c r="G1480" s="5" t="str">
        <f>TEXT(E1480,"mm")</f>
        <v>05</v>
      </c>
      <c r="H1480" s="6">
        <v>7368.94</v>
      </c>
      <c r="I1480">
        <v>45</v>
      </c>
      <c r="L1480" t="str">
        <f t="shared" si="23"/>
        <v>Above Average</v>
      </c>
      <c r="M1480">
        <f>RANK(H1480,H:H,0)</f>
        <v>1093</v>
      </c>
    </row>
    <row r="1481" spans="1:13">
      <c r="A1481" t="s">
        <v>45</v>
      </c>
      <c r="B1481" t="s">
        <v>32</v>
      </c>
      <c r="C1481" t="s">
        <v>57</v>
      </c>
      <c r="D1481" s="3" t="s">
        <v>230</v>
      </c>
      <c r="E1481" s="5" t="str">
        <f>TEXT(D1481,"dd/mm/yyyy")</f>
        <v>14/06/2023</v>
      </c>
      <c r="F1481" s="5" t="str" cm="1">
        <f t="array" ref="F1481">RIGHT(_xlfn.ANCHORARRAY(E1481),4)</f>
        <v>2023</v>
      </c>
      <c r="G1481" s="5" t="str">
        <f>TEXT(E1481,"mm")</f>
        <v>14/06/2023</v>
      </c>
      <c r="H1481" s="6">
        <v>6082.19</v>
      </c>
      <c r="I1481">
        <v>23</v>
      </c>
      <c r="L1481" t="str">
        <f t="shared" si="23"/>
        <v>Above Average</v>
      </c>
      <c r="M1481">
        <f>RANK(H1481,H:H,0)</f>
        <v>1408</v>
      </c>
    </row>
    <row r="1482" spans="1:13">
      <c r="A1482" t="s">
        <v>22</v>
      </c>
      <c r="B1482" t="s">
        <v>10</v>
      </c>
      <c r="C1482" t="s">
        <v>26</v>
      </c>
      <c r="D1482" s="4">
        <v>45177</v>
      </c>
      <c r="E1482" s="5" t="str">
        <f>TEXT(D1482,"dd/mm/yyyy")</f>
        <v>08/09/2023</v>
      </c>
      <c r="F1482" s="5" t="str" cm="1">
        <f t="array" ref="F1482">RIGHT(_xlfn.ANCHORARRAY(E1482),4)</f>
        <v>2023</v>
      </c>
      <c r="G1482" s="5" t="str">
        <f>TEXT(E1482,"mm")</f>
        <v>08</v>
      </c>
      <c r="H1482" s="6">
        <v>14456.14</v>
      </c>
      <c r="I1482">
        <v>79</v>
      </c>
      <c r="L1482" t="str">
        <f t="shared" si="23"/>
        <v>Above Average</v>
      </c>
      <c r="M1482">
        <f>RANK(H1482,H:H,0)</f>
        <v>184</v>
      </c>
    </row>
    <row r="1483" spans="1:13">
      <c r="A1483" t="s">
        <v>64</v>
      </c>
      <c r="B1483" t="s">
        <v>25</v>
      </c>
      <c r="C1483" t="s">
        <v>60</v>
      </c>
      <c r="D1483" s="4">
        <v>45237</v>
      </c>
      <c r="E1483" s="5" t="str">
        <f>TEXT(D1483,"dd/mm/yyyy")</f>
        <v>07/11/2023</v>
      </c>
      <c r="F1483" s="5" t="str" cm="1">
        <f t="array" ref="F1483">RIGHT(_xlfn.ANCHORARRAY(E1483),4)</f>
        <v>2023</v>
      </c>
      <c r="G1483" s="5" t="str">
        <f>TEXT(E1483,"mm")</f>
        <v>07</v>
      </c>
      <c r="H1483" s="6">
        <v>4173.3999999999996</v>
      </c>
      <c r="I1483">
        <v>254</v>
      </c>
      <c r="L1483" t="str">
        <f t="shared" si="23"/>
        <v>Below Average</v>
      </c>
      <c r="M1483">
        <f>RANK(H1483,H:H,0)</f>
        <v>1938</v>
      </c>
    </row>
    <row r="1484" spans="1:13">
      <c r="A1484" t="s">
        <v>55</v>
      </c>
      <c r="B1484" t="s">
        <v>7</v>
      </c>
      <c r="C1484" t="s">
        <v>60</v>
      </c>
      <c r="D1484" s="3" t="s">
        <v>225</v>
      </c>
      <c r="E1484" s="5" t="str">
        <f>TEXT(D1484,"dd/mm/yyyy")</f>
        <v>14/01/2023</v>
      </c>
      <c r="F1484" s="5" t="str" cm="1">
        <f t="array" ref="F1484">RIGHT(_xlfn.ANCHORARRAY(E1484),4)</f>
        <v>2023</v>
      </c>
      <c r="G1484" s="5" t="str">
        <f>TEXT(E1484,"mm")</f>
        <v>14/01/2023</v>
      </c>
      <c r="H1484" s="6">
        <v>7189.18</v>
      </c>
      <c r="I1484">
        <v>113</v>
      </c>
      <c r="L1484" t="str">
        <f t="shared" si="23"/>
        <v>Above Average</v>
      </c>
      <c r="M1484">
        <f>RANK(H1484,H:H,0)</f>
        <v>1136</v>
      </c>
    </row>
    <row r="1485" spans="1:13">
      <c r="A1485" t="s">
        <v>9</v>
      </c>
      <c r="B1485" t="s">
        <v>35</v>
      </c>
      <c r="C1485" t="s">
        <v>60</v>
      </c>
      <c r="D1485" s="3" t="s">
        <v>163</v>
      </c>
      <c r="E1485" s="5" t="str">
        <f>TEXT(D1485,"dd/mm/yyyy")</f>
        <v>24/02/2023</v>
      </c>
      <c r="F1485" s="5" t="str" cm="1">
        <f t="array" ref="F1485">RIGHT(_xlfn.ANCHORARRAY(E1485),4)</f>
        <v>2023</v>
      </c>
      <c r="G1485" s="5" t="str">
        <f>TEXT(E1485,"mm")</f>
        <v>24/02/2023</v>
      </c>
      <c r="H1485" s="6">
        <v>8962.9599999999991</v>
      </c>
      <c r="I1485">
        <v>48</v>
      </c>
      <c r="L1485" t="str">
        <f t="shared" si="23"/>
        <v>Above Average</v>
      </c>
      <c r="M1485">
        <f>RANK(H1485,H:H,0)</f>
        <v>745</v>
      </c>
    </row>
    <row r="1486" spans="1:13">
      <c r="A1486" t="s">
        <v>64</v>
      </c>
      <c r="B1486" t="s">
        <v>25</v>
      </c>
      <c r="C1486" t="s">
        <v>65</v>
      </c>
      <c r="D1486" s="3" t="s">
        <v>234</v>
      </c>
      <c r="E1486" s="5" t="str">
        <f>TEXT(D1486,"dd/mm/yyyy")</f>
        <v>15/03/2023</v>
      </c>
      <c r="F1486" s="5" t="str" cm="1">
        <f t="array" ref="F1486">RIGHT(_xlfn.ANCHORARRAY(E1486),4)</f>
        <v>2023</v>
      </c>
      <c r="G1486" s="5" t="str">
        <f>TEXT(E1486,"mm")</f>
        <v>15/03/2023</v>
      </c>
      <c r="H1486" s="6">
        <v>10085.02</v>
      </c>
      <c r="I1486">
        <v>146</v>
      </c>
      <c r="L1486" t="str">
        <f t="shared" si="23"/>
        <v>Above Average</v>
      </c>
      <c r="M1486">
        <f>RANK(H1486,H:H,0)</f>
        <v>572</v>
      </c>
    </row>
    <row r="1487" spans="1:13">
      <c r="A1487" t="s">
        <v>19</v>
      </c>
      <c r="B1487" t="s">
        <v>25</v>
      </c>
      <c r="C1487" t="s">
        <v>87</v>
      </c>
      <c r="D1487" s="3" t="s">
        <v>217</v>
      </c>
      <c r="E1487" s="5" t="str">
        <f>TEXT(D1487,"dd/mm/yyyy")</f>
        <v>25/04/2023</v>
      </c>
      <c r="F1487" s="5" t="str" cm="1">
        <f t="array" ref="F1487">RIGHT(_xlfn.ANCHORARRAY(E1487),4)</f>
        <v>2023</v>
      </c>
      <c r="G1487" s="5" t="str">
        <f>TEXT(E1487,"mm")</f>
        <v>25/04/2023</v>
      </c>
      <c r="H1487" s="6">
        <v>12073.18</v>
      </c>
      <c r="I1487">
        <v>51</v>
      </c>
      <c r="L1487" t="str">
        <f t="shared" si="23"/>
        <v>Above Average</v>
      </c>
      <c r="M1487">
        <f>RANK(H1487,H:H,0)</f>
        <v>341</v>
      </c>
    </row>
    <row r="1488" spans="1:13">
      <c r="A1488" t="s">
        <v>58</v>
      </c>
      <c r="B1488" t="s">
        <v>15</v>
      </c>
      <c r="C1488" t="s">
        <v>42</v>
      </c>
      <c r="D1488" s="4">
        <v>45204</v>
      </c>
      <c r="E1488" s="5" t="str">
        <f>TEXT(D1488,"dd/mm/yyyy")</f>
        <v>05/10/2023</v>
      </c>
      <c r="F1488" s="5" t="str" cm="1">
        <f t="array" ref="F1488">RIGHT(_xlfn.ANCHORARRAY(E1488),4)</f>
        <v>2023</v>
      </c>
      <c r="G1488" s="5" t="str">
        <f>TEXT(E1488,"mm")</f>
        <v>05</v>
      </c>
      <c r="H1488" s="6">
        <v>6655.62</v>
      </c>
      <c r="I1488">
        <v>39</v>
      </c>
      <c r="L1488" t="str">
        <f t="shared" si="23"/>
        <v>Above Average</v>
      </c>
      <c r="M1488">
        <f>RANK(H1488,H:H,0)</f>
        <v>1272</v>
      </c>
    </row>
    <row r="1489" spans="1:13">
      <c r="A1489" t="s">
        <v>40</v>
      </c>
      <c r="B1489" t="s">
        <v>15</v>
      </c>
      <c r="C1489" t="s">
        <v>50</v>
      </c>
      <c r="D1489" s="3" t="s">
        <v>245</v>
      </c>
      <c r="E1489" s="5" t="str">
        <f>TEXT(D1489,"dd/mm/yyyy")</f>
        <v>23/06/2023</v>
      </c>
      <c r="F1489" s="5" t="str" cm="1">
        <f t="array" ref="F1489">RIGHT(_xlfn.ANCHORARRAY(E1489),4)</f>
        <v>2023</v>
      </c>
      <c r="G1489" s="5" t="str">
        <f>TEXT(E1489,"mm")</f>
        <v>23/06/2023</v>
      </c>
      <c r="H1489" s="6">
        <v>14193.67</v>
      </c>
      <c r="I1489">
        <v>302</v>
      </c>
      <c r="L1489" t="str">
        <f t="shared" si="23"/>
        <v>Above Average</v>
      </c>
      <c r="M1489">
        <f>RANK(H1489,H:H,0)</f>
        <v>196</v>
      </c>
    </row>
    <row r="1490" spans="1:13">
      <c r="A1490" t="s">
        <v>41</v>
      </c>
      <c r="B1490" t="s">
        <v>35</v>
      </c>
      <c r="C1490" t="s">
        <v>18</v>
      </c>
      <c r="D1490" s="3" t="s">
        <v>176</v>
      </c>
      <c r="E1490" s="5" t="str">
        <f>TEXT(D1490,"dd/mm/yyyy")</f>
        <v>28/02/2023</v>
      </c>
      <c r="F1490" s="5" t="str" cm="1">
        <f t="array" ref="F1490">RIGHT(_xlfn.ANCHORARRAY(E1490),4)</f>
        <v>2023</v>
      </c>
      <c r="G1490" s="5" t="str">
        <f>TEXT(E1490,"mm")</f>
        <v>28/02/2023</v>
      </c>
      <c r="H1490" s="6">
        <v>15507.29</v>
      </c>
      <c r="I1490">
        <v>352</v>
      </c>
      <c r="L1490" t="str">
        <f t="shared" si="23"/>
        <v>Above Average</v>
      </c>
      <c r="M1490">
        <f>RANK(H1490,H:H,0)</f>
        <v>125</v>
      </c>
    </row>
    <row r="1491" spans="1:13">
      <c r="A1491" t="s">
        <v>28</v>
      </c>
      <c r="B1491" t="s">
        <v>32</v>
      </c>
      <c r="C1491" t="s">
        <v>42</v>
      </c>
      <c r="D1491" s="3" t="s">
        <v>203</v>
      </c>
      <c r="E1491" s="5" t="str">
        <f>TEXT(D1491,"dd/mm/yyyy")</f>
        <v>25/05/2023</v>
      </c>
      <c r="F1491" s="5" t="str" cm="1">
        <f t="array" ref="F1491">RIGHT(_xlfn.ANCHORARRAY(E1491),4)</f>
        <v>2023</v>
      </c>
      <c r="G1491" s="5" t="str">
        <f>TEXT(E1491,"mm")</f>
        <v>25/05/2023</v>
      </c>
      <c r="H1491" s="6">
        <v>17383.080000000002</v>
      </c>
      <c r="I1491">
        <v>145</v>
      </c>
      <c r="L1491" t="str">
        <f t="shared" si="23"/>
        <v>Above Average</v>
      </c>
      <c r="M1491">
        <f>RANK(H1491,H:H,0)</f>
        <v>56</v>
      </c>
    </row>
    <row r="1492" spans="1:13">
      <c r="A1492" t="s">
        <v>45</v>
      </c>
      <c r="B1492" t="s">
        <v>25</v>
      </c>
      <c r="C1492" t="s">
        <v>87</v>
      </c>
      <c r="D1492" s="3" t="s">
        <v>228</v>
      </c>
      <c r="E1492" s="5" t="str">
        <f>TEXT(D1492,"dd/mm/yyyy")</f>
        <v>22/02/2023</v>
      </c>
      <c r="F1492" s="5" t="str" cm="1">
        <f t="array" ref="F1492">RIGHT(_xlfn.ANCHORARRAY(E1492),4)</f>
        <v>2023</v>
      </c>
      <c r="G1492" s="5" t="str">
        <f>TEXT(E1492,"mm")</f>
        <v>22/02/2023</v>
      </c>
      <c r="H1492" s="6">
        <v>5912.59</v>
      </c>
      <c r="I1492">
        <v>232</v>
      </c>
      <c r="L1492" t="str">
        <f t="shared" si="23"/>
        <v>Below Average</v>
      </c>
      <c r="M1492">
        <f>RANK(H1492,H:H,0)</f>
        <v>1455</v>
      </c>
    </row>
    <row r="1493" spans="1:13">
      <c r="A1493" t="s">
        <v>9</v>
      </c>
      <c r="B1493" t="s">
        <v>7</v>
      </c>
      <c r="C1493" t="s">
        <v>11</v>
      </c>
      <c r="D1493" s="4">
        <v>45237</v>
      </c>
      <c r="E1493" s="5" t="str">
        <f>TEXT(D1493,"dd/mm/yyyy")</f>
        <v>07/11/2023</v>
      </c>
      <c r="F1493" s="5" t="str" cm="1">
        <f t="array" ref="F1493">RIGHT(_xlfn.ANCHORARRAY(E1493),4)</f>
        <v>2023</v>
      </c>
      <c r="G1493" s="5" t="str">
        <f>TEXT(E1493,"mm")</f>
        <v>07</v>
      </c>
      <c r="H1493" s="6">
        <v>4029.28</v>
      </c>
      <c r="I1493">
        <v>128</v>
      </c>
      <c r="L1493" t="str">
        <f t="shared" si="23"/>
        <v>Below Average</v>
      </c>
      <c r="M1493">
        <f>RANK(H1493,H:H,0)</f>
        <v>1977</v>
      </c>
    </row>
    <row r="1494" spans="1:13">
      <c r="A1494" t="s">
        <v>40</v>
      </c>
      <c r="B1494" t="s">
        <v>35</v>
      </c>
      <c r="C1494" t="s">
        <v>50</v>
      </c>
      <c r="D1494" s="4">
        <v>44986</v>
      </c>
      <c r="E1494" s="5" t="str">
        <f>TEXT(D1494,"dd/mm/yyyy")</f>
        <v>01/03/2023</v>
      </c>
      <c r="F1494" s="5" t="str" cm="1">
        <f t="array" ref="F1494">RIGHT(_xlfn.ANCHORARRAY(E1494),4)</f>
        <v>2023</v>
      </c>
      <c r="G1494" s="5" t="str">
        <f>TEXT(E1494,"mm")</f>
        <v>01</v>
      </c>
      <c r="H1494" s="6">
        <v>3563.09</v>
      </c>
      <c r="I1494">
        <v>344</v>
      </c>
      <c r="L1494" t="str">
        <f t="shared" si="23"/>
        <v>Below Average</v>
      </c>
      <c r="M1494">
        <f>RANK(H1494,H:H,0)</f>
        <v>2120</v>
      </c>
    </row>
    <row r="1495" spans="1:13">
      <c r="A1495" t="s">
        <v>29</v>
      </c>
      <c r="B1495" t="s">
        <v>25</v>
      </c>
      <c r="C1495" t="s">
        <v>100</v>
      </c>
      <c r="D1495" s="3" t="s">
        <v>182</v>
      </c>
      <c r="E1495" s="5" t="str">
        <f>TEXT(D1495,"dd/mm/yyyy")</f>
        <v>24/08/2023</v>
      </c>
      <c r="F1495" s="5" t="str" cm="1">
        <f t="array" ref="F1495">RIGHT(_xlfn.ANCHORARRAY(E1495),4)</f>
        <v>2023</v>
      </c>
      <c r="G1495" s="5" t="str">
        <f>TEXT(E1495,"mm")</f>
        <v>24/08/2023</v>
      </c>
      <c r="H1495" s="6">
        <v>773.73</v>
      </c>
      <c r="I1495">
        <v>280</v>
      </c>
      <c r="L1495" t="str">
        <f t="shared" si="23"/>
        <v>Below Average</v>
      </c>
      <c r="M1495">
        <f>RANK(H1495,H:H,0)</f>
        <v>3039</v>
      </c>
    </row>
    <row r="1496" spans="1:13">
      <c r="A1496" t="s">
        <v>41</v>
      </c>
      <c r="B1496" t="s">
        <v>32</v>
      </c>
      <c r="C1496" t="s">
        <v>26</v>
      </c>
      <c r="D1496" s="3" t="s">
        <v>168</v>
      </c>
      <c r="E1496" s="5" t="str">
        <f>TEXT(D1496,"dd/mm/yyyy")</f>
        <v>28/07/2023</v>
      </c>
      <c r="F1496" s="5" t="str" cm="1">
        <f t="array" ref="F1496">RIGHT(_xlfn.ANCHORARRAY(E1496),4)</f>
        <v>2023</v>
      </c>
      <c r="G1496" s="5" t="str">
        <f>TEXT(E1496,"mm")</f>
        <v>28/07/2023</v>
      </c>
      <c r="H1496" s="6">
        <v>2620.19</v>
      </c>
      <c r="I1496">
        <v>340</v>
      </c>
      <c r="L1496" t="str">
        <f t="shared" si="23"/>
        <v>Below Average</v>
      </c>
      <c r="M1496">
        <f>RANK(H1496,H:H,0)</f>
        <v>2435</v>
      </c>
    </row>
    <row r="1497" spans="1:13">
      <c r="A1497" t="s">
        <v>28</v>
      </c>
      <c r="B1497" t="s">
        <v>32</v>
      </c>
      <c r="C1497" t="s">
        <v>8</v>
      </c>
      <c r="D1497" s="3" t="s">
        <v>203</v>
      </c>
      <c r="E1497" s="5" t="str">
        <f>TEXT(D1497,"dd/mm/yyyy")</f>
        <v>25/05/2023</v>
      </c>
      <c r="F1497" s="5" t="str" cm="1">
        <f t="array" ref="F1497">RIGHT(_xlfn.ANCHORARRAY(E1497),4)</f>
        <v>2023</v>
      </c>
      <c r="G1497" s="5" t="str">
        <f>TEXT(E1497,"mm")</f>
        <v>25/05/2023</v>
      </c>
      <c r="H1497" s="6">
        <v>11426.56</v>
      </c>
      <c r="I1497">
        <v>151</v>
      </c>
      <c r="L1497" t="str">
        <f t="shared" si="23"/>
        <v>Above Average</v>
      </c>
      <c r="M1497">
        <f>RANK(H1497,H:H,0)</f>
        <v>403</v>
      </c>
    </row>
    <row r="1498" spans="1:13">
      <c r="A1498" t="s">
        <v>37</v>
      </c>
      <c r="B1498" t="s">
        <v>25</v>
      </c>
      <c r="C1498" t="s">
        <v>36</v>
      </c>
      <c r="D1498" s="4">
        <v>45082</v>
      </c>
      <c r="E1498" s="5" t="str">
        <f>TEXT(D1498,"dd/mm/yyyy")</f>
        <v>05/06/2023</v>
      </c>
      <c r="F1498" s="5" t="str" cm="1">
        <f t="array" ref="F1498">RIGHT(_xlfn.ANCHORARRAY(E1498),4)</f>
        <v>2023</v>
      </c>
      <c r="G1498" s="5" t="str">
        <f>TEXT(E1498,"mm")</f>
        <v>05</v>
      </c>
      <c r="H1498" s="6">
        <v>2935.8</v>
      </c>
      <c r="I1498">
        <v>171</v>
      </c>
      <c r="L1498" t="str">
        <f t="shared" si="23"/>
        <v>Below Average</v>
      </c>
      <c r="M1498">
        <f>RANK(H1498,H:H,0)</f>
        <v>2329</v>
      </c>
    </row>
    <row r="1499" spans="1:13">
      <c r="A1499" t="s">
        <v>31</v>
      </c>
      <c r="B1499" t="s">
        <v>10</v>
      </c>
      <c r="C1499" t="s">
        <v>38</v>
      </c>
      <c r="D1499" s="3" t="s">
        <v>210</v>
      </c>
      <c r="E1499" s="5" t="str">
        <f>TEXT(D1499,"dd/mm/yyyy")</f>
        <v>28/01/2023</v>
      </c>
      <c r="F1499" s="5" t="str" cm="1">
        <f t="array" ref="F1499">RIGHT(_xlfn.ANCHORARRAY(E1499),4)</f>
        <v>2023</v>
      </c>
      <c r="G1499" s="5" t="str">
        <f>TEXT(E1499,"mm")</f>
        <v>28/01/2023</v>
      </c>
      <c r="H1499" s="6">
        <v>2431.5300000000002</v>
      </c>
      <c r="I1499">
        <v>148</v>
      </c>
      <c r="L1499" t="str">
        <f t="shared" si="23"/>
        <v>Below Average</v>
      </c>
      <c r="M1499">
        <f>RANK(H1499,H:H,0)</f>
        <v>2507</v>
      </c>
    </row>
    <row r="1500" spans="1:13">
      <c r="A1500" t="s">
        <v>40</v>
      </c>
      <c r="B1500" t="s">
        <v>7</v>
      </c>
      <c r="C1500" t="s">
        <v>33</v>
      </c>
      <c r="D1500" s="4">
        <v>45083</v>
      </c>
      <c r="E1500" s="5" t="str">
        <f>TEXT(D1500,"dd/mm/yyyy")</f>
        <v>06/06/2023</v>
      </c>
      <c r="F1500" s="5" t="str" cm="1">
        <f t="array" ref="F1500">RIGHT(_xlfn.ANCHORARRAY(E1500),4)</f>
        <v>2023</v>
      </c>
      <c r="G1500" s="5" t="str">
        <f>TEXT(E1500,"mm")</f>
        <v>06</v>
      </c>
      <c r="H1500" s="6">
        <v>11882.82</v>
      </c>
      <c r="I1500">
        <v>13</v>
      </c>
      <c r="L1500" t="str">
        <f t="shared" si="23"/>
        <v>Above Average</v>
      </c>
      <c r="M1500">
        <f>RANK(H1500,H:H,0)</f>
        <v>352</v>
      </c>
    </row>
    <row r="1501" spans="1:13">
      <c r="A1501" t="s">
        <v>28</v>
      </c>
      <c r="B1501" t="s">
        <v>25</v>
      </c>
      <c r="C1501" t="s">
        <v>87</v>
      </c>
      <c r="D1501" s="4">
        <v>45267</v>
      </c>
      <c r="E1501" s="5" t="str">
        <f>TEXT(D1501,"dd/mm/yyyy")</f>
        <v>07/12/2023</v>
      </c>
      <c r="F1501" s="5" t="str" cm="1">
        <f t="array" ref="F1501">RIGHT(_xlfn.ANCHORARRAY(E1501),4)</f>
        <v>2023</v>
      </c>
      <c r="G1501" s="5" t="str">
        <f>TEXT(E1501,"mm")</f>
        <v>07</v>
      </c>
      <c r="H1501" s="6">
        <v>6297.06</v>
      </c>
      <c r="I1501">
        <v>26</v>
      </c>
      <c r="L1501" t="str">
        <f t="shared" si="23"/>
        <v>Above Average</v>
      </c>
      <c r="M1501">
        <f>RANK(H1501,H:H,0)</f>
        <v>1359</v>
      </c>
    </row>
    <row r="1502" spans="1:13">
      <c r="A1502" t="s">
        <v>83</v>
      </c>
      <c r="B1502" t="s">
        <v>35</v>
      </c>
      <c r="C1502" t="s">
        <v>50</v>
      </c>
      <c r="D1502" s="4">
        <v>45054</v>
      </c>
      <c r="E1502" s="5" t="str">
        <f>TEXT(D1502,"dd/mm/yyyy")</f>
        <v>08/05/2023</v>
      </c>
      <c r="F1502" s="5" t="str" cm="1">
        <f t="array" ref="F1502">RIGHT(_xlfn.ANCHORARRAY(E1502),4)</f>
        <v>2023</v>
      </c>
      <c r="G1502" s="5" t="str">
        <f>TEXT(E1502,"mm")</f>
        <v>08</v>
      </c>
      <c r="H1502" s="6">
        <v>5859.21</v>
      </c>
      <c r="I1502">
        <v>193</v>
      </c>
      <c r="L1502" t="str">
        <f t="shared" si="23"/>
        <v>Below Average</v>
      </c>
      <c r="M1502">
        <f>RANK(H1502,H:H,0)</f>
        <v>1468</v>
      </c>
    </row>
    <row r="1503" spans="1:13">
      <c r="A1503" t="s">
        <v>28</v>
      </c>
      <c r="B1503" t="s">
        <v>32</v>
      </c>
      <c r="C1503" t="s">
        <v>33</v>
      </c>
      <c r="D1503" s="3" t="s">
        <v>210</v>
      </c>
      <c r="E1503" s="5" t="str">
        <f>TEXT(D1503,"dd/mm/yyyy")</f>
        <v>28/01/2023</v>
      </c>
      <c r="F1503" s="5" t="str" cm="1">
        <f t="array" ref="F1503">RIGHT(_xlfn.ANCHORARRAY(E1503),4)</f>
        <v>2023</v>
      </c>
      <c r="G1503" s="5" t="str">
        <f>TEXT(E1503,"mm")</f>
        <v>28/01/2023</v>
      </c>
      <c r="H1503" s="6">
        <v>6276.91</v>
      </c>
      <c r="I1503">
        <v>157</v>
      </c>
      <c r="L1503" t="str">
        <f t="shared" si="23"/>
        <v>Above Average</v>
      </c>
      <c r="M1503">
        <f>RANK(H1503,H:H,0)</f>
        <v>1364</v>
      </c>
    </row>
    <row r="1504" spans="1:13">
      <c r="A1504" t="s">
        <v>55</v>
      </c>
      <c r="B1504" t="s">
        <v>10</v>
      </c>
      <c r="C1504" t="s">
        <v>50</v>
      </c>
      <c r="D1504" s="3" t="s">
        <v>253</v>
      </c>
      <c r="E1504" s="5" t="str">
        <f>TEXT(D1504,"dd/mm/yyyy")</f>
        <v>31/08/2023</v>
      </c>
      <c r="F1504" s="5" t="str" cm="1">
        <f t="array" ref="F1504">RIGHT(_xlfn.ANCHORARRAY(E1504),4)</f>
        <v>2023</v>
      </c>
      <c r="G1504" s="5" t="str">
        <f>TEXT(E1504,"mm")</f>
        <v>31/08/2023</v>
      </c>
      <c r="H1504" s="6">
        <v>5674.7</v>
      </c>
      <c r="I1504">
        <v>147</v>
      </c>
      <c r="L1504" t="str">
        <f t="shared" si="23"/>
        <v>Below Average</v>
      </c>
      <c r="M1504">
        <f>RANK(H1504,H:H,0)</f>
        <v>1525</v>
      </c>
    </row>
    <row r="1505" spans="1:13">
      <c r="A1505" t="s">
        <v>34</v>
      </c>
      <c r="B1505" t="s">
        <v>32</v>
      </c>
      <c r="C1505" t="s">
        <v>26</v>
      </c>
      <c r="D1505" s="3" t="s">
        <v>188</v>
      </c>
      <c r="E1505" s="5" t="str">
        <f>TEXT(D1505,"dd/mm/yyyy")</f>
        <v>19/04/2023</v>
      </c>
      <c r="F1505" s="5" t="str" cm="1">
        <f t="array" ref="F1505">RIGHT(_xlfn.ANCHORARRAY(E1505),4)</f>
        <v>2023</v>
      </c>
      <c r="G1505" s="5" t="str">
        <f>TEXT(E1505,"mm")</f>
        <v>19/04/2023</v>
      </c>
      <c r="H1505" s="6">
        <v>1960.1</v>
      </c>
      <c r="I1505">
        <v>14</v>
      </c>
      <c r="L1505" t="str">
        <f t="shared" si="23"/>
        <v>Below Average</v>
      </c>
      <c r="M1505">
        <f>RANK(H1505,H:H,0)</f>
        <v>2644</v>
      </c>
    </row>
    <row r="1506" spans="1:13">
      <c r="A1506" t="s">
        <v>34</v>
      </c>
      <c r="B1506" t="s">
        <v>7</v>
      </c>
      <c r="C1506" t="s">
        <v>8</v>
      </c>
      <c r="D1506" s="3" t="s">
        <v>179</v>
      </c>
      <c r="E1506" s="5" t="str">
        <f>TEXT(D1506,"dd/mm/yyyy")</f>
        <v>29/06/2023</v>
      </c>
      <c r="F1506" s="5" t="str" cm="1">
        <f t="array" ref="F1506">RIGHT(_xlfn.ANCHORARRAY(E1506),4)</f>
        <v>2023</v>
      </c>
      <c r="G1506" s="5" t="str">
        <f>TEXT(E1506,"mm")</f>
        <v>29/06/2023</v>
      </c>
      <c r="H1506" s="6">
        <v>6540.3</v>
      </c>
      <c r="I1506">
        <v>2</v>
      </c>
      <c r="L1506" t="str">
        <f t="shared" si="23"/>
        <v>Above Average</v>
      </c>
      <c r="M1506">
        <f>RANK(H1506,H:H,0)</f>
        <v>1297</v>
      </c>
    </row>
    <row r="1507" spans="1:13">
      <c r="A1507" t="s">
        <v>41</v>
      </c>
      <c r="B1507" t="s">
        <v>10</v>
      </c>
      <c r="C1507" t="s">
        <v>75</v>
      </c>
      <c r="D1507" s="3" t="s">
        <v>163</v>
      </c>
      <c r="E1507" s="5" t="str">
        <f>TEXT(D1507,"dd/mm/yyyy")</f>
        <v>24/02/2023</v>
      </c>
      <c r="F1507" s="5" t="str" cm="1">
        <f t="array" ref="F1507">RIGHT(_xlfn.ANCHORARRAY(E1507),4)</f>
        <v>2023</v>
      </c>
      <c r="G1507" s="5" t="str">
        <f>TEXT(E1507,"mm")</f>
        <v>24/02/2023</v>
      </c>
      <c r="H1507" s="6">
        <v>3818.21</v>
      </c>
      <c r="I1507">
        <v>287</v>
      </c>
      <c r="L1507" t="str">
        <f t="shared" si="23"/>
        <v>Below Average</v>
      </c>
      <c r="M1507">
        <f>RANK(H1507,H:H,0)</f>
        <v>2036</v>
      </c>
    </row>
    <row r="1508" spans="1:13">
      <c r="A1508" t="s">
        <v>77</v>
      </c>
      <c r="B1508" t="s">
        <v>7</v>
      </c>
      <c r="C1508" t="s">
        <v>18</v>
      </c>
      <c r="D1508" s="4">
        <v>45019</v>
      </c>
      <c r="E1508" s="5" t="str">
        <f>TEXT(D1508,"dd/mm/yyyy")</f>
        <v>03/04/2023</v>
      </c>
      <c r="F1508" s="5" t="str" cm="1">
        <f t="array" ref="F1508">RIGHT(_xlfn.ANCHORARRAY(E1508),4)</f>
        <v>2023</v>
      </c>
      <c r="G1508" s="5" t="str">
        <f>TEXT(E1508,"mm")</f>
        <v>03</v>
      </c>
      <c r="H1508" s="6">
        <v>14769.97</v>
      </c>
      <c r="I1508">
        <v>87</v>
      </c>
      <c r="L1508" t="str">
        <f t="shared" si="23"/>
        <v>Above Average</v>
      </c>
      <c r="M1508">
        <f>RANK(H1508,H:H,0)</f>
        <v>159</v>
      </c>
    </row>
    <row r="1509" spans="1:13">
      <c r="A1509" t="s">
        <v>12</v>
      </c>
      <c r="B1509" t="s">
        <v>10</v>
      </c>
      <c r="C1509" t="s">
        <v>36</v>
      </c>
      <c r="D1509" s="3" t="s">
        <v>249</v>
      </c>
      <c r="E1509" s="5" t="str">
        <f>TEXT(D1509,"dd/mm/yyyy")</f>
        <v>21/06/2023</v>
      </c>
      <c r="F1509" s="5" t="str" cm="1">
        <f t="array" ref="F1509">RIGHT(_xlfn.ANCHORARRAY(E1509),4)</f>
        <v>2023</v>
      </c>
      <c r="G1509" s="5" t="str">
        <f>TEXT(E1509,"mm")</f>
        <v>21/06/2023</v>
      </c>
      <c r="H1509" s="6">
        <v>3687.44</v>
      </c>
      <c r="I1509">
        <v>73</v>
      </c>
      <c r="L1509" t="str">
        <f t="shared" si="23"/>
        <v>Below Average</v>
      </c>
      <c r="M1509">
        <f>RANK(H1509,H:H,0)</f>
        <v>2078</v>
      </c>
    </row>
    <row r="1510" spans="1:13">
      <c r="A1510" t="s">
        <v>29</v>
      </c>
      <c r="B1510" t="s">
        <v>15</v>
      </c>
      <c r="C1510" t="s">
        <v>42</v>
      </c>
      <c r="D1510" s="3" t="s">
        <v>169</v>
      </c>
      <c r="E1510" s="5" t="str">
        <f>TEXT(D1510,"dd/mm/yyyy")</f>
        <v>26/01/2023</v>
      </c>
      <c r="F1510" s="5" t="str" cm="1">
        <f t="array" ref="F1510">RIGHT(_xlfn.ANCHORARRAY(E1510),4)</f>
        <v>2023</v>
      </c>
      <c r="G1510" s="5" t="str">
        <f>TEXT(E1510,"mm")</f>
        <v>26/01/2023</v>
      </c>
      <c r="H1510" s="6">
        <v>1123.58</v>
      </c>
      <c r="I1510">
        <v>114</v>
      </c>
      <c r="L1510" t="str">
        <f t="shared" si="23"/>
        <v>Below Average</v>
      </c>
      <c r="M1510">
        <f>RANK(H1510,H:H,0)</f>
        <v>2931</v>
      </c>
    </row>
    <row r="1511" spans="1:13">
      <c r="A1511" t="s">
        <v>19</v>
      </c>
      <c r="B1511" t="s">
        <v>25</v>
      </c>
      <c r="C1511" t="s">
        <v>59</v>
      </c>
      <c r="D1511" s="4">
        <v>45205</v>
      </c>
      <c r="E1511" s="5" t="str">
        <f>TEXT(D1511,"dd/mm/yyyy")</f>
        <v>06/10/2023</v>
      </c>
      <c r="F1511" s="5" t="str" cm="1">
        <f t="array" ref="F1511">RIGHT(_xlfn.ANCHORARRAY(E1511),4)</f>
        <v>2023</v>
      </c>
      <c r="G1511" s="5" t="str">
        <f>TEXT(E1511,"mm")</f>
        <v>06</v>
      </c>
      <c r="H1511" s="6">
        <v>4612.08</v>
      </c>
      <c r="I1511">
        <v>38</v>
      </c>
      <c r="L1511" t="str">
        <f t="shared" si="23"/>
        <v>Below Average</v>
      </c>
      <c r="M1511">
        <f>RANK(H1511,H:H,0)</f>
        <v>1818</v>
      </c>
    </row>
    <row r="1512" spans="1:13">
      <c r="A1512" t="s">
        <v>67</v>
      </c>
      <c r="B1512" t="s">
        <v>7</v>
      </c>
      <c r="C1512" t="s">
        <v>38</v>
      </c>
      <c r="D1512" s="3" t="s">
        <v>239</v>
      </c>
      <c r="E1512" s="5" t="str">
        <f>TEXT(D1512,"dd/mm/yyyy")</f>
        <v>23/05/2023</v>
      </c>
      <c r="F1512" s="5" t="str" cm="1">
        <f t="array" ref="F1512">RIGHT(_xlfn.ANCHORARRAY(E1512),4)</f>
        <v>2023</v>
      </c>
      <c r="G1512" s="5" t="str">
        <f>TEXT(E1512,"mm")</f>
        <v>23/05/2023</v>
      </c>
      <c r="H1512" s="6">
        <v>1600.11</v>
      </c>
      <c r="I1512">
        <v>70</v>
      </c>
      <c r="L1512" t="str">
        <f t="shared" si="23"/>
        <v>Below Average</v>
      </c>
      <c r="M1512">
        <f>RANK(H1512,H:H,0)</f>
        <v>2772</v>
      </c>
    </row>
    <row r="1513" spans="1:13">
      <c r="A1513" t="s">
        <v>70</v>
      </c>
      <c r="B1513" t="s">
        <v>10</v>
      </c>
      <c r="C1513" t="s">
        <v>46</v>
      </c>
      <c r="D1513" s="3" t="s">
        <v>184</v>
      </c>
      <c r="E1513" s="5" t="str">
        <f>TEXT(D1513,"dd/mm/yyyy")</f>
        <v>15/04/2023</v>
      </c>
      <c r="F1513" s="5" t="str" cm="1">
        <f t="array" ref="F1513">RIGHT(_xlfn.ANCHORARRAY(E1513),4)</f>
        <v>2023</v>
      </c>
      <c r="G1513" s="5" t="str">
        <f>TEXT(E1513,"mm")</f>
        <v>15/04/2023</v>
      </c>
      <c r="H1513" s="6">
        <v>975.67</v>
      </c>
      <c r="I1513">
        <v>105</v>
      </c>
      <c r="L1513" t="str">
        <f t="shared" si="23"/>
        <v>Below Average</v>
      </c>
      <c r="M1513">
        <f>RANK(H1513,H:H,0)</f>
        <v>2980</v>
      </c>
    </row>
    <row r="1514" spans="1:13">
      <c r="A1514" t="s">
        <v>37</v>
      </c>
      <c r="B1514" t="s">
        <v>25</v>
      </c>
      <c r="C1514" t="s">
        <v>90</v>
      </c>
      <c r="D1514" s="3" t="s">
        <v>200</v>
      </c>
      <c r="E1514" s="5" t="str">
        <f>TEXT(D1514,"dd/mm/yyyy")</f>
        <v>31/01/2023</v>
      </c>
      <c r="F1514" s="5" t="str" cm="1">
        <f t="array" ref="F1514">RIGHT(_xlfn.ANCHORARRAY(E1514),4)</f>
        <v>2023</v>
      </c>
      <c r="G1514" s="5" t="str">
        <f>TEXT(E1514,"mm")</f>
        <v>31/01/2023</v>
      </c>
      <c r="H1514" s="6">
        <v>5487.3</v>
      </c>
      <c r="I1514">
        <v>219</v>
      </c>
      <c r="L1514" t="str">
        <f t="shared" si="23"/>
        <v>Below Average</v>
      </c>
      <c r="M1514">
        <f>RANK(H1514,H:H,0)</f>
        <v>1570</v>
      </c>
    </row>
    <row r="1515" spans="1:13">
      <c r="A1515" t="s">
        <v>67</v>
      </c>
      <c r="B1515" t="s">
        <v>25</v>
      </c>
      <c r="C1515" t="s">
        <v>42</v>
      </c>
      <c r="D1515" s="4">
        <v>45019</v>
      </c>
      <c r="E1515" s="5" t="str">
        <f>TEXT(D1515,"dd/mm/yyyy")</f>
        <v>03/04/2023</v>
      </c>
      <c r="F1515" s="5" t="str" cm="1">
        <f t="array" ref="F1515">RIGHT(_xlfn.ANCHORARRAY(E1515),4)</f>
        <v>2023</v>
      </c>
      <c r="G1515" s="5" t="str">
        <f>TEXT(E1515,"mm")</f>
        <v>03</v>
      </c>
      <c r="H1515" s="6">
        <v>4948.1499999999996</v>
      </c>
      <c r="I1515">
        <v>39</v>
      </c>
      <c r="L1515" t="str">
        <f t="shared" si="23"/>
        <v>Below Average</v>
      </c>
      <c r="M1515">
        <f>RANK(H1515,H:H,0)</f>
        <v>1717</v>
      </c>
    </row>
    <row r="1516" spans="1:13">
      <c r="A1516" t="s">
        <v>31</v>
      </c>
      <c r="B1516" t="s">
        <v>25</v>
      </c>
      <c r="C1516" t="s">
        <v>23</v>
      </c>
      <c r="D1516" s="3" t="s">
        <v>188</v>
      </c>
      <c r="E1516" s="5" t="str">
        <f>TEXT(D1516,"dd/mm/yyyy")</f>
        <v>19/04/2023</v>
      </c>
      <c r="F1516" s="5" t="str" cm="1">
        <f t="array" ref="F1516">RIGHT(_xlfn.ANCHORARRAY(E1516),4)</f>
        <v>2023</v>
      </c>
      <c r="G1516" s="5" t="str">
        <f>TEXT(E1516,"mm")</f>
        <v>19/04/2023</v>
      </c>
      <c r="H1516" s="6">
        <v>11460.08</v>
      </c>
      <c r="I1516">
        <v>81</v>
      </c>
      <c r="L1516" t="str">
        <f t="shared" si="23"/>
        <v>Above Average</v>
      </c>
      <c r="M1516">
        <f>RANK(H1516,H:H,0)</f>
        <v>402</v>
      </c>
    </row>
    <row r="1517" spans="1:13">
      <c r="A1517" t="s">
        <v>41</v>
      </c>
      <c r="B1517" t="s">
        <v>7</v>
      </c>
      <c r="C1517" t="s">
        <v>65</v>
      </c>
      <c r="D1517" s="3" t="s">
        <v>192</v>
      </c>
      <c r="E1517" s="5" t="str">
        <f>TEXT(D1517,"dd/mm/yyyy")</f>
        <v>16/05/2023</v>
      </c>
      <c r="F1517" s="5" t="str" cm="1">
        <f t="array" ref="F1517">RIGHT(_xlfn.ANCHORARRAY(E1517),4)</f>
        <v>2023</v>
      </c>
      <c r="G1517" s="5" t="str">
        <f>TEXT(E1517,"mm")</f>
        <v>16/05/2023</v>
      </c>
      <c r="H1517" s="6">
        <v>2628.33</v>
      </c>
      <c r="I1517">
        <v>101</v>
      </c>
      <c r="L1517" t="str">
        <f t="shared" si="23"/>
        <v>Below Average</v>
      </c>
      <c r="M1517">
        <f>RANK(H1517,H:H,0)</f>
        <v>2433</v>
      </c>
    </row>
    <row r="1518" spans="1:13">
      <c r="A1518" t="s">
        <v>19</v>
      </c>
      <c r="B1518" t="s">
        <v>15</v>
      </c>
      <c r="C1518" t="s">
        <v>73</v>
      </c>
      <c r="D1518" s="3" t="s">
        <v>173</v>
      </c>
      <c r="E1518" s="5" t="str">
        <f>TEXT(D1518,"dd/mm/yyyy")</f>
        <v>17/02/2023</v>
      </c>
      <c r="F1518" s="5" t="str" cm="1">
        <f t="array" ref="F1518">RIGHT(_xlfn.ANCHORARRAY(E1518),4)</f>
        <v>2023</v>
      </c>
      <c r="G1518" s="5" t="str">
        <f>TEXT(E1518,"mm")</f>
        <v>17/02/2023</v>
      </c>
      <c r="H1518" s="6">
        <v>1044.3499999999999</v>
      </c>
      <c r="I1518">
        <v>126</v>
      </c>
      <c r="L1518" t="str">
        <f t="shared" si="23"/>
        <v>Below Average</v>
      </c>
      <c r="M1518">
        <f>RANK(H1518,H:H,0)</f>
        <v>2957</v>
      </c>
    </row>
    <row r="1519" spans="1:13">
      <c r="A1519" t="s">
        <v>58</v>
      </c>
      <c r="B1519" t="s">
        <v>32</v>
      </c>
      <c r="C1519" t="s">
        <v>73</v>
      </c>
      <c r="D1519" s="3" t="s">
        <v>218</v>
      </c>
      <c r="E1519" s="5" t="str">
        <f>TEXT(D1519,"dd/mm/yyyy")</f>
        <v>18/01/2023</v>
      </c>
      <c r="F1519" s="5" t="str" cm="1">
        <f t="array" ref="F1519">RIGHT(_xlfn.ANCHORARRAY(E1519),4)</f>
        <v>2023</v>
      </c>
      <c r="G1519" s="5" t="str">
        <f>TEXT(E1519,"mm")</f>
        <v>18/01/2023</v>
      </c>
      <c r="H1519" s="6">
        <v>7449.7</v>
      </c>
      <c r="I1519">
        <v>264</v>
      </c>
      <c r="L1519" t="str">
        <f t="shared" si="23"/>
        <v>Above Average</v>
      </c>
      <c r="M1519">
        <f>RANK(H1519,H:H,0)</f>
        <v>1079</v>
      </c>
    </row>
    <row r="1520" spans="1:13">
      <c r="A1520" t="s">
        <v>45</v>
      </c>
      <c r="B1520" t="s">
        <v>35</v>
      </c>
      <c r="C1520" t="s">
        <v>33</v>
      </c>
      <c r="D1520" s="4">
        <v>45171</v>
      </c>
      <c r="E1520" s="5" t="str">
        <f>TEXT(D1520,"dd/mm/yyyy")</f>
        <v>02/09/2023</v>
      </c>
      <c r="F1520" s="5" t="str" cm="1">
        <f t="array" ref="F1520">RIGHT(_xlfn.ANCHORARRAY(E1520),4)</f>
        <v>2023</v>
      </c>
      <c r="G1520" s="5" t="str">
        <f>TEXT(E1520,"mm")</f>
        <v>02</v>
      </c>
      <c r="H1520" s="6">
        <v>9315.64</v>
      </c>
      <c r="I1520">
        <v>88</v>
      </c>
      <c r="L1520" t="str">
        <f t="shared" si="23"/>
        <v>Above Average</v>
      </c>
      <c r="M1520">
        <f>RANK(H1520,H:H,0)</f>
        <v>688</v>
      </c>
    </row>
    <row r="1521" spans="1:13">
      <c r="A1521" t="s">
        <v>34</v>
      </c>
      <c r="B1521" t="s">
        <v>35</v>
      </c>
      <c r="C1521" t="s">
        <v>33</v>
      </c>
      <c r="D1521" s="3" t="s">
        <v>213</v>
      </c>
      <c r="E1521" s="5" t="str">
        <f>TEXT(D1521,"dd/mm/yyyy")</f>
        <v>23/03/2023</v>
      </c>
      <c r="F1521" s="5" t="str" cm="1">
        <f t="array" ref="F1521">RIGHT(_xlfn.ANCHORARRAY(E1521),4)</f>
        <v>2023</v>
      </c>
      <c r="G1521" s="5" t="str">
        <f>TEXT(E1521,"mm")</f>
        <v>23/03/2023</v>
      </c>
      <c r="H1521" s="6">
        <v>3820.94</v>
      </c>
      <c r="I1521">
        <v>179</v>
      </c>
      <c r="L1521" t="str">
        <f t="shared" si="23"/>
        <v>Below Average</v>
      </c>
      <c r="M1521">
        <f>RANK(H1521,H:H,0)</f>
        <v>2035</v>
      </c>
    </row>
    <row r="1522" spans="1:13">
      <c r="A1522" t="s">
        <v>77</v>
      </c>
      <c r="B1522" t="s">
        <v>25</v>
      </c>
      <c r="C1522" t="s">
        <v>90</v>
      </c>
      <c r="D1522" s="4">
        <v>44928</v>
      </c>
      <c r="E1522" s="5" t="str">
        <f>TEXT(D1522,"dd/mm/yyyy")</f>
        <v>02/01/2023</v>
      </c>
      <c r="F1522" s="5" t="str" cm="1">
        <f t="array" ref="F1522">RIGHT(_xlfn.ANCHORARRAY(E1522),4)</f>
        <v>2023</v>
      </c>
      <c r="G1522" s="5" t="str">
        <f>TEXT(E1522,"mm")</f>
        <v>02</v>
      </c>
      <c r="H1522" s="6">
        <v>3782.83</v>
      </c>
      <c r="I1522">
        <v>150</v>
      </c>
      <c r="L1522" t="str">
        <f t="shared" si="23"/>
        <v>Below Average</v>
      </c>
      <c r="M1522">
        <f>RANK(H1522,H:H,0)</f>
        <v>2043</v>
      </c>
    </row>
    <row r="1523" spans="1:13">
      <c r="A1523" t="s">
        <v>34</v>
      </c>
      <c r="B1523" t="s">
        <v>10</v>
      </c>
      <c r="C1523" t="s">
        <v>38</v>
      </c>
      <c r="D1523" s="4">
        <v>45110</v>
      </c>
      <c r="E1523" s="5" t="str">
        <f>TEXT(D1523,"dd/mm/yyyy")</f>
        <v>03/07/2023</v>
      </c>
      <c r="F1523" s="5" t="str" cm="1">
        <f t="array" ref="F1523">RIGHT(_xlfn.ANCHORARRAY(E1523),4)</f>
        <v>2023</v>
      </c>
      <c r="G1523" s="5" t="str">
        <f>TEXT(E1523,"mm")</f>
        <v>03</v>
      </c>
      <c r="H1523" s="6">
        <v>4525.72</v>
      </c>
      <c r="I1523">
        <v>146</v>
      </c>
      <c r="L1523" t="str">
        <f t="shared" si="23"/>
        <v>Below Average</v>
      </c>
      <c r="M1523">
        <f>RANK(H1523,H:H,0)</f>
        <v>1840</v>
      </c>
    </row>
    <row r="1524" spans="1:13">
      <c r="A1524" t="s">
        <v>83</v>
      </c>
      <c r="B1524" t="s">
        <v>7</v>
      </c>
      <c r="C1524" t="s">
        <v>59</v>
      </c>
      <c r="D1524" s="4">
        <v>44986</v>
      </c>
      <c r="E1524" s="5" t="str">
        <f>TEXT(D1524,"dd/mm/yyyy")</f>
        <v>01/03/2023</v>
      </c>
      <c r="F1524" s="5" t="str" cm="1">
        <f t="array" ref="F1524">RIGHT(_xlfn.ANCHORARRAY(E1524),4)</f>
        <v>2023</v>
      </c>
      <c r="G1524" s="5" t="str">
        <f>TEXT(E1524,"mm")</f>
        <v>01</v>
      </c>
      <c r="H1524" s="6">
        <v>3730.79</v>
      </c>
      <c r="I1524">
        <v>237</v>
      </c>
      <c r="L1524" t="str">
        <f t="shared" si="23"/>
        <v>Below Average</v>
      </c>
      <c r="M1524">
        <f>RANK(H1524,H:H,0)</f>
        <v>2062</v>
      </c>
    </row>
    <row r="1525" spans="1:13">
      <c r="A1525" t="s">
        <v>83</v>
      </c>
      <c r="B1525" t="s">
        <v>32</v>
      </c>
      <c r="C1525" t="s">
        <v>59</v>
      </c>
      <c r="D1525" s="4">
        <v>45232</v>
      </c>
      <c r="E1525" s="5" t="str">
        <f>TEXT(D1525,"dd/mm/yyyy")</f>
        <v>02/11/2023</v>
      </c>
      <c r="F1525" s="5" t="str" cm="1">
        <f t="array" ref="F1525">RIGHT(_xlfn.ANCHORARRAY(E1525),4)</f>
        <v>2023</v>
      </c>
      <c r="G1525" s="5" t="str">
        <f>TEXT(E1525,"mm")</f>
        <v>02</v>
      </c>
      <c r="H1525" s="6">
        <v>6068.19</v>
      </c>
      <c r="I1525">
        <v>349</v>
      </c>
      <c r="L1525" t="str">
        <f t="shared" si="23"/>
        <v>Above Average</v>
      </c>
      <c r="M1525">
        <f>RANK(H1525,H:H,0)</f>
        <v>1413</v>
      </c>
    </row>
    <row r="1526" spans="1:13">
      <c r="A1526" t="s">
        <v>58</v>
      </c>
      <c r="B1526" t="s">
        <v>25</v>
      </c>
      <c r="C1526" t="s">
        <v>33</v>
      </c>
      <c r="D1526" s="3" t="s">
        <v>211</v>
      </c>
      <c r="E1526" s="5" t="str">
        <f>TEXT(D1526,"dd/mm/yyyy")</f>
        <v>16/03/2023</v>
      </c>
      <c r="F1526" s="5" t="str" cm="1">
        <f t="array" ref="F1526">RIGHT(_xlfn.ANCHORARRAY(E1526),4)</f>
        <v>2023</v>
      </c>
      <c r="G1526" s="5" t="str">
        <f>TEXT(E1526,"mm")</f>
        <v>16/03/2023</v>
      </c>
      <c r="H1526" s="6">
        <v>4944.46</v>
      </c>
      <c r="I1526">
        <v>144</v>
      </c>
      <c r="L1526" t="str">
        <f t="shared" si="23"/>
        <v>Below Average</v>
      </c>
      <c r="M1526">
        <f>RANK(H1526,H:H,0)</f>
        <v>1718</v>
      </c>
    </row>
    <row r="1527" spans="1:13">
      <c r="A1527" t="s">
        <v>79</v>
      </c>
      <c r="B1527" t="s">
        <v>10</v>
      </c>
      <c r="C1527" t="s">
        <v>59</v>
      </c>
      <c r="D1527" s="3" t="s">
        <v>215</v>
      </c>
      <c r="E1527" s="5" t="str">
        <f>TEXT(D1527,"dd/mm/yyyy")</f>
        <v>15/08/2023</v>
      </c>
      <c r="F1527" s="5" t="str" cm="1">
        <f t="array" ref="F1527">RIGHT(_xlfn.ANCHORARRAY(E1527),4)</f>
        <v>2023</v>
      </c>
      <c r="G1527" s="5" t="str">
        <f>TEXT(E1527,"mm")</f>
        <v>15/08/2023</v>
      </c>
      <c r="H1527" s="6">
        <v>12331.35</v>
      </c>
      <c r="I1527">
        <v>337</v>
      </c>
      <c r="L1527" t="str">
        <f t="shared" si="23"/>
        <v>Above Average</v>
      </c>
      <c r="M1527">
        <f>RANK(H1527,H:H,0)</f>
        <v>315</v>
      </c>
    </row>
    <row r="1528" spans="1:13">
      <c r="A1528" t="s">
        <v>12</v>
      </c>
      <c r="B1528" t="s">
        <v>10</v>
      </c>
      <c r="C1528" t="s">
        <v>60</v>
      </c>
      <c r="D1528" s="4">
        <v>45265</v>
      </c>
      <c r="E1528" s="5" t="str">
        <f>TEXT(D1528,"dd/mm/yyyy")</f>
        <v>05/12/2023</v>
      </c>
      <c r="F1528" s="5" t="str" cm="1">
        <f t="array" ref="F1528">RIGHT(_xlfn.ANCHORARRAY(E1528),4)</f>
        <v>2023</v>
      </c>
      <c r="G1528" s="5" t="str">
        <f>TEXT(E1528,"mm")</f>
        <v>05</v>
      </c>
      <c r="H1528" s="6">
        <v>5290.76</v>
      </c>
      <c r="I1528">
        <v>76</v>
      </c>
      <c r="L1528" t="str">
        <f t="shared" si="23"/>
        <v>Below Average</v>
      </c>
      <c r="M1528">
        <f>RANK(H1528,H:H,0)</f>
        <v>1622</v>
      </c>
    </row>
    <row r="1529" spans="1:13">
      <c r="A1529" t="s">
        <v>9</v>
      </c>
      <c r="B1529" t="s">
        <v>10</v>
      </c>
      <c r="C1529" t="s">
        <v>50</v>
      </c>
      <c r="D1529" s="4">
        <v>45234</v>
      </c>
      <c r="E1529" s="5" t="str">
        <f>TEXT(D1529,"dd/mm/yyyy")</f>
        <v>04/11/2023</v>
      </c>
      <c r="F1529" s="5" t="str" cm="1">
        <f t="array" ref="F1529">RIGHT(_xlfn.ANCHORARRAY(E1529),4)</f>
        <v>2023</v>
      </c>
      <c r="G1529" s="5" t="str">
        <f>TEXT(E1529,"mm")</f>
        <v>04</v>
      </c>
      <c r="H1529" s="6">
        <v>6874.06</v>
      </c>
      <c r="I1529">
        <v>4</v>
      </c>
      <c r="L1529" t="str">
        <f t="shared" si="23"/>
        <v>Above Average</v>
      </c>
      <c r="M1529">
        <f>RANK(H1529,H:H,0)</f>
        <v>1213</v>
      </c>
    </row>
    <row r="1530" spans="1:13">
      <c r="A1530" t="s">
        <v>14</v>
      </c>
      <c r="B1530" t="s">
        <v>25</v>
      </c>
      <c r="C1530" t="s">
        <v>8</v>
      </c>
      <c r="D1530" s="3" t="s">
        <v>180</v>
      </c>
      <c r="E1530" s="5" t="str">
        <f>TEXT(D1530,"dd/mm/yyyy")</f>
        <v>30/06/2023</v>
      </c>
      <c r="F1530" s="5" t="str" cm="1">
        <f t="array" ref="F1530">RIGHT(_xlfn.ANCHORARRAY(E1530),4)</f>
        <v>2023</v>
      </c>
      <c r="G1530" s="5" t="str">
        <f>TEXT(E1530,"mm")</f>
        <v>30/06/2023</v>
      </c>
      <c r="H1530" s="6">
        <v>20402.169999999998</v>
      </c>
      <c r="I1530">
        <v>297</v>
      </c>
      <c r="L1530" t="str">
        <f t="shared" si="23"/>
        <v>Above Average</v>
      </c>
      <c r="M1530">
        <f>RANK(H1530,H:H,0)</f>
        <v>16</v>
      </c>
    </row>
    <row r="1531" spans="1:13">
      <c r="A1531" t="s">
        <v>79</v>
      </c>
      <c r="B1531" t="s">
        <v>25</v>
      </c>
      <c r="C1531" t="s">
        <v>59</v>
      </c>
      <c r="D1531" s="3" t="s">
        <v>177</v>
      </c>
      <c r="E1531" s="5" t="str">
        <f>TEXT(D1531,"dd/mm/yyyy")</f>
        <v>15/06/2023</v>
      </c>
      <c r="F1531" s="5" t="str" cm="1">
        <f t="array" ref="F1531">RIGHT(_xlfn.ANCHORARRAY(E1531),4)</f>
        <v>2023</v>
      </c>
      <c r="G1531" s="5" t="str">
        <f>TEXT(E1531,"mm")</f>
        <v>15/06/2023</v>
      </c>
      <c r="H1531" s="6">
        <v>7923.1</v>
      </c>
      <c r="I1531">
        <v>62</v>
      </c>
      <c r="L1531" t="str">
        <f t="shared" si="23"/>
        <v>Above Average</v>
      </c>
      <c r="M1531">
        <f>RANK(H1531,H:H,0)</f>
        <v>958</v>
      </c>
    </row>
    <row r="1532" spans="1:13">
      <c r="A1532" t="s">
        <v>29</v>
      </c>
      <c r="B1532" t="s">
        <v>35</v>
      </c>
      <c r="C1532" t="s">
        <v>90</v>
      </c>
      <c r="D1532" s="4">
        <v>44934</v>
      </c>
      <c r="E1532" s="5" t="str">
        <f>TEXT(D1532,"dd/mm/yyyy")</f>
        <v>08/01/2023</v>
      </c>
      <c r="F1532" s="5" t="str" cm="1">
        <f t="array" ref="F1532">RIGHT(_xlfn.ANCHORARRAY(E1532),4)</f>
        <v>2023</v>
      </c>
      <c r="G1532" s="5" t="str">
        <f>TEXT(E1532,"mm")</f>
        <v>08</v>
      </c>
      <c r="H1532" s="6">
        <v>8145.99</v>
      </c>
      <c r="I1532">
        <v>100</v>
      </c>
      <c r="L1532" t="str">
        <f t="shared" si="23"/>
        <v>Above Average</v>
      </c>
      <c r="M1532">
        <f>RANK(H1532,H:H,0)</f>
        <v>905</v>
      </c>
    </row>
    <row r="1533" spans="1:13">
      <c r="A1533" t="s">
        <v>55</v>
      </c>
      <c r="B1533" t="s">
        <v>32</v>
      </c>
      <c r="C1533" t="s">
        <v>46</v>
      </c>
      <c r="D1533" s="3" t="s">
        <v>177</v>
      </c>
      <c r="E1533" s="5" t="str">
        <f>TEXT(D1533,"dd/mm/yyyy")</f>
        <v>15/06/2023</v>
      </c>
      <c r="F1533" s="5" t="str" cm="1">
        <f t="array" ref="F1533">RIGHT(_xlfn.ANCHORARRAY(E1533),4)</f>
        <v>2023</v>
      </c>
      <c r="G1533" s="5" t="str">
        <f>TEXT(E1533,"mm")</f>
        <v>15/06/2023</v>
      </c>
      <c r="H1533" s="6">
        <v>16253.25</v>
      </c>
      <c r="I1533">
        <v>58</v>
      </c>
      <c r="L1533" t="str">
        <f t="shared" si="23"/>
        <v>Above Average</v>
      </c>
      <c r="M1533">
        <f>RANK(H1533,H:H,0)</f>
        <v>92</v>
      </c>
    </row>
    <row r="1534" spans="1:13">
      <c r="A1534" t="s">
        <v>28</v>
      </c>
      <c r="B1534" t="s">
        <v>10</v>
      </c>
      <c r="C1534" t="s">
        <v>23</v>
      </c>
      <c r="D1534" s="3" t="s">
        <v>214</v>
      </c>
      <c r="E1534" s="5" t="str">
        <f>TEXT(D1534,"dd/mm/yyyy")</f>
        <v>16/06/2023</v>
      </c>
      <c r="F1534" s="5" t="str" cm="1">
        <f t="array" ref="F1534">RIGHT(_xlfn.ANCHORARRAY(E1534),4)</f>
        <v>2023</v>
      </c>
      <c r="G1534" s="5" t="str">
        <f>TEXT(E1534,"mm")</f>
        <v>16/06/2023</v>
      </c>
      <c r="H1534" s="6">
        <v>5744.07</v>
      </c>
      <c r="I1534">
        <v>49</v>
      </c>
      <c r="L1534" t="str">
        <f t="shared" si="23"/>
        <v>Below Average</v>
      </c>
      <c r="M1534">
        <f>RANK(H1534,H:H,0)</f>
        <v>1508</v>
      </c>
    </row>
    <row r="1535" spans="1:13">
      <c r="A1535" t="s">
        <v>19</v>
      </c>
      <c r="B1535" t="s">
        <v>25</v>
      </c>
      <c r="C1535" t="s">
        <v>73</v>
      </c>
      <c r="D1535" s="3" t="s">
        <v>233</v>
      </c>
      <c r="E1535" s="5" t="str">
        <f>TEXT(D1535,"dd/mm/yyyy")</f>
        <v>13/05/2023</v>
      </c>
      <c r="F1535" s="5" t="str" cm="1">
        <f t="array" ref="F1535">RIGHT(_xlfn.ANCHORARRAY(E1535),4)</f>
        <v>2023</v>
      </c>
      <c r="G1535" s="5" t="str">
        <f>TEXT(E1535,"mm")</f>
        <v>13/05/2023</v>
      </c>
      <c r="H1535" s="6">
        <v>4908.71</v>
      </c>
      <c r="I1535">
        <v>288</v>
      </c>
      <c r="L1535" t="str">
        <f t="shared" si="23"/>
        <v>Below Average</v>
      </c>
      <c r="M1535">
        <f>RANK(H1535,H:H,0)</f>
        <v>1728</v>
      </c>
    </row>
    <row r="1536" spans="1:13">
      <c r="A1536" t="s">
        <v>58</v>
      </c>
      <c r="B1536" t="s">
        <v>32</v>
      </c>
      <c r="C1536" t="s">
        <v>38</v>
      </c>
      <c r="D1536" s="4">
        <v>45204</v>
      </c>
      <c r="E1536" s="5" t="str">
        <f>TEXT(D1536,"dd/mm/yyyy")</f>
        <v>05/10/2023</v>
      </c>
      <c r="F1536" s="5" t="str" cm="1">
        <f t="array" ref="F1536">RIGHT(_xlfn.ANCHORARRAY(E1536),4)</f>
        <v>2023</v>
      </c>
      <c r="G1536" s="5" t="str">
        <f>TEXT(E1536,"mm")</f>
        <v>05</v>
      </c>
      <c r="H1536" s="6">
        <v>2369.87</v>
      </c>
      <c r="I1536">
        <v>139</v>
      </c>
      <c r="L1536" t="str">
        <f t="shared" si="23"/>
        <v>Below Average</v>
      </c>
      <c r="M1536">
        <f>RANK(H1536,H:H,0)</f>
        <v>2525</v>
      </c>
    </row>
    <row r="1537" spans="1:13">
      <c r="A1537" t="s">
        <v>19</v>
      </c>
      <c r="B1537" t="s">
        <v>10</v>
      </c>
      <c r="C1537" t="s">
        <v>36</v>
      </c>
      <c r="D1537" s="3" t="s">
        <v>206</v>
      </c>
      <c r="E1537" s="5" t="str">
        <f>TEXT(D1537,"dd/mm/yyyy")</f>
        <v>25/08/2023</v>
      </c>
      <c r="F1537" s="5" t="str" cm="1">
        <f t="array" ref="F1537">RIGHT(_xlfn.ANCHORARRAY(E1537),4)</f>
        <v>2023</v>
      </c>
      <c r="G1537" s="5" t="str">
        <f>TEXT(E1537,"mm")</f>
        <v>25/08/2023</v>
      </c>
      <c r="H1537" s="6">
        <v>5973.24</v>
      </c>
      <c r="I1537">
        <v>337</v>
      </c>
      <c r="L1537" t="str">
        <f t="shared" si="23"/>
        <v>Below Average</v>
      </c>
      <c r="M1537">
        <f>RANK(H1537,H:H,0)</f>
        <v>1438</v>
      </c>
    </row>
    <row r="1538" spans="1:13">
      <c r="A1538" t="s">
        <v>83</v>
      </c>
      <c r="B1538" t="s">
        <v>25</v>
      </c>
      <c r="C1538" t="s">
        <v>42</v>
      </c>
      <c r="D1538" s="3" t="s">
        <v>189</v>
      </c>
      <c r="E1538" s="5" t="str">
        <f>TEXT(D1538,"dd/mm/yyyy")</f>
        <v>15/07/2023</v>
      </c>
      <c r="F1538" s="5" t="str" cm="1">
        <f t="array" ref="F1538">RIGHT(_xlfn.ANCHORARRAY(E1538),4)</f>
        <v>2023</v>
      </c>
      <c r="G1538" s="5" t="str">
        <f>TEXT(E1538,"mm")</f>
        <v>15/07/2023</v>
      </c>
      <c r="H1538" s="6">
        <v>8047.16</v>
      </c>
      <c r="I1538">
        <v>86</v>
      </c>
      <c r="L1538" t="str">
        <f t="shared" si="23"/>
        <v>Above Average</v>
      </c>
      <c r="M1538">
        <f>RANK(H1538,H:H,0)</f>
        <v>928</v>
      </c>
    </row>
    <row r="1539" spans="1:13">
      <c r="A1539" t="s">
        <v>12</v>
      </c>
      <c r="B1539" t="s">
        <v>7</v>
      </c>
      <c r="C1539" t="s">
        <v>87</v>
      </c>
      <c r="D1539" s="3" t="s">
        <v>192</v>
      </c>
      <c r="E1539" s="5" t="str">
        <f>TEXT(D1539,"dd/mm/yyyy")</f>
        <v>16/05/2023</v>
      </c>
      <c r="F1539" s="5" t="str" cm="1">
        <f t="array" ref="F1539">RIGHT(_xlfn.ANCHORARRAY(E1539),4)</f>
        <v>2023</v>
      </c>
      <c r="G1539" s="5" t="str">
        <f>TEXT(E1539,"mm")</f>
        <v>16/05/2023</v>
      </c>
      <c r="H1539" s="6">
        <v>9656.56</v>
      </c>
      <c r="I1539">
        <v>400</v>
      </c>
      <c r="L1539" t="str">
        <f t="shared" ref="L1539:L1602" si="24">IF(H1539&gt;6030.34,"Above Average","Below Average")</f>
        <v>Above Average</v>
      </c>
      <c r="M1539">
        <f>RANK(H1539,H:H,0)</f>
        <v>636</v>
      </c>
    </row>
    <row r="1540" spans="1:13">
      <c r="A1540" t="s">
        <v>14</v>
      </c>
      <c r="B1540" t="s">
        <v>15</v>
      </c>
      <c r="C1540" t="s">
        <v>26</v>
      </c>
      <c r="D1540" s="3" t="s">
        <v>230</v>
      </c>
      <c r="E1540" s="5" t="str">
        <f>TEXT(D1540,"dd/mm/yyyy")</f>
        <v>14/06/2023</v>
      </c>
      <c r="F1540" s="5" t="str" cm="1">
        <f t="array" ref="F1540">RIGHT(_xlfn.ANCHORARRAY(E1540),4)</f>
        <v>2023</v>
      </c>
      <c r="G1540" s="5" t="str">
        <f>TEXT(E1540,"mm")</f>
        <v>14/06/2023</v>
      </c>
      <c r="H1540" s="6">
        <v>3925.06</v>
      </c>
      <c r="I1540">
        <v>186</v>
      </c>
      <c r="L1540" t="str">
        <f t="shared" si="24"/>
        <v>Below Average</v>
      </c>
      <c r="M1540">
        <f>RANK(H1540,H:H,0)</f>
        <v>2006</v>
      </c>
    </row>
    <row r="1541" spans="1:13">
      <c r="A1541" t="s">
        <v>41</v>
      </c>
      <c r="B1541" t="s">
        <v>15</v>
      </c>
      <c r="C1541" t="s">
        <v>18</v>
      </c>
      <c r="D1541" s="3" t="s">
        <v>164</v>
      </c>
      <c r="E1541" s="5" t="str">
        <f>TEXT(D1541,"dd/mm/yyyy")</f>
        <v>25/01/2023</v>
      </c>
      <c r="F1541" s="5" t="str" cm="1">
        <f t="array" ref="F1541">RIGHT(_xlfn.ANCHORARRAY(E1541),4)</f>
        <v>2023</v>
      </c>
      <c r="G1541" s="5" t="str">
        <f>TEXT(E1541,"mm")</f>
        <v>25/01/2023</v>
      </c>
      <c r="H1541" s="6">
        <v>11682.62</v>
      </c>
      <c r="I1541">
        <v>506</v>
      </c>
      <c r="L1541" t="str">
        <f t="shared" si="24"/>
        <v>Above Average</v>
      </c>
      <c r="M1541">
        <f>RANK(H1541,H:H,0)</f>
        <v>378</v>
      </c>
    </row>
    <row r="1542" spans="1:13">
      <c r="A1542" t="s">
        <v>83</v>
      </c>
      <c r="B1542" t="s">
        <v>32</v>
      </c>
      <c r="C1542" t="s">
        <v>42</v>
      </c>
      <c r="D1542" s="3" t="s">
        <v>168</v>
      </c>
      <c r="E1542" s="5" t="str">
        <f>TEXT(D1542,"dd/mm/yyyy")</f>
        <v>28/07/2023</v>
      </c>
      <c r="F1542" s="5" t="str" cm="1">
        <f t="array" ref="F1542">RIGHT(_xlfn.ANCHORARRAY(E1542),4)</f>
        <v>2023</v>
      </c>
      <c r="G1542" s="5" t="str">
        <f>TEXT(E1542,"mm")</f>
        <v>28/07/2023</v>
      </c>
      <c r="H1542" s="6">
        <v>7874.15</v>
      </c>
      <c r="I1542">
        <v>13</v>
      </c>
      <c r="L1542" t="str">
        <f t="shared" si="24"/>
        <v>Above Average</v>
      </c>
      <c r="M1542">
        <f>RANK(H1542,H:H,0)</f>
        <v>978</v>
      </c>
    </row>
    <row r="1543" spans="1:13">
      <c r="A1543" t="s">
        <v>28</v>
      </c>
      <c r="B1543" t="s">
        <v>35</v>
      </c>
      <c r="C1543" t="s">
        <v>8</v>
      </c>
      <c r="D1543" s="3" t="s">
        <v>210</v>
      </c>
      <c r="E1543" s="5" t="str">
        <f>TEXT(D1543,"dd/mm/yyyy")</f>
        <v>28/01/2023</v>
      </c>
      <c r="F1543" s="5" t="str" cm="1">
        <f t="array" ref="F1543">RIGHT(_xlfn.ANCHORARRAY(E1543),4)</f>
        <v>2023</v>
      </c>
      <c r="G1543" s="5" t="str">
        <f>TEXT(E1543,"mm")</f>
        <v>28/01/2023</v>
      </c>
      <c r="H1543" s="6">
        <v>5061.37</v>
      </c>
      <c r="I1543">
        <v>179</v>
      </c>
      <c r="L1543" t="str">
        <f t="shared" si="24"/>
        <v>Below Average</v>
      </c>
      <c r="M1543">
        <f>RANK(H1543,H:H,0)</f>
        <v>1687</v>
      </c>
    </row>
    <row r="1544" spans="1:13">
      <c r="A1544" t="s">
        <v>55</v>
      </c>
      <c r="B1544" t="s">
        <v>7</v>
      </c>
      <c r="C1544" t="s">
        <v>33</v>
      </c>
      <c r="D1544" s="3" t="s">
        <v>179</v>
      </c>
      <c r="E1544" s="5" t="str">
        <f>TEXT(D1544,"dd/mm/yyyy")</f>
        <v>29/06/2023</v>
      </c>
      <c r="F1544" s="5" t="str" cm="1">
        <f t="array" ref="F1544">RIGHT(_xlfn.ANCHORARRAY(E1544),4)</f>
        <v>2023</v>
      </c>
      <c r="G1544" s="5" t="str">
        <f>TEXT(E1544,"mm")</f>
        <v>29/06/2023</v>
      </c>
      <c r="H1544" s="6">
        <v>2099.2399999999998</v>
      </c>
      <c r="I1544">
        <v>186</v>
      </c>
      <c r="L1544" t="str">
        <f t="shared" si="24"/>
        <v>Below Average</v>
      </c>
      <c r="M1544">
        <f>RANK(H1544,H:H,0)</f>
        <v>2603</v>
      </c>
    </row>
    <row r="1545" spans="1:13">
      <c r="A1545" t="s">
        <v>37</v>
      </c>
      <c r="B1545" t="s">
        <v>15</v>
      </c>
      <c r="C1545" t="s">
        <v>100</v>
      </c>
      <c r="D1545" s="3" t="s">
        <v>246</v>
      </c>
      <c r="E1545" s="5" t="str">
        <f>TEXT(D1545,"dd/mm/yyyy")</f>
        <v>24/06/2023</v>
      </c>
      <c r="F1545" s="5" t="str" cm="1">
        <f t="array" ref="F1545">RIGHT(_xlfn.ANCHORARRAY(E1545),4)</f>
        <v>2023</v>
      </c>
      <c r="G1545" s="5" t="str">
        <f>TEXT(E1545,"mm")</f>
        <v>24/06/2023</v>
      </c>
      <c r="H1545" s="6">
        <v>237.57</v>
      </c>
      <c r="I1545">
        <v>311</v>
      </c>
      <c r="L1545" t="str">
        <f t="shared" si="24"/>
        <v>Below Average</v>
      </c>
      <c r="M1545">
        <f>RANK(H1545,H:H,0)</f>
        <v>3211</v>
      </c>
    </row>
    <row r="1546" spans="1:13">
      <c r="A1546" t="s">
        <v>22</v>
      </c>
      <c r="B1546" t="s">
        <v>35</v>
      </c>
      <c r="C1546" t="s">
        <v>8</v>
      </c>
      <c r="D1546" s="4">
        <v>44933</v>
      </c>
      <c r="E1546" s="5" t="str">
        <f>TEXT(D1546,"dd/mm/yyyy")</f>
        <v>07/01/2023</v>
      </c>
      <c r="F1546" s="5" t="str" cm="1">
        <f t="array" ref="F1546">RIGHT(_xlfn.ANCHORARRAY(E1546),4)</f>
        <v>2023</v>
      </c>
      <c r="G1546" s="5" t="str">
        <f>TEXT(E1546,"mm")</f>
        <v>07</v>
      </c>
      <c r="H1546" s="6">
        <v>8829.77</v>
      </c>
      <c r="I1546">
        <v>445</v>
      </c>
      <c r="L1546" t="str">
        <f t="shared" si="24"/>
        <v>Above Average</v>
      </c>
      <c r="M1546">
        <f>RANK(H1546,H:H,0)</f>
        <v>776</v>
      </c>
    </row>
    <row r="1547" spans="1:13">
      <c r="A1547" t="s">
        <v>45</v>
      </c>
      <c r="B1547" t="s">
        <v>32</v>
      </c>
      <c r="C1547" t="s">
        <v>13</v>
      </c>
      <c r="D1547" s="3" t="s">
        <v>207</v>
      </c>
      <c r="E1547" s="5" t="str">
        <f>TEXT(D1547,"dd/mm/yyyy")</f>
        <v>25/02/2023</v>
      </c>
      <c r="F1547" s="5" t="str" cm="1">
        <f t="array" ref="F1547">RIGHT(_xlfn.ANCHORARRAY(E1547),4)</f>
        <v>2023</v>
      </c>
      <c r="G1547" s="5" t="str">
        <f>TEXT(E1547,"mm")</f>
        <v>25/02/2023</v>
      </c>
      <c r="H1547" s="6">
        <v>1733.09</v>
      </c>
      <c r="I1547">
        <v>135</v>
      </c>
      <c r="L1547" t="str">
        <f t="shared" si="24"/>
        <v>Below Average</v>
      </c>
      <c r="M1547">
        <f>RANK(H1547,H:H,0)</f>
        <v>2723</v>
      </c>
    </row>
    <row r="1548" spans="1:13">
      <c r="A1548" t="s">
        <v>48</v>
      </c>
      <c r="B1548" t="s">
        <v>35</v>
      </c>
      <c r="C1548" t="s">
        <v>18</v>
      </c>
      <c r="D1548" s="4">
        <v>44934</v>
      </c>
      <c r="E1548" s="5" t="str">
        <f>TEXT(D1548,"dd/mm/yyyy")</f>
        <v>08/01/2023</v>
      </c>
      <c r="F1548" s="5" t="str" cm="1">
        <f t="array" ref="F1548">RIGHT(_xlfn.ANCHORARRAY(E1548),4)</f>
        <v>2023</v>
      </c>
      <c r="G1548" s="5" t="str">
        <f>TEXT(E1548,"mm")</f>
        <v>08</v>
      </c>
      <c r="H1548" s="6">
        <v>3047.18</v>
      </c>
      <c r="I1548">
        <v>12</v>
      </c>
      <c r="L1548" t="str">
        <f t="shared" si="24"/>
        <v>Below Average</v>
      </c>
      <c r="M1548">
        <f>RANK(H1548,H:H,0)</f>
        <v>2287</v>
      </c>
    </row>
    <row r="1549" spans="1:13">
      <c r="A1549" t="s">
        <v>19</v>
      </c>
      <c r="B1549" t="s">
        <v>15</v>
      </c>
      <c r="C1549" t="s">
        <v>46</v>
      </c>
      <c r="D1549" s="3" t="s">
        <v>249</v>
      </c>
      <c r="E1549" s="5" t="str">
        <f>TEXT(D1549,"dd/mm/yyyy")</f>
        <v>21/06/2023</v>
      </c>
      <c r="F1549" s="5" t="str" cm="1">
        <f t="array" ref="F1549">RIGHT(_xlfn.ANCHORARRAY(E1549),4)</f>
        <v>2023</v>
      </c>
      <c r="G1549" s="5" t="str">
        <f>TEXT(E1549,"mm")</f>
        <v>21/06/2023</v>
      </c>
      <c r="H1549" s="6">
        <v>8497.7199999999993</v>
      </c>
      <c r="I1549">
        <v>276</v>
      </c>
      <c r="L1549" t="str">
        <f t="shared" si="24"/>
        <v>Above Average</v>
      </c>
      <c r="M1549">
        <f>RANK(H1549,H:H,0)</f>
        <v>835</v>
      </c>
    </row>
    <row r="1550" spans="1:13">
      <c r="A1550" t="s">
        <v>71</v>
      </c>
      <c r="B1550" t="s">
        <v>25</v>
      </c>
      <c r="C1550" t="s">
        <v>50</v>
      </c>
      <c r="D1550" s="3" t="s">
        <v>164</v>
      </c>
      <c r="E1550" s="5" t="str">
        <f>TEXT(D1550,"dd/mm/yyyy")</f>
        <v>25/01/2023</v>
      </c>
      <c r="F1550" s="5" t="str" cm="1">
        <f t="array" ref="F1550">RIGHT(_xlfn.ANCHORARRAY(E1550),4)</f>
        <v>2023</v>
      </c>
      <c r="G1550" s="5" t="str">
        <f>TEXT(E1550,"mm")</f>
        <v>25/01/2023</v>
      </c>
      <c r="H1550" s="6">
        <v>12557.56</v>
      </c>
      <c r="I1550">
        <v>26</v>
      </c>
      <c r="L1550" t="str">
        <f t="shared" si="24"/>
        <v>Above Average</v>
      </c>
      <c r="M1550">
        <f>RANK(H1550,H:H,0)</f>
        <v>297</v>
      </c>
    </row>
    <row r="1551" spans="1:13">
      <c r="A1551" t="s">
        <v>12</v>
      </c>
      <c r="B1551" t="s">
        <v>7</v>
      </c>
      <c r="C1551" t="s">
        <v>46</v>
      </c>
      <c r="D1551" s="3" t="s">
        <v>247</v>
      </c>
      <c r="E1551" s="5" t="str">
        <f>TEXT(D1551,"dd/mm/yyyy")</f>
        <v>17/05/2023</v>
      </c>
      <c r="F1551" s="5" t="str" cm="1">
        <f t="array" ref="F1551">RIGHT(_xlfn.ANCHORARRAY(E1551),4)</f>
        <v>2023</v>
      </c>
      <c r="G1551" s="5" t="str">
        <f>TEXT(E1551,"mm")</f>
        <v>17/05/2023</v>
      </c>
      <c r="H1551" s="6">
        <v>1406.91</v>
      </c>
      <c r="I1551">
        <v>231</v>
      </c>
      <c r="L1551" t="str">
        <f t="shared" si="24"/>
        <v>Below Average</v>
      </c>
      <c r="M1551">
        <f>RANK(H1551,H:H,0)</f>
        <v>2839</v>
      </c>
    </row>
    <row r="1552" spans="1:13">
      <c r="A1552" t="s">
        <v>67</v>
      </c>
      <c r="B1552" t="s">
        <v>15</v>
      </c>
      <c r="C1552" t="s">
        <v>11</v>
      </c>
      <c r="D1552" s="3" t="s">
        <v>202</v>
      </c>
      <c r="E1552" s="5" t="str">
        <f>TEXT(D1552,"dd/mm/yyyy")</f>
        <v>23/08/2023</v>
      </c>
      <c r="F1552" s="5" t="str" cm="1">
        <f t="array" ref="F1552">RIGHT(_xlfn.ANCHORARRAY(E1552),4)</f>
        <v>2023</v>
      </c>
      <c r="G1552" s="5" t="str">
        <f>TEXT(E1552,"mm")</f>
        <v>23/08/2023</v>
      </c>
      <c r="H1552" s="6">
        <v>4496.32</v>
      </c>
      <c r="I1552">
        <v>240</v>
      </c>
      <c r="L1552" t="str">
        <f t="shared" si="24"/>
        <v>Below Average</v>
      </c>
      <c r="M1552">
        <f>RANK(H1552,H:H,0)</f>
        <v>1851</v>
      </c>
    </row>
    <row r="1553" spans="1:13">
      <c r="A1553" t="s">
        <v>71</v>
      </c>
      <c r="B1553" t="s">
        <v>15</v>
      </c>
      <c r="C1553" t="s">
        <v>18</v>
      </c>
      <c r="D1553" s="4">
        <v>44988</v>
      </c>
      <c r="E1553" s="5" t="str">
        <f>TEXT(D1553,"dd/mm/yyyy")</f>
        <v>03/03/2023</v>
      </c>
      <c r="F1553" s="5" t="str" cm="1">
        <f t="array" ref="F1553">RIGHT(_xlfn.ANCHORARRAY(E1553),4)</f>
        <v>2023</v>
      </c>
      <c r="G1553" s="5" t="str">
        <f>TEXT(E1553,"mm")</f>
        <v>03</v>
      </c>
      <c r="H1553" s="6">
        <v>8220.25</v>
      </c>
      <c r="I1553">
        <v>125</v>
      </c>
      <c r="L1553" t="str">
        <f t="shared" si="24"/>
        <v>Above Average</v>
      </c>
      <c r="M1553">
        <f>RANK(H1553,H:H,0)</f>
        <v>889</v>
      </c>
    </row>
    <row r="1554" spans="1:13">
      <c r="A1554" t="s">
        <v>45</v>
      </c>
      <c r="B1554" t="s">
        <v>10</v>
      </c>
      <c r="C1554" t="s">
        <v>90</v>
      </c>
      <c r="D1554" s="3" t="s">
        <v>174</v>
      </c>
      <c r="E1554" s="5" t="str">
        <f>TEXT(D1554,"dd/mm/yyyy")</f>
        <v>30/05/2023</v>
      </c>
      <c r="F1554" s="5" t="str" cm="1">
        <f t="array" ref="F1554">RIGHT(_xlfn.ANCHORARRAY(E1554),4)</f>
        <v>2023</v>
      </c>
      <c r="G1554" s="5" t="str">
        <f>TEXT(E1554,"mm")</f>
        <v>30/05/2023</v>
      </c>
      <c r="H1554" s="6">
        <v>9588.0300000000007</v>
      </c>
      <c r="I1554">
        <v>562</v>
      </c>
      <c r="L1554" t="str">
        <f t="shared" si="24"/>
        <v>Above Average</v>
      </c>
      <c r="M1554">
        <f>RANK(H1554,H:H,0)</f>
        <v>643</v>
      </c>
    </row>
    <row r="1555" spans="1:13">
      <c r="A1555" t="s">
        <v>37</v>
      </c>
      <c r="B1555" t="s">
        <v>32</v>
      </c>
      <c r="C1555" t="s">
        <v>38</v>
      </c>
      <c r="D1555" s="3" t="s">
        <v>179</v>
      </c>
      <c r="E1555" s="5" t="str">
        <f>TEXT(D1555,"dd/mm/yyyy")</f>
        <v>29/06/2023</v>
      </c>
      <c r="F1555" s="5" t="str" cm="1">
        <f t="array" ref="F1555">RIGHT(_xlfn.ANCHORARRAY(E1555),4)</f>
        <v>2023</v>
      </c>
      <c r="G1555" s="5" t="str">
        <f>TEXT(E1555,"mm")</f>
        <v>29/06/2023</v>
      </c>
      <c r="H1555" s="6">
        <v>114.82</v>
      </c>
      <c r="I1555">
        <v>231</v>
      </c>
      <c r="L1555" t="str">
        <f t="shared" si="24"/>
        <v>Below Average</v>
      </c>
      <c r="M1555">
        <f>RANK(H1555,H:H,0)</f>
        <v>3239</v>
      </c>
    </row>
    <row r="1556" spans="1:13">
      <c r="A1556" t="s">
        <v>67</v>
      </c>
      <c r="B1556" t="s">
        <v>35</v>
      </c>
      <c r="C1556" t="s">
        <v>42</v>
      </c>
      <c r="D1556" s="4">
        <v>45017</v>
      </c>
      <c r="E1556" s="5" t="str">
        <f>TEXT(D1556,"dd/mm/yyyy")</f>
        <v>01/04/2023</v>
      </c>
      <c r="F1556" s="5" t="str" cm="1">
        <f t="array" ref="F1556">RIGHT(_xlfn.ANCHORARRAY(E1556),4)</f>
        <v>2023</v>
      </c>
      <c r="G1556" s="5" t="str">
        <f>TEXT(E1556,"mm")</f>
        <v>01</v>
      </c>
      <c r="H1556" s="6">
        <v>8804.98</v>
      </c>
      <c r="I1556">
        <v>214</v>
      </c>
      <c r="L1556" t="str">
        <f t="shared" si="24"/>
        <v>Above Average</v>
      </c>
      <c r="M1556">
        <f>RANK(H1556,H:H,0)</f>
        <v>779</v>
      </c>
    </row>
    <row r="1557" spans="1:13">
      <c r="A1557" t="s">
        <v>6</v>
      </c>
      <c r="B1557" t="s">
        <v>15</v>
      </c>
      <c r="C1557" t="s">
        <v>38</v>
      </c>
      <c r="D1557" s="3" t="s">
        <v>225</v>
      </c>
      <c r="E1557" s="5" t="str">
        <f>TEXT(D1557,"dd/mm/yyyy")</f>
        <v>14/01/2023</v>
      </c>
      <c r="F1557" s="5" t="str" cm="1">
        <f t="array" ref="F1557">RIGHT(_xlfn.ANCHORARRAY(E1557),4)</f>
        <v>2023</v>
      </c>
      <c r="G1557" s="5" t="str">
        <f>TEXT(E1557,"mm")</f>
        <v>14/01/2023</v>
      </c>
      <c r="H1557" s="6">
        <v>2900.61</v>
      </c>
      <c r="I1557">
        <v>68</v>
      </c>
      <c r="L1557" t="str">
        <f t="shared" si="24"/>
        <v>Below Average</v>
      </c>
      <c r="M1557">
        <f>RANK(H1557,H:H,0)</f>
        <v>2346</v>
      </c>
    </row>
    <row r="1558" spans="1:13">
      <c r="A1558" t="s">
        <v>37</v>
      </c>
      <c r="B1558" t="s">
        <v>32</v>
      </c>
      <c r="C1558" t="s">
        <v>8</v>
      </c>
      <c r="D1558" s="3" t="s">
        <v>252</v>
      </c>
      <c r="E1558" s="5" t="str">
        <f>TEXT(D1558,"dd/mm/yyyy")</f>
        <v>15/02/2023</v>
      </c>
      <c r="F1558" s="5" t="str" cm="1">
        <f t="array" ref="F1558">RIGHT(_xlfn.ANCHORARRAY(E1558),4)</f>
        <v>2023</v>
      </c>
      <c r="G1558" s="5" t="str">
        <f>TEXT(E1558,"mm")</f>
        <v>15/02/2023</v>
      </c>
      <c r="H1558" s="6">
        <v>16773.080000000002</v>
      </c>
      <c r="I1558">
        <v>58</v>
      </c>
      <c r="L1558" t="str">
        <f t="shared" si="24"/>
        <v>Above Average</v>
      </c>
      <c r="M1558">
        <f>RANK(H1558,H:H,0)</f>
        <v>73</v>
      </c>
    </row>
    <row r="1559" spans="1:13">
      <c r="A1559" t="s">
        <v>48</v>
      </c>
      <c r="B1559" t="s">
        <v>25</v>
      </c>
      <c r="C1559" t="s">
        <v>50</v>
      </c>
      <c r="D1559" s="4">
        <v>45200</v>
      </c>
      <c r="E1559" s="5" t="str">
        <f>TEXT(D1559,"dd/mm/yyyy")</f>
        <v>01/10/2023</v>
      </c>
      <c r="F1559" s="5" t="str" cm="1">
        <f t="array" ref="F1559">RIGHT(_xlfn.ANCHORARRAY(E1559),4)</f>
        <v>2023</v>
      </c>
      <c r="G1559" s="5" t="str">
        <f>TEXT(E1559,"mm")</f>
        <v>01</v>
      </c>
      <c r="H1559" s="6">
        <v>4153.59</v>
      </c>
      <c r="I1559">
        <v>513</v>
      </c>
      <c r="L1559" t="str">
        <f t="shared" si="24"/>
        <v>Below Average</v>
      </c>
      <c r="M1559">
        <f>RANK(H1559,H:H,0)</f>
        <v>1944</v>
      </c>
    </row>
    <row r="1560" spans="1:13">
      <c r="A1560" t="s">
        <v>77</v>
      </c>
      <c r="B1560" t="s">
        <v>32</v>
      </c>
      <c r="C1560" t="s">
        <v>59</v>
      </c>
      <c r="D1560" s="4">
        <v>45021</v>
      </c>
      <c r="E1560" s="5" t="str">
        <f>TEXT(D1560,"dd/mm/yyyy")</f>
        <v>05/04/2023</v>
      </c>
      <c r="F1560" s="5" t="str" cm="1">
        <f t="array" ref="F1560">RIGHT(_xlfn.ANCHORARRAY(E1560),4)</f>
        <v>2023</v>
      </c>
      <c r="G1560" s="5" t="str">
        <f>TEXT(E1560,"mm")</f>
        <v>05</v>
      </c>
      <c r="H1560" s="6">
        <v>12571.07</v>
      </c>
      <c r="I1560">
        <v>226</v>
      </c>
      <c r="L1560" t="str">
        <f t="shared" si="24"/>
        <v>Above Average</v>
      </c>
      <c r="M1560">
        <f>RANK(H1560,H:H,0)</f>
        <v>293</v>
      </c>
    </row>
    <row r="1561" spans="1:13">
      <c r="A1561" t="s">
        <v>67</v>
      </c>
      <c r="B1561" t="s">
        <v>32</v>
      </c>
      <c r="C1561" t="s">
        <v>50</v>
      </c>
      <c r="D1561" s="3" t="s">
        <v>239</v>
      </c>
      <c r="E1561" s="5" t="str">
        <f>TEXT(D1561,"dd/mm/yyyy")</f>
        <v>23/05/2023</v>
      </c>
      <c r="F1561" s="5" t="str" cm="1">
        <f t="array" ref="F1561">RIGHT(_xlfn.ANCHORARRAY(E1561),4)</f>
        <v>2023</v>
      </c>
      <c r="G1561" s="5" t="str">
        <f>TEXT(E1561,"mm")</f>
        <v>23/05/2023</v>
      </c>
      <c r="H1561" s="6">
        <v>2553.46</v>
      </c>
      <c r="I1561">
        <v>5</v>
      </c>
      <c r="L1561" t="str">
        <f t="shared" si="24"/>
        <v>Below Average</v>
      </c>
      <c r="M1561">
        <f>RANK(H1561,H:H,0)</f>
        <v>2452</v>
      </c>
    </row>
    <row r="1562" spans="1:13">
      <c r="A1562" t="s">
        <v>31</v>
      </c>
      <c r="B1562" t="s">
        <v>25</v>
      </c>
      <c r="C1562" t="s">
        <v>57</v>
      </c>
      <c r="D1562" s="3" t="s">
        <v>254</v>
      </c>
      <c r="E1562" s="5" t="str">
        <f>TEXT(D1562,"dd/mm/yyyy")</f>
        <v>26/04/2023</v>
      </c>
      <c r="F1562" s="5" t="str" cm="1">
        <f t="array" ref="F1562">RIGHT(_xlfn.ANCHORARRAY(E1562),4)</f>
        <v>2023</v>
      </c>
      <c r="G1562" s="5" t="str">
        <f>TEXT(E1562,"mm")</f>
        <v>26/04/2023</v>
      </c>
      <c r="H1562" s="6">
        <v>1888.94</v>
      </c>
      <c r="I1562">
        <v>159</v>
      </c>
      <c r="L1562" t="str">
        <f t="shared" si="24"/>
        <v>Below Average</v>
      </c>
      <c r="M1562">
        <f>RANK(H1562,H:H,0)</f>
        <v>2669</v>
      </c>
    </row>
    <row r="1563" spans="1:13">
      <c r="A1563" t="s">
        <v>19</v>
      </c>
      <c r="B1563" t="s">
        <v>35</v>
      </c>
      <c r="C1563" t="s">
        <v>42</v>
      </c>
      <c r="D1563" s="4">
        <v>45053</v>
      </c>
      <c r="E1563" s="5" t="str">
        <f>TEXT(D1563,"dd/mm/yyyy")</f>
        <v>07/05/2023</v>
      </c>
      <c r="F1563" s="5" t="str" cm="1">
        <f t="array" ref="F1563">RIGHT(_xlfn.ANCHORARRAY(E1563),4)</f>
        <v>2023</v>
      </c>
      <c r="G1563" s="5" t="str">
        <f>TEXT(E1563,"mm")</f>
        <v>07</v>
      </c>
      <c r="H1563" s="6">
        <v>1310.04</v>
      </c>
      <c r="I1563">
        <v>71</v>
      </c>
      <c r="L1563" t="str">
        <f t="shared" si="24"/>
        <v>Below Average</v>
      </c>
      <c r="M1563">
        <f>RANK(H1563,H:H,0)</f>
        <v>2871</v>
      </c>
    </row>
    <row r="1564" spans="1:13">
      <c r="A1564" t="s">
        <v>77</v>
      </c>
      <c r="B1564" t="s">
        <v>7</v>
      </c>
      <c r="C1564" t="s">
        <v>42</v>
      </c>
      <c r="D1564" s="3" t="s">
        <v>244</v>
      </c>
      <c r="E1564" s="5" t="str">
        <f>TEXT(D1564,"dd/mm/yyyy")</f>
        <v>21/07/2023</v>
      </c>
      <c r="F1564" s="5" t="str" cm="1">
        <f t="array" ref="F1564">RIGHT(_xlfn.ANCHORARRAY(E1564),4)</f>
        <v>2023</v>
      </c>
      <c r="G1564" s="5" t="str">
        <f>TEXT(E1564,"mm")</f>
        <v>21/07/2023</v>
      </c>
      <c r="H1564" s="6">
        <v>7805.9</v>
      </c>
      <c r="I1564">
        <v>179</v>
      </c>
      <c r="L1564" t="str">
        <f t="shared" si="24"/>
        <v>Above Average</v>
      </c>
      <c r="M1564">
        <f>RANK(H1564,H:H,0)</f>
        <v>986</v>
      </c>
    </row>
    <row r="1565" spans="1:13">
      <c r="A1565" t="s">
        <v>79</v>
      </c>
      <c r="B1565" t="s">
        <v>32</v>
      </c>
      <c r="C1565" t="s">
        <v>8</v>
      </c>
      <c r="D1565" s="3" t="s">
        <v>212</v>
      </c>
      <c r="E1565" s="5" t="str">
        <f>TEXT(D1565,"dd/mm/yyyy")</f>
        <v>21/02/2023</v>
      </c>
      <c r="F1565" s="5" t="str" cm="1">
        <f t="array" ref="F1565">RIGHT(_xlfn.ANCHORARRAY(E1565),4)</f>
        <v>2023</v>
      </c>
      <c r="G1565" s="5" t="str">
        <f>TEXT(E1565,"mm")</f>
        <v>21/02/2023</v>
      </c>
      <c r="H1565" s="6">
        <v>6101.12</v>
      </c>
      <c r="I1565">
        <v>261</v>
      </c>
      <c r="L1565" t="str">
        <f t="shared" si="24"/>
        <v>Above Average</v>
      </c>
      <c r="M1565">
        <f>RANK(H1565,H:H,0)</f>
        <v>1401</v>
      </c>
    </row>
    <row r="1566" spans="1:13">
      <c r="A1566" t="s">
        <v>70</v>
      </c>
      <c r="B1566" t="s">
        <v>32</v>
      </c>
      <c r="C1566" t="s">
        <v>33</v>
      </c>
      <c r="D1566" s="4">
        <v>44987</v>
      </c>
      <c r="E1566" s="5" t="str">
        <f>TEXT(D1566,"dd/mm/yyyy")</f>
        <v>02/03/2023</v>
      </c>
      <c r="F1566" s="5" t="str" cm="1">
        <f t="array" ref="F1566">RIGHT(_xlfn.ANCHORARRAY(E1566),4)</f>
        <v>2023</v>
      </c>
      <c r="G1566" s="5" t="str">
        <f>TEXT(E1566,"mm")</f>
        <v>02</v>
      </c>
      <c r="H1566" s="6">
        <v>1425.81</v>
      </c>
      <c r="I1566">
        <v>133</v>
      </c>
      <c r="L1566" t="str">
        <f t="shared" si="24"/>
        <v>Below Average</v>
      </c>
      <c r="M1566">
        <f>RANK(H1566,H:H,0)</f>
        <v>2830</v>
      </c>
    </row>
    <row r="1567" spans="1:13">
      <c r="A1567" t="s">
        <v>12</v>
      </c>
      <c r="B1567" t="s">
        <v>15</v>
      </c>
      <c r="C1567" t="s">
        <v>90</v>
      </c>
      <c r="D1567" s="4">
        <v>45145</v>
      </c>
      <c r="E1567" s="5" t="str">
        <f>TEXT(D1567,"dd/mm/yyyy")</f>
        <v>07/08/2023</v>
      </c>
      <c r="F1567" s="5" t="str" cm="1">
        <f t="array" ref="F1567">RIGHT(_xlfn.ANCHORARRAY(E1567),4)</f>
        <v>2023</v>
      </c>
      <c r="G1567" s="5" t="str">
        <f>TEXT(E1567,"mm")</f>
        <v>07</v>
      </c>
      <c r="H1567" s="6">
        <v>8724.4</v>
      </c>
      <c r="I1567">
        <v>147</v>
      </c>
      <c r="L1567" t="str">
        <f t="shared" si="24"/>
        <v>Above Average</v>
      </c>
      <c r="M1567">
        <f>RANK(H1567,H:H,0)</f>
        <v>794</v>
      </c>
    </row>
    <row r="1568" spans="1:13">
      <c r="A1568" t="s">
        <v>34</v>
      </c>
      <c r="B1568" t="s">
        <v>10</v>
      </c>
      <c r="C1568" t="s">
        <v>26</v>
      </c>
      <c r="D1568" s="3" t="s">
        <v>229</v>
      </c>
      <c r="E1568" s="5" t="str">
        <f>TEXT(D1568,"dd/mm/yyyy")</f>
        <v>31/05/2023</v>
      </c>
      <c r="F1568" s="5" t="str" cm="1">
        <f t="array" ref="F1568">RIGHT(_xlfn.ANCHORARRAY(E1568),4)</f>
        <v>2023</v>
      </c>
      <c r="G1568" s="5" t="str">
        <f>TEXT(E1568,"mm")</f>
        <v>31/05/2023</v>
      </c>
      <c r="H1568" s="6">
        <v>664.82</v>
      </c>
      <c r="I1568">
        <v>147</v>
      </c>
      <c r="L1568" t="str">
        <f t="shared" si="24"/>
        <v>Below Average</v>
      </c>
      <c r="M1568">
        <f>RANK(H1568,H:H,0)</f>
        <v>3078</v>
      </c>
    </row>
    <row r="1569" spans="1:13">
      <c r="A1569" t="s">
        <v>9</v>
      </c>
      <c r="B1569" t="s">
        <v>25</v>
      </c>
      <c r="C1569" t="s">
        <v>8</v>
      </c>
      <c r="D1569" s="3" t="s">
        <v>172</v>
      </c>
      <c r="E1569" s="5" t="str">
        <f>TEXT(D1569,"dd/mm/yyyy")</f>
        <v>27/06/2023</v>
      </c>
      <c r="F1569" s="5" t="str" cm="1">
        <f t="array" ref="F1569">RIGHT(_xlfn.ANCHORARRAY(E1569),4)</f>
        <v>2023</v>
      </c>
      <c r="G1569" s="5" t="str">
        <f>TEXT(E1569,"mm")</f>
        <v>27/06/2023</v>
      </c>
      <c r="H1569" s="6">
        <v>4351.3100000000004</v>
      </c>
      <c r="I1569">
        <v>103</v>
      </c>
      <c r="L1569" t="str">
        <f t="shared" si="24"/>
        <v>Below Average</v>
      </c>
      <c r="M1569">
        <f>RANK(H1569,H:H,0)</f>
        <v>1892</v>
      </c>
    </row>
    <row r="1570" spans="1:13">
      <c r="A1570" t="s">
        <v>9</v>
      </c>
      <c r="B1570" t="s">
        <v>10</v>
      </c>
      <c r="C1570" t="s">
        <v>26</v>
      </c>
      <c r="D1570" s="3" t="s">
        <v>233</v>
      </c>
      <c r="E1570" s="5" t="str">
        <f>TEXT(D1570,"dd/mm/yyyy")</f>
        <v>13/05/2023</v>
      </c>
      <c r="F1570" s="5" t="str" cm="1">
        <f t="array" ref="F1570">RIGHT(_xlfn.ANCHORARRAY(E1570),4)</f>
        <v>2023</v>
      </c>
      <c r="G1570" s="5" t="str">
        <f>TEXT(E1570,"mm")</f>
        <v>13/05/2023</v>
      </c>
      <c r="H1570" s="6">
        <v>5825.09</v>
      </c>
      <c r="I1570">
        <v>123</v>
      </c>
      <c r="L1570" t="str">
        <f t="shared" si="24"/>
        <v>Below Average</v>
      </c>
      <c r="M1570">
        <f>RANK(H1570,H:H,0)</f>
        <v>1480</v>
      </c>
    </row>
    <row r="1571" spans="1:13">
      <c r="A1571" t="s">
        <v>9</v>
      </c>
      <c r="B1571" t="s">
        <v>32</v>
      </c>
      <c r="C1571" t="s">
        <v>60</v>
      </c>
      <c r="D1571" s="3" t="s">
        <v>229</v>
      </c>
      <c r="E1571" s="5" t="str">
        <f>TEXT(D1571,"dd/mm/yyyy")</f>
        <v>31/05/2023</v>
      </c>
      <c r="F1571" s="5" t="str" cm="1">
        <f t="array" ref="F1571">RIGHT(_xlfn.ANCHORARRAY(E1571),4)</f>
        <v>2023</v>
      </c>
      <c r="G1571" s="5" t="str">
        <f>TEXT(E1571,"mm")</f>
        <v>31/05/2023</v>
      </c>
      <c r="H1571" s="6">
        <v>2418.9299999999998</v>
      </c>
      <c r="I1571">
        <v>110</v>
      </c>
      <c r="L1571" t="str">
        <f t="shared" si="24"/>
        <v>Below Average</v>
      </c>
      <c r="M1571">
        <f>RANK(H1571,H:H,0)</f>
        <v>2508</v>
      </c>
    </row>
    <row r="1572" spans="1:13">
      <c r="A1572" t="s">
        <v>64</v>
      </c>
      <c r="B1572" t="s">
        <v>32</v>
      </c>
      <c r="C1572" t="s">
        <v>33</v>
      </c>
      <c r="D1572" s="3" t="s">
        <v>176</v>
      </c>
      <c r="E1572" s="5" t="str">
        <f>TEXT(D1572,"dd/mm/yyyy")</f>
        <v>28/02/2023</v>
      </c>
      <c r="F1572" s="5" t="str" cm="1">
        <f t="array" ref="F1572">RIGHT(_xlfn.ANCHORARRAY(E1572),4)</f>
        <v>2023</v>
      </c>
      <c r="G1572" s="5" t="str">
        <f>TEXT(E1572,"mm")</f>
        <v>28/02/2023</v>
      </c>
      <c r="H1572" s="6">
        <v>7725.52</v>
      </c>
      <c r="I1572">
        <v>38</v>
      </c>
      <c r="L1572" t="str">
        <f t="shared" si="24"/>
        <v>Above Average</v>
      </c>
      <c r="M1572">
        <f>RANK(H1572,H:H,0)</f>
        <v>1006</v>
      </c>
    </row>
    <row r="1573" spans="1:13">
      <c r="A1573" t="s">
        <v>31</v>
      </c>
      <c r="B1573" t="s">
        <v>25</v>
      </c>
      <c r="C1573" t="s">
        <v>36</v>
      </c>
      <c r="D1573" s="3" t="s">
        <v>205</v>
      </c>
      <c r="E1573" s="5" t="str">
        <f>TEXT(D1573,"dd/mm/yyyy")</f>
        <v>28/03/2023</v>
      </c>
      <c r="F1573" s="5" t="str" cm="1">
        <f t="array" ref="F1573">RIGHT(_xlfn.ANCHORARRAY(E1573),4)</f>
        <v>2023</v>
      </c>
      <c r="G1573" s="5" t="str">
        <f>TEXT(E1573,"mm")</f>
        <v>28/03/2023</v>
      </c>
      <c r="H1573" s="6">
        <v>7144.08</v>
      </c>
      <c r="I1573">
        <v>32</v>
      </c>
      <c r="L1573" t="str">
        <f t="shared" si="24"/>
        <v>Above Average</v>
      </c>
      <c r="M1573">
        <f>RANK(H1573,H:H,0)</f>
        <v>1149</v>
      </c>
    </row>
    <row r="1574" spans="1:13">
      <c r="A1574" t="s">
        <v>12</v>
      </c>
      <c r="B1574" t="s">
        <v>32</v>
      </c>
      <c r="C1574" t="s">
        <v>23</v>
      </c>
      <c r="D1574" s="3" t="s">
        <v>225</v>
      </c>
      <c r="E1574" s="5" t="str">
        <f>TEXT(D1574,"dd/mm/yyyy")</f>
        <v>14/01/2023</v>
      </c>
      <c r="F1574" s="5" t="str" cm="1">
        <f t="array" ref="F1574">RIGHT(_xlfn.ANCHORARRAY(E1574),4)</f>
        <v>2023</v>
      </c>
      <c r="G1574" s="5" t="str">
        <f>TEXT(E1574,"mm")</f>
        <v>14/01/2023</v>
      </c>
      <c r="H1574" s="6">
        <v>2043.13</v>
      </c>
      <c r="I1574">
        <v>243</v>
      </c>
      <c r="L1574" t="str">
        <f t="shared" si="24"/>
        <v>Below Average</v>
      </c>
      <c r="M1574">
        <f>RANK(H1574,H:H,0)</f>
        <v>2624</v>
      </c>
    </row>
    <row r="1575" spans="1:13">
      <c r="A1575" t="s">
        <v>31</v>
      </c>
      <c r="B1575" t="s">
        <v>25</v>
      </c>
      <c r="C1575" t="s">
        <v>8</v>
      </c>
      <c r="D1575" s="3" t="s">
        <v>212</v>
      </c>
      <c r="E1575" s="5" t="str">
        <f>TEXT(D1575,"dd/mm/yyyy")</f>
        <v>21/02/2023</v>
      </c>
      <c r="F1575" s="5" t="str" cm="1">
        <f t="array" ref="F1575">RIGHT(_xlfn.ANCHORARRAY(E1575),4)</f>
        <v>2023</v>
      </c>
      <c r="G1575" s="5" t="str">
        <f>TEXT(E1575,"mm")</f>
        <v>21/02/2023</v>
      </c>
      <c r="H1575" s="6">
        <v>6526.01</v>
      </c>
      <c r="I1575">
        <v>147</v>
      </c>
      <c r="L1575" t="str">
        <f t="shared" si="24"/>
        <v>Above Average</v>
      </c>
      <c r="M1575">
        <f>RANK(H1575,H:H,0)</f>
        <v>1300</v>
      </c>
    </row>
    <row r="1576" spans="1:13">
      <c r="A1576" t="s">
        <v>58</v>
      </c>
      <c r="B1576" t="s">
        <v>35</v>
      </c>
      <c r="C1576" t="s">
        <v>11</v>
      </c>
      <c r="D1576" s="4">
        <v>44934</v>
      </c>
      <c r="E1576" s="5" t="str">
        <f>TEXT(D1576,"dd/mm/yyyy")</f>
        <v>08/01/2023</v>
      </c>
      <c r="F1576" s="5" t="str" cm="1">
        <f t="array" ref="F1576">RIGHT(_xlfn.ANCHORARRAY(E1576),4)</f>
        <v>2023</v>
      </c>
      <c r="G1576" s="5" t="str">
        <f>TEXT(E1576,"mm")</f>
        <v>08</v>
      </c>
      <c r="H1576" s="6">
        <v>11334.77</v>
      </c>
      <c r="I1576">
        <v>89</v>
      </c>
      <c r="L1576" t="str">
        <f t="shared" si="24"/>
        <v>Above Average</v>
      </c>
      <c r="M1576">
        <f>RANK(H1576,H:H,0)</f>
        <v>409</v>
      </c>
    </row>
    <row r="1577" spans="1:13">
      <c r="A1577" t="s">
        <v>41</v>
      </c>
      <c r="B1577" t="s">
        <v>25</v>
      </c>
      <c r="C1577" t="s">
        <v>18</v>
      </c>
      <c r="D1577" s="3" t="s">
        <v>183</v>
      </c>
      <c r="E1577" s="5" t="str">
        <f>TEXT(D1577,"dd/mm/yyyy")</f>
        <v>19/05/2023</v>
      </c>
      <c r="F1577" s="5" t="str" cm="1">
        <f t="array" ref="F1577">RIGHT(_xlfn.ANCHORARRAY(E1577),4)</f>
        <v>2023</v>
      </c>
      <c r="G1577" s="5" t="str">
        <f>TEXT(E1577,"mm")</f>
        <v>19/05/2023</v>
      </c>
      <c r="H1577" s="6">
        <v>2492.67</v>
      </c>
      <c r="I1577">
        <v>58</v>
      </c>
      <c r="L1577" t="str">
        <f t="shared" si="24"/>
        <v>Below Average</v>
      </c>
      <c r="M1577">
        <f>RANK(H1577,H:H,0)</f>
        <v>2478</v>
      </c>
    </row>
    <row r="1578" spans="1:13">
      <c r="A1578" t="s">
        <v>53</v>
      </c>
      <c r="B1578" t="s">
        <v>32</v>
      </c>
      <c r="C1578" t="s">
        <v>59</v>
      </c>
      <c r="D1578" s="3" t="s">
        <v>198</v>
      </c>
      <c r="E1578" s="5" t="str">
        <f>TEXT(D1578,"dd/mm/yyyy")</f>
        <v>13/07/2023</v>
      </c>
      <c r="F1578" s="5" t="str" cm="1">
        <f t="array" ref="F1578">RIGHT(_xlfn.ANCHORARRAY(E1578),4)</f>
        <v>2023</v>
      </c>
      <c r="G1578" s="5" t="str">
        <f>TEXT(E1578,"mm")</f>
        <v>13/07/2023</v>
      </c>
      <c r="H1578" s="6">
        <v>2066.48</v>
      </c>
      <c r="I1578">
        <v>59</v>
      </c>
      <c r="L1578" t="str">
        <f t="shared" si="24"/>
        <v>Below Average</v>
      </c>
      <c r="M1578">
        <f>RANK(H1578,H:H,0)</f>
        <v>2611</v>
      </c>
    </row>
    <row r="1579" spans="1:13">
      <c r="A1579" t="s">
        <v>67</v>
      </c>
      <c r="B1579" t="s">
        <v>15</v>
      </c>
      <c r="C1579" t="s">
        <v>13</v>
      </c>
      <c r="D1579" s="3" t="s">
        <v>166</v>
      </c>
      <c r="E1579" s="5" t="str">
        <f>TEXT(D1579,"dd/mm/yyyy")</f>
        <v>20/04/2023</v>
      </c>
      <c r="F1579" s="5" t="str" cm="1">
        <f t="array" ref="F1579">RIGHT(_xlfn.ANCHORARRAY(E1579),4)</f>
        <v>2023</v>
      </c>
      <c r="G1579" s="5" t="str">
        <f>TEXT(E1579,"mm")</f>
        <v>20/04/2023</v>
      </c>
      <c r="H1579" s="6">
        <v>7009.01</v>
      </c>
      <c r="I1579">
        <v>150</v>
      </c>
      <c r="L1579" t="str">
        <f t="shared" si="24"/>
        <v>Above Average</v>
      </c>
      <c r="M1579">
        <f>RANK(H1579,H:H,0)</f>
        <v>1177</v>
      </c>
    </row>
    <row r="1580" spans="1:13">
      <c r="A1580" t="s">
        <v>58</v>
      </c>
      <c r="B1580" t="s">
        <v>10</v>
      </c>
      <c r="C1580" t="s">
        <v>11</v>
      </c>
      <c r="D1580" s="3" t="s">
        <v>180</v>
      </c>
      <c r="E1580" s="5" t="str">
        <f>TEXT(D1580,"dd/mm/yyyy")</f>
        <v>30/06/2023</v>
      </c>
      <c r="F1580" s="5" t="str" cm="1">
        <f t="array" ref="F1580">RIGHT(_xlfn.ANCHORARRAY(E1580),4)</f>
        <v>2023</v>
      </c>
      <c r="G1580" s="5" t="str">
        <f>TEXT(E1580,"mm")</f>
        <v>30/06/2023</v>
      </c>
      <c r="H1580" s="6">
        <v>4562.97</v>
      </c>
      <c r="I1580">
        <v>21</v>
      </c>
      <c r="L1580" t="str">
        <f t="shared" si="24"/>
        <v>Below Average</v>
      </c>
      <c r="M1580">
        <f>RANK(H1580,H:H,0)</f>
        <v>1831</v>
      </c>
    </row>
    <row r="1581" spans="1:13">
      <c r="A1581" t="s">
        <v>48</v>
      </c>
      <c r="B1581" t="s">
        <v>7</v>
      </c>
      <c r="C1581" t="s">
        <v>26</v>
      </c>
      <c r="D1581" s="4">
        <v>45141</v>
      </c>
      <c r="E1581" s="5" t="str">
        <f>TEXT(D1581,"dd/mm/yyyy")</f>
        <v>03/08/2023</v>
      </c>
      <c r="F1581" s="5" t="str" cm="1">
        <f t="array" ref="F1581">RIGHT(_xlfn.ANCHORARRAY(E1581),4)</f>
        <v>2023</v>
      </c>
      <c r="G1581" s="5" t="str">
        <f>TEXT(E1581,"mm")</f>
        <v>03</v>
      </c>
      <c r="H1581" s="6">
        <v>3442.99</v>
      </c>
      <c r="I1581">
        <v>142</v>
      </c>
      <c r="L1581" t="str">
        <f t="shared" si="24"/>
        <v>Below Average</v>
      </c>
      <c r="M1581">
        <f>RANK(H1581,H:H,0)</f>
        <v>2156</v>
      </c>
    </row>
    <row r="1582" spans="1:13">
      <c r="A1582" t="s">
        <v>22</v>
      </c>
      <c r="B1582" t="s">
        <v>32</v>
      </c>
      <c r="C1582" t="s">
        <v>57</v>
      </c>
      <c r="D1582" s="4">
        <v>45172</v>
      </c>
      <c r="E1582" s="5" t="str">
        <f>TEXT(D1582,"dd/mm/yyyy")</f>
        <v>03/09/2023</v>
      </c>
      <c r="F1582" s="5" t="str" cm="1">
        <f t="array" ref="F1582">RIGHT(_xlfn.ANCHORARRAY(E1582),4)</f>
        <v>2023</v>
      </c>
      <c r="G1582" s="5" t="str">
        <f>TEXT(E1582,"mm")</f>
        <v>03</v>
      </c>
      <c r="H1582" s="6">
        <v>6669.6</v>
      </c>
      <c r="I1582">
        <v>99</v>
      </c>
      <c r="L1582" t="str">
        <f t="shared" si="24"/>
        <v>Above Average</v>
      </c>
      <c r="M1582">
        <f>RANK(H1582,H:H,0)</f>
        <v>1267</v>
      </c>
    </row>
    <row r="1583" spans="1:13">
      <c r="A1583" t="s">
        <v>19</v>
      </c>
      <c r="B1583" t="s">
        <v>35</v>
      </c>
      <c r="C1583" t="s">
        <v>73</v>
      </c>
      <c r="D1583" s="3" t="s">
        <v>214</v>
      </c>
      <c r="E1583" s="5" t="str">
        <f>TEXT(D1583,"dd/mm/yyyy")</f>
        <v>16/06/2023</v>
      </c>
      <c r="F1583" s="5" t="str" cm="1">
        <f t="array" ref="F1583">RIGHT(_xlfn.ANCHORARRAY(E1583),4)</f>
        <v>2023</v>
      </c>
      <c r="G1583" s="5" t="str">
        <f>TEXT(E1583,"mm")</f>
        <v>16/06/2023</v>
      </c>
      <c r="H1583" s="6">
        <v>1902.47</v>
      </c>
      <c r="I1583">
        <v>217</v>
      </c>
      <c r="L1583" t="str">
        <f t="shared" si="24"/>
        <v>Below Average</v>
      </c>
      <c r="M1583">
        <f>RANK(H1583,H:H,0)</f>
        <v>2662</v>
      </c>
    </row>
    <row r="1584" spans="1:13">
      <c r="A1584" t="s">
        <v>12</v>
      </c>
      <c r="B1584" t="s">
        <v>7</v>
      </c>
      <c r="C1584" t="s">
        <v>38</v>
      </c>
      <c r="D1584" s="3" t="s">
        <v>180</v>
      </c>
      <c r="E1584" s="5" t="str">
        <f>TEXT(D1584,"dd/mm/yyyy")</f>
        <v>30/06/2023</v>
      </c>
      <c r="F1584" s="5" t="str" cm="1">
        <f t="array" ref="F1584">RIGHT(_xlfn.ANCHORARRAY(E1584),4)</f>
        <v>2023</v>
      </c>
      <c r="G1584" s="5" t="str">
        <f>TEXT(E1584,"mm")</f>
        <v>30/06/2023</v>
      </c>
      <c r="H1584" s="6">
        <v>6157.17</v>
      </c>
      <c r="I1584">
        <v>43</v>
      </c>
      <c r="L1584" t="str">
        <f t="shared" si="24"/>
        <v>Above Average</v>
      </c>
      <c r="M1584">
        <f>RANK(H1584,H:H,0)</f>
        <v>1393</v>
      </c>
    </row>
    <row r="1585" spans="1:13">
      <c r="A1585" t="s">
        <v>70</v>
      </c>
      <c r="B1585" t="s">
        <v>10</v>
      </c>
      <c r="C1585" t="s">
        <v>8</v>
      </c>
      <c r="D1585" s="3" t="s">
        <v>168</v>
      </c>
      <c r="E1585" s="5" t="str">
        <f>TEXT(D1585,"dd/mm/yyyy")</f>
        <v>28/07/2023</v>
      </c>
      <c r="F1585" s="5" t="str" cm="1">
        <f t="array" ref="F1585">RIGHT(_xlfn.ANCHORARRAY(E1585),4)</f>
        <v>2023</v>
      </c>
      <c r="G1585" s="5" t="str">
        <f>TEXT(E1585,"mm")</f>
        <v>28/07/2023</v>
      </c>
      <c r="H1585" s="6">
        <v>3012.68</v>
      </c>
      <c r="I1585">
        <v>129</v>
      </c>
      <c r="L1585" t="str">
        <f t="shared" si="24"/>
        <v>Below Average</v>
      </c>
      <c r="M1585">
        <f>RANK(H1585,H:H,0)</f>
        <v>2302</v>
      </c>
    </row>
    <row r="1586" spans="1:13">
      <c r="A1586" t="s">
        <v>37</v>
      </c>
      <c r="B1586" t="s">
        <v>35</v>
      </c>
      <c r="C1586" t="s">
        <v>13</v>
      </c>
      <c r="D1586" s="4">
        <v>45268</v>
      </c>
      <c r="E1586" s="5" t="str">
        <f>TEXT(D1586,"dd/mm/yyyy")</f>
        <v>08/12/2023</v>
      </c>
      <c r="F1586" s="5" t="str" cm="1">
        <f t="array" ref="F1586">RIGHT(_xlfn.ANCHORARRAY(E1586),4)</f>
        <v>2023</v>
      </c>
      <c r="G1586" s="5" t="str">
        <f>TEXT(E1586,"mm")</f>
        <v>08</v>
      </c>
      <c r="H1586" s="6">
        <v>3473.62</v>
      </c>
      <c r="I1586">
        <v>170</v>
      </c>
      <c r="L1586" t="str">
        <f t="shared" si="24"/>
        <v>Below Average</v>
      </c>
      <c r="M1586">
        <f>RANK(H1586,H:H,0)</f>
        <v>2145</v>
      </c>
    </row>
    <row r="1587" spans="1:13">
      <c r="A1587" t="s">
        <v>31</v>
      </c>
      <c r="B1587" t="s">
        <v>7</v>
      </c>
      <c r="C1587" t="s">
        <v>8</v>
      </c>
      <c r="D1587" s="4">
        <v>45114</v>
      </c>
      <c r="E1587" s="5" t="str">
        <f>TEXT(D1587,"dd/mm/yyyy")</f>
        <v>07/07/2023</v>
      </c>
      <c r="F1587" s="5" t="str" cm="1">
        <f t="array" ref="F1587">RIGHT(_xlfn.ANCHORARRAY(E1587),4)</f>
        <v>2023</v>
      </c>
      <c r="G1587" s="5" t="str">
        <f>TEXT(E1587,"mm")</f>
        <v>07</v>
      </c>
      <c r="H1587" s="6">
        <v>4129.9799999999996</v>
      </c>
      <c r="I1587">
        <v>332</v>
      </c>
      <c r="L1587" t="str">
        <f t="shared" si="24"/>
        <v>Below Average</v>
      </c>
      <c r="M1587">
        <f>RANK(H1587,H:H,0)</f>
        <v>1951</v>
      </c>
    </row>
    <row r="1588" spans="1:13">
      <c r="A1588" t="s">
        <v>31</v>
      </c>
      <c r="B1588" t="s">
        <v>32</v>
      </c>
      <c r="C1588" t="s">
        <v>11</v>
      </c>
      <c r="D1588" s="3" t="s">
        <v>206</v>
      </c>
      <c r="E1588" s="5" t="str">
        <f>TEXT(D1588,"dd/mm/yyyy")</f>
        <v>25/08/2023</v>
      </c>
      <c r="F1588" s="5" t="str" cm="1">
        <f t="array" ref="F1588">RIGHT(_xlfn.ANCHORARRAY(E1588),4)</f>
        <v>2023</v>
      </c>
      <c r="G1588" s="5" t="str">
        <f>TEXT(E1588,"mm")</f>
        <v>25/08/2023</v>
      </c>
      <c r="H1588" s="6">
        <v>14566.22</v>
      </c>
      <c r="I1588">
        <v>45</v>
      </c>
      <c r="L1588" t="str">
        <f t="shared" si="24"/>
        <v>Above Average</v>
      </c>
      <c r="M1588">
        <f>RANK(H1588,H:H,0)</f>
        <v>176</v>
      </c>
    </row>
    <row r="1589" spans="1:13">
      <c r="A1589" t="s">
        <v>53</v>
      </c>
      <c r="B1589" t="s">
        <v>35</v>
      </c>
      <c r="C1589" t="s">
        <v>36</v>
      </c>
      <c r="D1589" s="3" t="s">
        <v>255</v>
      </c>
      <c r="E1589" s="5" t="str">
        <f>TEXT(D1589,"dd/mm/yyyy")</f>
        <v>17/01/2023</v>
      </c>
      <c r="F1589" s="5" t="str" cm="1">
        <f t="array" ref="F1589">RIGHT(_xlfn.ANCHORARRAY(E1589),4)</f>
        <v>2023</v>
      </c>
      <c r="G1589" s="5" t="str">
        <f>TEXT(E1589,"mm")</f>
        <v>17/01/2023</v>
      </c>
      <c r="H1589" s="6">
        <v>4049.61</v>
      </c>
      <c r="I1589">
        <v>255</v>
      </c>
      <c r="L1589" t="str">
        <f t="shared" si="24"/>
        <v>Below Average</v>
      </c>
      <c r="M1589">
        <f>RANK(H1589,H:H,0)</f>
        <v>1970</v>
      </c>
    </row>
    <row r="1590" spans="1:13">
      <c r="A1590" t="s">
        <v>14</v>
      </c>
      <c r="B1590" t="s">
        <v>15</v>
      </c>
      <c r="C1590" t="s">
        <v>100</v>
      </c>
      <c r="D1590" s="4">
        <v>45019</v>
      </c>
      <c r="E1590" s="5" t="str">
        <f>TEXT(D1590,"dd/mm/yyyy")</f>
        <v>03/04/2023</v>
      </c>
      <c r="F1590" s="5" t="str" cm="1">
        <f t="array" ref="F1590">RIGHT(_xlfn.ANCHORARRAY(E1590),4)</f>
        <v>2023</v>
      </c>
      <c r="G1590" s="5" t="str">
        <f>TEXT(E1590,"mm")</f>
        <v>03</v>
      </c>
      <c r="H1590" s="6">
        <v>5924.44</v>
      </c>
      <c r="I1590">
        <v>396</v>
      </c>
      <c r="L1590" t="str">
        <f t="shared" si="24"/>
        <v>Below Average</v>
      </c>
      <c r="M1590">
        <f>RANK(H1590,H:H,0)</f>
        <v>1452</v>
      </c>
    </row>
    <row r="1591" spans="1:13">
      <c r="A1591" t="s">
        <v>40</v>
      </c>
      <c r="B1591" t="s">
        <v>25</v>
      </c>
      <c r="C1591" t="s">
        <v>57</v>
      </c>
      <c r="D1591" s="3" t="s">
        <v>206</v>
      </c>
      <c r="E1591" s="5" t="str">
        <f>TEXT(D1591,"dd/mm/yyyy")</f>
        <v>25/08/2023</v>
      </c>
      <c r="F1591" s="5" t="str" cm="1">
        <f t="array" ref="F1591">RIGHT(_xlfn.ANCHORARRAY(E1591),4)</f>
        <v>2023</v>
      </c>
      <c r="G1591" s="5" t="str">
        <f>TEXT(E1591,"mm")</f>
        <v>25/08/2023</v>
      </c>
      <c r="H1591" s="6">
        <v>10100.950000000001</v>
      </c>
      <c r="I1591">
        <v>4</v>
      </c>
      <c r="L1591" t="str">
        <f t="shared" si="24"/>
        <v>Above Average</v>
      </c>
      <c r="M1591">
        <f>RANK(H1591,H:H,0)</f>
        <v>568</v>
      </c>
    </row>
    <row r="1592" spans="1:13">
      <c r="A1592" t="s">
        <v>83</v>
      </c>
      <c r="B1592" t="s">
        <v>7</v>
      </c>
      <c r="C1592" t="s">
        <v>13</v>
      </c>
      <c r="D1592" s="3" t="s">
        <v>184</v>
      </c>
      <c r="E1592" s="5" t="str">
        <f>TEXT(D1592,"dd/mm/yyyy")</f>
        <v>15/04/2023</v>
      </c>
      <c r="F1592" s="5" t="str" cm="1">
        <f t="array" ref="F1592">RIGHT(_xlfn.ANCHORARRAY(E1592),4)</f>
        <v>2023</v>
      </c>
      <c r="G1592" s="5" t="str">
        <f>TEXT(E1592,"mm")</f>
        <v>15/04/2023</v>
      </c>
      <c r="H1592" s="6">
        <v>2362.0100000000002</v>
      </c>
      <c r="I1592">
        <v>272</v>
      </c>
      <c r="L1592" t="str">
        <f t="shared" si="24"/>
        <v>Below Average</v>
      </c>
      <c r="M1592">
        <f>RANK(H1592,H:H,0)</f>
        <v>2527</v>
      </c>
    </row>
    <row r="1593" spans="1:13">
      <c r="A1593" t="s">
        <v>55</v>
      </c>
      <c r="B1593" t="s">
        <v>32</v>
      </c>
      <c r="C1593" t="s">
        <v>42</v>
      </c>
      <c r="D1593" s="4">
        <v>45233</v>
      </c>
      <c r="E1593" s="5" t="str">
        <f>TEXT(D1593,"dd/mm/yyyy")</f>
        <v>03/11/2023</v>
      </c>
      <c r="F1593" s="5" t="str" cm="1">
        <f t="array" ref="F1593">RIGHT(_xlfn.ANCHORARRAY(E1593),4)</f>
        <v>2023</v>
      </c>
      <c r="G1593" s="5" t="str">
        <f>TEXT(E1593,"mm")</f>
        <v>03</v>
      </c>
      <c r="H1593" s="6">
        <v>2638.76</v>
      </c>
      <c r="I1593">
        <v>24</v>
      </c>
      <c r="L1593" t="str">
        <f t="shared" si="24"/>
        <v>Below Average</v>
      </c>
      <c r="M1593">
        <f>RANK(H1593,H:H,0)</f>
        <v>2428</v>
      </c>
    </row>
    <row r="1594" spans="1:13">
      <c r="A1594" t="s">
        <v>71</v>
      </c>
      <c r="B1594" t="s">
        <v>32</v>
      </c>
      <c r="C1594" t="s">
        <v>73</v>
      </c>
      <c r="D1594" s="3" t="s">
        <v>222</v>
      </c>
      <c r="E1594" s="5" t="str">
        <f>TEXT(D1594,"dd/mm/yyyy")</f>
        <v>20/05/2023</v>
      </c>
      <c r="F1594" s="5" t="str" cm="1">
        <f t="array" ref="F1594">RIGHT(_xlfn.ANCHORARRAY(E1594),4)</f>
        <v>2023</v>
      </c>
      <c r="G1594" s="5" t="str">
        <f>TEXT(E1594,"mm")</f>
        <v>20/05/2023</v>
      </c>
      <c r="H1594" s="6">
        <v>3496.41</v>
      </c>
      <c r="I1594">
        <v>18</v>
      </c>
      <c r="L1594" t="str">
        <f t="shared" si="24"/>
        <v>Below Average</v>
      </c>
      <c r="M1594">
        <f>RANK(H1594,H:H,0)</f>
        <v>2139</v>
      </c>
    </row>
    <row r="1595" spans="1:13">
      <c r="A1595" t="s">
        <v>28</v>
      </c>
      <c r="B1595" t="s">
        <v>25</v>
      </c>
      <c r="C1595" t="s">
        <v>60</v>
      </c>
      <c r="D1595" s="3" t="s">
        <v>230</v>
      </c>
      <c r="E1595" s="5" t="str">
        <f>TEXT(D1595,"dd/mm/yyyy")</f>
        <v>14/06/2023</v>
      </c>
      <c r="F1595" s="5" t="str" cm="1">
        <f t="array" ref="F1595">RIGHT(_xlfn.ANCHORARRAY(E1595),4)</f>
        <v>2023</v>
      </c>
      <c r="G1595" s="5" t="str">
        <f>TEXT(E1595,"mm")</f>
        <v>14/06/2023</v>
      </c>
      <c r="H1595" s="6">
        <v>17222.86</v>
      </c>
      <c r="I1595">
        <v>44</v>
      </c>
      <c r="L1595" t="str">
        <f t="shared" si="24"/>
        <v>Above Average</v>
      </c>
      <c r="M1595">
        <f>RANK(H1595,H:H,0)</f>
        <v>62</v>
      </c>
    </row>
    <row r="1596" spans="1:13">
      <c r="A1596" t="s">
        <v>6</v>
      </c>
      <c r="B1596" t="s">
        <v>25</v>
      </c>
      <c r="C1596" t="s">
        <v>23</v>
      </c>
      <c r="D1596" s="3" t="s">
        <v>195</v>
      </c>
      <c r="E1596" s="5" t="str">
        <f>TEXT(D1596,"dd/mm/yyyy")</f>
        <v>14/04/2023</v>
      </c>
      <c r="F1596" s="5" t="str" cm="1">
        <f t="array" ref="F1596">RIGHT(_xlfn.ANCHORARRAY(E1596),4)</f>
        <v>2023</v>
      </c>
      <c r="G1596" s="5" t="str">
        <f>TEXT(E1596,"mm")</f>
        <v>14/04/2023</v>
      </c>
      <c r="H1596" s="6">
        <v>1604.87</v>
      </c>
      <c r="I1596">
        <v>71</v>
      </c>
      <c r="L1596" t="str">
        <f t="shared" si="24"/>
        <v>Below Average</v>
      </c>
      <c r="M1596">
        <f>RANK(H1596,H:H,0)</f>
        <v>2769</v>
      </c>
    </row>
    <row r="1597" spans="1:13">
      <c r="A1597" t="s">
        <v>6</v>
      </c>
      <c r="B1597" t="s">
        <v>32</v>
      </c>
      <c r="C1597" t="s">
        <v>18</v>
      </c>
      <c r="D1597" s="4">
        <v>45114</v>
      </c>
      <c r="E1597" s="5" t="str">
        <f>TEXT(D1597,"dd/mm/yyyy")</f>
        <v>07/07/2023</v>
      </c>
      <c r="F1597" s="5" t="str" cm="1">
        <f t="array" ref="F1597">RIGHT(_xlfn.ANCHORARRAY(E1597),4)</f>
        <v>2023</v>
      </c>
      <c r="G1597" s="5" t="str">
        <f>TEXT(E1597,"mm")</f>
        <v>07</v>
      </c>
      <c r="H1597" s="6">
        <v>7170.21</v>
      </c>
      <c r="I1597">
        <v>151</v>
      </c>
      <c r="L1597" t="str">
        <f t="shared" si="24"/>
        <v>Above Average</v>
      </c>
      <c r="M1597">
        <f>RANK(H1597,H:H,0)</f>
        <v>1140</v>
      </c>
    </row>
    <row r="1598" spans="1:13">
      <c r="A1598" t="s">
        <v>77</v>
      </c>
      <c r="B1598" t="s">
        <v>10</v>
      </c>
      <c r="C1598" t="s">
        <v>8</v>
      </c>
      <c r="D1598" s="3" t="s">
        <v>182</v>
      </c>
      <c r="E1598" s="5" t="str">
        <f>TEXT(D1598,"dd/mm/yyyy")</f>
        <v>24/08/2023</v>
      </c>
      <c r="F1598" s="5" t="str" cm="1">
        <f t="array" ref="F1598">RIGHT(_xlfn.ANCHORARRAY(E1598),4)</f>
        <v>2023</v>
      </c>
      <c r="G1598" s="5" t="str">
        <f>TEXT(E1598,"mm")</f>
        <v>24/08/2023</v>
      </c>
      <c r="H1598" s="6">
        <v>4090.16</v>
      </c>
      <c r="I1598">
        <v>75</v>
      </c>
      <c r="L1598" t="str">
        <f t="shared" si="24"/>
        <v>Below Average</v>
      </c>
      <c r="M1598">
        <f>RANK(H1598,H:H,0)</f>
        <v>1959</v>
      </c>
    </row>
    <row r="1599" spans="1:13">
      <c r="A1599" t="s">
        <v>6</v>
      </c>
      <c r="B1599" t="s">
        <v>10</v>
      </c>
      <c r="C1599" t="s">
        <v>36</v>
      </c>
      <c r="D1599" s="3" t="s">
        <v>163</v>
      </c>
      <c r="E1599" s="5" t="str">
        <f>TEXT(D1599,"dd/mm/yyyy")</f>
        <v>24/02/2023</v>
      </c>
      <c r="F1599" s="5" t="str" cm="1">
        <f t="array" ref="F1599">RIGHT(_xlfn.ANCHORARRAY(E1599),4)</f>
        <v>2023</v>
      </c>
      <c r="G1599" s="5" t="str">
        <f>TEXT(E1599,"mm")</f>
        <v>24/02/2023</v>
      </c>
      <c r="H1599" s="6">
        <v>9574.3799999999992</v>
      </c>
      <c r="I1599">
        <v>134</v>
      </c>
      <c r="L1599" t="str">
        <f t="shared" si="24"/>
        <v>Above Average</v>
      </c>
      <c r="M1599">
        <f>RANK(H1599,H:H,0)</f>
        <v>645</v>
      </c>
    </row>
    <row r="1600" spans="1:13">
      <c r="A1600" t="s">
        <v>37</v>
      </c>
      <c r="B1600" t="s">
        <v>35</v>
      </c>
      <c r="C1600" t="s">
        <v>73</v>
      </c>
      <c r="D1600" s="4">
        <v>45174</v>
      </c>
      <c r="E1600" s="5" t="str">
        <f>TEXT(D1600,"dd/mm/yyyy")</f>
        <v>05/09/2023</v>
      </c>
      <c r="F1600" s="5" t="str" cm="1">
        <f t="array" ref="F1600">RIGHT(_xlfn.ANCHORARRAY(E1600),4)</f>
        <v>2023</v>
      </c>
      <c r="G1600" s="5" t="str">
        <f>TEXT(E1600,"mm")</f>
        <v>05</v>
      </c>
      <c r="H1600" s="6">
        <v>717.9</v>
      </c>
      <c r="I1600">
        <v>213</v>
      </c>
      <c r="L1600" t="str">
        <f t="shared" si="24"/>
        <v>Below Average</v>
      </c>
      <c r="M1600">
        <f>RANK(H1600,H:H,0)</f>
        <v>3060</v>
      </c>
    </row>
    <row r="1601" spans="1:13">
      <c r="A1601" t="s">
        <v>55</v>
      </c>
      <c r="B1601" t="s">
        <v>15</v>
      </c>
      <c r="C1601" t="s">
        <v>100</v>
      </c>
      <c r="D1601" s="4">
        <v>45140</v>
      </c>
      <c r="E1601" s="5" t="str">
        <f>TEXT(D1601,"dd/mm/yyyy")</f>
        <v>02/08/2023</v>
      </c>
      <c r="F1601" s="5" t="str" cm="1">
        <f t="array" ref="F1601">RIGHT(_xlfn.ANCHORARRAY(E1601),4)</f>
        <v>2023</v>
      </c>
      <c r="G1601" s="5" t="str">
        <f>TEXT(E1601,"mm")</f>
        <v>02</v>
      </c>
      <c r="H1601" s="6">
        <v>7734.54</v>
      </c>
      <c r="I1601">
        <v>227</v>
      </c>
      <c r="L1601" t="str">
        <f t="shared" si="24"/>
        <v>Above Average</v>
      </c>
      <c r="M1601">
        <f>RANK(H1601,H:H,0)</f>
        <v>1002</v>
      </c>
    </row>
    <row r="1602" spans="1:13">
      <c r="A1602" t="s">
        <v>45</v>
      </c>
      <c r="B1602" t="s">
        <v>7</v>
      </c>
      <c r="C1602" t="s">
        <v>100</v>
      </c>
      <c r="D1602" s="3" t="s">
        <v>165</v>
      </c>
      <c r="E1602" s="5" t="str">
        <f>TEXT(D1602,"dd/mm/yyyy")</f>
        <v>24/03/2023</v>
      </c>
      <c r="F1602" s="5" t="str" cm="1">
        <f t="array" ref="F1602">RIGHT(_xlfn.ANCHORARRAY(E1602),4)</f>
        <v>2023</v>
      </c>
      <c r="G1602" s="5" t="str">
        <f>TEXT(E1602,"mm")</f>
        <v>24/03/2023</v>
      </c>
      <c r="H1602" s="6">
        <v>1606.49</v>
      </c>
      <c r="I1602">
        <v>305</v>
      </c>
      <c r="L1602" t="str">
        <f t="shared" si="24"/>
        <v>Below Average</v>
      </c>
      <c r="M1602">
        <f>RANK(H1602,H:H,0)</f>
        <v>2768</v>
      </c>
    </row>
    <row r="1603" spans="1:13">
      <c r="A1603" t="s">
        <v>29</v>
      </c>
      <c r="B1603" t="s">
        <v>32</v>
      </c>
      <c r="C1603" t="s">
        <v>38</v>
      </c>
      <c r="D1603" s="3" t="s">
        <v>196</v>
      </c>
      <c r="E1603" s="5" t="str">
        <f>TEXT(D1603,"dd/mm/yyyy")</f>
        <v>20/06/2023</v>
      </c>
      <c r="F1603" s="5" t="str" cm="1">
        <f t="array" ref="F1603">RIGHT(_xlfn.ANCHORARRAY(E1603),4)</f>
        <v>2023</v>
      </c>
      <c r="G1603" s="5" t="str">
        <f>TEXT(E1603,"mm")</f>
        <v>20/06/2023</v>
      </c>
      <c r="H1603" s="6">
        <v>9170.09</v>
      </c>
      <c r="I1603">
        <v>79</v>
      </c>
      <c r="L1603" t="str">
        <f t="shared" ref="L1603:L1666" si="25">IF(H1603&gt;6030.34,"Above Average","Below Average")</f>
        <v>Above Average</v>
      </c>
      <c r="M1603">
        <f>RANK(H1603,H:H,0)</f>
        <v>708</v>
      </c>
    </row>
    <row r="1604" spans="1:13">
      <c r="A1604" t="s">
        <v>34</v>
      </c>
      <c r="B1604" t="s">
        <v>35</v>
      </c>
      <c r="C1604" t="s">
        <v>60</v>
      </c>
      <c r="D1604" s="4">
        <v>45110</v>
      </c>
      <c r="E1604" s="5" t="str">
        <f>TEXT(D1604,"dd/mm/yyyy")</f>
        <v>03/07/2023</v>
      </c>
      <c r="F1604" s="5" t="str" cm="1">
        <f t="array" ref="F1604">RIGHT(_xlfn.ANCHORARRAY(E1604),4)</f>
        <v>2023</v>
      </c>
      <c r="G1604" s="5" t="str">
        <f>TEXT(E1604,"mm")</f>
        <v>03</v>
      </c>
      <c r="H1604" s="6">
        <v>1583.57</v>
      </c>
      <c r="I1604">
        <v>122</v>
      </c>
      <c r="L1604" t="str">
        <f t="shared" si="25"/>
        <v>Below Average</v>
      </c>
      <c r="M1604">
        <f>RANK(H1604,H:H,0)</f>
        <v>2777</v>
      </c>
    </row>
    <row r="1605" spans="1:13">
      <c r="A1605" t="s">
        <v>55</v>
      </c>
      <c r="B1605" t="s">
        <v>15</v>
      </c>
      <c r="C1605" t="s">
        <v>57</v>
      </c>
      <c r="D1605" s="3" t="s">
        <v>196</v>
      </c>
      <c r="E1605" s="5" t="str">
        <f>TEXT(D1605,"dd/mm/yyyy")</f>
        <v>20/06/2023</v>
      </c>
      <c r="F1605" s="5" t="str" cm="1">
        <f t="array" ref="F1605">RIGHT(_xlfn.ANCHORARRAY(E1605),4)</f>
        <v>2023</v>
      </c>
      <c r="G1605" s="5" t="str">
        <f>TEXT(E1605,"mm")</f>
        <v>20/06/2023</v>
      </c>
      <c r="H1605" s="6">
        <v>7684.52</v>
      </c>
      <c r="I1605">
        <v>83</v>
      </c>
      <c r="L1605" t="str">
        <f t="shared" si="25"/>
        <v>Above Average</v>
      </c>
      <c r="M1605">
        <f>RANK(H1605,H:H,0)</f>
        <v>1020</v>
      </c>
    </row>
    <row r="1606" spans="1:13">
      <c r="A1606" t="s">
        <v>19</v>
      </c>
      <c r="B1606" t="s">
        <v>25</v>
      </c>
      <c r="C1606" t="s">
        <v>42</v>
      </c>
      <c r="D1606" s="3" t="s">
        <v>173</v>
      </c>
      <c r="E1606" s="5" t="str">
        <f>TEXT(D1606,"dd/mm/yyyy")</f>
        <v>17/02/2023</v>
      </c>
      <c r="F1606" s="5" t="str" cm="1">
        <f t="array" ref="F1606">RIGHT(_xlfn.ANCHORARRAY(E1606),4)</f>
        <v>2023</v>
      </c>
      <c r="G1606" s="5" t="str">
        <f>TEXT(E1606,"mm")</f>
        <v>17/02/2023</v>
      </c>
      <c r="H1606" s="6">
        <v>16765.07</v>
      </c>
      <c r="I1606">
        <v>261</v>
      </c>
      <c r="L1606" t="str">
        <f t="shared" si="25"/>
        <v>Above Average</v>
      </c>
      <c r="M1606">
        <f>RANK(H1606,H:H,0)</f>
        <v>74</v>
      </c>
    </row>
    <row r="1607" spans="1:13">
      <c r="A1607" t="s">
        <v>77</v>
      </c>
      <c r="B1607" t="s">
        <v>7</v>
      </c>
      <c r="C1607" t="s">
        <v>20</v>
      </c>
      <c r="D1607" s="3" t="s">
        <v>169</v>
      </c>
      <c r="E1607" s="5" t="str">
        <f>TEXT(D1607,"dd/mm/yyyy")</f>
        <v>26/01/2023</v>
      </c>
      <c r="F1607" s="5" t="str" cm="1">
        <f t="array" ref="F1607">RIGHT(_xlfn.ANCHORARRAY(E1607),4)</f>
        <v>2023</v>
      </c>
      <c r="G1607" s="5" t="str">
        <f>TEXT(E1607,"mm")</f>
        <v>26/01/2023</v>
      </c>
      <c r="H1607" s="6">
        <v>11796.63</v>
      </c>
      <c r="I1607">
        <v>45</v>
      </c>
      <c r="L1607" t="str">
        <f t="shared" si="25"/>
        <v>Above Average</v>
      </c>
      <c r="M1607">
        <f>RANK(H1607,H:H,0)</f>
        <v>360</v>
      </c>
    </row>
    <row r="1608" spans="1:13">
      <c r="A1608" t="s">
        <v>77</v>
      </c>
      <c r="B1608" t="s">
        <v>15</v>
      </c>
      <c r="C1608" t="s">
        <v>8</v>
      </c>
      <c r="D1608" s="4">
        <v>44962</v>
      </c>
      <c r="E1608" s="5" t="str">
        <f>TEXT(D1608,"dd/mm/yyyy")</f>
        <v>05/02/2023</v>
      </c>
      <c r="F1608" s="5" t="str" cm="1">
        <f t="array" ref="F1608">RIGHT(_xlfn.ANCHORARRAY(E1608),4)</f>
        <v>2023</v>
      </c>
      <c r="G1608" s="5" t="str">
        <f>TEXT(E1608,"mm")</f>
        <v>05</v>
      </c>
      <c r="H1608" s="6">
        <v>2766.65</v>
      </c>
      <c r="I1608">
        <v>148</v>
      </c>
      <c r="L1608" t="str">
        <f t="shared" si="25"/>
        <v>Below Average</v>
      </c>
      <c r="M1608">
        <f>RANK(H1608,H:H,0)</f>
        <v>2385</v>
      </c>
    </row>
    <row r="1609" spans="1:13">
      <c r="A1609" t="s">
        <v>48</v>
      </c>
      <c r="B1609" t="s">
        <v>35</v>
      </c>
      <c r="C1609" t="s">
        <v>20</v>
      </c>
      <c r="D1609" s="4">
        <v>45114</v>
      </c>
      <c r="E1609" s="5" t="str">
        <f>TEXT(D1609,"dd/mm/yyyy")</f>
        <v>07/07/2023</v>
      </c>
      <c r="F1609" s="5" t="str" cm="1">
        <f t="array" ref="F1609">RIGHT(_xlfn.ANCHORARRAY(E1609),4)</f>
        <v>2023</v>
      </c>
      <c r="G1609" s="5" t="str">
        <f>TEXT(E1609,"mm")</f>
        <v>07</v>
      </c>
      <c r="H1609" s="6">
        <v>13232.74</v>
      </c>
      <c r="I1609">
        <v>7</v>
      </c>
      <c r="L1609" t="str">
        <f t="shared" si="25"/>
        <v>Above Average</v>
      </c>
      <c r="M1609">
        <f>RANK(H1609,H:H,0)</f>
        <v>251</v>
      </c>
    </row>
    <row r="1610" spans="1:13">
      <c r="A1610" t="s">
        <v>29</v>
      </c>
      <c r="B1610" t="s">
        <v>15</v>
      </c>
      <c r="C1610" t="s">
        <v>87</v>
      </c>
      <c r="D1610" s="3" t="s">
        <v>186</v>
      </c>
      <c r="E1610" s="5" t="str">
        <f>TEXT(D1610,"dd/mm/yyyy")</f>
        <v>22/08/2023</v>
      </c>
      <c r="F1610" s="5" t="str" cm="1">
        <f t="array" ref="F1610">RIGHT(_xlfn.ANCHORARRAY(E1610),4)</f>
        <v>2023</v>
      </c>
      <c r="G1610" s="5" t="str">
        <f>TEXT(E1610,"mm")</f>
        <v>22/08/2023</v>
      </c>
      <c r="H1610" s="6">
        <v>2820.41</v>
      </c>
      <c r="I1610">
        <v>50</v>
      </c>
      <c r="L1610" t="str">
        <f t="shared" si="25"/>
        <v>Below Average</v>
      </c>
      <c r="M1610">
        <f>RANK(H1610,H:H,0)</f>
        <v>2365</v>
      </c>
    </row>
    <row r="1611" spans="1:13">
      <c r="A1611" t="s">
        <v>37</v>
      </c>
      <c r="B1611" t="s">
        <v>15</v>
      </c>
      <c r="C1611" t="s">
        <v>23</v>
      </c>
      <c r="D1611" s="4">
        <v>45238</v>
      </c>
      <c r="E1611" s="5" t="str">
        <f>TEXT(D1611,"dd/mm/yyyy")</f>
        <v>08/11/2023</v>
      </c>
      <c r="F1611" s="4"/>
      <c r="G1611" s="5" t="str">
        <f>TEXT(E1611,"mm")</f>
        <v>08</v>
      </c>
      <c r="H1611" s="6">
        <v>2483.3200000000002</v>
      </c>
      <c r="I1611">
        <v>65</v>
      </c>
      <c r="L1611" t="str">
        <f t="shared" si="25"/>
        <v>Below Average</v>
      </c>
      <c r="M1611">
        <f>RANK(H1611,H:H,0)</f>
        <v>2483</v>
      </c>
    </row>
    <row r="1612" spans="1:13">
      <c r="A1612" t="s">
        <v>40</v>
      </c>
      <c r="B1612" t="s">
        <v>7</v>
      </c>
      <c r="C1612" t="s">
        <v>20</v>
      </c>
      <c r="D1612" s="3" t="s">
        <v>167</v>
      </c>
      <c r="E1612" s="5" t="str">
        <f>TEXT(D1612,"dd/mm/yyyy")</f>
        <v>13/01/2023</v>
      </c>
      <c r="G1612" s="5" t="str">
        <f>TEXT(E1612,"mm")</f>
        <v>13/01/2023</v>
      </c>
      <c r="H1612" s="6">
        <v>9124.16</v>
      </c>
      <c r="I1612">
        <v>209</v>
      </c>
      <c r="L1612" t="str">
        <f t="shared" si="25"/>
        <v>Above Average</v>
      </c>
      <c r="M1612">
        <f>RANK(H1612,H:H,0)</f>
        <v>713</v>
      </c>
    </row>
    <row r="1613" spans="1:13">
      <c r="A1613" t="s">
        <v>22</v>
      </c>
      <c r="B1613" t="s">
        <v>15</v>
      </c>
      <c r="C1613" t="s">
        <v>26</v>
      </c>
      <c r="D1613" s="4">
        <v>44960</v>
      </c>
      <c r="E1613" s="5" t="str">
        <f>TEXT(D1613,"dd/mm/yyyy")</f>
        <v>03/02/2023</v>
      </c>
      <c r="F1613" s="4"/>
      <c r="G1613" s="5" t="str">
        <f>TEXT(E1613,"mm")</f>
        <v>03</v>
      </c>
      <c r="H1613" s="6">
        <v>12728.16</v>
      </c>
      <c r="I1613">
        <v>111</v>
      </c>
      <c r="L1613" t="str">
        <f t="shared" si="25"/>
        <v>Above Average</v>
      </c>
      <c r="M1613">
        <f>RANK(H1613,H:H,0)</f>
        <v>283</v>
      </c>
    </row>
    <row r="1614" spans="1:13">
      <c r="A1614" t="s">
        <v>40</v>
      </c>
      <c r="B1614" t="s">
        <v>15</v>
      </c>
      <c r="C1614" t="s">
        <v>75</v>
      </c>
      <c r="D1614" s="3" t="s">
        <v>232</v>
      </c>
      <c r="E1614" s="5" t="str">
        <f>TEXT(D1614,"dd/mm/yyyy")</f>
        <v>27/07/2023</v>
      </c>
      <c r="G1614" s="5" t="str">
        <f>TEXT(E1614,"mm")</f>
        <v>27/07/2023</v>
      </c>
      <c r="H1614" s="6">
        <v>12624.64</v>
      </c>
      <c r="I1614">
        <v>41</v>
      </c>
      <c r="L1614" t="str">
        <f t="shared" si="25"/>
        <v>Above Average</v>
      </c>
      <c r="M1614">
        <f>RANK(H1614,H:H,0)</f>
        <v>289</v>
      </c>
    </row>
    <row r="1615" spans="1:13">
      <c r="A1615" t="s">
        <v>70</v>
      </c>
      <c r="B1615" t="s">
        <v>25</v>
      </c>
      <c r="C1615" t="s">
        <v>38</v>
      </c>
      <c r="D1615" s="4">
        <v>45202</v>
      </c>
      <c r="E1615" s="5" t="str">
        <f>TEXT(D1615,"dd/mm/yyyy")</f>
        <v>03/10/2023</v>
      </c>
      <c r="F1615" s="4"/>
      <c r="G1615" s="5" t="str">
        <f>TEXT(E1615,"mm")</f>
        <v>03</v>
      </c>
      <c r="H1615" s="6">
        <v>17584.16</v>
      </c>
      <c r="I1615">
        <v>110</v>
      </c>
      <c r="L1615" t="str">
        <f t="shared" si="25"/>
        <v>Above Average</v>
      </c>
      <c r="M1615">
        <f>RANK(H1615,H:H,0)</f>
        <v>51</v>
      </c>
    </row>
    <row r="1616" spans="1:13">
      <c r="A1616" t="s">
        <v>41</v>
      </c>
      <c r="B1616" t="s">
        <v>32</v>
      </c>
      <c r="C1616" t="s">
        <v>11</v>
      </c>
      <c r="D1616" s="3" t="s">
        <v>202</v>
      </c>
      <c r="E1616" s="5" t="str">
        <f>TEXT(D1616,"dd/mm/yyyy")</f>
        <v>23/08/2023</v>
      </c>
      <c r="G1616" s="5" t="str">
        <f>TEXT(E1616,"mm")</f>
        <v>23/08/2023</v>
      </c>
      <c r="H1616" s="6">
        <v>13156.49</v>
      </c>
      <c r="I1616">
        <v>360</v>
      </c>
      <c r="L1616" t="str">
        <f t="shared" si="25"/>
        <v>Above Average</v>
      </c>
      <c r="M1616">
        <f>RANK(H1616,H:H,0)</f>
        <v>255</v>
      </c>
    </row>
    <row r="1617" spans="1:13">
      <c r="A1617" t="s">
        <v>45</v>
      </c>
      <c r="B1617" t="s">
        <v>32</v>
      </c>
      <c r="C1617" t="s">
        <v>36</v>
      </c>
      <c r="D1617" s="3" t="s">
        <v>217</v>
      </c>
      <c r="E1617" s="5" t="str">
        <f>TEXT(D1617,"dd/mm/yyyy")</f>
        <v>25/04/2023</v>
      </c>
      <c r="G1617" s="5" t="str">
        <f>TEXT(E1617,"mm")</f>
        <v>25/04/2023</v>
      </c>
      <c r="H1617" s="6">
        <v>4164.1000000000004</v>
      </c>
      <c r="I1617">
        <v>167</v>
      </c>
      <c r="L1617" t="str">
        <f t="shared" si="25"/>
        <v>Below Average</v>
      </c>
      <c r="M1617">
        <f>RANK(H1617,H:H,0)</f>
        <v>1940</v>
      </c>
    </row>
    <row r="1618" spans="1:13">
      <c r="A1618" t="s">
        <v>58</v>
      </c>
      <c r="B1618" t="s">
        <v>7</v>
      </c>
      <c r="C1618" t="s">
        <v>46</v>
      </c>
      <c r="D1618" s="4">
        <v>45110</v>
      </c>
      <c r="E1618" s="5" t="str">
        <f>TEXT(D1618,"dd/mm/yyyy")</f>
        <v>03/07/2023</v>
      </c>
      <c r="F1618" s="4"/>
      <c r="G1618" s="5" t="str">
        <f>TEXT(E1618,"mm")</f>
        <v>03</v>
      </c>
      <c r="H1618" s="6">
        <v>11698.98</v>
      </c>
      <c r="I1618">
        <v>436</v>
      </c>
      <c r="L1618" t="str">
        <f t="shared" si="25"/>
        <v>Above Average</v>
      </c>
      <c r="M1618">
        <f>RANK(H1618,H:H,0)</f>
        <v>374</v>
      </c>
    </row>
    <row r="1619" spans="1:13">
      <c r="A1619" t="s">
        <v>64</v>
      </c>
      <c r="B1619" t="s">
        <v>7</v>
      </c>
      <c r="C1619" t="s">
        <v>42</v>
      </c>
      <c r="D1619" s="4">
        <v>45267</v>
      </c>
      <c r="E1619" s="5" t="str">
        <f>TEXT(D1619,"dd/mm/yyyy")</f>
        <v>07/12/2023</v>
      </c>
      <c r="F1619" s="4"/>
      <c r="G1619" s="5" t="str">
        <f>TEXT(E1619,"mm")</f>
        <v>07</v>
      </c>
      <c r="H1619" s="6">
        <v>4964.25</v>
      </c>
      <c r="I1619">
        <v>56</v>
      </c>
      <c r="L1619" t="str">
        <f t="shared" si="25"/>
        <v>Below Average</v>
      </c>
      <c r="M1619">
        <f>RANK(H1619,H:H,0)</f>
        <v>1714</v>
      </c>
    </row>
    <row r="1620" spans="1:13">
      <c r="A1620" t="s">
        <v>77</v>
      </c>
      <c r="B1620" t="s">
        <v>32</v>
      </c>
      <c r="C1620" t="s">
        <v>33</v>
      </c>
      <c r="D1620" s="3" t="s">
        <v>192</v>
      </c>
      <c r="E1620" s="5" t="str">
        <f>TEXT(D1620,"dd/mm/yyyy")</f>
        <v>16/05/2023</v>
      </c>
      <c r="G1620" s="5" t="str">
        <f>TEXT(E1620,"mm")</f>
        <v>16/05/2023</v>
      </c>
      <c r="H1620" s="6">
        <v>8258.3700000000008</v>
      </c>
      <c r="I1620">
        <v>132</v>
      </c>
      <c r="L1620" t="str">
        <f t="shared" si="25"/>
        <v>Above Average</v>
      </c>
      <c r="M1620">
        <f>RANK(H1620,H:H,0)</f>
        <v>883</v>
      </c>
    </row>
    <row r="1621" spans="1:13">
      <c r="A1621" t="s">
        <v>22</v>
      </c>
      <c r="B1621" t="s">
        <v>10</v>
      </c>
      <c r="C1621" t="s">
        <v>18</v>
      </c>
      <c r="D1621" s="4">
        <v>44960</v>
      </c>
      <c r="E1621" s="5" t="str">
        <f>TEXT(D1621,"dd/mm/yyyy")</f>
        <v>03/02/2023</v>
      </c>
      <c r="F1621" s="4"/>
      <c r="G1621" s="5" t="str">
        <f>TEXT(E1621,"mm")</f>
        <v>03</v>
      </c>
      <c r="H1621" s="6">
        <v>3938.2</v>
      </c>
      <c r="I1621">
        <v>70</v>
      </c>
      <c r="L1621" t="str">
        <f t="shared" si="25"/>
        <v>Below Average</v>
      </c>
      <c r="M1621">
        <f>RANK(H1621,H:H,0)</f>
        <v>2003</v>
      </c>
    </row>
    <row r="1622" spans="1:13">
      <c r="A1622" t="s">
        <v>40</v>
      </c>
      <c r="B1622" t="s">
        <v>25</v>
      </c>
      <c r="C1622" t="s">
        <v>11</v>
      </c>
      <c r="D1622" s="3" t="s">
        <v>174</v>
      </c>
      <c r="E1622" s="5" t="str">
        <f>TEXT(D1622,"dd/mm/yyyy")</f>
        <v>30/05/2023</v>
      </c>
      <c r="G1622" s="5" t="str">
        <f>TEXT(E1622,"mm")</f>
        <v>30/05/2023</v>
      </c>
      <c r="H1622" s="6">
        <v>1368.27</v>
      </c>
      <c r="I1622">
        <v>163</v>
      </c>
      <c r="L1622" t="str">
        <f t="shared" si="25"/>
        <v>Below Average</v>
      </c>
      <c r="M1622">
        <f>RANK(H1622,H:H,0)</f>
        <v>2854</v>
      </c>
    </row>
    <row r="1623" spans="1:13">
      <c r="A1623" t="s">
        <v>40</v>
      </c>
      <c r="B1623" t="s">
        <v>7</v>
      </c>
      <c r="C1623" t="s">
        <v>60</v>
      </c>
      <c r="D1623" s="4">
        <v>45205</v>
      </c>
      <c r="E1623" s="5" t="str">
        <f>TEXT(D1623,"dd/mm/yyyy")</f>
        <v>06/10/2023</v>
      </c>
      <c r="F1623" s="4"/>
      <c r="G1623" s="5" t="str">
        <f>TEXT(E1623,"mm")</f>
        <v>06</v>
      </c>
      <c r="H1623" s="6">
        <v>12449.46</v>
      </c>
      <c r="I1623">
        <v>177</v>
      </c>
      <c r="L1623" t="str">
        <f t="shared" si="25"/>
        <v>Above Average</v>
      </c>
      <c r="M1623">
        <f>RANK(H1623,H:H,0)</f>
        <v>306</v>
      </c>
    </row>
    <row r="1624" spans="1:13">
      <c r="A1624" t="s">
        <v>28</v>
      </c>
      <c r="B1624" t="s">
        <v>32</v>
      </c>
      <c r="C1624" t="s">
        <v>20</v>
      </c>
      <c r="D1624" s="3" t="s">
        <v>216</v>
      </c>
      <c r="E1624" s="5" t="str">
        <f>TEXT(D1624,"dd/mm/yyyy")</f>
        <v>25/07/2023</v>
      </c>
      <c r="G1624" s="5" t="str">
        <f>TEXT(E1624,"mm")</f>
        <v>25/07/2023</v>
      </c>
      <c r="H1624" s="6">
        <v>7323.82</v>
      </c>
      <c r="I1624">
        <v>339</v>
      </c>
      <c r="L1624" t="str">
        <f t="shared" si="25"/>
        <v>Above Average</v>
      </c>
      <c r="M1624">
        <f>RANK(H1624,H:H,0)</f>
        <v>1104</v>
      </c>
    </row>
    <row r="1625" spans="1:13">
      <c r="A1625" t="s">
        <v>41</v>
      </c>
      <c r="B1625" t="s">
        <v>25</v>
      </c>
      <c r="C1625" t="s">
        <v>8</v>
      </c>
      <c r="D1625" s="4">
        <v>45175</v>
      </c>
      <c r="E1625" s="5" t="str">
        <f>TEXT(D1625,"dd/mm/yyyy")</f>
        <v>06/09/2023</v>
      </c>
      <c r="F1625" s="4"/>
      <c r="G1625" s="5" t="str">
        <f>TEXT(E1625,"mm")</f>
        <v>06</v>
      </c>
      <c r="H1625" s="6">
        <v>4560.8100000000004</v>
      </c>
      <c r="I1625">
        <v>102</v>
      </c>
      <c r="L1625" t="str">
        <f t="shared" si="25"/>
        <v>Below Average</v>
      </c>
      <c r="M1625">
        <f>RANK(H1625,H:H,0)</f>
        <v>1833</v>
      </c>
    </row>
    <row r="1626" spans="1:13">
      <c r="A1626" t="s">
        <v>58</v>
      </c>
      <c r="B1626" t="s">
        <v>32</v>
      </c>
      <c r="C1626" t="s">
        <v>46</v>
      </c>
      <c r="D1626" s="4">
        <v>45265</v>
      </c>
      <c r="E1626" s="5" t="str">
        <f>TEXT(D1626,"dd/mm/yyyy")</f>
        <v>05/12/2023</v>
      </c>
      <c r="F1626" s="4"/>
      <c r="G1626" s="5" t="str">
        <f>TEXT(E1626,"mm")</f>
        <v>05</v>
      </c>
      <c r="H1626" s="6">
        <v>777.46</v>
      </c>
      <c r="I1626">
        <v>58</v>
      </c>
      <c r="L1626" t="str">
        <f t="shared" si="25"/>
        <v>Below Average</v>
      </c>
      <c r="M1626">
        <f>RANK(H1626,H:H,0)</f>
        <v>3037</v>
      </c>
    </row>
    <row r="1627" spans="1:13">
      <c r="A1627" t="s">
        <v>22</v>
      </c>
      <c r="B1627" t="s">
        <v>32</v>
      </c>
      <c r="C1627" t="s">
        <v>38</v>
      </c>
      <c r="D1627" s="4">
        <v>45174</v>
      </c>
      <c r="E1627" s="5" t="str">
        <f>TEXT(D1627,"dd/mm/yyyy")</f>
        <v>05/09/2023</v>
      </c>
      <c r="F1627" s="4"/>
      <c r="G1627" s="5" t="str">
        <f>TEXT(E1627,"mm")</f>
        <v>05</v>
      </c>
      <c r="H1627" s="6">
        <v>3857.27</v>
      </c>
      <c r="I1627">
        <v>5</v>
      </c>
      <c r="L1627" t="str">
        <f t="shared" si="25"/>
        <v>Below Average</v>
      </c>
      <c r="M1627">
        <f>RANK(H1627,H:H,0)</f>
        <v>2023</v>
      </c>
    </row>
    <row r="1628" spans="1:13">
      <c r="A1628" t="s">
        <v>28</v>
      </c>
      <c r="B1628" t="s">
        <v>35</v>
      </c>
      <c r="C1628" t="s">
        <v>60</v>
      </c>
      <c r="D1628" s="4">
        <v>45177</v>
      </c>
      <c r="E1628" s="5" t="str">
        <f>TEXT(D1628,"dd/mm/yyyy")</f>
        <v>08/09/2023</v>
      </c>
      <c r="F1628" s="4"/>
      <c r="G1628" s="5" t="str">
        <f>TEXT(E1628,"mm")</f>
        <v>08</v>
      </c>
      <c r="H1628" s="6">
        <v>7442.69</v>
      </c>
      <c r="I1628">
        <v>179</v>
      </c>
      <c r="L1628" t="str">
        <f t="shared" si="25"/>
        <v>Above Average</v>
      </c>
      <c r="M1628">
        <f>RANK(H1628,H:H,0)</f>
        <v>1080</v>
      </c>
    </row>
    <row r="1629" spans="1:13">
      <c r="A1629" t="s">
        <v>9</v>
      </c>
      <c r="B1629" t="s">
        <v>10</v>
      </c>
      <c r="C1629" t="s">
        <v>75</v>
      </c>
      <c r="D1629" s="3" t="s">
        <v>224</v>
      </c>
      <c r="E1629" s="5" t="str">
        <f>TEXT(D1629,"dd/mm/yyyy")</f>
        <v>13/04/2023</v>
      </c>
      <c r="G1629" s="5" t="str">
        <f>TEXT(E1629,"mm")</f>
        <v>13/04/2023</v>
      </c>
      <c r="H1629" s="6">
        <v>5799.3</v>
      </c>
      <c r="I1629">
        <v>125</v>
      </c>
      <c r="L1629" t="str">
        <f t="shared" si="25"/>
        <v>Below Average</v>
      </c>
      <c r="M1629">
        <f>RANK(H1629,H:H,0)</f>
        <v>1487</v>
      </c>
    </row>
    <row r="1630" spans="1:13">
      <c r="A1630" t="s">
        <v>67</v>
      </c>
      <c r="B1630" t="s">
        <v>32</v>
      </c>
      <c r="C1630" t="s">
        <v>90</v>
      </c>
      <c r="D1630" s="4">
        <v>44962</v>
      </c>
      <c r="E1630" s="5" t="str">
        <f>TEXT(D1630,"dd/mm/yyyy")</f>
        <v>05/02/2023</v>
      </c>
      <c r="F1630" s="4"/>
      <c r="G1630" s="5" t="str">
        <f>TEXT(E1630,"mm")</f>
        <v>05</v>
      </c>
      <c r="H1630" s="6">
        <v>8836.9</v>
      </c>
      <c r="I1630">
        <v>48</v>
      </c>
      <c r="L1630" t="str">
        <f t="shared" si="25"/>
        <v>Above Average</v>
      </c>
      <c r="M1630">
        <f>RANK(H1630,H:H,0)</f>
        <v>773</v>
      </c>
    </row>
    <row r="1631" spans="1:13">
      <c r="A1631" t="s">
        <v>79</v>
      </c>
      <c r="B1631" t="s">
        <v>32</v>
      </c>
      <c r="C1631" t="s">
        <v>20</v>
      </c>
      <c r="D1631" s="4">
        <v>45177</v>
      </c>
      <c r="E1631" s="5" t="str">
        <f>TEXT(D1631,"dd/mm/yyyy")</f>
        <v>08/09/2023</v>
      </c>
      <c r="F1631" s="4"/>
      <c r="G1631" s="5" t="str">
        <f>TEXT(E1631,"mm")</f>
        <v>08</v>
      </c>
      <c r="H1631" s="6">
        <v>4185</v>
      </c>
      <c r="I1631">
        <v>315</v>
      </c>
      <c r="L1631" t="str">
        <f t="shared" si="25"/>
        <v>Below Average</v>
      </c>
      <c r="M1631">
        <f>RANK(H1631,H:H,0)</f>
        <v>1934</v>
      </c>
    </row>
    <row r="1632" spans="1:13">
      <c r="A1632" t="s">
        <v>71</v>
      </c>
      <c r="B1632" t="s">
        <v>15</v>
      </c>
      <c r="C1632" t="s">
        <v>73</v>
      </c>
      <c r="D1632" s="3" t="s">
        <v>202</v>
      </c>
      <c r="E1632" s="5" t="str">
        <f>TEXT(D1632,"dd/mm/yyyy")</f>
        <v>23/08/2023</v>
      </c>
      <c r="G1632" s="5" t="str">
        <f>TEXT(E1632,"mm")</f>
        <v>23/08/2023</v>
      </c>
      <c r="H1632" s="6">
        <v>6984.06</v>
      </c>
      <c r="I1632">
        <v>174</v>
      </c>
      <c r="L1632" t="str">
        <f t="shared" si="25"/>
        <v>Above Average</v>
      </c>
      <c r="M1632">
        <f>RANK(H1632,H:H,0)</f>
        <v>1187</v>
      </c>
    </row>
    <row r="1633" spans="1:13">
      <c r="A1633" t="s">
        <v>22</v>
      </c>
      <c r="B1633" t="s">
        <v>10</v>
      </c>
      <c r="C1633" t="s">
        <v>50</v>
      </c>
      <c r="D1633" s="3" t="s">
        <v>233</v>
      </c>
      <c r="E1633" s="5" t="str">
        <f>TEXT(D1633,"dd/mm/yyyy")</f>
        <v>13/05/2023</v>
      </c>
      <c r="G1633" s="5" t="str">
        <f>TEXT(E1633,"mm")</f>
        <v>13/05/2023</v>
      </c>
      <c r="H1633" s="6">
        <v>7362.7</v>
      </c>
      <c r="I1633">
        <v>179</v>
      </c>
      <c r="L1633" t="str">
        <f t="shared" si="25"/>
        <v>Above Average</v>
      </c>
      <c r="M1633">
        <f>RANK(H1633,H:H,0)</f>
        <v>1095</v>
      </c>
    </row>
    <row r="1634" spans="1:13">
      <c r="A1634" t="s">
        <v>37</v>
      </c>
      <c r="B1634" t="s">
        <v>32</v>
      </c>
      <c r="C1634" t="s">
        <v>60</v>
      </c>
      <c r="D1634" s="4">
        <v>44928</v>
      </c>
      <c r="E1634" s="5" t="str">
        <f>TEXT(D1634,"dd/mm/yyyy")</f>
        <v>02/01/2023</v>
      </c>
      <c r="F1634" s="4"/>
      <c r="G1634" s="5" t="str">
        <f>TEXT(E1634,"mm")</f>
        <v>02</v>
      </c>
      <c r="H1634" s="6">
        <v>10338.27</v>
      </c>
      <c r="I1634">
        <v>73</v>
      </c>
      <c r="L1634" t="str">
        <f t="shared" si="25"/>
        <v>Above Average</v>
      </c>
      <c r="M1634">
        <f>RANK(H1634,H:H,0)</f>
        <v>527</v>
      </c>
    </row>
    <row r="1635" spans="1:13">
      <c r="A1635" t="s">
        <v>71</v>
      </c>
      <c r="B1635" t="s">
        <v>32</v>
      </c>
      <c r="C1635" t="s">
        <v>26</v>
      </c>
      <c r="D1635" s="3" t="s">
        <v>245</v>
      </c>
      <c r="E1635" s="5" t="str">
        <f>TEXT(D1635,"dd/mm/yyyy")</f>
        <v>23/06/2023</v>
      </c>
      <c r="G1635" s="5" t="str">
        <f>TEXT(E1635,"mm")</f>
        <v>23/06/2023</v>
      </c>
      <c r="H1635" s="6">
        <v>6215.72</v>
      </c>
      <c r="I1635">
        <v>324</v>
      </c>
      <c r="L1635" t="str">
        <f t="shared" si="25"/>
        <v>Above Average</v>
      </c>
      <c r="M1635">
        <f>RANK(H1635,H:H,0)</f>
        <v>1376</v>
      </c>
    </row>
    <row r="1636" spans="1:13">
      <c r="A1636" t="s">
        <v>77</v>
      </c>
      <c r="B1636" t="s">
        <v>7</v>
      </c>
      <c r="C1636" t="s">
        <v>75</v>
      </c>
      <c r="D1636" s="3" t="s">
        <v>178</v>
      </c>
      <c r="E1636" s="5" t="str">
        <f>TEXT(D1636,"dd/mm/yyyy")</f>
        <v>24/05/2023</v>
      </c>
      <c r="G1636" s="5" t="str">
        <f>TEXT(E1636,"mm")</f>
        <v>24/05/2023</v>
      </c>
      <c r="H1636" s="6">
        <v>10400.66</v>
      </c>
      <c r="I1636">
        <v>144</v>
      </c>
      <c r="L1636" t="str">
        <f t="shared" si="25"/>
        <v>Above Average</v>
      </c>
      <c r="M1636">
        <f>RANK(H1636,H:H,0)</f>
        <v>522</v>
      </c>
    </row>
    <row r="1637" spans="1:13">
      <c r="A1637" t="s">
        <v>14</v>
      </c>
      <c r="B1637" t="s">
        <v>35</v>
      </c>
      <c r="C1637" t="s">
        <v>8</v>
      </c>
      <c r="D1637" s="4">
        <v>44930</v>
      </c>
      <c r="E1637" s="5" t="str">
        <f>TEXT(D1637,"dd/mm/yyyy")</f>
        <v>04/01/2023</v>
      </c>
      <c r="F1637" s="4"/>
      <c r="G1637" s="5" t="str">
        <f>TEXT(E1637,"mm")</f>
        <v>04</v>
      </c>
      <c r="H1637" s="6">
        <v>1062.6099999999999</v>
      </c>
      <c r="I1637">
        <v>217</v>
      </c>
      <c r="L1637" t="str">
        <f t="shared" si="25"/>
        <v>Below Average</v>
      </c>
      <c r="M1637">
        <f>RANK(H1637,H:H,0)</f>
        <v>2954</v>
      </c>
    </row>
    <row r="1638" spans="1:13">
      <c r="A1638" t="s">
        <v>71</v>
      </c>
      <c r="B1638" t="s">
        <v>35</v>
      </c>
      <c r="C1638" t="s">
        <v>100</v>
      </c>
      <c r="D1638" s="3" t="s">
        <v>232</v>
      </c>
      <c r="E1638" s="5" t="str">
        <f>TEXT(D1638,"dd/mm/yyyy")</f>
        <v>27/07/2023</v>
      </c>
      <c r="G1638" s="5" t="str">
        <f>TEXT(E1638,"mm")</f>
        <v>27/07/2023</v>
      </c>
      <c r="H1638" s="6">
        <v>10095.709999999999</v>
      </c>
      <c r="I1638">
        <v>151</v>
      </c>
      <c r="L1638" t="str">
        <f t="shared" si="25"/>
        <v>Above Average</v>
      </c>
      <c r="M1638">
        <f>RANK(H1638,H:H,0)</f>
        <v>569</v>
      </c>
    </row>
    <row r="1639" spans="1:13">
      <c r="A1639" t="s">
        <v>83</v>
      </c>
      <c r="B1639" t="s">
        <v>10</v>
      </c>
      <c r="C1639" t="s">
        <v>13</v>
      </c>
      <c r="D1639" s="3" t="s">
        <v>199</v>
      </c>
      <c r="E1639" s="5" t="str">
        <f>TEXT(D1639,"dd/mm/yyyy")</f>
        <v>27/01/2023</v>
      </c>
      <c r="G1639" s="5" t="str">
        <f>TEXT(E1639,"mm")</f>
        <v>27/01/2023</v>
      </c>
      <c r="H1639" s="6">
        <v>23251.68</v>
      </c>
      <c r="I1639">
        <v>210</v>
      </c>
      <c r="L1639" t="str">
        <f t="shared" si="25"/>
        <v>Above Average</v>
      </c>
      <c r="M1639">
        <f>RANK(H1639,H:H,0)</f>
        <v>2</v>
      </c>
    </row>
    <row r="1640" spans="1:13">
      <c r="A1640" t="s">
        <v>14</v>
      </c>
      <c r="B1640" t="s">
        <v>10</v>
      </c>
      <c r="C1640" t="s">
        <v>75</v>
      </c>
      <c r="D1640" s="4">
        <v>45268</v>
      </c>
      <c r="E1640" s="5" t="str">
        <f>TEXT(D1640,"dd/mm/yyyy")</f>
        <v>08/12/2023</v>
      </c>
      <c r="F1640" s="4"/>
      <c r="G1640" s="5" t="str">
        <f>TEXT(E1640,"mm")</f>
        <v>08</v>
      </c>
      <c r="H1640" s="6">
        <v>2669.61</v>
      </c>
      <c r="I1640">
        <v>143</v>
      </c>
      <c r="L1640" t="str">
        <f t="shared" si="25"/>
        <v>Below Average</v>
      </c>
      <c r="M1640">
        <f>RANK(H1640,H:H,0)</f>
        <v>2415</v>
      </c>
    </row>
    <row r="1641" spans="1:13">
      <c r="A1641" t="s">
        <v>12</v>
      </c>
      <c r="B1641" t="s">
        <v>35</v>
      </c>
      <c r="C1641" t="s">
        <v>65</v>
      </c>
      <c r="D1641" s="4">
        <v>44928</v>
      </c>
      <c r="E1641" s="5" t="str">
        <f>TEXT(D1641,"dd/mm/yyyy")</f>
        <v>02/01/2023</v>
      </c>
      <c r="F1641" s="4"/>
      <c r="G1641" s="5" t="str">
        <f>TEXT(E1641,"mm")</f>
        <v>02</v>
      </c>
      <c r="H1641" s="6">
        <v>10265.969999999999</v>
      </c>
      <c r="I1641">
        <v>49</v>
      </c>
      <c r="L1641" t="str">
        <f t="shared" si="25"/>
        <v>Above Average</v>
      </c>
      <c r="M1641">
        <f>RANK(H1641,H:H,0)</f>
        <v>540</v>
      </c>
    </row>
    <row r="1642" spans="1:13">
      <c r="A1642" t="s">
        <v>29</v>
      </c>
      <c r="B1642" t="s">
        <v>10</v>
      </c>
      <c r="C1642" t="s">
        <v>23</v>
      </c>
      <c r="D1642" s="4">
        <v>44960</v>
      </c>
      <c r="E1642" s="5" t="str">
        <f>TEXT(D1642,"dd/mm/yyyy")</f>
        <v>03/02/2023</v>
      </c>
      <c r="F1642" s="4"/>
      <c r="G1642" s="5" t="str">
        <f>TEXT(E1642,"mm")</f>
        <v>03</v>
      </c>
      <c r="H1642" s="6">
        <v>5423.54</v>
      </c>
      <c r="I1642">
        <v>203</v>
      </c>
      <c r="L1642" t="str">
        <f t="shared" si="25"/>
        <v>Below Average</v>
      </c>
      <c r="M1642">
        <f>RANK(H1642,H:H,0)</f>
        <v>1589</v>
      </c>
    </row>
    <row r="1643" spans="1:13">
      <c r="A1643" t="s">
        <v>70</v>
      </c>
      <c r="B1643" t="s">
        <v>15</v>
      </c>
      <c r="C1643" t="s">
        <v>20</v>
      </c>
      <c r="D1643" s="3" t="s">
        <v>180</v>
      </c>
      <c r="E1643" s="5" t="str">
        <f>TEXT(D1643,"dd/mm/yyyy")</f>
        <v>30/06/2023</v>
      </c>
      <c r="G1643" s="5" t="str">
        <f>TEXT(E1643,"mm")</f>
        <v>30/06/2023</v>
      </c>
      <c r="H1643" s="6">
        <v>3272.68</v>
      </c>
      <c r="I1643">
        <v>32</v>
      </c>
      <c r="L1643" t="str">
        <f t="shared" si="25"/>
        <v>Below Average</v>
      </c>
      <c r="M1643">
        <f>RANK(H1643,H:H,0)</f>
        <v>2219</v>
      </c>
    </row>
    <row r="1644" spans="1:13">
      <c r="A1644" t="s">
        <v>79</v>
      </c>
      <c r="B1644" t="s">
        <v>15</v>
      </c>
      <c r="C1644" t="s">
        <v>50</v>
      </c>
      <c r="D1644" s="3" t="s">
        <v>255</v>
      </c>
      <c r="E1644" s="5" t="str">
        <f>TEXT(D1644,"dd/mm/yyyy")</f>
        <v>17/01/2023</v>
      </c>
      <c r="G1644" s="5" t="str">
        <f>TEXT(E1644,"mm")</f>
        <v>17/01/2023</v>
      </c>
      <c r="H1644" s="6">
        <v>8840.59</v>
      </c>
      <c r="I1644">
        <v>92</v>
      </c>
      <c r="L1644" t="str">
        <f t="shared" si="25"/>
        <v>Above Average</v>
      </c>
      <c r="M1644">
        <f>RANK(H1644,H:H,0)</f>
        <v>771</v>
      </c>
    </row>
    <row r="1645" spans="1:13">
      <c r="A1645" t="s">
        <v>28</v>
      </c>
      <c r="B1645" t="s">
        <v>32</v>
      </c>
      <c r="C1645" t="s">
        <v>46</v>
      </c>
      <c r="D1645" s="4">
        <v>45114</v>
      </c>
      <c r="E1645" s="5" t="str">
        <f>TEXT(D1645,"dd/mm/yyyy")</f>
        <v>07/07/2023</v>
      </c>
      <c r="F1645" s="4"/>
      <c r="G1645" s="5" t="str">
        <f>TEXT(E1645,"mm")</f>
        <v>07</v>
      </c>
      <c r="H1645" s="6">
        <v>14460.51</v>
      </c>
      <c r="I1645">
        <v>124</v>
      </c>
      <c r="L1645" t="str">
        <f t="shared" si="25"/>
        <v>Above Average</v>
      </c>
      <c r="M1645">
        <f>RANK(H1645,H:H,0)</f>
        <v>183</v>
      </c>
    </row>
    <row r="1646" spans="1:13">
      <c r="A1646" t="s">
        <v>34</v>
      </c>
      <c r="B1646" t="s">
        <v>25</v>
      </c>
      <c r="C1646" t="s">
        <v>8</v>
      </c>
      <c r="D1646" s="3" t="s">
        <v>200</v>
      </c>
      <c r="E1646" s="5" t="str">
        <f>TEXT(D1646,"dd/mm/yyyy")</f>
        <v>31/01/2023</v>
      </c>
      <c r="G1646" s="5" t="str">
        <f>TEXT(E1646,"mm")</f>
        <v>31/01/2023</v>
      </c>
      <c r="H1646" s="6">
        <v>1461.99</v>
      </c>
      <c r="I1646">
        <v>109</v>
      </c>
      <c r="L1646" t="str">
        <f t="shared" si="25"/>
        <v>Below Average</v>
      </c>
      <c r="M1646">
        <f>RANK(H1646,H:H,0)</f>
        <v>2815</v>
      </c>
    </row>
    <row r="1647" spans="1:13">
      <c r="A1647" t="s">
        <v>41</v>
      </c>
      <c r="B1647" t="s">
        <v>7</v>
      </c>
      <c r="C1647" t="s">
        <v>20</v>
      </c>
      <c r="D1647" s="4">
        <v>45207</v>
      </c>
      <c r="E1647" s="5" t="str">
        <f>TEXT(D1647,"dd/mm/yyyy")</f>
        <v>08/10/2023</v>
      </c>
      <c r="F1647" s="4"/>
      <c r="G1647" s="5" t="str">
        <f>TEXT(E1647,"mm")</f>
        <v>08</v>
      </c>
      <c r="H1647" s="6">
        <v>3701.6</v>
      </c>
      <c r="I1647">
        <v>131</v>
      </c>
      <c r="L1647" t="str">
        <f t="shared" si="25"/>
        <v>Below Average</v>
      </c>
      <c r="M1647">
        <f>RANK(H1647,H:H,0)</f>
        <v>2074</v>
      </c>
    </row>
    <row r="1648" spans="1:13">
      <c r="A1648" t="s">
        <v>41</v>
      </c>
      <c r="B1648" t="s">
        <v>32</v>
      </c>
      <c r="C1648" t="s">
        <v>13</v>
      </c>
      <c r="D1648" s="3" t="s">
        <v>201</v>
      </c>
      <c r="E1648" s="5" t="str">
        <f>TEXT(D1648,"dd/mm/yyyy")</f>
        <v>18/08/2023</v>
      </c>
      <c r="G1648" s="5" t="str">
        <f>TEXT(E1648,"mm")</f>
        <v>18/08/2023</v>
      </c>
      <c r="H1648" s="6">
        <v>13951.32</v>
      </c>
      <c r="I1648">
        <v>329</v>
      </c>
      <c r="L1648" t="str">
        <f t="shared" si="25"/>
        <v>Above Average</v>
      </c>
      <c r="M1648">
        <f>RANK(H1648,H:H,0)</f>
        <v>212</v>
      </c>
    </row>
    <row r="1649" spans="1:13">
      <c r="A1649" t="s">
        <v>28</v>
      </c>
      <c r="B1649" t="s">
        <v>25</v>
      </c>
      <c r="C1649" t="s">
        <v>59</v>
      </c>
      <c r="D1649" s="3" t="s">
        <v>177</v>
      </c>
      <c r="E1649" s="5" t="str">
        <f>TEXT(D1649,"dd/mm/yyyy")</f>
        <v>15/06/2023</v>
      </c>
      <c r="G1649" s="5" t="str">
        <f>TEXT(E1649,"mm")</f>
        <v>15/06/2023</v>
      </c>
      <c r="H1649" s="6">
        <v>5774.92</v>
      </c>
      <c r="I1649">
        <v>325</v>
      </c>
      <c r="L1649" t="str">
        <f t="shared" si="25"/>
        <v>Below Average</v>
      </c>
      <c r="M1649">
        <f>RANK(H1649,H:H,0)</f>
        <v>1496</v>
      </c>
    </row>
    <row r="1650" spans="1:13">
      <c r="A1650" t="s">
        <v>40</v>
      </c>
      <c r="B1650" t="s">
        <v>32</v>
      </c>
      <c r="C1650" t="s">
        <v>87</v>
      </c>
      <c r="D1650" s="3" t="s">
        <v>169</v>
      </c>
      <c r="E1650" s="5" t="str">
        <f>TEXT(D1650,"dd/mm/yyyy")</f>
        <v>26/01/2023</v>
      </c>
      <c r="G1650" s="5" t="str">
        <f>TEXT(E1650,"mm")</f>
        <v>26/01/2023</v>
      </c>
      <c r="H1650" s="6">
        <v>9718.8700000000008</v>
      </c>
      <c r="I1650">
        <v>10</v>
      </c>
      <c r="L1650" t="str">
        <f t="shared" si="25"/>
        <v>Above Average</v>
      </c>
      <c r="M1650">
        <f>RANK(H1650,H:H,0)</f>
        <v>628</v>
      </c>
    </row>
    <row r="1651" spans="1:13">
      <c r="A1651" t="s">
        <v>70</v>
      </c>
      <c r="B1651" t="s">
        <v>32</v>
      </c>
      <c r="C1651" t="s">
        <v>50</v>
      </c>
      <c r="D1651" s="3" t="s">
        <v>219</v>
      </c>
      <c r="E1651" s="5" t="str">
        <f>TEXT(D1651,"dd/mm/yyyy")</f>
        <v>29/04/2023</v>
      </c>
      <c r="G1651" s="5" t="str">
        <f>TEXT(E1651,"mm")</f>
        <v>29/04/2023</v>
      </c>
      <c r="H1651" s="6">
        <v>87.52</v>
      </c>
      <c r="I1651">
        <v>69</v>
      </c>
      <c r="L1651" t="str">
        <f t="shared" si="25"/>
        <v>Below Average</v>
      </c>
      <c r="M1651">
        <f>RANK(H1651,H:H,0)</f>
        <v>3250</v>
      </c>
    </row>
    <row r="1652" spans="1:13">
      <c r="A1652" t="s">
        <v>34</v>
      </c>
      <c r="B1652" t="s">
        <v>35</v>
      </c>
      <c r="C1652" t="s">
        <v>59</v>
      </c>
      <c r="D1652" s="4">
        <v>44988</v>
      </c>
      <c r="E1652" s="5" t="str">
        <f>TEXT(D1652,"dd/mm/yyyy")</f>
        <v>03/03/2023</v>
      </c>
      <c r="F1652" s="4"/>
      <c r="G1652" s="5" t="str">
        <f>TEXT(E1652,"mm")</f>
        <v>03</v>
      </c>
      <c r="H1652" s="6">
        <v>3398.51</v>
      </c>
      <c r="I1652">
        <v>74</v>
      </c>
      <c r="L1652" t="str">
        <f t="shared" si="25"/>
        <v>Below Average</v>
      </c>
      <c r="M1652">
        <f>RANK(H1652,H:H,0)</f>
        <v>2175</v>
      </c>
    </row>
    <row r="1653" spans="1:13">
      <c r="A1653" t="s">
        <v>55</v>
      </c>
      <c r="B1653" t="s">
        <v>15</v>
      </c>
      <c r="C1653" t="s">
        <v>65</v>
      </c>
      <c r="D1653" s="3" t="s">
        <v>228</v>
      </c>
      <c r="E1653" s="5" t="str">
        <f>TEXT(D1653,"dd/mm/yyyy")</f>
        <v>22/02/2023</v>
      </c>
      <c r="G1653" s="5" t="str">
        <f>TEXT(E1653,"mm")</f>
        <v>22/02/2023</v>
      </c>
      <c r="H1653" s="6">
        <v>4371.7700000000004</v>
      </c>
      <c r="I1653">
        <v>375</v>
      </c>
      <c r="L1653" t="str">
        <f t="shared" si="25"/>
        <v>Below Average</v>
      </c>
      <c r="M1653">
        <f>RANK(H1653,H:H,0)</f>
        <v>1884</v>
      </c>
    </row>
    <row r="1654" spans="1:13">
      <c r="A1654" t="s">
        <v>19</v>
      </c>
      <c r="B1654" t="s">
        <v>32</v>
      </c>
      <c r="C1654" t="s">
        <v>18</v>
      </c>
      <c r="D1654" s="4">
        <v>45019</v>
      </c>
      <c r="E1654" s="5" t="str">
        <f>TEXT(D1654,"dd/mm/yyyy")</f>
        <v>03/04/2023</v>
      </c>
      <c r="F1654" s="4"/>
      <c r="G1654" s="5" t="str">
        <f>TEXT(E1654,"mm")</f>
        <v>03</v>
      </c>
      <c r="H1654" s="6">
        <v>3632.32</v>
      </c>
      <c r="I1654">
        <v>169</v>
      </c>
      <c r="L1654" t="str">
        <f t="shared" si="25"/>
        <v>Below Average</v>
      </c>
      <c r="M1654">
        <f>RANK(H1654,H:H,0)</f>
        <v>2095</v>
      </c>
    </row>
    <row r="1655" spans="1:13">
      <c r="A1655" t="s">
        <v>58</v>
      </c>
      <c r="B1655" t="s">
        <v>10</v>
      </c>
      <c r="C1655" t="s">
        <v>18</v>
      </c>
      <c r="D1655" s="4">
        <v>45114</v>
      </c>
      <c r="E1655" s="5" t="str">
        <f>TEXT(D1655,"dd/mm/yyyy")</f>
        <v>07/07/2023</v>
      </c>
      <c r="F1655" s="4"/>
      <c r="G1655" s="5" t="str">
        <f>TEXT(E1655,"mm")</f>
        <v>07</v>
      </c>
      <c r="H1655" s="6">
        <v>3343.85</v>
      </c>
      <c r="I1655">
        <v>10</v>
      </c>
      <c r="L1655" t="str">
        <f t="shared" si="25"/>
        <v>Below Average</v>
      </c>
      <c r="M1655">
        <f>RANK(H1655,H:H,0)</f>
        <v>2201</v>
      </c>
    </row>
    <row r="1656" spans="1:13">
      <c r="A1656" t="s">
        <v>71</v>
      </c>
      <c r="B1656" t="s">
        <v>25</v>
      </c>
      <c r="C1656" t="s">
        <v>90</v>
      </c>
      <c r="D1656" s="3" t="s">
        <v>256</v>
      </c>
      <c r="E1656" s="5" t="str">
        <f>TEXT(D1656,"dd/mm/yyyy")</f>
        <v>17/06/2023</v>
      </c>
      <c r="G1656" s="5" t="str">
        <f>TEXT(E1656,"mm")</f>
        <v>17/06/2023</v>
      </c>
      <c r="H1656" s="6">
        <v>4400.28</v>
      </c>
      <c r="I1656">
        <v>364</v>
      </c>
      <c r="L1656" t="str">
        <f t="shared" si="25"/>
        <v>Below Average</v>
      </c>
      <c r="M1656">
        <f>RANK(H1656,H:H,0)</f>
        <v>1875</v>
      </c>
    </row>
    <row r="1657" spans="1:13">
      <c r="A1657" t="s">
        <v>14</v>
      </c>
      <c r="B1657" t="s">
        <v>35</v>
      </c>
      <c r="C1657" t="s">
        <v>90</v>
      </c>
      <c r="D1657" s="4">
        <v>44965</v>
      </c>
      <c r="E1657" s="5" t="str">
        <f>TEXT(D1657,"dd/mm/yyyy")</f>
        <v>08/02/2023</v>
      </c>
      <c r="F1657" s="4"/>
      <c r="G1657" s="5" t="str">
        <f>TEXT(E1657,"mm")</f>
        <v>08</v>
      </c>
      <c r="H1657" s="6">
        <v>10802.13</v>
      </c>
      <c r="I1657">
        <v>124</v>
      </c>
      <c r="L1657" t="str">
        <f t="shared" si="25"/>
        <v>Above Average</v>
      </c>
      <c r="M1657">
        <f>RANK(H1657,H:H,0)</f>
        <v>472</v>
      </c>
    </row>
    <row r="1658" spans="1:13">
      <c r="A1658" t="s">
        <v>19</v>
      </c>
      <c r="B1658" t="s">
        <v>32</v>
      </c>
      <c r="C1658" t="s">
        <v>87</v>
      </c>
      <c r="D1658" s="4">
        <v>45268</v>
      </c>
      <c r="E1658" s="5" t="str">
        <f>TEXT(D1658,"dd/mm/yyyy")</f>
        <v>08/12/2023</v>
      </c>
      <c r="F1658" s="4"/>
      <c r="G1658" s="5" t="str">
        <f>TEXT(E1658,"mm")</f>
        <v>08</v>
      </c>
      <c r="H1658" s="6">
        <v>9154.17</v>
      </c>
      <c r="I1658">
        <v>123</v>
      </c>
      <c r="L1658" t="str">
        <f t="shared" si="25"/>
        <v>Above Average</v>
      </c>
      <c r="M1658">
        <f>RANK(H1658,H:H,0)</f>
        <v>710</v>
      </c>
    </row>
    <row r="1659" spans="1:13">
      <c r="A1659" t="s">
        <v>77</v>
      </c>
      <c r="B1659" t="s">
        <v>25</v>
      </c>
      <c r="C1659" t="s">
        <v>13</v>
      </c>
      <c r="D1659" s="3" t="s">
        <v>210</v>
      </c>
      <c r="E1659" s="5" t="str">
        <f>TEXT(D1659,"dd/mm/yyyy")</f>
        <v>28/01/2023</v>
      </c>
      <c r="G1659" s="5" t="str">
        <f>TEXT(E1659,"mm")</f>
        <v>28/01/2023</v>
      </c>
      <c r="H1659" s="6">
        <v>5360.89</v>
      </c>
      <c r="I1659">
        <v>340</v>
      </c>
      <c r="L1659" t="str">
        <f t="shared" si="25"/>
        <v>Below Average</v>
      </c>
      <c r="M1659">
        <f>RANK(H1659,H:H,0)</f>
        <v>1600</v>
      </c>
    </row>
    <row r="1660" spans="1:13">
      <c r="A1660" t="s">
        <v>70</v>
      </c>
      <c r="B1660" t="s">
        <v>15</v>
      </c>
      <c r="C1660" t="s">
        <v>33</v>
      </c>
      <c r="D1660" s="3" t="s">
        <v>219</v>
      </c>
      <c r="E1660" s="5" t="str">
        <f>TEXT(D1660,"dd/mm/yyyy")</f>
        <v>29/04/2023</v>
      </c>
      <c r="G1660" s="5" t="str">
        <f>TEXT(E1660,"mm")</f>
        <v>29/04/2023</v>
      </c>
      <c r="H1660" s="6">
        <v>11597.46</v>
      </c>
      <c r="I1660">
        <v>462</v>
      </c>
      <c r="L1660" t="str">
        <f t="shared" si="25"/>
        <v>Above Average</v>
      </c>
      <c r="M1660">
        <f>RANK(H1660,H:H,0)</f>
        <v>385</v>
      </c>
    </row>
    <row r="1661" spans="1:13">
      <c r="A1661" t="s">
        <v>40</v>
      </c>
      <c r="B1661" t="s">
        <v>15</v>
      </c>
      <c r="C1661" t="s">
        <v>60</v>
      </c>
      <c r="D1661" s="4">
        <v>45050</v>
      </c>
      <c r="E1661" s="5" t="str">
        <f>TEXT(D1661,"dd/mm/yyyy")</f>
        <v>04/05/2023</v>
      </c>
      <c r="F1661" s="4"/>
      <c r="G1661" s="5" t="str">
        <f>TEXT(E1661,"mm")</f>
        <v>04</v>
      </c>
      <c r="H1661" s="6">
        <v>14939.24</v>
      </c>
      <c r="I1661">
        <v>238</v>
      </c>
      <c r="L1661" t="str">
        <f t="shared" si="25"/>
        <v>Above Average</v>
      </c>
      <c r="M1661">
        <f>RANK(H1661,H:H,0)</f>
        <v>151</v>
      </c>
    </row>
    <row r="1662" spans="1:13">
      <c r="A1662" t="s">
        <v>55</v>
      </c>
      <c r="B1662" t="s">
        <v>35</v>
      </c>
      <c r="C1662" t="s">
        <v>60</v>
      </c>
      <c r="D1662" s="3" t="s">
        <v>218</v>
      </c>
      <c r="E1662" s="5" t="str">
        <f>TEXT(D1662,"dd/mm/yyyy")</f>
        <v>18/01/2023</v>
      </c>
      <c r="G1662" s="5" t="str">
        <f>TEXT(E1662,"mm")</f>
        <v>18/01/2023</v>
      </c>
      <c r="H1662" s="6">
        <v>10845.85</v>
      </c>
      <c r="I1662">
        <v>146</v>
      </c>
      <c r="L1662" t="str">
        <f t="shared" si="25"/>
        <v>Above Average</v>
      </c>
      <c r="M1662">
        <f>RANK(H1662,H:H,0)</f>
        <v>464</v>
      </c>
    </row>
    <row r="1663" spans="1:13">
      <c r="A1663" t="s">
        <v>6</v>
      </c>
      <c r="B1663" t="s">
        <v>7</v>
      </c>
      <c r="C1663" t="s">
        <v>87</v>
      </c>
      <c r="D1663" s="3" t="s">
        <v>192</v>
      </c>
      <c r="E1663" s="5" t="str">
        <f>TEXT(D1663,"dd/mm/yyyy")</f>
        <v>16/05/2023</v>
      </c>
      <c r="G1663" s="5" t="str">
        <f>TEXT(E1663,"mm")</f>
        <v>16/05/2023</v>
      </c>
      <c r="H1663" s="6">
        <v>2832.78</v>
      </c>
      <c r="I1663">
        <v>104</v>
      </c>
      <c r="L1663" t="str">
        <f t="shared" si="25"/>
        <v>Below Average</v>
      </c>
      <c r="M1663">
        <f>RANK(H1663,H:H,0)</f>
        <v>2360</v>
      </c>
    </row>
    <row r="1664" spans="1:13">
      <c r="A1664" t="s">
        <v>70</v>
      </c>
      <c r="B1664" t="s">
        <v>15</v>
      </c>
      <c r="C1664" t="s">
        <v>59</v>
      </c>
      <c r="D1664" s="3" t="s">
        <v>182</v>
      </c>
      <c r="E1664" s="5" t="str">
        <f>TEXT(D1664,"dd/mm/yyyy")</f>
        <v>24/08/2023</v>
      </c>
      <c r="G1664" s="5" t="str">
        <f>TEXT(E1664,"mm")</f>
        <v>24/08/2023</v>
      </c>
      <c r="H1664" s="6">
        <v>8879.7199999999993</v>
      </c>
      <c r="I1664">
        <v>177</v>
      </c>
      <c r="L1664" t="str">
        <f t="shared" si="25"/>
        <v>Above Average</v>
      </c>
      <c r="M1664">
        <f>RANK(H1664,H:H,0)</f>
        <v>764</v>
      </c>
    </row>
    <row r="1665" spans="1:13">
      <c r="A1665" t="s">
        <v>48</v>
      </c>
      <c r="B1665" t="s">
        <v>10</v>
      </c>
      <c r="C1665" t="s">
        <v>11</v>
      </c>
      <c r="D1665" s="3" t="s">
        <v>218</v>
      </c>
      <c r="E1665" s="5" t="str">
        <f>TEXT(D1665,"dd/mm/yyyy")</f>
        <v>18/01/2023</v>
      </c>
      <c r="G1665" s="5" t="str">
        <f>TEXT(E1665,"mm")</f>
        <v>18/01/2023</v>
      </c>
      <c r="H1665" s="6">
        <v>298.33999999999997</v>
      </c>
      <c r="I1665">
        <v>399</v>
      </c>
      <c r="L1665" t="str">
        <f t="shared" si="25"/>
        <v>Below Average</v>
      </c>
      <c r="M1665">
        <f>RANK(H1665,H:H,0)</f>
        <v>3196</v>
      </c>
    </row>
    <row r="1666" spans="1:13">
      <c r="A1666" t="s">
        <v>55</v>
      </c>
      <c r="B1666" t="s">
        <v>32</v>
      </c>
      <c r="C1666" t="s">
        <v>36</v>
      </c>
      <c r="D1666" s="3" t="s">
        <v>186</v>
      </c>
      <c r="E1666" s="5" t="str">
        <f>TEXT(D1666,"dd/mm/yyyy")</f>
        <v>22/08/2023</v>
      </c>
      <c r="G1666" s="5" t="str">
        <f>TEXT(E1666,"mm")</f>
        <v>22/08/2023</v>
      </c>
      <c r="H1666" s="6">
        <v>7799.51</v>
      </c>
      <c r="I1666">
        <v>10</v>
      </c>
      <c r="L1666" t="str">
        <f t="shared" si="25"/>
        <v>Above Average</v>
      </c>
      <c r="M1666">
        <f>RANK(H1666,H:H,0)</f>
        <v>988</v>
      </c>
    </row>
    <row r="1667" spans="1:13">
      <c r="A1667" t="s">
        <v>22</v>
      </c>
      <c r="B1667" t="s">
        <v>7</v>
      </c>
      <c r="C1667" t="s">
        <v>20</v>
      </c>
      <c r="D1667" s="4">
        <v>45110</v>
      </c>
      <c r="E1667" s="5" t="str">
        <f>TEXT(D1667,"dd/mm/yyyy")</f>
        <v>03/07/2023</v>
      </c>
      <c r="F1667" s="4"/>
      <c r="G1667" s="5" t="str">
        <f>TEXT(E1667,"mm")</f>
        <v>03</v>
      </c>
      <c r="H1667" s="6">
        <v>8.0399999999999991</v>
      </c>
      <c r="I1667">
        <v>85</v>
      </c>
      <c r="L1667" t="str">
        <f t="shared" ref="L1667:L1730" si="26">IF(H1667&gt;6030.34,"Above Average","Below Average")</f>
        <v>Below Average</v>
      </c>
      <c r="M1667">
        <f>RANK(H1667,H:H,0)</f>
        <v>3279</v>
      </c>
    </row>
    <row r="1668" spans="1:13">
      <c r="A1668" t="s">
        <v>41</v>
      </c>
      <c r="B1668" t="s">
        <v>7</v>
      </c>
      <c r="C1668" t="s">
        <v>75</v>
      </c>
      <c r="D1668" s="4">
        <v>45019</v>
      </c>
      <c r="E1668" s="5" t="str">
        <f>TEXT(D1668,"dd/mm/yyyy")</f>
        <v>03/04/2023</v>
      </c>
      <c r="F1668" s="4"/>
      <c r="G1668" s="5" t="str">
        <f>TEXT(E1668,"mm")</f>
        <v>03</v>
      </c>
      <c r="H1668" s="6">
        <v>3212.35</v>
      </c>
      <c r="I1668">
        <v>66</v>
      </c>
      <c r="L1668" t="str">
        <f t="shared" si="26"/>
        <v>Below Average</v>
      </c>
      <c r="M1668">
        <f>RANK(H1668,H:H,0)</f>
        <v>2231</v>
      </c>
    </row>
    <row r="1669" spans="1:13">
      <c r="A1669" t="s">
        <v>79</v>
      </c>
      <c r="B1669" t="s">
        <v>35</v>
      </c>
      <c r="C1669" t="s">
        <v>60</v>
      </c>
      <c r="D1669" s="3" t="s">
        <v>237</v>
      </c>
      <c r="E1669" s="5" t="str">
        <f>TEXT(D1669,"dd/mm/yyyy")</f>
        <v>22/04/2023</v>
      </c>
      <c r="G1669" s="5" t="str">
        <f>TEXT(E1669,"mm")</f>
        <v>22/04/2023</v>
      </c>
      <c r="H1669" s="6">
        <v>12048.56</v>
      </c>
      <c r="I1669">
        <v>113</v>
      </c>
      <c r="L1669" t="str">
        <f t="shared" si="26"/>
        <v>Above Average</v>
      </c>
      <c r="M1669">
        <f>RANK(H1669,H:H,0)</f>
        <v>344</v>
      </c>
    </row>
    <row r="1670" spans="1:13">
      <c r="A1670" t="s">
        <v>55</v>
      </c>
      <c r="B1670" t="s">
        <v>15</v>
      </c>
      <c r="C1670" t="s">
        <v>46</v>
      </c>
      <c r="D1670" s="4">
        <v>45175</v>
      </c>
      <c r="E1670" s="5" t="str">
        <f>TEXT(D1670,"dd/mm/yyyy")</f>
        <v>06/09/2023</v>
      </c>
      <c r="F1670" s="4"/>
      <c r="G1670" s="5" t="str">
        <f>TEXT(E1670,"mm")</f>
        <v>06</v>
      </c>
      <c r="H1670" s="6">
        <v>4499.6400000000003</v>
      </c>
      <c r="I1670">
        <v>91</v>
      </c>
      <c r="L1670" t="str">
        <f t="shared" si="26"/>
        <v>Below Average</v>
      </c>
      <c r="M1670">
        <f>RANK(H1670,H:H,0)</f>
        <v>1849</v>
      </c>
    </row>
    <row r="1671" spans="1:13">
      <c r="A1671" t="s">
        <v>14</v>
      </c>
      <c r="B1671" t="s">
        <v>35</v>
      </c>
      <c r="C1671" t="s">
        <v>57</v>
      </c>
      <c r="D1671" s="3" t="s">
        <v>216</v>
      </c>
      <c r="E1671" s="5" t="str">
        <f>TEXT(D1671,"dd/mm/yyyy")</f>
        <v>25/07/2023</v>
      </c>
      <c r="G1671" s="5" t="str">
        <f>TEXT(E1671,"mm")</f>
        <v>25/07/2023</v>
      </c>
      <c r="H1671" s="6">
        <v>9984.16</v>
      </c>
      <c r="I1671">
        <v>207</v>
      </c>
      <c r="L1671" t="str">
        <f t="shared" si="26"/>
        <v>Above Average</v>
      </c>
      <c r="M1671">
        <f>RANK(H1671,H:H,0)</f>
        <v>584</v>
      </c>
    </row>
    <row r="1672" spans="1:13">
      <c r="A1672" t="s">
        <v>14</v>
      </c>
      <c r="B1672" t="s">
        <v>10</v>
      </c>
      <c r="C1672" t="s">
        <v>18</v>
      </c>
      <c r="D1672" s="4">
        <v>44993</v>
      </c>
      <c r="E1672" s="5" t="str">
        <f>TEXT(D1672,"dd/mm/yyyy")</f>
        <v>08/03/2023</v>
      </c>
      <c r="F1672" s="4"/>
      <c r="G1672" s="5" t="str">
        <f>TEXT(E1672,"mm")</f>
        <v>08</v>
      </c>
      <c r="H1672" s="6">
        <v>11867.83</v>
      </c>
      <c r="I1672">
        <v>95</v>
      </c>
      <c r="L1672" t="str">
        <f t="shared" si="26"/>
        <v>Above Average</v>
      </c>
      <c r="M1672">
        <f>RANK(H1672,H:H,0)</f>
        <v>353</v>
      </c>
    </row>
    <row r="1673" spans="1:13">
      <c r="A1673" t="s">
        <v>29</v>
      </c>
      <c r="B1673" t="s">
        <v>15</v>
      </c>
      <c r="C1673" t="s">
        <v>60</v>
      </c>
      <c r="D1673" s="4">
        <v>44993</v>
      </c>
      <c r="E1673" s="5" t="str">
        <f>TEXT(D1673,"dd/mm/yyyy")</f>
        <v>08/03/2023</v>
      </c>
      <c r="F1673" s="4"/>
      <c r="G1673" s="5" t="str">
        <f>TEXT(E1673,"mm")</f>
        <v>08</v>
      </c>
      <c r="H1673" s="6">
        <v>4806.6499999999996</v>
      </c>
      <c r="I1673">
        <v>132</v>
      </c>
      <c r="L1673" t="str">
        <f t="shared" si="26"/>
        <v>Below Average</v>
      </c>
      <c r="M1673">
        <f>RANK(H1673,H:H,0)</f>
        <v>1765</v>
      </c>
    </row>
    <row r="1674" spans="1:13">
      <c r="A1674" t="s">
        <v>6</v>
      </c>
      <c r="B1674" t="s">
        <v>7</v>
      </c>
      <c r="C1674" t="s">
        <v>46</v>
      </c>
      <c r="D1674" s="4">
        <v>44990</v>
      </c>
      <c r="E1674" s="5" t="str">
        <f>TEXT(D1674,"dd/mm/yyyy")</f>
        <v>05/03/2023</v>
      </c>
      <c r="F1674" s="4"/>
      <c r="G1674" s="5" t="str">
        <f>TEXT(E1674,"mm")</f>
        <v>05</v>
      </c>
      <c r="H1674" s="6">
        <v>13420.93</v>
      </c>
      <c r="I1674">
        <v>232</v>
      </c>
      <c r="L1674" t="str">
        <f t="shared" si="26"/>
        <v>Above Average</v>
      </c>
      <c r="M1674">
        <f>RANK(H1674,H:H,0)</f>
        <v>241</v>
      </c>
    </row>
    <row r="1675" spans="1:13">
      <c r="A1675" t="s">
        <v>53</v>
      </c>
      <c r="B1675" t="s">
        <v>35</v>
      </c>
      <c r="C1675" t="s">
        <v>23</v>
      </c>
      <c r="D1675" s="3" t="s">
        <v>208</v>
      </c>
      <c r="E1675" s="5" t="str">
        <f>TEXT(D1675,"dd/mm/yyyy")</f>
        <v>19/01/2023</v>
      </c>
      <c r="G1675" s="5" t="str">
        <f>TEXT(E1675,"mm")</f>
        <v>19/01/2023</v>
      </c>
      <c r="H1675" s="6">
        <v>10407.51</v>
      </c>
      <c r="I1675">
        <v>301</v>
      </c>
      <c r="L1675" t="str">
        <f t="shared" si="26"/>
        <v>Above Average</v>
      </c>
      <c r="M1675">
        <f>RANK(H1675,H:H,0)</f>
        <v>521</v>
      </c>
    </row>
    <row r="1676" spans="1:13">
      <c r="A1676" t="s">
        <v>45</v>
      </c>
      <c r="B1676" t="s">
        <v>32</v>
      </c>
      <c r="C1676" t="s">
        <v>26</v>
      </c>
      <c r="D1676" s="4">
        <v>45232</v>
      </c>
      <c r="E1676" s="5" t="str">
        <f>TEXT(D1676,"dd/mm/yyyy")</f>
        <v>02/11/2023</v>
      </c>
      <c r="F1676" s="4"/>
      <c r="G1676" s="5" t="str">
        <f>TEXT(E1676,"mm")</f>
        <v>02</v>
      </c>
      <c r="H1676" s="6">
        <v>10849.39</v>
      </c>
      <c r="I1676">
        <v>330</v>
      </c>
      <c r="L1676" t="str">
        <f t="shared" si="26"/>
        <v>Above Average</v>
      </c>
      <c r="M1676">
        <f>RANK(H1676,H:H,0)</f>
        <v>463</v>
      </c>
    </row>
    <row r="1677" spans="1:13">
      <c r="A1677" t="s">
        <v>9</v>
      </c>
      <c r="B1677" t="s">
        <v>10</v>
      </c>
      <c r="C1677" t="s">
        <v>65</v>
      </c>
      <c r="D1677" s="3" t="s">
        <v>230</v>
      </c>
      <c r="E1677" s="5" t="str">
        <f>TEXT(D1677,"dd/mm/yyyy")</f>
        <v>14/06/2023</v>
      </c>
      <c r="G1677" s="5" t="str">
        <f>TEXT(E1677,"mm")</f>
        <v>14/06/2023</v>
      </c>
      <c r="H1677" s="6">
        <v>7247.29</v>
      </c>
      <c r="I1677">
        <v>402</v>
      </c>
      <c r="L1677" t="str">
        <f t="shared" si="26"/>
        <v>Above Average</v>
      </c>
      <c r="M1677">
        <f>RANK(H1677,H:H,0)</f>
        <v>1119</v>
      </c>
    </row>
    <row r="1678" spans="1:13">
      <c r="A1678" t="s">
        <v>70</v>
      </c>
      <c r="B1678" t="s">
        <v>32</v>
      </c>
      <c r="C1678" t="s">
        <v>26</v>
      </c>
      <c r="D1678" s="3" t="s">
        <v>213</v>
      </c>
      <c r="E1678" s="5" t="str">
        <f>TEXT(D1678,"dd/mm/yyyy")</f>
        <v>23/03/2023</v>
      </c>
      <c r="G1678" s="5" t="str">
        <f>TEXT(E1678,"mm")</f>
        <v>23/03/2023</v>
      </c>
      <c r="H1678" s="6">
        <v>6387.65</v>
      </c>
      <c r="I1678">
        <v>227</v>
      </c>
      <c r="L1678" t="str">
        <f t="shared" si="26"/>
        <v>Above Average</v>
      </c>
      <c r="M1678">
        <f>RANK(H1678,H:H,0)</f>
        <v>1335</v>
      </c>
    </row>
    <row r="1679" spans="1:13">
      <c r="A1679" t="s">
        <v>77</v>
      </c>
      <c r="B1679" t="s">
        <v>35</v>
      </c>
      <c r="C1679" t="s">
        <v>11</v>
      </c>
      <c r="D1679" s="3" t="s">
        <v>173</v>
      </c>
      <c r="E1679" s="5" t="str">
        <f>TEXT(D1679,"dd/mm/yyyy")</f>
        <v>17/02/2023</v>
      </c>
      <c r="G1679" s="5" t="str">
        <f>TEXT(E1679,"mm")</f>
        <v>17/02/2023</v>
      </c>
      <c r="H1679" s="6">
        <v>8373.42</v>
      </c>
      <c r="I1679">
        <v>108</v>
      </c>
      <c r="L1679" t="str">
        <f t="shared" si="26"/>
        <v>Above Average</v>
      </c>
      <c r="M1679">
        <f>RANK(H1679,H:H,0)</f>
        <v>860</v>
      </c>
    </row>
    <row r="1680" spans="1:13">
      <c r="A1680" t="s">
        <v>58</v>
      </c>
      <c r="B1680" t="s">
        <v>35</v>
      </c>
      <c r="C1680" t="s">
        <v>18</v>
      </c>
      <c r="D1680" s="3" t="s">
        <v>226</v>
      </c>
      <c r="E1680" s="5" t="str">
        <f>TEXT(D1680,"dd/mm/yyyy")</f>
        <v>17/03/2023</v>
      </c>
      <c r="G1680" s="5" t="str">
        <f>TEXT(E1680,"mm")</f>
        <v>17/03/2023</v>
      </c>
      <c r="H1680" s="6">
        <v>1887.19</v>
      </c>
      <c r="I1680">
        <v>488</v>
      </c>
      <c r="L1680" t="str">
        <f t="shared" si="26"/>
        <v>Below Average</v>
      </c>
      <c r="M1680">
        <f>RANK(H1680,H:H,0)</f>
        <v>2670</v>
      </c>
    </row>
    <row r="1681" spans="1:13">
      <c r="A1681" t="s">
        <v>34</v>
      </c>
      <c r="B1681" t="s">
        <v>15</v>
      </c>
      <c r="C1681" t="s">
        <v>50</v>
      </c>
      <c r="D1681" s="3" t="s">
        <v>179</v>
      </c>
      <c r="E1681" s="5" t="str">
        <f>TEXT(D1681,"dd/mm/yyyy")</f>
        <v>29/06/2023</v>
      </c>
      <c r="G1681" s="5" t="str">
        <f>TEXT(E1681,"mm")</f>
        <v>29/06/2023</v>
      </c>
      <c r="H1681" s="6">
        <v>6054.04</v>
      </c>
      <c r="I1681">
        <v>287</v>
      </c>
      <c r="L1681" t="str">
        <f t="shared" si="26"/>
        <v>Above Average</v>
      </c>
      <c r="M1681">
        <f>RANK(H1681,H:H,0)</f>
        <v>1420</v>
      </c>
    </row>
    <row r="1682" spans="1:13">
      <c r="A1682" t="s">
        <v>83</v>
      </c>
      <c r="B1682" t="s">
        <v>35</v>
      </c>
      <c r="C1682" t="s">
        <v>75</v>
      </c>
      <c r="D1682" s="3" t="s">
        <v>182</v>
      </c>
      <c r="E1682" s="5" t="str">
        <f>TEXT(D1682,"dd/mm/yyyy")</f>
        <v>24/08/2023</v>
      </c>
      <c r="G1682" s="5" t="str">
        <f>TEXT(E1682,"mm")</f>
        <v>24/08/2023</v>
      </c>
      <c r="H1682" s="6">
        <v>16254.61</v>
      </c>
      <c r="I1682">
        <v>268</v>
      </c>
      <c r="L1682" t="str">
        <f t="shared" si="26"/>
        <v>Above Average</v>
      </c>
      <c r="M1682">
        <f>RANK(H1682,H:H,0)</f>
        <v>91</v>
      </c>
    </row>
    <row r="1683" spans="1:13">
      <c r="A1683" t="s">
        <v>12</v>
      </c>
      <c r="B1683" t="s">
        <v>35</v>
      </c>
      <c r="C1683" t="s">
        <v>50</v>
      </c>
      <c r="D1683" s="4">
        <v>45023</v>
      </c>
      <c r="E1683" s="5" t="str">
        <f>TEXT(D1683,"dd/mm/yyyy")</f>
        <v>07/04/2023</v>
      </c>
      <c r="F1683" s="4"/>
      <c r="G1683" s="5" t="str">
        <f>TEXT(E1683,"mm")</f>
        <v>07</v>
      </c>
      <c r="H1683" s="6">
        <v>13173.56</v>
      </c>
      <c r="I1683">
        <v>301</v>
      </c>
      <c r="L1683" t="str">
        <f t="shared" si="26"/>
        <v>Above Average</v>
      </c>
      <c r="M1683">
        <f>RANK(H1683,H:H,0)</f>
        <v>254</v>
      </c>
    </row>
    <row r="1684" spans="1:13">
      <c r="A1684" t="s">
        <v>45</v>
      </c>
      <c r="B1684" t="s">
        <v>25</v>
      </c>
      <c r="C1684" t="s">
        <v>65</v>
      </c>
      <c r="D1684" s="3" t="s">
        <v>205</v>
      </c>
      <c r="E1684" s="5" t="str">
        <f>TEXT(D1684,"dd/mm/yyyy")</f>
        <v>28/03/2023</v>
      </c>
      <c r="G1684" s="5" t="str">
        <f>TEXT(E1684,"mm")</f>
        <v>28/03/2023</v>
      </c>
      <c r="H1684" s="6">
        <v>2721.46</v>
      </c>
      <c r="I1684">
        <v>72</v>
      </c>
      <c r="L1684" t="str">
        <f t="shared" si="26"/>
        <v>Below Average</v>
      </c>
      <c r="M1684">
        <f>RANK(H1684,H:H,0)</f>
        <v>2398</v>
      </c>
    </row>
    <row r="1685" spans="1:13">
      <c r="A1685" t="s">
        <v>48</v>
      </c>
      <c r="B1685" t="s">
        <v>10</v>
      </c>
      <c r="C1685" t="s">
        <v>18</v>
      </c>
      <c r="D1685" s="3" t="s">
        <v>188</v>
      </c>
      <c r="E1685" s="5" t="str">
        <f>TEXT(D1685,"dd/mm/yyyy")</f>
        <v>19/04/2023</v>
      </c>
      <c r="G1685" s="5" t="str">
        <f>TEXT(E1685,"mm")</f>
        <v>19/04/2023</v>
      </c>
      <c r="H1685" s="6">
        <v>19283.64</v>
      </c>
      <c r="I1685">
        <v>139</v>
      </c>
      <c r="L1685" t="str">
        <f t="shared" si="26"/>
        <v>Above Average</v>
      </c>
      <c r="M1685">
        <f>RANK(H1685,H:H,0)</f>
        <v>25</v>
      </c>
    </row>
    <row r="1686" spans="1:13">
      <c r="A1686" t="s">
        <v>83</v>
      </c>
      <c r="B1686" t="s">
        <v>25</v>
      </c>
      <c r="C1686" t="s">
        <v>8</v>
      </c>
      <c r="D1686" s="3" t="s">
        <v>218</v>
      </c>
      <c r="E1686" s="5" t="str">
        <f>TEXT(D1686,"dd/mm/yyyy")</f>
        <v>18/01/2023</v>
      </c>
      <c r="G1686" s="5" t="str">
        <f>TEXT(E1686,"mm")</f>
        <v>18/01/2023</v>
      </c>
      <c r="H1686" s="6">
        <v>9327.52</v>
      </c>
      <c r="I1686">
        <v>232</v>
      </c>
      <c r="L1686" t="str">
        <f t="shared" si="26"/>
        <v>Above Average</v>
      </c>
      <c r="M1686">
        <f>RANK(H1686,H:H,0)</f>
        <v>683</v>
      </c>
    </row>
    <row r="1687" spans="1:13">
      <c r="A1687" t="s">
        <v>9</v>
      </c>
      <c r="B1687" t="s">
        <v>25</v>
      </c>
      <c r="C1687" t="s">
        <v>57</v>
      </c>
      <c r="D1687" s="3" t="s">
        <v>255</v>
      </c>
      <c r="E1687" s="5" t="str">
        <f>TEXT(D1687,"dd/mm/yyyy")</f>
        <v>17/01/2023</v>
      </c>
      <c r="G1687" s="5" t="str">
        <f>TEXT(E1687,"mm")</f>
        <v>17/01/2023</v>
      </c>
      <c r="H1687" s="6">
        <v>3184.03</v>
      </c>
      <c r="I1687">
        <v>85</v>
      </c>
      <c r="L1687" t="str">
        <f t="shared" si="26"/>
        <v>Below Average</v>
      </c>
      <c r="M1687">
        <f>RANK(H1687,H:H,0)</f>
        <v>2238</v>
      </c>
    </row>
    <row r="1688" spans="1:13">
      <c r="A1688" t="s">
        <v>67</v>
      </c>
      <c r="B1688" t="s">
        <v>25</v>
      </c>
      <c r="C1688" t="s">
        <v>8</v>
      </c>
      <c r="D1688" s="3" t="s">
        <v>252</v>
      </c>
      <c r="E1688" s="5" t="str">
        <f>TEXT(D1688,"dd/mm/yyyy")</f>
        <v>15/02/2023</v>
      </c>
      <c r="G1688" s="5" t="str">
        <f>TEXT(E1688,"mm")</f>
        <v>15/02/2023</v>
      </c>
      <c r="H1688" s="6">
        <v>9738.74</v>
      </c>
      <c r="I1688">
        <v>209</v>
      </c>
      <c r="L1688" t="str">
        <f t="shared" si="26"/>
        <v>Above Average</v>
      </c>
      <c r="M1688">
        <f>RANK(H1688,H:H,0)</f>
        <v>626</v>
      </c>
    </row>
    <row r="1689" spans="1:13">
      <c r="A1689" t="s">
        <v>67</v>
      </c>
      <c r="B1689" t="s">
        <v>7</v>
      </c>
      <c r="C1689" t="s">
        <v>46</v>
      </c>
      <c r="D1689" s="4">
        <v>45232</v>
      </c>
      <c r="E1689" s="5" t="str">
        <f>TEXT(D1689,"dd/mm/yyyy")</f>
        <v>02/11/2023</v>
      </c>
      <c r="F1689" s="4"/>
      <c r="G1689" s="5" t="str">
        <f>TEXT(E1689,"mm")</f>
        <v>02</v>
      </c>
      <c r="H1689" s="6">
        <v>16486.650000000001</v>
      </c>
      <c r="I1689">
        <v>314</v>
      </c>
      <c r="L1689" t="str">
        <f t="shared" si="26"/>
        <v>Above Average</v>
      </c>
      <c r="M1689">
        <f>RANK(H1689,H:H,0)</f>
        <v>84</v>
      </c>
    </row>
    <row r="1690" spans="1:13">
      <c r="A1690" t="s">
        <v>71</v>
      </c>
      <c r="B1690" t="s">
        <v>32</v>
      </c>
      <c r="C1690" t="s">
        <v>60</v>
      </c>
      <c r="D1690" s="3" t="s">
        <v>251</v>
      </c>
      <c r="E1690" s="5" t="str">
        <f>TEXT(D1690,"dd/mm/yyyy")</f>
        <v>21/03/2023</v>
      </c>
      <c r="G1690" s="5" t="str">
        <f>TEXT(E1690,"mm")</f>
        <v>21/03/2023</v>
      </c>
      <c r="H1690" s="6">
        <v>16792.23</v>
      </c>
      <c r="I1690">
        <v>184</v>
      </c>
      <c r="L1690" t="str">
        <f t="shared" si="26"/>
        <v>Above Average</v>
      </c>
      <c r="M1690">
        <f>RANK(H1690,H:H,0)</f>
        <v>72</v>
      </c>
    </row>
    <row r="1691" spans="1:13">
      <c r="A1691" t="s">
        <v>22</v>
      </c>
      <c r="B1691" t="s">
        <v>25</v>
      </c>
      <c r="C1691" t="s">
        <v>65</v>
      </c>
      <c r="D1691" s="4">
        <v>45047</v>
      </c>
      <c r="E1691" s="5" t="str">
        <f>TEXT(D1691,"dd/mm/yyyy")</f>
        <v>01/05/2023</v>
      </c>
      <c r="F1691" s="4"/>
      <c r="G1691" s="5" t="str">
        <f>TEXT(E1691,"mm")</f>
        <v>01</v>
      </c>
      <c r="H1691" s="6">
        <v>5752.62</v>
      </c>
      <c r="I1691">
        <v>125</v>
      </c>
      <c r="L1691" t="str">
        <f t="shared" si="26"/>
        <v>Below Average</v>
      </c>
      <c r="M1691">
        <f>RANK(H1691,H:H,0)</f>
        <v>1504</v>
      </c>
    </row>
    <row r="1692" spans="1:13">
      <c r="A1692" t="s">
        <v>28</v>
      </c>
      <c r="B1692" t="s">
        <v>10</v>
      </c>
      <c r="C1692" t="s">
        <v>73</v>
      </c>
      <c r="D1692" s="3" t="s">
        <v>174</v>
      </c>
      <c r="E1692" s="5" t="str">
        <f>TEXT(D1692,"dd/mm/yyyy")</f>
        <v>30/05/2023</v>
      </c>
      <c r="G1692" s="5" t="str">
        <f>TEXT(E1692,"mm")</f>
        <v>30/05/2023</v>
      </c>
      <c r="H1692" s="6">
        <v>6833.28</v>
      </c>
      <c r="I1692">
        <v>157</v>
      </c>
      <c r="L1692" t="str">
        <f t="shared" si="26"/>
        <v>Above Average</v>
      </c>
      <c r="M1692">
        <f>RANK(H1692,H:H,0)</f>
        <v>1224</v>
      </c>
    </row>
    <row r="1693" spans="1:13">
      <c r="A1693" t="s">
        <v>6</v>
      </c>
      <c r="B1693" t="s">
        <v>32</v>
      </c>
      <c r="C1693" t="s">
        <v>20</v>
      </c>
      <c r="D1693" s="4">
        <v>45017</v>
      </c>
      <c r="E1693" s="5" t="str">
        <f>TEXT(D1693,"dd/mm/yyyy")</f>
        <v>01/04/2023</v>
      </c>
      <c r="F1693" s="4"/>
      <c r="G1693" s="5" t="str">
        <f>TEXT(E1693,"mm")</f>
        <v>01</v>
      </c>
      <c r="H1693" s="6">
        <v>2815.72</v>
      </c>
      <c r="I1693">
        <v>222</v>
      </c>
      <c r="L1693" t="str">
        <f t="shared" si="26"/>
        <v>Below Average</v>
      </c>
      <c r="M1693">
        <f>RANK(H1693,H:H,0)</f>
        <v>2368</v>
      </c>
    </row>
    <row r="1694" spans="1:13">
      <c r="A1694" t="s">
        <v>41</v>
      </c>
      <c r="B1694" t="s">
        <v>15</v>
      </c>
      <c r="C1694" t="s">
        <v>57</v>
      </c>
      <c r="D1694" s="3" t="s">
        <v>237</v>
      </c>
      <c r="E1694" s="5" t="str">
        <f>TEXT(D1694,"dd/mm/yyyy")</f>
        <v>22/04/2023</v>
      </c>
      <c r="G1694" s="5" t="str">
        <f>TEXT(E1694,"mm")</f>
        <v>22/04/2023</v>
      </c>
      <c r="H1694" s="6">
        <v>1545.36</v>
      </c>
      <c r="I1694">
        <v>269</v>
      </c>
      <c r="L1694" t="str">
        <f t="shared" si="26"/>
        <v>Below Average</v>
      </c>
      <c r="M1694">
        <f>RANK(H1694,H:H,0)</f>
        <v>2789</v>
      </c>
    </row>
    <row r="1695" spans="1:13">
      <c r="A1695" t="s">
        <v>12</v>
      </c>
      <c r="B1695" t="s">
        <v>35</v>
      </c>
      <c r="C1695" t="s">
        <v>46</v>
      </c>
      <c r="D1695" s="4">
        <v>45201</v>
      </c>
      <c r="E1695" s="5" t="str">
        <f>TEXT(D1695,"dd/mm/yyyy")</f>
        <v>02/10/2023</v>
      </c>
      <c r="F1695" s="4"/>
      <c r="G1695" s="5" t="str">
        <f>TEXT(E1695,"mm")</f>
        <v>02</v>
      </c>
      <c r="H1695" s="6">
        <v>3432.73</v>
      </c>
      <c r="I1695">
        <v>120</v>
      </c>
      <c r="L1695" t="str">
        <f t="shared" si="26"/>
        <v>Below Average</v>
      </c>
      <c r="M1695">
        <f>RANK(H1695,H:H,0)</f>
        <v>2161</v>
      </c>
    </row>
    <row r="1696" spans="1:13">
      <c r="A1696" t="s">
        <v>79</v>
      </c>
      <c r="B1696" t="s">
        <v>10</v>
      </c>
      <c r="C1696" t="s">
        <v>50</v>
      </c>
      <c r="D1696" s="4">
        <v>45268</v>
      </c>
      <c r="E1696" s="5" t="str">
        <f>TEXT(D1696,"dd/mm/yyyy")</f>
        <v>08/12/2023</v>
      </c>
      <c r="F1696" s="4"/>
      <c r="G1696" s="5" t="str">
        <f>TEXT(E1696,"mm")</f>
        <v>08</v>
      </c>
      <c r="H1696" s="6">
        <v>1001.99</v>
      </c>
      <c r="I1696">
        <v>217</v>
      </c>
      <c r="L1696" t="str">
        <f t="shared" si="26"/>
        <v>Below Average</v>
      </c>
      <c r="M1696">
        <f>RANK(H1696,H:H,0)</f>
        <v>2973</v>
      </c>
    </row>
    <row r="1697" spans="1:13">
      <c r="A1697" t="s">
        <v>22</v>
      </c>
      <c r="B1697" t="s">
        <v>32</v>
      </c>
      <c r="C1697" t="s">
        <v>42</v>
      </c>
      <c r="D1697" s="4">
        <v>45207</v>
      </c>
      <c r="E1697" s="5" t="str">
        <f>TEXT(D1697,"dd/mm/yyyy")</f>
        <v>08/10/2023</v>
      </c>
      <c r="F1697" s="4"/>
      <c r="G1697" s="5" t="str">
        <f>TEXT(E1697,"mm")</f>
        <v>08</v>
      </c>
      <c r="H1697" s="6">
        <v>2494.19</v>
      </c>
      <c r="I1697">
        <v>315</v>
      </c>
      <c r="L1697" t="str">
        <f t="shared" si="26"/>
        <v>Below Average</v>
      </c>
      <c r="M1697">
        <f>RANK(H1697,H:H,0)</f>
        <v>2477</v>
      </c>
    </row>
    <row r="1698" spans="1:13">
      <c r="A1698" t="s">
        <v>70</v>
      </c>
      <c r="B1698" t="s">
        <v>15</v>
      </c>
      <c r="C1698" t="s">
        <v>73</v>
      </c>
      <c r="D1698" s="4">
        <v>45113</v>
      </c>
      <c r="E1698" s="5" t="str">
        <f>TEXT(D1698,"dd/mm/yyyy")</f>
        <v>06/07/2023</v>
      </c>
      <c r="F1698" s="4"/>
      <c r="G1698" s="5" t="str">
        <f>TEXT(E1698,"mm")</f>
        <v>06</v>
      </c>
      <c r="H1698" s="6">
        <v>770.25</v>
      </c>
      <c r="I1698">
        <v>61</v>
      </c>
      <c r="L1698" t="str">
        <f t="shared" si="26"/>
        <v>Below Average</v>
      </c>
      <c r="M1698">
        <f>RANK(H1698,H:H,0)</f>
        <v>3042</v>
      </c>
    </row>
    <row r="1699" spans="1:13">
      <c r="A1699" t="s">
        <v>6</v>
      </c>
      <c r="B1699" t="s">
        <v>10</v>
      </c>
      <c r="C1699" t="s">
        <v>87</v>
      </c>
      <c r="D1699" s="4">
        <v>45083</v>
      </c>
      <c r="E1699" s="5" t="str">
        <f>TEXT(D1699,"dd/mm/yyyy")</f>
        <v>06/06/2023</v>
      </c>
      <c r="F1699" s="4"/>
      <c r="G1699" s="5" t="str">
        <f>TEXT(E1699,"mm")</f>
        <v>06</v>
      </c>
      <c r="H1699" s="6">
        <v>2261.98</v>
      </c>
      <c r="I1699">
        <v>73</v>
      </c>
      <c r="L1699" t="str">
        <f t="shared" si="26"/>
        <v>Below Average</v>
      </c>
      <c r="M1699">
        <f>RANK(H1699,H:H,0)</f>
        <v>2564</v>
      </c>
    </row>
    <row r="1700" spans="1:13">
      <c r="A1700" t="s">
        <v>37</v>
      </c>
      <c r="B1700" t="s">
        <v>25</v>
      </c>
      <c r="C1700" t="s">
        <v>87</v>
      </c>
      <c r="D1700" s="4">
        <v>45050</v>
      </c>
      <c r="E1700" s="5" t="str">
        <f>TEXT(D1700,"dd/mm/yyyy")</f>
        <v>04/05/2023</v>
      </c>
      <c r="F1700" s="4"/>
      <c r="G1700" s="5" t="str">
        <f>TEXT(E1700,"mm")</f>
        <v>04</v>
      </c>
      <c r="H1700" s="6">
        <v>5667.58</v>
      </c>
      <c r="I1700">
        <v>204</v>
      </c>
      <c r="L1700" t="str">
        <f t="shared" si="26"/>
        <v>Below Average</v>
      </c>
      <c r="M1700">
        <f>RANK(H1700,H:H,0)</f>
        <v>1527</v>
      </c>
    </row>
    <row r="1701" spans="1:13">
      <c r="A1701" t="s">
        <v>64</v>
      </c>
      <c r="B1701" t="s">
        <v>32</v>
      </c>
      <c r="C1701" t="s">
        <v>26</v>
      </c>
      <c r="D1701" s="3" t="s">
        <v>257</v>
      </c>
      <c r="E1701" s="5" t="str">
        <f>TEXT(D1701,"dd/mm/yyyy")</f>
        <v>18/04/2023</v>
      </c>
      <c r="G1701" s="5" t="str">
        <f>TEXT(E1701,"mm")</f>
        <v>18/04/2023</v>
      </c>
      <c r="H1701" s="6">
        <v>4738.71</v>
      </c>
      <c r="I1701">
        <v>125</v>
      </c>
      <c r="L1701" t="str">
        <f t="shared" si="26"/>
        <v>Below Average</v>
      </c>
      <c r="M1701">
        <f>RANK(H1701,H:H,0)</f>
        <v>1790</v>
      </c>
    </row>
    <row r="1702" spans="1:13">
      <c r="A1702" t="s">
        <v>67</v>
      </c>
      <c r="B1702" t="s">
        <v>10</v>
      </c>
      <c r="C1702" t="s">
        <v>26</v>
      </c>
      <c r="D1702" s="3" t="s">
        <v>200</v>
      </c>
      <c r="E1702" s="5" t="str">
        <f>TEXT(D1702,"dd/mm/yyyy")</f>
        <v>31/01/2023</v>
      </c>
      <c r="G1702" s="5" t="str">
        <f>TEXT(E1702,"mm")</f>
        <v>31/01/2023</v>
      </c>
      <c r="H1702" s="6">
        <v>13661.89</v>
      </c>
      <c r="I1702">
        <v>15</v>
      </c>
      <c r="L1702" t="str">
        <f t="shared" si="26"/>
        <v>Above Average</v>
      </c>
      <c r="M1702">
        <f>RANK(H1702,H:H,0)</f>
        <v>226</v>
      </c>
    </row>
    <row r="1703" spans="1:13">
      <c r="A1703" t="s">
        <v>77</v>
      </c>
      <c r="B1703" t="s">
        <v>32</v>
      </c>
      <c r="C1703" t="s">
        <v>87</v>
      </c>
      <c r="D1703" s="3" t="s">
        <v>186</v>
      </c>
      <c r="E1703" s="5" t="str">
        <f>TEXT(D1703,"dd/mm/yyyy")</f>
        <v>22/08/2023</v>
      </c>
      <c r="G1703" s="5" t="str">
        <f>TEXT(E1703,"mm")</f>
        <v>22/08/2023</v>
      </c>
      <c r="H1703" s="6">
        <v>6067.19</v>
      </c>
      <c r="I1703">
        <v>151</v>
      </c>
      <c r="L1703" t="str">
        <f t="shared" si="26"/>
        <v>Above Average</v>
      </c>
      <c r="M1703">
        <f>RANK(H1703,H:H,0)</f>
        <v>1415</v>
      </c>
    </row>
    <row r="1704" spans="1:13">
      <c r="A1704" t="s">
        <v>6</v>
      </c>
      <c r="B1704" t="s">
        <v>15</v>
      </c>
      <c r="C1704" t="s">
        <v>20</v>
      </c>
      <c r="D1704" s="3" t="s">
        <v>207</v>
      </c>
      <c r="E1704" s="5" t="str">
        <f>TEXT(D1704,"dd/mm/yyyy")</f>
        <v>25/02/2023</v>
      </c>
      <c r="G1704" s="5" t="str">
        <f>TEXT(E1704,"mm")</f>
        <v>25/02/2023</v>
      </c>
      <c r="H1704" s="6">
        <v>11720.99</v>
      </c>
      <c r="I1704">
        <v>204</v>
      </c>
      <c r="L1704" t="str">
        <f t="shared" si="26"/>
        <v>Above Average</v>
      </c>
      <c r="M1704">
        <f>RANK(H1704,H:H,0)</f>
        <v>369</v>
      </c>
    </row>
    <row r="1705" spans="1:13">
      <c r="A1705" t="s">
        <v>14</v>
      </c>
      <c r="B1705" t="s">
        <v>15</v>
      </c>
      <c r="C1705" t="s">
        <v>8</v>
      </c>
      <c r="D1705" s="3" t="s">
        <v>228</v>
      </c>
      <c r="E1705" s="5" t="str">
        <f>TEXT(D1705,"dd/mm/yyyy")</f>
        <v>22/02/2023</v>
      </c>
      <c r="G1705" s="5" t="str">
        <f>TEXT(E1705,"mm")</f>
        <v>22/02/2023</v>
      </c>
      <c r="H1705" s="6">
        <v>19999.55</v>
      </c>
      <c r="I1705">
        <v>106</v>
      </c>
      <c r="L1705" t="str">
        <f t="shared" si="26"/>
        <v>Above Average</v>
      </c>
      <c r="M1705">
        <f>RANK(H1705,H:H,0)</f>
        <v>17</v>
      </c>
    </row>
    <row r="1706" spans="1:13">
      <c r="A1706" t="s">
        <v>19</v>
      </c>
      <c r="B1706" t="s">
        <v>25</v>
      </c>
      <c r="C1706" t="s">
        <v>46</v>
      </c>
      <c r="D1706" s="4">
        <v>45261</v>
      </c>
      <c r="E1706" s="5" t="str">
        <f>TEXT(D1706,"dd/mm/yyyy")</f>
        <v>01/12/2023</v>
      </c>
      <c r="F1706" s="4"/>
      <c r="G1706" s="5" t="str">
        <f>TEXT(E1706,"mm")</f>
        <v>01</v>
      </c>
      <c r="H1706" s="6">
        <v>4484.03</v>
      </c>
      <c r="I1706">
        <v>201</v>
      </c>
      <c r="L1706" t="str">
        <f t="shared" si="26"/>
        <v>Below Average</v>
      </c>
      <c r="M1706">
        <f>RANK(H1706,H:H,0)</f>
        <v>1857</v>
      </c>
    </row>
    <row r="1707" spans="1:13">
      <c r="A1707" t="s">
        <v>28</v>
      </c>
      <c r="B1707" t="s">
        <v>7</v>
      </c>
      <c r="C1707" t="s">
        <v>65</v>
      </c>
      <c r="D1707" s="3" t="s">
        <v>203</v>
      </c>
      <c r="E1707" s="5" t="str">
        <f>TEXT(D1707,"dd/mm/yyyy")</f>
        <v>25/05/2023</v>
      </c>
      <c r="G1707" s="5" t="str">
        <f>TEXT(E1707,"mm")</f>
        <v>25/05/2023</v>
      </c>
      <c r="H1707" s="6">
        <v>107.24</v>
      </c>
      <c r="I1707">
        <v>129</v>
      </c>
      <c r="L1707" t="str">
        <f t="shared" si="26"/>
        <v>Below Average</v>
      </c>
      <c r="M1707">
        <f>RANK(H1707,H:H,0)</f>
        <v>3242</v>
      </c>
    </row>
    <row r="1708" spans="1:13">
      <c r="A1708" t="s">
        <v>70</v>
      </c>
      <c r="B1708" t="s">
        <v>10</v>
      </c>
      <c r="C1708" t="s">
        <v>18</v>
      </c>
      <c r="D1708" s="4">
        <v>44928</v>
      </c>
      <c r="E1708" s="5" t="str">
        <f>TEXT(D1708,"dd/mm/yyyy")</f>
        <v>02/01/2023</v>
      </c>
      <c r="F1708" s="4"/>
      <c r="G1708" s="5" t="str">
        <f>TEXT(E1708,"mm")</f>
        <v>02</v>
      </c>
      <c r="H1708" s="6">
        <v>2525.98</v>
      </c>
      <c r="I1708">
        <v>8</v>
      </c>
      <c r="L1708" t="str">
        <f t="shared" si="26"/>
        <v>Below Average</v>
      </c>
      <c r="M1708">
        <f>RANK(H1708,H:H,0)</f>
        <v>2461</v>
      </c>
    </row>
    <row r="1709" spans="1:13">
      <c r="A1709" t="s">
        <v>29</v>
      </c>
      <c r="B1709" t="s">
        <v>7</v>
      </c>
      <c r="C1709" t="s">
        <v>36</v>
      </c>
      <c r="D1709" s="3" t="s">
        <v>162</v>
      </c>
      <c r="E1709" s="5" t="str">
        <f>TEXT(D1709,"dd/mm/yyyy")</f>
        <v>27/04/2023</v>
      </c>
      <c r="G1709" s="5" t="str">
        <f>TEXT(E1709,"mm")</f>
        <v>27/04/2023</v>
      </c>
      <c r="H1709" s="6">
        <v>1577.84</v>
      </c>
      <c r="I1709">
        <v>67</v>
      </c>
      <c r="L1709" t="str">
        <f t="shared" si="26"/>
        <v>Below Average</v>
      </c>
      <c r="M1709">
        <f>RANK(H1709,H:H,0)</f>
        <v>2780</v>
      </c>
    </row>
    <row r="1710" spans="1:13">
      <c r="A1710" t="s">
        <v>12</v>
      </c>
      <c r="B1710" t="s">
        <v>32</v>
      </c>
      <c r="C1710" t="s">
        <v>18</v>
      </c>
      <c r="D1710" s="3" t="s">
        <v>181</v>
      </c>
      <c r="E1710" s="5" t="str">
        <f>TEXT(D1710,"dd/mm/yyyy")</f>
        <v>22/07/2023</v>
      </c>
      <c r="G1710" s="5" t="str">
        <f>TEXT(E1710,"mm")</f>
        <v>22/07/2023</v>
      </c>
      <c r="H1710" s="6">
        <v>2972.07</v>
      </c>
      <c r="I1710">
        <v>129</v>
      </c>
      <c r="L1710" t="str">
        <f t="shared" si="26"/>
        <v>Below Average</v>
      </c>
      <c r="M1710">
        <f>RANK(H1710,H:H,0)</f>
        <v>2318</v>
      </c>
    </row>
    <row r="1711" spans="1:13">
      <c r="A1711" t="s">
        <v>48</v>
      </c>
      <c r="B1711" t="s">
        <v>25</v>
      </c>
      <c r="C1711" t="s">
        <v>8</v>
      </c>
      <c r="D1711" s="3" t="s">
        <v>169</v>
      </c>
      <c r="E1711" s="5" t="str">
        <f>TEXT(D1711,"dd/mm/yyyy")</f>
        <v>26/01/2023</v>
      </c>
      <c r="G1711" s="5" t="str">
        <f>TEXT(E1711,"mm")</f>
        <v>26/01/2023</v>
      </c>
      <c r="H1711" s="6">
        <v>3691.63</v>
      </c>
      <c r="I1711">
        <v>284</v>
      </c>
      <c r="L1711" t="str">
        <f t="shared" si="26"/>
        <v>Below Average</v>
      </c>
      <c r="M1711">
        <f>RANK(H1711,H:H,0)</f>
        <v>2076</v>
      </c>
    </row>
    <row r="1712" spans="1:13">
      <c r="A1712" t="s">
        <v>48</v>
      </c>
      <c r="B1712" t="s">
        <v>32</v>
      </c>
      <c r="C1712" t="s">
        <v>8</v>
      </c>
      <c r="D1712" s="3" t="s">
        <v>182</v>
      </c>
      <c r="E1712" s="5" t="str">
        <f>TEXT(D1712,"dd/mm/yyyy")</f>
        <v>24/08/2023</v>
      </c>
      <c r="G1712" s="5" t="str">
        <f>TEXT(E1712,"mm")</f>
        <v>24/08/2023</v>
      </c>
      <c r="H1712" s="6">
        <v>5188.8900000000003</v>
      </c>
      <c r="I1712">
        <v>293</v>
      </c>
      <c r="L1712" t="str">
        <f t="shared" si="26"/>
        <v>Below Average</v>
      </c>
      <c r="M1712">
        <f>RANK(H1712,H:H,0)</f>
        <v>1650</v>
      </c>
    </row>
    <row r="1713" spans="1:13">
      <c r="A1713" t="s">
        <v>77</v>
      </c>
      <c r="B1713" t="s">
        <v>25</v>
      </c>
      <c r="C1713" t="s">
        <v>57</v>
      </c>
      <c r="D1713" s="3" t="s">
        <v>218</v>
      </c>
      <c r="E1713" s="5" t="str">
        <f>TEXT(D1713,"dd/mm/yyyy")</f>
        <v>18/01/2023</v>
      </c>
      <c r="G1713" s="5" t="str">
        <f>TEXT(E1713,"mm")</f>
        <v>18/01/2023</v>
      </c>
      <c r="H1713" s="6">
        <v>5766.51</v>
      </c>
      <c r="I1713">
        <v>21</v>
      </c>
      <c r="L1713" t="str">
        <f t="shared" si="26"/>
        <v>Below Average</v>
      </c>
      <c r="M1713">
        <f>RANK(H1713,H:H,0)</f>
        <v>1502</v>
      </c>
    </row>
    <row r="1714" spans="1:13">
      <c r="A1714" t="s">
        <v>37</v>
      </c>
      <c r="B1714" t="s">
        <v>10</v>
      </c>
      <c r="C1714" t="s">
        <v>11</v>
      </c>
      <c r="D1714" s="3" t="s">
        <v>258</v>
      </c>
      <c r="E1714" s="5" t="str">
        <f>TEXT(D1714,"dd/mm/yyyy")</f>
        <v>30/03/2023</v>
      </c>
      <c r="G1714" s="5" t="str">
        <f>TEXT(E1714,"mm")</f>
        <v>30/03/2023</v>
      </c>
      <c r="H1714" s="6">
        <v>1036.77</v>
      </c>
      <c r="I1714">
        <v>82</v>
      </c>
      <c r="L1714" t="str">
        <f t="shared" si="26"/>
        <v>Below Average</v>
      </c>
      <c r="M1714">
        <f>RANK(H1714,H:H,0)</f>
        <v>2960</v>
      </c>
    </row>
    <row r="1715" spans="1:13">
      <c r="A1715" t="s">
        <v>83</v>
      </c>
      <c r="B1715" t="s">
        <v>15</v>
      </c>
      <c r="C1715" t="s">
        <v>90</v>
      </c>
      <c r="D1715" s="3" t="s">
        <v>255</v>
      </c>
      <c r="E1715" s="5" t="str">
        <f>TEXT(D1715,"dd/mm/yyyy")</f>
        <v>17/01/2023</v>
      </c>
      <c r="G1715" s="5" t="str">
        <f>TEXT(E1715,"mm")</f>
        <v>17/01/2023</v>
      </c>
      <c r="H1715" s="6">
        <v>10033.52</v>
      </c>
      <c r="I1715">
        <v>163</v>
      </c>
      <c r="L1715" t="str">
        <f t="shared" si="26"/>
        <v>Above Average</v>
      </c>
      <c r="M1715">
        <f>RANK(H1715,H:H,0)</f>
        <v>575</v>
      </c>
    </row>
    <row r="1716" spans="1:13">
      <c r="A1716" t="s">
        <v>70</v>
      </c>
      <c r="B1716" t="s">
        <v>32</v>
      </c>
      <c r="C1716" t="s">
        <v>57</v>
      </c>
      <c r="D1716" s="3" t="s">
        <v>173</v>
      </c>
      <c r="E1716" s="5" t="str">
        <f>TEXT(D1716,"dd/mm/yyyy")</f>
        <v>17/02/2023</v>
      </c>
      <c r="G1716" s="5" t="str">
        <f>TEXT(E1716,"mm")</f>
        <v>17/02/2023</v>
      </c>
      <c r="H1716" s="6">
        <v>5220.6899999999996</v>
      </c>
      <c r="I1716">
        <v>154</v>
      </c>
      <c r="L1716" t="str">
        <f t="shared" si="26"/>
        <v>Below Average</v>
      </c>
      <c r="M1716">
        <f>RANK(H1716,H:H,0)</f>
        <v>1644</v>
      </c>
    </row>
    <row r="1717" spans="1:13">
      <c r="A1717" t="s">
        <v>70</v>
      </c>
      <c r="B1717" t="s">
        <v>35</v>
      </c>
      <c r="C1717" t="s">
        <v>13</v>
      </c>
      <c r="D1717" s="4">
        <v>45142</v>
      </c>
      <c r="E1717" s="5" t="str">
        <f>TEXT(D1717,"dd/mm/yyyy")</f>
        <v>04/08/2023</v>
      </c>
      <c r="F1717" s="4"/>
      <c r="G1717" s="5" t="str">
        <f>TEXT(E1717,"mm")</f>
        <v>04</v>
      </c>
      <c r="H1717" s="6">
        <v>8106.62</v>
      </c>
      <c r="I1717">
        <v>47</v>
      </c>
      <c r="L1717" t="str">
        <f t="shared" si="26"/>
        <v>Above Average</v>
      </c>
      <c r="M1717">
        <f>RANK(H1717,H:H,0)</f>
        <v>914</v>
      </c>
    </row>
    <row r="1718" spans="1:13">
      <c r="A1718" t="s">
        <v>12</v>
      </c>
      <c r="B1718" t="s">
        <v>35</v>
      </c>
      <c r="C1718" t="s">
        <v>38</v>
      </c>
      <c r="D1718" s="4">
        <v>45084</v>
      </c>
      <c r="E1718" s="5" t="str">
        <f>TEXT(D1718,"dd/mm/yyyy")</f>
        <v>07/06/2023</v>
      </c>
      <c r="F1718" s="4"/>
      <c r="G1718" s="5" t="str">
        <f>TEXT(E1718,"mm")</f>
        <v>07</v>
      </c>
      <c r="H1718" s="6">
        <v>3934.09</v>
      </c>
      <c r="I1718">
        <v>86</v>
      </c>
      <c r="L1718" t="str">
        <f t="shared" si="26"/>
        <v>Below Average</v>
      </c>
      <c r="M1718">
        <f>RANK(H1718,H:H,0)</f>
        <v>2004</v>
      </c>
    </row>
    <row r="1719" spans="1:13">
      <c r="A1719" t="s">
        <v>53</v>
      </c>
      <c r="B1719" t="s">
        <v>10</v>
      </c>
      <c r="C1719" t="s">
        <v>57</v>
      </c>
      <c r="D1719" s="4">
        <v>45020</v>
      </c>
      <c r="E1719" s="5" t="str">
        <f>TEXT(D1719,"dd/mm/yyyy")</f>
        <v>04/04/2023</v>
      </c>
      <c r="F1719" s="4"/>
      <c r="G1719" s="5" t="str">
        <f>TEXT(E1719,"mm")</f>
        <v>04</v>
      </c>
      <c r="H1719" s="6">
        <v>4508.93</v>
      </c>
      <c r="I1719">
        <v>231</v>
      </c>
      <c r="L1719" t="str">
        <f t="shared" si="26"/>
        <v>Below Average</v>
      </c>
      <c r="M1719">
        <f>RANK(H1719,H:H,0)</f>
        <v>1846</v>
      </c>
    </row>
    <row r="1720" spans="1:13">
      <c r="A1720" t="s">
        <v>14</v>
      </c>
      <c r="B1720" t="s">
        <v>25</v>
      </c>
      <c r="C1720" t="s">
        <v>42</v>
      </c>
      <c r="D1720" s="4">
        <v>44960</v>
      </c>
      <c r="E1720" s="5" t="str">
        <f>TEXT(D1720,"dd/mm/yyyy")</f>
        <v>03/02/2023</v>
      </c>
      <c r="F1720" s="4"/>
      <c r="G1720" s="5" t="str">
        <f>TEXT(E1720,"mm")</f>
        <v>03</v>
      </c>
      <c r="H1720" s="6">
        <v>1921.57</v>
      </c>
      <c r="I1720">
        <v>226</v>
      </c>
      <c r="L1720" t="str">
        <f t="shared" si="26"/>
        <v>Below Average</v>
      </c>
      <c r="M1720">
        <f>RANK(H1720,H:H,0)</f>
        <v>2658</v>
      </c>
    </row>
    <row r="1721" spans="1:13">
      <c r="A1721" t="s">
        <v>12</v>
      </c>
      <c r="B1721" t="s">
        <v>25</v>
      </c>
      <c r="C1721" t="s">
        <v>73</v>
      </c>
      <c r="D1721" s="4">
        <v>45177</v>
      </c>
      <c r="E1721" s="5" t="str">
        <f>TEXT(D1721,"dd/mm/yyyy")</f>
        <v>08/09/2023</v>
      </c>
      <c r="F1721" s="4"/>
      <c r="G1721" s="5" t="str">
        <f>TEXT(E1721,"mm")</f>
        <v>08</v>
      </c>
      <c r="H1721" s="6">
        <v>1161.31</v>
      </c>
      <c r="I1721">
        <v>181</v>
      </c>
      <c r="L1721" t="str">
        <f t="shared" si="26"/>
        <v>Below Average</v>
      </c>
      <c r="M1721">
        <f>RANK(H1721,H:H,0)</f>
        <v>2915</v>
      </c>
    </row>
    <row r="1722" spans="1:13">
      <c r="A1722" t="s">
        <v>58</v>
      </c>
      <c r="B1722" t="s">
        <v>15</v>
      </c>
      <c r="C1722" t="s">
        <v>46</v>
      </c>
      <c r="D1722" s="4">
        <v>45175</v>
      </c>
      <c r="E1722" s="5" t="str">
        <f>TEXT(D1722,"dd/mm/yyyy")</f>
        <v>06/09/2023</v>
      </c>
      <c r="F1722" s="4"/>
      <c r="G1722" s="5" t="str">
        <f>TEXT(E1722,"mm")</f>
        <v>06</v>
      </c>
      <c r="H1722" s="6">
        <v>11389.29</v>
      </c>
      <c r="I1722">
        <v>282</v>
      </c>
      <c r="L1722" t="str">
        <f t="shared" si="26"/>
        <v>Above Average</v>
      </c>
      <c r="M1722">
        <f>RANK(H1722,H:H,0)</f>
        <v>405</v>
      </c>
    </row>
    <row r="1723" spans="1:13">
      <c r="A1723" t="s">
        <v>83</v>
      </c>
      <c r="B1723" t="s">
        <v>7</v>
      </c>
      <c r="C1723" t="s">
        <v>90</v>
      </c>
      <c r="D1723" s="4">
        <v>44963</v>
      </c>
      <c r="E1723" s="5" t="str">
        <f>TEXT(D1723,"dd/mm/yyyy")</f>
        <v>06/02/2023</v>
      </c>
      <c r="F1723" s="4"/>
      <c r="G1723" s="5" t="str">
        <f>TEXT(E1723,"mm")</f>
        <v>06</v>
      </c>
      <c r="H1723" s="6">
        <v>3032.3</v>
      </c>
      <c r="I1723">
        <v>313</v>
      </c>
      <c r="L1723" t="str">
        <f t="shared" si="26"/>
        <v>Below Average</v>
      </c>
      <c r="M1723">
        <f>RANK(H1723,H:H,0)</f>
        <v>2294</v>
      </c>
    </row>
    <row r="1724" spans="1:13">
      <c r="A1724" t="s">
        <v>9</v>
      </c>
      <c r="B1724" t="s">
        <v>32</v>
      </c>
      <c r="C1724" t="s">
        <v>57</v>
      </c>
      <c r="D1724" s="4">
        <v>45053</v>
      </c>
      <c r="E1724" s="5" t="str">
        <f>TEXT(D1724,"dd/mm/yyyy")</f>
        <v>07/05/2023</v>
      </c>
      <c r="F1724" s="4"/>
      <c r="G1724" s="5" t="str">
        <f>TEXT(E1724,"mm")</f>
        <v>07</v>
      </c>
      <c r="H1724" s="6">
        <v>6871.55</v>
      </c>
      <c r="I1724">
        <v>238</v>
      </c>
      <c r="L1724" t="str">
        <f t="shared" si="26"/>
        <v>Above Average</v>
      </c>
      <c r="M1724">
        <f>RANK(H1724,H:H,0)</f>
        <v>1215</v>
      </c>
    </row>
    <row r="1725" spans="1:13">
      <c r="A1725" t="s">
        <v>67</v>
      </c>
      <c r="B1725" t="s">
        <v>35</v>
      </c>
      <c r="C1725" t="s">
        <v>36</v>
      </c>
      <c r="D1725" s="4">
        <v>45238</v>
      </c>
      <c r="E1725" s="5" t="str">
        <f>TEXT(D1725,"dd/mm/yyyy")</f>
        <v>08/11/2023</v>
      </c>
      <c r="F1725" s="4"/>
      <c r="G1725" s="5" t="str">
        <f>TEXT(E1725,"mm")</f>
        <v>08</v>
      </c>
      <c r="H1725" s="6">
        <v>339.99</v>
      </c>
      <c r="I1725">
        <v>124</v>
      </c>
      <c r="L1725" t="str">
        <f t="shared" si="26"/>
        <v>Below Average</v>
      </c>
      <c r="M1725">
        <f>RANK(H1725,H:H,0)</f>
        <v>3175</v>
      </c>
    </row>
    <row r="1726" spans="1:13">
      <c r="A1726" t="s">
        <v>77</v>
      </c>
      <c r="B1726" t="s">
        <v>10</v>
      </c>
      <c r="C1726" t="s">
        <v>75</v>
      </c>
      <c r="D1726" s="4">
        <v>45232</v>
      </c>
      <c r="E1726" s="5" t="str">
        <f>TEXT(D1726,"dd/mm/yyyy")</f>
        <v>02/11/2023</v>
      </c>
      <c r="F1726" s="4"/>
      <c r="G1726" s="5" t="str">
        <f>TEXT(E1726,"mm")</f>
        <v>02</v>
      </c>
      <c r="H1726" s="6">
        <v>3720.22</v>
      </c>
      <c r="I1726">
        <v>141</v>
      </c>
      <c r="L1726" t="str">
        <f t="shared" si="26"/>
        <v>Below Average</v>
      </c>
      <c r="M1726">
        <f>RANK(H1726,H:H,0)</f>
        <v>2066</v>
      </c>
    </row>
    <row r="1727" spans="1:13">
      <c r="A1727" t="s">
        <v>70</v>
      </c>
      <c r="B1727" t="s">
        <v>25</v>
      </c>
      <c r="C1727" t="s">
        <v>50</v>
      </c>
      <c r="D1727" s="4">
        <v>45238</v>
      </c>
      <c r="E1727" s="5" t="str">
        <f>TEXT(D1727,"dd/mm/yyyy")</f>
        <v>08/11/2023</v>
      </c>
      <c r="F1727" s="4"/>
      <c r="G1727" s="5" t="str">
        <f>TEXT(E1727,"mm")</f>
        <v>08</v>
      </c>
      <c r="H1727" s="6">
        <v>731.19</v>
      </c>
      <c r="I1727">
        <v>69</v>
      </c>
      <c r="L1727" t="str">
        <f t="shared" si="26"/>
        <v>Below Average</v>
      </c>
      <c r="M1727">
        <f>RANK(H1727,H:H,0)</f>
        <v>3050</v>
      </c>
    </row>
    <row r="1728" spans="1:13">
      <c r="A1728" t="s">
        <v>45</v>
      </c>
      <c r="B1728" t="s">
        <v>15</v>
      </c>
      <c r="C1728" t="s">
        <v>38</v>
      </c>
      <c r="D1728" s="4">
        <v>45265</v>
      </c>
      <c r="E1728" s="5" t="str">
        <f>TEXT(D1728,"dd/mm/yyyy")</f>
        <v>05/12/2023</v>
      </c>
      <c r="F1728" s="4"/>
      <c r="G1728" s="5" t="str">
        <f>TEXT(E1728,"mm")</f>
        <v>05</v>
      </c>
      <c r="H1728" s="6">
        <v>13288.65</v>
      </c>
      <c r="I1728">
        <v>112</v>
      </c>
      <c r="L1728" t="str">
        <f t="shared" si="26"/>
        <v>Above Average</v>
      </c>
      <c r="M1728">
        <f>RANK(H1728,H:H,0)</f>
        <v>249</v>
      </c>
    </row>
    <row r="1729" spans="1:13">
      <c r="A1729" t="s">
        <v>64</v>
      </c>
      <c r="B1729" t="s">
        <v>32</v>
      </c>
      <c r="C1729" t="s">
        <v>46</v>
      </c>
      <c r="D1729" s="3" t="s">
        <v>189</v>
      </c>
      <c r="E1729" s="5" t="str">
        <f>TEXT(D1729,"dd/mm/yyyy")</f>
        <v>15/07/2023</v>
      </c>
      <c r="G1729" s="5" t="str">
        <f>TEXT(E1729,"mm")</f>
        <v>15/07/2023</v>
      </c>
      <c r="H1729" s="6">
        <v>5332.79</v>
      </c>
      <c r="I1729">
        <v>101</v>
      </c>
      <c r="L1729" t="str">
        <f t="shared" si="26"/>
        <v>Below Average</v>
      </c>
      <c r="M1729">
        <f>RANK(H1729,H:H,0)</f>
        <v>1607</v>
      </c>
    </row>
    <row r="1730" spans="1:13">
      <c r="A1730" t="s">
        <v>67</v>
      </c>
      <c r="B1730" t="s">
        <v>10</v>
      </c>
      <c r="C1730" t="s">
        <v>42</v>
      </c>
      <c r="D1730" s="3" t="s">
        <v>218</v>
      </c>
      <c r="E1730" s="5" t="str">
        <f>TEXT(D1730,"dd/mm/yyyy")</f>
        <v>18/01/2023</v>
      </c>
      <c r="G1730" s="5" t="str">
        <f>TEXT(E1730,"mm")</f>
        <v>18/01/2023</v>
      </c>
      <c r="H1730" s="6">
        <v>3971.78</v>
      </c>
      <c r="I1730">
        <v>131</v>
      </c>
      <c r="L1730" t="str">
        <f t="shared" si="26"/>
        <v>Below Average</v>
      </c>
      <c r="M1730">
        <f>RANK(H1730,H:H,0)</f>
        <v>1992</v>
      </c>
    </row>
    <row r="1731" spans="1:13">
      <c r="A1731" t="s">
        <v>77</v>
      </c>
      <c r="B1731" t="s">
        <v>7</v>
      </c>
      <c r="C1731" t="s">
        <v>57</v>
      </c>
      <c r="D1731" s="4">
        <v>45047</v>
      </c>
      <c r="E1731" s="5" t="str">
        <f>TEXT(D1731,"dd/mm/yyyy")</f>
        <v>01/05/2023</v>
      </c>
      <c r="F1731" s="4"/>
      <c r="G1731" s="5" t="str">
        <f>TEXT(E1731,"mm")</f>
        <v>01</v>
      </c>
      <c r="H1731" s="6">
        <v>9538.2099999999991</v>
      </c>
      <c r="I1731">
        <v>198</v>
      </c>
      <c r="L1731" t="str">
        <f t="shared" ref="L1731:L1794" si="27">IF(H1731&gt;6030.34,"Above Average","Below Average")</f>
        <v>Above Average</v>
      </c>
      <c r="M1731">
        <f>RANK(H1731,H:H,0)</f>
        <v>650</v>
      </c>
    </row>
    <row r="1732" spans="1:13">
      <c r="A1732" t="s">
        <v>48</v>
      </c>
      <c r="B1732" t="s">
        <v>15</v>
      </c>
      <c r="C1732" t="s">
        <v>26</v>
      </c>
      <c r="D1732" s="3" t="s">
        <v>179</v>
      </c>
      <c r="E1732" s="5" t="str">
        <f>TEXT(D1732,"dd/mm/yyyy")</f>
        <v>29/06/2023</v>
      </c>
      <c r="G1732" s="5" t="str">
        <f>TEXT(E1732,"mm")</f>
        <v>29/06/2023</v>
      </c>
      <c r="H1732" s="6">
        <v>547.85</v>
      </c>
      <c r="I1732">
        <v>221</v>
      </c>
      <c r="L1732" t="str">
        <f t="shared" si="27"/>
        <v>Below Average</v>
      </c>
      <c r="M1732">
        <f>RANK(H1732,H:H,0)</f>
        <v>3112</v>
      </c>
    </row>
    <row r="1733" spans="1:13">
      <c r="A1733" t="s">
        <v>28</v>
      </c>
      <c r="B1733" t="s">
        <v>35</v>
      </c>
      <c r="C1733" t="s">
        <v>73</v>
      </c>
      <c r="D1733" s="3" t="s">
        <v>230</v>
      </c>
      <c r="E1733" s="5" t="str">
        <f>TEXT(D1733,"dd/mm/yyyy")</f>
        <v>14/06/2023</v>
      </c>
      <c r="G1733" s="5" t="str">
        <f>TEXT(E1733,"mm")</f>
        <v>14/06/2023</v>
      </c>
      <c r="H1733" s="6">
        <v>2994.76</v>
      </c>
      <c r="I1733">
        <v>47</v>
      </c>
      <c r="L1733" t="str">
        <f t="shared" si="27"/>
        <v>Below Average</v>
      </c>
      <c r="M1733">
        <f>RANK(H1733,H:H,0)</f>
        <v>2313</v>
      </c>
    </row>
    <row r="1734" spans="1:13">
      <c r="A1734" t="s">
        <v>22</v>
      </c>
      <c r="B1734" t="s">
        <v>10</v>
      </c>
      <c r="C1734" t="s">
        <v>8</v>
      </c>
      <c r="D1734" s="4">
        <v>45146</v>
      </c>
      <c r="E1734" s="5" t="str">
        <f>TEXT(D1734,"dd/mm/yyyy")</f>
        <v>08/08/2023</v>
      </c>
      <c r="F1734" s="4"/>
      <c r="G1734" s="5" t="str">
        <f>TEXT(E1734,"mm")</f>
        <v>08</v>
      </c>
      <c r="H1734" s="6">
        <v>4451.38</v>
      </c>
      <c r="I1734">
        <v>71</v>
      </c>
      <c r="L1734" t="str">
        <f t="shared" si="27"/>
        <v>Below Average</v>
      </c>
      <c r="M1734">
        <f>RANK(H1734,H:H,0)</f>
        <v>1864</v>
      </c>
    </row>
    <row r="1735" spans="1:13">
      <c r="A1735" t="s">
        <v>58</v>
      </c>
      <c r="B1735" t="s">
        <v>10</v>
      </c>
      <c r="C1735" t="s">
        <v>8</v>
      </c>
      <c r="D1735" s="3" t="s">
        <v>213</v>
      </c>
      <c r="E1735" s="5" t="str">
        <f>TEXT(D1735,"dd/mm/yyyy")</f>
        <v>23/03/2023</v>
      </c>
      <c r="G1735" s="5" t="str">
        <f>TEXT(E1735,"mm")</f>
        <v>23/03/2023</v>
      </c>
      <c r="H1735" s="6">
        <v>14691.77</v>
      </c>
      <c r="I1735">
        <v>143</v>
      </c>
      <c r="L1735" t="str">
        <f t="shared" si="27"/>
        <v>Above Average</v>
      </c>
      <c r="M1735">
        <f>RANK(H1735,H:H,0)</f>
        <v>164</v>
      </c>
    </row>
    <row r="1736" spans="1:13">
      <c r="A1736" t="s">
        <v>31</v>
      </c>
      <c r="B1736" t="s">
        <v>10</v>
      </c>
      <c r="C1736" t="s">
        <v>90</v>
      </c>
      <c r="D1736" s="4">
        <v>45017</v>
      </c>
      <c r="E1736" s="5" t="str">
        <f>TEXT(D1736,"dd/mm/yyyy")</f>
        <v>01/04/2023</v>
      </c>
      <c r="F1736" s="4"/>
      <c r="G1736" s="5" t="str">
        <f>TEXT(E1736,"mm")</f>
        <v>01</v>
      </c>
      <c r="H1736" s="6">
        <v>7042.98</v>
      </c>
      <c r="I1736">
        <v>107</v>
      </c>
      <c r="L1736" t="str">
        <f t="shared" si="27"/>
        <v>Above Average</v>
      </c>
      <c r="M1736">
        <f>RANK(H1736,H:H,0)</f>
        <v>1168</v>
      </c>
    </row>
    <row r="1737" spans="1:13">
      <c r="A1737" t="s">
        <v>28</v>
      </c>
      <c r="B1737" t="s">
        <v>10</v>
      </c>
      <c r="C1737" t="s">
        <v>46</v>
      </c>
      <c r="D1737" s="3" t="s">
        <v>228</v>
      </c>
      <c r="E1737" s="5" t="str">
        <f>TEXT(D1737,"dd/mm/yyyy")</f>
        <v>22/02/2023</v>
      </c>
      <c r="G1737" s="5" t="str">
        <f>TEXT(E1737,"mm")</f>
        <v>22/02/2023</v>
      </c>
      <c r="H1737" s="6">
        <v>15583</v>
      </c>
      <c r="I1737">
        <v>248</v>
      </c>
      <c r="L1737" t="str">
        <f t="shared" si="27"/>
        <v>Above Average</v>
      </c>
      <c r="M1737">
        <f>RANK(H1737,H:H,0)</f>
        <v>119</v>
      </c>
    </row>
    <row r="1738" spans="1:13">
      <c r="A1738" t="s">
        <v>41</v>
      </c>
      <c r="B1738" t="s">
        <v>7</v>
      </c>
      <c r="C1738" t="s">
        <v>50</v>
      </c>
      <c r="D1738" s="3" t="s">
        <v>173</v>
      </c>
      <c r="E1738" s="5" t="str">
        <f>TEXT(D1738,"dd/mm/yyyy")</f>
        <v>17/02/2023</v>
      </c>
      <c r="G1738" s="5" t="str">
        <f>TEXT(E1738,"mm")</f>
        <v>17/02/2023</v>
      </c>
      <c r="H1738" s="6">
        <v>9059.82</v>
      </c>
      <c r="I1738">
        <v>268</v>
      </c>
      <c r="L1738" t="str">
        <f t="shared" si="27"/>
        <v>Above Average</v>
      </c>
      <c r="M1738">
        <f>RANK(H1738,H:H,0)</f>
        <v>724</v>
      </c>
    </row>
    <row r="1739" spans="1:13">
      <c r="A1739" t="s">
        <v>31</v>
      </c>
      <c r="B1739" t="s">
        <v>32</v>
      </c>
      <c r="C1739" t="s">
        <v>65</v>
      </c>
      <c r="D1739" s="4">
        <v>44987</v>
      </c>
      <c r="E1739" s="5" t="str">
        <f>TEXT(D1739,"dd/mm/yyyy")</f>
        <v>02/03/2023</v>
      </c>
      <c r="F1739" s="4"/>
      <c r="G1739" s="5" t="str">
        <f>TEXT(E1739,"mm")</f>
        <v>02</v>
      </c>
      <c r="H1739" s="6">
        <v>430.59</v>
      </c>
      <c r="I1739">
        <v>85</v>
      </c>
      <c r="L1739" t="str">
        <f t="shared" si="27"/>
        <v>Below Average</v>
      </c>
      <c r="M1739">
        <f>RANK(H1739,H:H,0)</f>
        <v>3157</v>
      </c>
    </row>
    <row r="1740" spans="1:13">
      <c r="A1740" t="s">
        <v>9</v>
      </c>
      <c r="B1740" t="s">
        <v>35</v>
      </c>
      <c r="C1740" t="s">
        <v>73</v>
      </c>
      <c r="D1740" s="3" t="s">
        <v>226</v>
      </c>
      <c r="E1740" s="5" t="str">
        <f>TEXT(D1740,"dd/mm/yyyy")</f>
        <v>17/03/2023</v>
      </c>
      <c r="G1740" s="5" t="str">
        <f>TEXT(E1740,"mm")</f>
        <v>17/03/2023</v>
      </c>
      <c r="H1740" s="6">
        <v>1264.25</v>
      </c>
      <c r="I1740">
        <v>137</v>
      </c>
      <c r="L1740" t="str">
        <f t="shared" si="27"/>
        <v>Below Average</v>
      </c>
      <c r="M1740">
        <f>RANK(H1740,H:H,0)</f>
        <v>2889</v>
      </c>
    </row>
    <row r="1741" spans="1:13">
      <c r="A1741" t="s">
        <v>64</v>
      </c>
      <c r="B1741" t="s">
        <v>15</v>
      </c>
      <c r="C1741" t="s">
        <v>87</v>
      </c>
      <c r="D1741" s="3" t="s">
        <v>164</v>
      </c>
      <c r="E1741" s="5" t="str">
        <f>TEXT(D1741,"dd/mm/yyyy")</f>
        <v>25/01/2023</v>
      </c>
      <c r="G1741" s="5" t="str">
        <f>TEXT(E1741,"mm")</f>
        <v>25/01/2023</v>
      </c>
      <c r="H1741" s="6">
        <v>2995.47</v>
      </c>
      <c r="I1741">
        <v>156</v>
      </c>
      <c r="L1741" t="str">
        <f t="shared" si="27"/>
        <v>Below Average</v>
      </c>
      <c r="M1741">
        <f>RANK(H1741,H:H,0)</f>
        <v>2312</v>
      </c>
    </row>
    <row r="1742" spans="1:13">
      <c r="A1742" t="s">
        <v>28</v>
      </c>
      <c r="B1742" t="s">
        <v>15</v>
      </c>
      <c r="C1742" t="s">
        <v>46</v>
      </c>
      <c r="D1742" s="3" t="s">
        <v>232</v>
      </c>
      <c r="E1742" s="5" t="str">
        <f>TEXT(D1742,"dd/mm/yyyy")</f>
        <v>27/07/2023</v>
      </c>
      <c r="G1742" s="5" t="str">
        <f>TEXT(E1742,"mm")</f>
        <v>27/07/2023</v>
      </c>
      <c r="H1742" s="6">
        <v>2117.8200000000002</v>
      </c>
      <c r="I1742">
        <v>56</v>
      </c>
      <c r="L1742" t="str">
        <f t="shared" si="27"/>
        <v>Below Average</v>
      </c>
      <c r="M1742">
        <f>RANK(H1742,H:H,0)</f>
        <v>2596</v>
      </c>
    </row>
    <row r="1743" spans="1:13">
      <c r="A1743" t="s">
        <v>53</v>
      </c>
      <c r="B1743" t="s">
        <v>15</v>
      </c>
      <c r="C1743" t="s">
        <v>57</v>
      </c>
      <c r="D1743" s="3" t="s">
        <v>210</v>
      </c>
      <c r="E1743" s="5" t="str">
        <f>TEXT(D1743,"dd/mm/yyyy")</f>
        <v>28/01/2023</v>
      </c>
      <c r="G1743" s="5" t="str">
        <f>TEXT(E1743,"mm")</f>
        <v>28/01/2023</v>
      </c>
      <c r="H1743" s="6">
        <v>8081.79</v>
      </c>
      <c r="I1743">
        <v>54</v>
      </c>
      <c r="L1743" t="str">
        <f t="shared" si="27"/>
        <v>Above Average</v>
      </c>
      <c r="M1743">
        <f>RANK(H1743,H:H,0)</f>
        <v>920</v>
      </c>
    </row>
    <row r="1744" spans="1:13">
      <c r="A1744" t="s">
        <v>77</v>
      </c>
      <c r="B1744" t="s">
        <v>15</v>
      </c>
      <c r="C1744" t="s">
        <v>42</v>
      </c>
      <c r="D1744" s="4">
        <v>45053</v>
      </c>
      <c r="E1744" s="5" t="str">
        <f>TEXT(D1744,"dd/mm/yyyy")</f>
        <v>07/05/2023</v>
      </c>
      <c r="F1744" s="4"/>
      <c r="G1744" s="5" t="str">
        <f>TEXT(E1744,"mm")</f>
        <v>07</v>
      </c>
      <c r="H1744" s="6">
        <v>11542.54</v>
      </c>
      <c r="I1744">
        <v>49</v>
      </c>
      <c r="L1744" t="str">
        <f t="shared" si="27"/>
        <v>Above Average</v>
      </c>
      <c r="M1744">
        <f>RANK(H1744,H:H,0)</f>
        <v>394</v>
      </c>
    </row>
    <row r="1745" spans="1:13">
      <c r="A1745" t="s">
        <v>9</v>
      </c>
      <c r="B1745" t="s">
        <v>10</v>
      </c>
      <c r="C1745" t="s">
        <v>59</v>
      </c>
      <c r="D1745" s="3" t="s">
        <v>234</v>
      </c>
      <c r="E1745" s="5" t="str">
        <f>TEXT(D1745,"dd/mm/yyyy")</f>
        <v>15/03/2023</v>
      </c>
      <c r="G1745" s="5" t="str">
        <f>TEXT(E1745,"mm")</f>
        <v>15/03/2023</v>
      </c>
      <c r="H1745" s="6">
        <v>2183.6799999999998</v>
      </c>
      <c r="I1745">
        <v>46</v>
      </c>
      <c r="L1745" t="str">
        <f t="shared" si="27"/>
        <v>Below Average</v>
      </c>
      <c r="M1745">
        <f>RANK(H1745,H:H,0)</f>
        <v>2585</v>
      </c>
    </row>
    <row r="1746" spans="1:13">
      <c r="A1746" t="s">
        <v>22</v>
      </c>
      <c r="B1746" t="s">
        <v>35</v>
      </c>
      <c r="C1746" t="s">
        <v>23</v>
      </c>
      <c r="D1746" s="4">
        <v>45024</v>
      </c>
      <c r="E1746" s="5" t="str">
        <f>TEXT(D1746,"dd/mm/yyyy")</f>
        <v>08/04/2023</v>
      </c>
      <c r="F1746" s="4"/>
      <c r="G1746" s="5" t="str">
        <f>TEXT(E1746,"mm")</f>
        <v>08</v>
      </c>
      <c r="H1746" s="6">
        <v>3125.34</v>
      </c>
      <c r="I1746">
        <v>191</v>
      </c>
      <c r="L1746" t="str">
        <f t="shared" si="27"/>
        <v>Below Average</v>
      </c>
      <c r="M1746">
        <f>RANK(H1746,H:H,0)</f>
        <v>2259</v>
      </c>
    </row>
    <row r="1747" spans="1:13">
      <c r="A1747" t="s">
        <v>14</v>
      </c>
      <c r="B1747" t="s">
        <v>32</v>
      </c>
      <c r="C1747" t="s">
        <v>57</v>
      </c>
      <c r="D1747" s="3" t="s">
        <v>172</v>
      </c>
      <c r="E1747" s="5" t="str">
        <f>TEXT(D1747,"dd/mm/yyyy")</f>
        <v>27/06/2023</v>
      </c>
      <c r="G1747" s="5" t="str">
        <f>TEXT(E1747,"mm")</f>
        <v>27/06/2023</v>
      </c>
      <c r="H1747" s="6">
        <v>4891.8599999999997</v>
      </c>
      <c r="I1747">
        <v>380</v>
      </c>
      <c r="L1747" t="str">
        <f t="shared" si="27"/>
        <v>Below Average</v>
      </c>
      <c r="M1747">
        <f>RANK(H1747,H:H,0)</f>
        <v>1734</v>
      </c>
    </row>
    <row r="1748" spans="1:13">
      <c r="A1748" t="s">
        <v>14</v>
      </c>
      <c r="B1748" t="s">
        <v>35</v>
      </c>
      <c r="C1748" t="s">
        <v>23</v>
      </c>
      <c r="D1748" s="3" t="s">
        <v>198</v>
      </c>
      <c r="E1748" s="5" t="str">
        <f>TEXT(D1748,"dd/mm/yyyy")</f>
        <v>13/07/2023</v>
      </c>
      <c r="G1748" s="5" t="str">
        <f>TEXT(E1748,"mm")</f>
        <v>13/07/2023</v>
      </c>
      <c r="H1748" s="6">
        <v>4881.32</v>
      </c>
      <c r="I1748">
        <v>183</v>
      </c>
      <c r="L1748" t="str">
        <f t="shared" si="27"/>
        <v>Below Average</v>
      </c>
      <c r="M1748">
        <f>RANK(H1748,H:H,0)</f>
        <v>1738</v>
      </c>
    </row>
    <row r="1749" spans="1:13">
      <c r="A1749" t="s">
        <v>31</v>
      </c>
      <c r="B1749" t="s">
        <v>25</v>
      </c>
      <c r="C1749" t="s">
        <v>60</v>
      </c>
      <c r="D1749" s="3" t="s">
        <v>163</v>
      </c>
      <c r="E1749" s="5" t="str">
        <f>TEXT(D1749,"dd/mm/yyyy")</f>
        <v>24/02/2023</v>
      </c>
      <c r="G1749" s="5" t="str">
        <f>TEXT(E1749,"mm")</f>
        <v>24/02/2023</v>
      </c>
      <c r="H1749" s="6">
        <v>5917.62</v>
      </c>
      <c r="I1749">
        <v>238</v>
      </c>
      <c r="L1749" t="str">
        <f t="shared" si="27"/>
        <v>Below Average</v>
      </c>
      <c r="M1749">
        <f>RANK(H1749,H:H,0)</f>
        <v>1453</v>
      </c>
    </row>
    <row r="1750" spans="1:13">
      <c r="A1750" t="s">
        <v>37</v>
      </c>
      <c r="B1750" t="s">
        <v>25</v>
      </c>
      <c r="C1750" t="s">
        <v>11</v>
      </c>
      <c r="D1750" s="3" t="s">
        <v>191</v>
      </c>
      <c r="E1750" s="5" t="str">
        <f>TEXT(D1750,"dd/mm/yyyy")</f>
        <v>28/06/2023</v>
      </c>
      <c r="G1750" s="5" t="str">
        <f>TEXT(E1750,"mm")</f>
        <v>28/06/2023</v>
      </c>
      <c r="H1750" s="6">
        <v>6312.53</v>
      </c>
      <c r="I1750">
        <v>60</v>
      </c>
      <c r="L1750" t="str">
        <f t="shared" si="27"/>
        <v>Above Average</v>
      </c>
      <c r="M1750">
        <f>RANK(H1750,H:H,0)</f>
        <v>1355</v>
      </c>
    </row>
    <row r="1751" spans="1:13">
      <c r="A1751" t="s">
        <v>19</v>
      </c>
      <c r="B1751" t="s">
        <v>15</v>
      </c>
      <c r="C1751" t="s">
        <v>11</v>
      </c>
      <c r="D1751" s="3" t="s">
        <v>180</v>
      </c>
      <c r="E1751" s="5" t="str">
        <f>TEXT(D1751,"dd/mm/yyyy")</f>
        <v>30/06/2023</v>
      </c>
      <c r="G1751" s="5" t="str">
        <f>TEXT(E1751,"mm")</f>
        <v>30/06/2023</v>
      </c>
      <c r="H1751" s="6">
        <v>7956.28</v>
      </c>
      <c r="I1751">
        <v>27</v>
      </c>
      <c r="L1751" t="str">
        <f t="shared" si="27"/>
        <v>Above Average</v>
      </c>
      <c r="M1751">
        <f>RANK(H1751,H:H,0)</f>
        <v>948</v>
      </c>
    </row>
    <row r="1752" spans="1:13">
      <c r="A1752" t="s">
        <v>48</v>
      </c>
      <c r="B1752" t="s">
        <v>35</v>
      </c>
      <c r="C1752" t="s">
        <v>75</v>
      </c>
      <c r="D1752" s="3" t="s">
        <v>201</v>
      </c>
      <c r="E1752" s="5" t="str">
        <f>TEXT(D1752,"dd/mm/yyyy")</f>
        <v>18/08/2023</v>
      </c>
      <c r="G1752" s="5" t="str">
        <f>TEXT(E1752,"mm")</f>
        <v>18/08/2023</v>
      </c>
      <c r="H1752" s="6">
        <v>5895.88</v>
      </c>
      <c r="I1752">
        <v>7</v>
      </c>
      <c r="L1752" t="str">
        <f t="shared" si="27"/>
        <v>Below Average</v>
      </c>
      <c r="M1752">
        <f>RANK(H1752,H:H,0)</f>
        <v>1460</v>
      </c>
    </row>
    <row r="1753" spans="1:13">
      <c r="A1753" t="s">
        <v>55</v>
      </c>
      <c r="B1753" t="s">
        <v>10</v>
      </c>
      <c r="C1753" t="s">
        <v>100</v>
      </c>
      <c r="D1753" s="3" t="s">
        <v>209</v>
      </c>
      <c r="E1753" s="5" t="str">
        <f>TEXT(D1753,"dd/mm/yyyy")</f>
        <v>24/01/2023</v>
      </c>
      <c r="G1753" s="5" t="str">
        <f>TEXT(E1753,"mm")</f>
        <v>24/01/2023</v>
      </c>
      <c r="H1753" s="6">
        <v>13535.7</v>
      </c>
      <c r="I1753">
        <v>296</v>
      </c>
      <c r="L1753" t="str">
        <f t="shared" si="27"/>
        <v>Above Average</v>
      </c>
      <c r="M1753">
        <f>RANK(H1753,H:H,0)</f>
        <v>232</v>
      </c>
    </row>
    <row r="1754" spans="1:13">
      <c r="A1754" t="s">
        <v>41</v>
      </c>
      <c r="B1754" t="s">
        <v>32</v>
      </c>
      <c r="C1754" t="s">
        <v>59</v>
      </c>
      <c r="D1754" s="4">
        <v>45233</v>
      </c>
      <c r="E1754" s="5" t="str">
        <f>TEXT(D1754,"dd/mm/yyyy")</f>
        <v>03/11/2023</v>
      </c>
      <c r="F1754" s="4"/>
      <c r="G1754" s="5" t="str">
        <f>TEXT(E1754,"mm")</f>
        <v>03</v>
      </c>
      <c r="H1754" s="6">
        <v>5639.9</v>
      </c>
      <c r="I1754">
        <v>129</v>
      </c>
      <c r="L1754" t="str">
        <f t="shared" si="27"/>
        <v>Below Average</v>
      </c>
      <c r="M1754">
        <f>RANK(H1754,H:H,0)</f>
        <v>1533</v>
      </c>
    </row>
    <row r="1755" spans="1:13">
      <c r="A1755" t="s">
        <v>83</v>
      </c>
      <c r="B1755" t="s">
        <v>25</v>
      </c>
      <c r="C1755" t="s">
        <v>23</v>
      </c>
      <c r="D1755" s="3" t="s">
        <v>245</v>
      </c>
      <c r="E1755" s="5" t="str">
        <f>TEXT(D1755,"dd/mm/yyyy")</f>
        <v>23/06/2023</v>
      </c>
      <c r="G1755" s="5" t="str">
        <f>TEXT(E1755,"mm")</f>
        <v>23/06/2023</v>
      </c>
      <c r="H1755" s="6">
        <v>5813.44</v>
      </c>
      <c r="I1755">
        <v>356</v>
      </c>
      <c r="L1755" t="str">
        <f t="shared" si="27"/>
        <v>Below Average</v>
      </c>
      <c r="M1755">
        <f>RANK(H1755,H:H,0)</f>
        <v>1482</v>
      </c>
    </row>
    <row r="1756" spans="1:13">
      <c r="A1756" t="s">
        <v>53</v>
      </c>
      <c r="B1756" t="s">
        <v>10</v>
      </c>
      <c r="C1756" t="s">
        <v>50</v>
      </c>
      <c r="D1756" s="3" t="s">
        <v>186</v>
      </c>
      <c r="E1756" s="5" t="str">
        <f>TEXT(D1756,"dd/mm/yyyy")</f>
        <v>22/08/2023</v>
      </c>
      <c r="G1756" s="5" t="str">
        <f>TEXT(E1756,"mm")</f>
        <v>22/08/2023</v>
      </c>
      <c r="H1756" s="6">
        <v>2514.8200000000002</v>
      </c>
      <c r="I1756">
        <v>32</v>
      </c>
      <c r="L1756" t="str">
        <f t="shared" si="27"/>
        <v>Below Average</v>
      </c>
      <c r="M1756">
        <f>RANK(H1756,H:H,0)</f>
        <v>2466</v>
      </c>
    </row>
    <row r="1757" spans="1:13">
      <c r="A1757" t="s">
        <v>22</v>
      </c>
      <c r="B1757" t="s">
        <v>35</v>
      </c>
      <c r="C1757" t="s">
        <v>26</v>
      </c>
      <c r="D1757" s="4">
        <v>45017</v>
      </c>
      <c r="E1757" s="5" t="str">
        <f>TEXT(D1757,"dd/mm/yyyy")</f>
        <v>01/04/2023</v>
      </c>
      <c r="F1757" s="4"/>
      <c r="G1757" s="5" t="str">
        <f>TEXT(E1757,"mm")</f>
        <v>01</v>
      </c>
      <c r="H1757" s="6">
        <v>3044.01</v>
      </c>
      <c r="I1757">
        <v>22</v>
      </c>
      <c r="L1757" t="str">
        <f t="shared" si="27"/>
        <v>Below Average</v>
      </c>
      <c r="M1757">
        <f>RANK(H1757,H:H,0)</f>
        <v>2288</v>
      </c>
    </row>
    <row r="1758" spans="1:13">
      <c r="A1758" t="s">
        <v>48</v>
      </c>
      <c r="B1758" t="s">
        <v>10</v>
      </c>
      <c r="C1758" t="s">
        <v>46</v>
      </c>
      <c r="D1758" s="4">
        <v>45050</v>
      </c>
      <c r="E1758" s="5" t="str">
        <f>TEXT(D1758,"dd/mm/yyyy")</f>
        <v>04/05/2023</v>
      </c>
      <c r="F1758" s="4"/>
      <c r="G1758" s="5" t="str">
        <f>TEXT(E1758,"mm")</f>
        <v>04</v>
      </c>
      <c r="H1758" s="6">
        <v>3902.04</v>
      </c>
      <c r="I1758">
        <v>214</v>
      </c>
      <c r="L1758" t="str">
        <f t="shared" si="27"/>
        <v>Below Average</v>
      </c>
      <c r="M1758">
        <f>RANK(H1758,H:H,0)</f>
        <v>2013</v>
      </c>
    </row>
    <row r="1759" spans="1:13">
      <c r="A1759" t="s">
        <v>41</v>
      </c>
      <c r="B1759" t="s">
        <v>10</v>
      </c>
      <c r="C1759" t="s">
        <v>46</v>
      </c>
      <c r="D1759" s="3" t="s">
        <v>184</v>
      </c>
      <c r="E1759" s="5" t="str">
        <f>TEXT(D1759,"dd/mm/yyyy")</f>
        <v>15/04/2023</v>
      </c>
      <c r="G1759" s="5" t="str">
        <f>TEXT(E1759,"mm")</f>
        <v>15/04/2023</v>
      </c>
      <c r="H1759" s="6">
        <v>1928.74</v>
      </c>
      <c r="I1759">
        <v>354</v>
      </c>
      <c r="L1759" t="str">
        <f t="shared" si="27"/>
        <v>Below Average</v>
      </c>
      <c r="M1759">
        <f>RANK(H1759,H:H,0)</f>
        <v>2656</v>
      </c>
    </row>
    <row r="1760" spans="1:13">
      <c r="A1760" t="s">
        <v>53</v>
      </c>
      <c r="B1760" t="s">
        <v>15</v>
      </c>
      <c r="C1760" t="s">
        <v>59</v>
      </c>
      <c r="D1760" s="4">
        <v>45235</v>
      </c>
      <c r="E1760" s="5" t="str">
        <f>TEXT(D1760,"dd/mm/yyyy")</f>
        <v>05/11/2023</v>
      </c>
      <c r="F1760" s="4"/>
      <c r="G1760" s="5" t="str">
        <f>TEXT(E1760,"mm")</f>
        <v>05</v>
      </c>
      <c r="H1760" s="6">
        <v>3251.53</v>
      </c>
      <c r="I1760">
        <v>241</v>
      </c>
      <c r="L1760" t="str">
        <f t="shared" si="27"/>
        <v>Below Average</v>
      </c>
      <c r="M1760">
        <f>RANK(H1760,H:H,0)</f>
        <v>2223</v>
      </c>
    </row>
    <row r="1761" spans="1:13">
      <c r="A1761" t="s">
        <v>67</v>
      </c>
      <c r="B1761" t="s">
        <v>35</v>
      </c>
      <c r="C1761" t="s">
        <v>60</v>
      </c>
      <c r="D1761" s="3" t="s">
        <v>244</v>
      </c>
      <c r="E1761" s="5" t="str">
        <f>TEXT(D1761,"dd/mm/yyyy")</f>
        <v>21/07/2023</v>
      </c>
      <c r="G1761" s="5" t="str">
        <f>TEXT(E1761,"mm")</f>
        <v>21/07/2023</v>
      </c>
      <c r="H1761" s="6">
        <v>5031.9399999999996</v>
      </c>
      <c r="I1761">
        <v>495</v>
      </c>
      <c r="L1761" t="str">
        <f t="shared" si="27"/>
        <v>Below Average</v>
      </c>
      <c r="M1761">
        <f>RANK(H1761,H:H,0)</f>
        <v>1696</v>
      </c>
    </row>
    <row r="1762" spans="1:13">
      <c r="A1762" t="s">
        <v>14</v>
      </c>
      <c r="B1762" t="s">
        <v>25</v>
      </c>
      <c r="C1762" t="s">
        <v>33</v>
      </c>
      <c r="D1762" s="4">
        <v>45232</v>
      </c>
      <c r="E1762" s="5" t="str">
        <f>TEXT(D1762,"dd/mm/yyyy")</f>
        <v>02/11/2023</v>
      </c>
      <c r="F1762" s="4"/>
      <c r="G1762" s="5" t="str">
        <f>TEXT(E1762,"mm")</f>
        <v>02</v>
      </c>
      <c r="H1762" s="6">
        <v>1350.26</v>
      </c>
      <c r="I1762">
        <v>89</v>
      </c>
      <c r="L1762" t="str">
        <f t="shared" si="27"/>
        <v>Below Average</v>
      </c>
      <c r="M1762">
        <f>RANK(H1762,H:H,0)</f>
        <v>2861</v>
      </c>
    </row>
    <row r="1763" spans="1:13">
      <c r="A1763" t="s">
        <v>67</v>
      </c>
      <c r="B1763" t="s">
        <v>35</v>
      </c>
      <c r="C1763" t="s">
        <v>18</v>
      </c>
      <c r="D1763" s="4">
        <v>45145</v>
      </c>
      <c r="E1763" s="5" t="str">
        <f>TEXT(D1763,"dd/mm/yyyy")</f>
        <v>07/08/2023</v>
      </c>
      <c r="F1763" s="4"/>
      <c r="G1763" s="5" t="str">
        <f>TEXT(E1763,"mm")</f>
        <v>07</v>
      </c>
      <c r="H1763" s="6">
        <v>1187.71</v>
      </c>
      <c r="I1763">
        <v>75</v>
      </c>
      <c r="L1763" t="str">
        <f t="shared" si="27"/>
        <v>Below Average</v>
      </c>
      <c r="M1763">
        <f>RANK(H1763,H:H,0)</f>
        <v>2909</v>
      </c>
    </row>
    <row r="1764" spans="1:13">
      <c r="A1764" t="s">
        <v>22</v>
      </c>
      <c r="B1764" t="s">
        <v>7</v>
      </c>
      <c r="C1764" t="s">
        <v>73</v>
      </c>
      <c r="D1764" s="4">
        <v>45238</v>
      </c>
      <c r="E1764" s="5" t="str">
        <f>TEXT(D1764,"dd/mm/yyyy")</f>
        <v>08/11/2023</v>
      </c>
      <c r="F1764" s="4"/>
      <c r="G1764" s="5" t="str">
        <f>TEXT(E1764,"mm")</f>
        <v>08</v>
      </c>
      <c r="H1764" s="6">
        <v>7055.38</v>
      </c>
      <c r="I1764">
        <v>334</v>
      </c>
      <c r="L1764" t="str">
        <f t="shared" si="27"/>
        <v>Above Average</v>
      </c>
      <c r="M1764">
        <f>RANK(H1764,H:H,0)</f>
        <v>1165</v>
      </c>
    </row>
    <row r="1765" spans="1:13">
      <c r="A1765" t="s">
        <v>53</v>
      </c>
      <c r="B1765" t="s">
        <v>25</v>
      </c>
      <c r="C1765" t="s">
        <v>23</v>
      </c>
      <c r="D1765" s="4">
        <v>45024</v>
      </c>
      <c r="E1765" s="5" t="str">
        <f>TEXT(D1765,"dd/mm/yyyy")</f>
        <v>08/04/2023</v>
      </c>
      <c r="F1765" s="4"/>
      <c r="G1765" s="5" t="str">
        <f>TEXT(E1765,"mm")</f>
        <v>08</v>
      </c>
      <c r="H1765" s="6">
        <v>7231.89</v>
      </c>
      <c r="I1765">
        <v>8</v>
      </c>
      <c r="L1765" t="str">
        <f t="shared" si="27"/>
        <v>Above Average</v>
      </c>
      <c r="M1765">
        <f>RANK(H1765,H:H,0)</f>
        <v>1121</v>
      </c>
    </row>
    <row r="1766" spans="1:13">
      <c r="A1766" t="s">
        <v>67</v>
      </c>
      <c r="B1766" t="s">
        <v>25</v>
      </c>
      <c r="C1766" t="s">
        <v>33</v>
      </c>
      <c r="D1766" s="3" t="s">
        <v>230</v>
      </c>
      <c r="E1766" s="5" t="str">
        <f>TEXT(D1766,"dd/mm/yyyy")</f>
        <v>14/06/2023</v>
      </c>
      <c r="G1766" s="5" t="str">
        <f>TEXT(E1766,"mm")</f>
        <v>14/06/2023</v>
      </c>
      <c r="H1766" s="6">
        <v>9295.83</v>
      </c>
      <c r="I1766">
        <v>93</v>
      </c>
      <c r="L1766" t="str">
        <f t="shared" si="27"/>
        <v>Above Average</v>
      </c>
      <c r="M1766">
        <f>RANK(H1766,H:H,0)</f>
        <v>691</v>
      </c>
    </row>
    <row r="1767" spans="1:13">
      <c r="A1767" t="s">
        <v>58</v>
      </c>
      <c r="B1767" t="s">
        <v>7</v>
      </c>
      <c r="C1767" t="s">
        <v>87</v>
      </c>
      <c r="D1767" s="3" t="s">
        <v>255</v>
      </c>
      <c r="E1767" s="5" t="str">
        <f>TEXT(D1767,"dd/mm/yyyy")</f>
        <v>17/01/2023</v>
      </c>
      <c r="G1767" s="5" t="str">
        <f>TEXT(E1767,"mm")</f>
        <v>17/01/2023</v>
      </c>
      <c r="H1767" s="6">
        <v>2276.94</v>
      </c>
      <c r="I1767">
        <v>296</v>
      </c>
      <c r="L1767" t="str">
        <f t="shared" si="27"/>
        <v>Below Average</v>
      </c>
      <c r="M1767">
        <f>RANK(H1767,H:H,0)</f>
        <v>2560</v>
      </c>
    </row>
    <row r="1768" spans="1:13">
      <c r="A1768" t="s">
        <v>6</v>
      </c>
      <c r="B1768" t="s">
        <v>35</v>
      </c>
      <c r="C1768" t="s">
        <v>33</v>
      </c>
      <c r="D1768" s="3" t="s">
        <v>245</v>
      </c>
      <c r="E1768" s="5" t="str">
        <f>TEXT(D1768,"dd/mm/yyyy")</f>
        <v>23/06/2023</v>
      </c>
      <c r="G1768" s="5" t="str">
        <f>TEXT(E1768,"mm")</f>
        <v>23/06/2023</v>
      </c>
      <c r="H1768" s="6">
        <v>4229.79</v>
      </c>
      <c r="I1768">
        <v>548</v>
      </c>
      <c r="L1768" t="str">
        <f t="shared" si="27"/>
        <v>Below Average</v>
      </c>
      <c r="M1768">
        <f>RANK(H1768,H:H,0)</f>
        <v>1920</v>
      </c>
    </row>
    <row r="1769" spans="1:13">
      <c r="A1769" t="s">
        <v>6</v>
      </c>
      <c r="B1769" t="s">
        <v>7</v>
      </c>
      <c r="C1769" t="s">
        <v>18</v>
      </c>
      <c r="D1769" s="3" t="s">
        <v>182</v>
      </c>
      <c r="E1769" s="5" t="str">
        <f>TEXT(D1769,"dd/mm/yyyy")</f>
        <v>24/08/2023</v>
      </c>
      <c r="G1769" s="5" t="str">
        <f>TEXT(E1769,"mm")</f>
        <v>24/08/2023</v>
      </c>
      <c r="H1769" s="6">
        <v>1640.53</v>
      </c>
      <c r="I1769">
        <v>119</v>
      </c>
      <c r="L1769" t="str">
        <f t="shared" si="27"/>
        <v>Below Average</v>
      </c>
      <c r="M1769">
        <f>RANK(H1769,H:H,0)</f>
        <v>2756</v>
      </c>
    </row>
    <row r="1770" spans="1:13">
      <c r="A1770" t="s">
        <v>67</v>
      </c>
      <c r="B1770" t="s">
        <v>7</v>
      </c>
      <c r="C1770" t="s">
        <v>90</v>
      </c>
      <c r="D1770" s="4">
        <v>45113</v>
      </c>
      <c r="E1770" s="5" t="str">
        <f>TEXT(D1770,"dd/mm/yyyy")</f>
        <v>06/07/2023</v>
      </c>
      <c r="F1770" s="4"/>
      <c r="G1770" s="5" t="str">
        <f>TEXT(E1770,"mm")</f>
        <v>06</v>
      </c>
      <c r="H1770" s="6">
        <v>8234.5</v>
      </c>
      <c r="I1770">
        <v>294</v>
      </c>
      <c r="L1770" t="str">
        <f t="shared" si="27"/>
        <v>Above Average</v>
      </c>
      <c r="M1770">
        <f>RANK(H1770,H:H,0)</f>
        <v>886</v>
      </c>
    </row>
    <row r="1771" spans="1:13">
      <c r="A1771" t="s">
        <v>14</v>
      </c>
      <c r="B1771" t="s">
        <v>7</v>
      </c>
      <c r="C1771" t="s">
        <v>59</v>
      </c>
      <c r="D1771" s="3" t="s">
        <v>250</v>
      </c>
      <c r="E1771" s="5" t="str">
        <f>TEXT(D1771,"dd/mm/yyyy")</f>
        <v>22/06/2023</v>
      </c>
      <c r="G1771" s="5" t="str">
        <f>TEXT(E1771,"mm")</f>
        <v>22/06/2023</v>
      </c>
      <c r="H1771" s="6">
        <v>10087.040000000001</v>
      </c>
      <c r="I1771">
        <v>46</v>
      </c>
      <c r="L1771" t="str">
        <f t="shared" si="27"/>
        <v>Above Average</v>
      </c>
      <c r="M1771">
        <f>RANK(H1771,H:H,0)</f>
        <v>571</v>
      </c>
    </row>
    <row r="1772" spans="1:13">
      <c r="A1772" t="s">
        <v>79</v>
      </c>
      <c r="B1772" t="s">
        <v>32</v>
      </c>
      <c r="C1772" t="s">
        <v>57</v>
      </c>
      <c r="D1772" s="3" t="s">
        <v>198</v>
      </c>
      <c r="E1772" s="5" t="str">
        <f>TEXT(D1772,"dd/mm/yyyy")</f>
        <v>13/07/2023</v>
      </c>
      <c r="G1772" s="5" t="str">
        <f>TEXT(E1772,"mm")</f>
        <v>13/07/2023</v>
      </c>
      <c r="H1772" s="6">
        <v>3169.26</v>
      </c>
      <c r="I1772">
        <v>281</v>
      </c>
      <c r="L1772" t="str">
        <f t="shared" si="27"/>
        <v>Below Average</v>
      </c>
      <c r="M1772">
        <f>RANK(H1772,H:H,0)</f>
        <v>2247</v>
      </c>
    </row>
    <row r="1773" spans="1:13">
      <c r="A1773" t="s">
        <v>70</v>
      </c>
      <c r="B1773" t="s">
        <v>7</v>
      </c>
      <c r="C1773" t="s">
        <v>75</v>
      </c>
      <c r="D1773" s="3" t="s">
        <v>178</v>
      </c>
      <c r="E1773" s="5" t="str">
        <f>TEXT(D1773,"dd/mm/yyyy")</f>
        <v>24/05/2023</v>
      </c>
      <c r="G1773" s="5" t="str">
        <f>TEXT(E1773,"mm")</f>
        <v>24/05/2023</v>
      </c>
      <c r="H1773" s="6">
        <v>10355.42</v>
      </c>
      <c r="I1773">
        <v>215</v>
      </c>
      <c r="L1773" t="str">
        <f t="shared" si="27"/>
        <v>Above Average</v>
      </c>
      <c r="M1773">
        <f>RANK(H1773,H:H,0)</f>
        <v>526</v>
      </c>
    </row>
    <row r="1774" spans="1:13">
      <c r="A1774" t="s">
        <v>22</v>
      </c>
      <c r="B1774" t="s">
        <v>25</v>
      </c>
      <c r="C1774" t="s">
        <v>23</v>
      </c>
      <c r="D1774" s="4">
        <v>45177</v>
      </c>
      <c r="E1774" s="5" t="str">
        <f>TEXT(D1774,"dd/mm/yyyy")</f>
        <v>08/09/2023</v>
      </c>
      <c r="F1774" s="4"/>
      <c r="G1774" s="5" t="str">
        <f>TEXT(E1774,"mm")</f>
        <v>08</v>
      </c>
      <c r="H1774" s="6">
        <v>7772.63</v>
      </c>
      <c r="I1774">
        <v>140</v>
      </c>
      <c r="L1774" t="str">
        <f t="shared" si="27"/>
        <v>Above Average</v>
      </c>
      <c r="M1774">
        <f>RANK(H1774,H:H,0)</f>
        <v>994</v>
      </c>
    </row>
    <row r="1775" spans="1:13">
      <c r="A1775" t="s">
        <v>55</v>
      </c>
      <c r="B1775" t="s">
        <v>35</v>
      </c>
      <c r="C1775" t="s">
        <v>11</v>
      </c>
      <c r="D1775" s="4">
        <v>45081</v>
      </c>
      <c r="E1775" s="5" t="str">
        <f>TEXT(D1775,"dd/mm/yyyy")</f>
        <v>04/06/2023</v>
      </c>
      <c r="F1775" s="4"/>
      <c r="G1775" s="5" t="str">
        <f>TEXT(E1775,"mm")</f>
        <v>04</v>
      </c>
      <c r="H1775" s="6">
        <v>1992.77</v>
      </c>
      <c r="I1775">
        <v>31</v>
      </c>
      <c r="L1775" t="str">
        <f t="shared" si="27"/>
        <v>Below Average</v>
      </c>
      <c r="M1775">
        <f>RANK(H1775,H:H,0)</f>
        <v>2639</v>
      </c>
    </row>
    <row r="1776" spans="1:13">
      <c r="A1776" t="s">
        <v>14</v>
      </c>
      <c r="B1776" t="s">
        <v>25</v>
      </c>
      <c r="C1776" t="s">
        <v>60</v>
      </c>
      <c r="D1776" s="3" t="s">
        <v>168</v>
      </c>
      <c r="E1776" s="5" t="str">
        <f>TEXT(D1776,"dd/mm/yyyy")</f>
        <v>28/07/2023</v>
      </c>
      <c r="G1776" s="5" t="str">
        <f>TEXT(E1776,"mm")</f>
        <v>28/07/2023</v>
      </c>
      <c r="H1776" s="6">
        <v>1815.56</v>
      </c>
      <c r="I1776">
        <v>266</v>
      </c>
      <c r="L1776" t="str">
        <f t="shared" si="27"/>
        <v>Below Average</v>
      </c>
      <c r="M1776">
        <f>RANK(H1776,H:H,0)</f>
        <v>2696</v>
      </c>
    </row>
    <row r="1777" spans="1:13">
      <c r="A1777" t="s">
        <v>22</v>
      </c>
      <c r="B1777" t="s">
        <v>25</v>
      </c>
      <c r="C1777" t="s">
        <v>73</v>
      </c>
      <c r="D1777" s="3" t="s">
        <v>182</v>
      </c>
      <c r="E1777" s="5" t="str">
        <f>TEXT(D1777,"dd/mm/yyyy")</f>
        <v>24/08/2023</v>
      </c>
      <c r="G1777" s="5" t="str">
        <f>TEXT(E1777,"mm")</f>
        <v>24/08/2023</v>
      </c>
      <c r="H1777" s="6">
        <v>727.11</v>
      </c>
      <c r="I1777">
        <v>50</v>
      </c>
      <c r="L1777" t="str">
        <f t="shared" si="27"/>
        <v>Below Average</v>
      </c>
      <c r="M1777">
        <f>RANK(H1777,H:H,0)</f>
        <v>3052</v>
      </c>
    </row>
    <row r="1778" spans="1:13">
      <c r="A1778" t="s">
        <v>9</v>
      </c>
      <c r="B1778" t="s">
        <v>15</v>
      </c>
      <c r="C1778" t="s">
        <v>20</v>
      </c>
      <c r="D1778" s="3" t="s">
        <v>255</v>
      </c>
      <c r="E1778" s="5" t="str">
        <f>TEXT(D1778,"dd/mm/yyyy")</f>
        <v>17/01/2023</v>
      </c>
      <c r="G1778" s="5" t="str">
        <f>TEXT(E1778,"mm")</f>
        <v>17/01/2023</v>
      </c>
      <c r="H1778" s="6">
        <v>114.96</v>
      </c>
      <c r="I1778">
        <v>132</v>
      </c>
      <c r="L1778" t="str">
        <f t="shared" si="27"/>
        <v>Below Average</v>
      </c>
      <c r="M1778">
        <f>RANK(H1778,H:H,0)</f>
        <v>3238</v>
      </c>
    </row>
    <row r="1779" spans="1:13">
      <c r="A1779" t="s">
        <v>48</v>
      </c>
      <c r="B1779" t="s">
        <v>32</v>
      </c>
      <c r="C1779" t="s">
        <v>38</v>
      </c>
      <c r="D1779" s="4">
        <v>45109</v>
      </c>
      <c r="E1779" s="5" t="str">
        <f>TEXT(D1779,"dd/mm/yyyy")</f>
        <v>02/07/2023</v>
      </c>
      <c r="F1779" s="4"/>
      <c r="G1779" s="5" t="str">
        <f>TEXT(E1779,"mm")</f>
        <v>02</v>
      </c>
      <c r="H1779" s="6">
        <v>5378.09</v>
      </c>
      <c r="I1779">
        <v>142</v>
      </c>
      <c r="L1779" t="str">
        <f t="shared" si="27"/>
        <v>Below Average</v>
      </c>
      <c r="M1779">
        <f>RANK(H1779,H:H,0)</f>
        <v>1597</v>
      </c>
    </row>
    <row r="1780" spans="1:13">
      <c r="A1780" t="s">
        <v>28</v>
      </c>
      <c r="B1780" t="s">
        <v>15</v>
      </c>
      <c r="C1780" t="s">
        <v>50</v>
      </c>
      <c r="D1780" s="4">
        <v>45174</v>
      </c>
      <c r="E1780" s="5" t="str">
        <f>TEXT(D1780,"dd/mm/yyyy")</f>
        <v>05/09/2023</v>
      </c>
      <c r="F1780" s="4"/>
      <c r="G1780" s="5" t="str">
        <f>TEXT(E1780,"mm")</f>
        <v>05</v>
      </c>
      <c r="H1780" s="6">
        <v>6707.63</v>
      </c>
      <c r="I1780">
        <v>269</v>
      </c>
      <c r="L1780" t="str">
        <f t="shared" si="27"/>
        <v>Above Average</v>
      </c>
      <c r="M1780">
        <f>RANK(H1780,H:H,0)</f>
        <v>1260</v>
      </c>
    </row>
    <row r="1781" spans="1:13">
      <c r="A1781" t="s">
        <v>34</v>
      </c>
      <c r="B1781" t="s">
        <v>25</v>
      </c>
      <c r="C1781" t="s">
        <v>11</v>
      </c>
      <c r="D1781" s="4">
        <v>45083</v>
      </c>
      <c r="E1781" s="5" t="str">
        <f>TEXT(D1781,"dd/mm/yyyy")</f>
        <v>06/06/2023</v>
      </c>
      <c r="F1781" s="4"/>
      <c r="G1781" s="5" t="str">
        <f>TEXT(E1781,"mm")</f>
        <v>06</v>
      </c>
      <c r="H1781" s="6">
        <v>8167.18</v>
      </c>
      <c r="I1781">
        <v>102</v>
      </c>
      <c r="L1781" t="str">
        <f t="shared" si="27"/>
        <v>Above Average</v>
      </c>
      <c r="M1781">
        <f>RANK(H1781,H:H,0)</f>
        <v>902</v>
      </c>
    </row>
    <row r="1782" spans="1:13">
      <c r="A1782" t="s">
        <v>64</v>
      </c>
      <c r="B1782" t="s">
        <v>32</v>
      </c>
      <c r="C1782" t="s">
        <v>75</v>
      </c>
      <c r="D1782" s="4">
        <v>45083</v>
      </c>
      <c r="E1782" s="5" t="str">
        <f>TEXT(D1782,"dd/mm/yyyy")</f>
        <v>06/06/2023</v>
      </c>
      <c r="F1782" s="4"/>
      <c r="G1782" s="5" t="str">
        <f>TEXT(E1782,"mm")</f>
        <v>06</v>
      </c>
      <c r="H1782" s="6">
        <v>9950.14</v>
      </c>
      <c r="I1782">
        <v>6</v>
      </c>
      <c r="L1782" t="str">
        <f t="shared" si="27"/>
        <v>Above Average</v>
      </c>
      <c r="M1782">
        <f>RANK(H1782,H:H,0)</f>
        <v>591</v>
      </c>
    </row>
    <row r="1783" spans="1:13">
      <c r="A1783" t="s">
        <v>41</v>
      </c>
      <c r="B1783" t="s">
        <v>25</v>
      </c>
      <c r="C1783" t="s">
        <v>42</v>
      </c>
      <c r="D1783" s="3" t="s">
        <v>178</v>
      </c>
      <c r="E1783" s="5" t="str">
        <f>TEXT(D1783,"dd/mm/yyyy")</f>
        <v>24/05/2023</v>
      </c>
      <c r="G1783" s="5" t="str">
        <f>TEXT(E1783,"mm")</f>
        <v>24/05/2023</v>
      </c>
      <c r="H1783" s="6">
        <v>7229.26</v>
      </c>
      <c r="I1783">
        <v>215</v>
      </c>
      <c r="L1783" t="str">
        <f t="shared" si="27"/>
        <v>Above Average</v>
      </c>
      <c r="M1783">
        <f>RANK(H1783,H:H,0)</f>
        <v>1124</v>
      </c>
    </row>
    <row r="1784" spans="1:13">
      <c r="A1784" t="s">
        <v>22</v>
      </c>
      <c r="B1784" t="s">
        <v>7</v>
      </c>
      <c r="C1784" t="s">
        <v>26</v>
      </c>
      <c r="D1784" s="3" t="s">
        <v>167</v>
      </c>
      <c r="E1784" s="5" t="str">
        <f>TEXT(D1784,"dd/mm/yyyy")</f>
        <v>13/01/2023</v>
      </c>
      <c r="G1784" s="5" t="str">
        <f>TEXT(E1784,"mm")</f>
        <v>13/01/2023</v>
      </c>
      <c r="H1784" s="6">
        <v>2260.21</v>
      </c>
      <c r="I1784">
        <v>128</v>
      </c>
      <c r="L1784" t="str">
        <f t="shared" si="27"/>
        <v>Below Average</v>
      </c>
      <c r="M1784">
        <f>RANK(H1784,H:H,0)</f>
        <v>2565</v>
      </c>
    </row>
    <row r="1785" spans="1:13">
      <c r="A1785" t="s">
        <v>40</v>
      </c>
      <c r="B1785" t="s">
        <v>32</v>
      </c>
      <c r="C1785" t="s">
        <v>73</v>
      </c>
      <c r="D1785" s="3" t="s">
        <v>239</v>
      </c>
      <c r="E1785" s="5" t="str">
        <f>TEXT(D1785,"dd/mm/yyyy")</f>
        <v>23/05/2023</v>
      </c>
      <c r="G1785" s="5" t="str">
        <f>TEXT(E1785,"mm")</f>
        <v>23/05/2023</v>
      </c>
      <c r="H1785" s="6">
        <v>6206.9</v>
      </c>
      <c r="I1785">
        <v>149</v>
      </c>
      <c r="L1785" t="str">
        <f t="shared" si="27"/>
        <v>Above Average</v>
      </c>
      <c r="M1785">
        <f>RANK(H1785,H:H,0)</f>
        <v>1378</v>
      </c>
    </row>
    <row r="1786" spans="1:13">
      <c r="A1786" t="s">
        <v>6</v>
      </c>
      <c r="B1786" t="s">
        <v>7</v>
      </c>
      <c r="C1786" t="s">
        <v>59</v>
      </c>
      <c r="D1786" s="3" t="s">
        <v>179</v>
      </c>
      <c r="E1786" s="5" t="str">
        <f>TEXT(D1786,"dd/mm/yyyy")</f>
        <v>29/06/2023</v>
      </c>
      <c r="G1786" s="5" t="str">
        <f>TEXT(E1786,"mm")</f>
        <v>29/06/2023</v>
      </c>
      <c r="H1786" s="6">
        <v>1889.83</v>
      </c>
      <c r="I1786">
        <v>286</v>
      </c>
      <c r="L1786" t="str">
        <f t="shared" si="27"/>
        <v>Below Average</v>
      </c>
      <c r="M1786">
        <f>RANK(H1786,H:H,0)</f>
        <v>2668</v>
      </c>
    </row>
    <row r="1787" spans="1:13">
      <c r="A1787" t="s">
        <v>6</v>
      </c>
      <c r="B1787" t="s">
        <v>25</v>
      </c>
      <c r="C1787" t="s">
        <v>11</v>
      </c>
      <c r="D1787" s="4">
        <v>45233</v>
      </c>
      <c r="E1787" s="5" t="str">
        <f>TEXT(D1787,"dd/mm/yyyy")</f>
        <v>03/11/2023</v>
      </c>
      <c r="F1787" s="4"/>
      <c r="G1787" s="5" t="str">
        <f>TEXT(E1787,"mm")</f>
        <v>03</v>
      </c>
      <c r="H1787" s="6">
        <v>7797.24</v>
      </c>
      <c r="I1787">
        <v>88</v>
      </c>
      <c r="L1787" t="str">
        <f t="shared" si="27"/>
        <v>Above Average</v>
      </c>
      <c r="M1787">
        <f>RANK(H1787,H:H,0)</f>
        <v>991</v>
      </c>
    </row>
    <row r="1788" spans="1:13">
      <c r="A1788" t="s">
        <v>79</v>
      </c>
      <c r="B1788" t="s">
        <v>32</v>
      </c>
      <c r="C1788" t="s">
        <v>11</v>
      </c>
      <c r="D1788" s="3" t="s">
        <v>217</v>
      </c>
      <c r="E1788" s="5" t="str">
        <f>TEXT(D1788,"dd/mm/yyyy")</f>
        <v>25/04/2023</v>
      </c>
      <c r="G1788" s="5" t="str">
        <f>TEXT(E1788,"mm")</f>
        <v>25/04/2023</v>
      </c>
      <c r="H1788" s="6">
        <v>11644.92</v>
      </c>
      <c r="I1788">
        <v>536</v>
      </c>
      <c r="L1788" t="str">
        <f t="shared" si="27"/>
        <v>Above Average</v>
      </c>
      <c r="M1788">
        <f>RANK(H1788,H:H,0)</f>
        <v>382</v>
      </c>
    </row>
    <row r="1789" spans="1:13">
      <c r="A1789" t="s">
        <v>29</v>
      </c>
      <c r="B1789" t="s">
        <v>15</v>
      </c>
      <c r="C1789" t="s">
        <v>18</v>
      </c>
      <c r="D1789" s="3" t="s">
        <v>174</v>
      </c>
      <c r="E1789" s="5" t="str">
        <f>TEXT(D1789,"dd/mm/yyyy")</f>
        <v>30/05/2023</v>
      </c>
      <c r="G1789" s="5" t="str">
        <f>TEXT(E1789,"mm")</f>
        <v>30/05/2023</v>
      </c>
      <c r="H1789" s="6">
        <v>4207.22</v>
      </c>
      <c r="I1789">
        <v>255</v>
      </c>
      <c r="L1789" t="str">
        <f t="shared" si="27"/>
        <v>Below Average</v>
      </c>
      <c r="M1789">
        <f>RANK(H1789,H:H,0)</f>
        <v>1925</v>
      </c>
    </row>
    <row r="1790" spans="1:13">
      <c r="A1790" t="s">
        <v>48</v>
      </c>
      <c r="B1790" t="s">
        <v>10</v>
      </c>
      <c r="C1790" t="s">
        <v>60</v>
      </c>
      <c r="D1790" s="3" t="s">
        <v>239</v>
      </c>
      <c r="E1790" s="5" t="str">
        <f>TEXT(D1790,"dd/mm/yyyy")</f>
        <v>23/05/2023</v>
      </c>
      <c r="G1790" s="5" t="str">
        <f>TEXT(E1790,"mm")</f>
        <v>23/05/2023</v>
      </c>
      <c r="H1790" s="6">
        <v>1683.88</v>
      </c>
      <c r="I1790">
        <v>169</v>
      </c>
      <c r="L1790" t="str">
        <f t="shared" si="27"/>
        <v>Below Average</v>
      </c>
      <c r="M1790">
        <f>RANK(H1790,H:H,0)</f>
        <v>2738</v>
      </c>
    </row>
    <row r="1791" spans="1:13">
      <c r="A1791" t="s">
        <v>34</v>
      </c>
      <c r="B1791" t="s">
        <v>32</v>
      </c>
      <c r="C1791" t="s">
        <v>13</v>
      </c>
      <c r="D1791" s="3" t="s">
        <v>239</v>
      </c>
      <c r="E1791" s="5" t="str">
        <f>TEXT(D1791,"dd/mm/yyyy")</f>
        <v>23/05/2023</v>
      </c>
      <c r="G1791" s="5" t="str">
        <f>TEXT(E1791,"mm")</f>
        <v>23/05/2023</v>
      </c>
      <c r="H1791" s="6">
        <v>1337.36</v>
      </c>
      <c r="I1791">
        <v>18</v>
      </c>
      <c r="L1791" t="str">
        <f t="shared" si="27"/>
        <v>Below Average</v>
      </c>
      <c r="M1791">
        <f>RANK(H1791,H:H,0)</f>
        <v>2864</v>
      </c>
    </row>
    <row r="1792" spans="1:13">
      <c r="A1792" t="s">
        <v>9</v>
      </c>
      <c r="B1792" t="s">
        <v>35</v>
      </c>
      <c r="C1792" t="s">
        <v>13</v>
      </c>
      <c r="D1792" s="3" t="s">
        <v>246</v>
      </c>
      <c r="E1792" s="5" t="str">
        <f>TEXT(D1792,"dd/mm/yyyy")</f>
        <v>24/06/2023</v>
      </c>
      <c r="G1792" s="5" t="str">
        <f>TEXT(E1792,"mm")</f>
        <v>24/06/2023</v>
      </c>
      <c r="H1792" s="6">
        <v>7147.04</v>
      </c>
      <c r="I1792">
        <v>300</v>
      </c>
      <c r="L1792" t="str">
        <f t="shared" si="27"/>
        <v>Above Average</v>
      </c>
      <c r="M1792">
        <f>RANK(H1792,H:H,0)</f>
        <v>1148</v>
      </c>
    </row>
    <row r="1793" spans="1:13">
      <c r="A1793" t="s">
        <v>70</v>
      </c>
      <c r="B1793" t="s">
        <v>25</v>
      </c>
      <c r="C1793" t="s">
        <v>18</v>
      </c>
      <c r="D1793" s="4">
        <v>45233</v>
      </c>
      <c r="E1793" s="5" t="str">
        <f>TEXT(D1793,"dd/mm/yyyy")</f>
        <v>03/11/2023</v>
      </c>
      <c r="F1793" s="4"/>
      <c r="G1793" s="5" t="str">
        <f>TEXT(E1793,"mm")</f>
        <v>03</v>
      </c>
      <c r="H1793" s="6">
        <v>12030.46</v>
      </c>
      <c r="I1793">
        <v>296</v>
      </c>
      <c r="L1793" t="str">
        <f t="shared" si="27"/>
        <v>Above Average</v>
      </c>
      <c r="M1793">
        <f>RANK(H1793,H:H,0)</f>
        <v>345</v>
      </c>
    </row>
    <row r="1794" spans="1:13">
      <c r="A1794" t="s">
        <v>29</v>
      </c>
      <c r="B1794" t="s">
        <v>32</v>
      </c>
      <c r="C1794" t="s">
        <v>18</v>
      </c>
      <c r="D1794" s="3" t="s">
        <v>232</v>
      </c>
      <c r="E1794" s="5" t="str">
        <f>TEXT(D1794,"dd/mm/yyyy")</f>
        <v>27/07/2023</v>
      </c>
      <c r="G1794" s="5" t="str">
        <f>TEXT(E1794,"mm")</f>
        <v>27/07/2023</v>
      </c>
      <c r="H1794" s="6">
        <v>15844.58</v>
      </c>
      <c r="I1794">
        <v>232</v>
      </c>
      <c r="L1794" t="str">
        <f t="shared" si="27"/>
        <v>Above Average</v>
      </c>
      <c r="M1794">
        <f>RANK(H1794,H:H,0)</f>
        <v>107</v>
      </c>
    </row>
    <row r="1795" spans="1:13">
      <c r="A1795" t="s">
        <v>29</v>
      </c>
      <c r="B1795" t="s">
        <v>32</v>
      </c>
      <c r="C1795" t="s">
        <v>59</v>
      </c>
      <c r="D1795" s="3" t="s">
        <v>259</v>
      </c>
      <c r="E1795" s="5" t="str">
        <f>TEXT(D1795,"dd/mm/yyyy")</f>
        <v>16/08/2023</v>
      </c>
      <c r="G1795" s="5" t="str">
        <f>TEXT(E1795,"mm")</f>
        <v>16/08/2023</v>
      </c>
      <c r="H1795" s="6">
        <v>5025.84</v>
      </c>
      <c r="I1795">
        <v>133</v>
      </c>
      <c r="L1795" t="str">
        <f t="shared" ref="L1795:L1858" si="28">IF(H1795&gt;6030.34,"Above Average","Below Average")</f>
        <v>Below Average</v>
      </c>
      <c r="M1795">
        <f>RANK(H1795,H:H,0)</f>
        <v>1700</v>
      </c>
    </row>
    <row r="1796" spans="1:13">
      <c r="A1796" t="s">
        <v>45</v>
      </c>
      <c r="B1796" t="s">
        <v>35</v>
      </c>
      <c r="C1796" t="s">
        <v>18</v>
      </c>
      <c r="D1796" s="4">
        <v>45110</v>
      </c>
      <c r="E1796" s="5" t="str">
        <f>TEXT(D1796,"dd/mm/yyyy")</f>
        <v>03/07/2023</v>
      </c>
      <c r="F1796" s="4"/>
      <c r="G1796" s="5" t="str">
        <f>TEXT(E1796,"mm")</f>
        <v>03</v>
      </c>
      <c r="H1796" s="6">
        <v>9902.0300000000007</v>
      </c>
      <c r="I1796">
        <v>12</v>
      </c>
      <c r="L1796" t="str">
        <f t="shared" si="28"/>
        <v>Above Average</v>
      </c>
      <c r="M1796">
        <f>RANK(H1796,H:H,0)</f>
        <v>594</v>
      </c>
    </row>
    <row r="1797" spans="1:13">
      <c r="A1797" t="s">
        <v>48</v>
      </c>
      <c r="B1797" t="s">
        <v>25</v>
      </c>
      <c r="C1797" t="s">
        <v>23</v>
      </c>
      <c r="D1797" s="4">
        <v>45050</v>
      </c>
      <c r="E1797" s="5" t="str">
        <f>TEXT(D1797,"dd/mm/yyyy")</f>
        <v>04/05/2023</v>
      </c>
      <c r="F1797" s="4"/>
      <c r="G1797" s="5" t="str">
        <f>TEXT(E1797,"mm")</f>
        <v>04</v>
      </c>
      <c r="H1797" s="6">
        <v>7944.07</v>
      </c>
      <c r="I1797">
        <v>33</v>
      </c>
      <c r="L1797" t="str">
        <f t="shared" si="28"/>
        <v>Above Average</v>
      </c>
      <c r="M1797">
        <f>RANK(H1797,H:H,0)</f>
        <v>952</v>
      </c>
    </row>
    <row r="1798" spans="1:13">
      <c r="A1798" t="s">
        <v>71</v>
      </c>
      <c r="B1798" t="s">
        <v>10</v>
      </c>
      <c r="C1798" t="s">
        <v>11</v>
      </c>
      <c r="D1798" s="4">
        <v>45021</v>
      </c>
      <c r="E1798" s="5" t="str">
        <f>TEXT(D1798,"dd/mm/yyyy")</f>
        <v>05/04/2023</v>
      </c>
      <c r="F1798" s="4"/>
      <c r="G1798" s="5" t="str">
        <f>TEXT(E1798,"mm")</f>
        <v>05</v>
      </c>
      <c r="H1798" s="6">
        <v>9523.65</v>
      </c>
      <c r="I1798">
        <v>55</v>
      </c>
      <c r="L1798" t="str">
        <f t="shared" si="28"/>
        <v>Above Average</v>
      </c>
      <c r="M1798">
        <f>RANK(H1798,H:H,0)</f>
        <v>653</v>
      </c>
    </row>
    <row r="1799" spans="1:13">
      <c r="A1799" t="s">
        <v>83</v>
      </c>
      <c r="B1799" t="s">
        <v>32</v>
      </c>
      <c r="C1799" t="s">
        <v>75</v>
      </c>
      <c r="D1799" s="4">
        <v>45017</v>
      </c>
      <c r="E1799" s="5" t="str">
        <f>TEXT(D1799,"dd/mm/yyyy")</f>
        <v>01/04/2023</v>
      </c>
      <c r="F1799" s="4"/>
      <c r="G1799" s="5" t="str">
        <f>TEXT(E1799,"mm")</f>
        <v>01</v>
      </c>
      <c r="H1799" s="6">
        <v>16240.71</v>
      </c>
      <c r="I1799">
        <v>93</v>
      </c>
      <c r="L1799" t="str">
        <f t="shared" si="28"/>
        <v>Above Average</v>
      </c>
      <c r="M1799">
        <f>RANK(H1799,H:H,0)</f>
        <v>93</v>
      </c>
    </row>
    <row r="1800" spans="1:13">
      <c r="A1800" t="s">
        <v>40</v>
      </c>
      <c r="B1800" t="s">
        <v>15</v>
      </c>
      <c r="C1800" t="s">
        <v>87</v>
      </c>
      <c r="D1800" s="3" t="s">
        <v>167</v>
      </c>
      <c r="E1800" s="5" t="str">
        <f>TEXT(D1800,"dd/mm/yyyy")</f>
        <v>13/01/2023</v>
      </c>
      <c r="G1800" s="5" t="str">
        <f>TEXT(E1800,"mm")</f>
        <v>13/01/2023</v>
      </c>
      <c r="H1800" s="6">
        <v>5891.94</v>
      </c>
      <c r="I1800">
        <v>109</v>
      </c>
      <c r="L1800" t="str">
        <f t="shared" si="28"/>
        <v>Below Average</v>
      </c>
      <c r="M1800">
        <f>RANK(H1800,H:H,0)</f>
        <v>1462</v>
      </c>
    </row>
    <row r="1801" spans="1:13">
      <c r="A1801" t="s">
        <v>64</v>
      </c>
      <c r="B1801" t="s">
        <v>25</v>
      </c>
      <c r="C1801" t="s">
        <v>57</v>
      </c>
      <c r="D1801" s="4">
        <v>45237</v>
      </c>
      <c r="E1801" s="5" t="str">
        <f>TEXT(D1801,"dd/mm/yyyy")</f>
        <v>07/11/2023</v>
      </c>
      <c r="F1801" s="4"/>
      <c r="G1801" s="5" t="str">
        <f>TEXT(E1801,"mm")</f>
        <v>07</v>
      </c>
      <c r="H1801" s="6">
        <v>6924.52</v>
      </c>
      <c r="I1801">
        <v>94</v>
      </c>
      <c r="L1801" t="str">
        <f t="shared" si="28"/>
        <v>Above Average</v>
      </c>
      <c r="M1801">
        <f>RANK(H1801,H:H,0)</f>
        <v>1200</v>
      </c>
    </row>
    <row r="1802" spans="1:13">
      <c r="A1802" t="s">
        <v>55</v>
      </c>
      <c r="B1802" t="s">
        <v>15</v>
      </c>
      <c r="C1802" t="s">
        <v>8</v>
      </c>
      <c r="D1802" s="3" t="s">
        <v>247</v>
      </c>
      <c r="E1802" s="5" t="str">
        <f>TEXT(D1802,"dd/mm/yyyy")</f>
        <v>17/05/2023</v>
      </c>
      <c r="G1802" s="5" t="str">
        <f>TEXT(E1802,"mm")</f>
        <v>17/05/2023</v>
      </c>
      <c r="H1802" s="6">
        <v>4552.57</v>
      </c>
      <c r="I1802">
        <v>158</v>
      </c>
      <c r="L1802" t="str">
        <f t="shared" si="28"/>
        <v>Below Average</v>
      </c>
      <c r="M1802">
        <f>RANK(H1802,H:H,0)</f>
        <v>1835</v>
      </c>
    </row>
    <row r="1803" spans="1:13">
      <c r="A1803" t="s">
        <v>71</v>
      </c>
      <c r="B1803" t="s">
        <v>25</v>
      </c>
      <c r="C1803" t="s">
        <v>13</v>
      </c>
      <c r="D1803" s="3" t="s">
        <v>244</v>
      </c>
      <c r="E1803" s="5" t="str">
        <f>TEXT(D1803,"dd/mm/yyyy")</f>
        <v>21/07/2023</v>
      </c>
      <c r="G1803" s="5" t="str">
        <f>TEXT(E1803,"mm")</f>
        <v>21/07/2023</v>
      </c>
      <c r="H1803" s="6">
        <v>1724.91</v>
      </c>
      <c r="I1803">
        <v>60</v>
      </c>
      <c r="L1803" t="str">
        <f t="shared" si="28"/>
        <v>Below Average</v>
      </c>
      <c r="M1803">
        <f>RANK(H1803,H:H,0)</f>
        <v>2726</v>
      </c>
    </row>
    <row r="1804" spans="1:13">
      <c r="A1804" t="s">
        <v>48</v>
      </c>
      <c r="B1804" t="s">
        <v>35</v>
      </c>
      <c r="C1804" t="s">
        <v>42</v>
      </c>
      <c r="D1804" s="3" t="s">
        <v>228</v>
      </c>
      <c r="E1804" s="5" t="str">
        <f>TEXT(D1804,"dd/mm/yyyy")</f>
        <v>22/02/2023</v>
      </c>
      <c r="G1804" s="5" t="str">
        <f>TEXT(E1804,"mm")</f>
        <v>22/02/2023</v>
      </c>
      <c r="H1804" s="6">
        <v>897.3</v>
      </c>
      <c r="I1804">
        <v>21</v>
      </c>
      <c r="L1804" t="str">
        <f t="shared" si="28"/>
        <v>Below Average</v>
      </c>
      <c r="M1804">
        <f>RANK(H1804,H:H,0)</f>
        <v>3003</v>
      </c>
    </row>
    <row r="1805" spans="1:13">
      <c r="A1805" t="s">
        <v>14</v>
      </c>
      <c r="B1805" t="s">
        <v>10</v>
      </c>
      <c r="C1805" t="s">
        <v>20</v>
      </c>
      <c r="D1805" s="3" t="s">
        <v>239</v>
      </c>
      <c r="E1805" s="5" t="str">
        <f>TEXT(D1805,"dd/mm/yyyy")</f>
        <v>23/05/2023</v>
      </c>
      <c r="G1805" s="5" t="str">
        <f>TEXT(E1805,"mm")</f>
        <v>23/05/2023</v>
      </c>
      <c r="H1805" s="6">
        <v>10283.9</v>
      </c>
      <c r="I1805">
        <v>178</v>
      </c>
      <c r="L1805" t="str">
        <f t="shared" si="28"/>
        <v>Above Average</v>
      </c>
      <c r="M1805">
        <f>RANK(H1805,H:H,0)</f>
        <v>535</v>
      </c>
    </row>
    <row r="1806" spans="1:13">
      <c r="A1806" t="s">
        <v>29</v>
      </c>
      <c r="B1806" t="s">
        <v>35</v>
      </c>
      <c r="C1806" t="s">
        <v>38</v>
      </c>
      <c r="D1806" s="4">
        <v>45267</v>
      </c>
      <c r="E1806" s="5" t="str">
        <f>TEXT(D1806,"dd/mm/yyyy")</f>
        <v>07/12/2023</v>
      </c>
      <c r="F1806" s="4"/>
      <c r="G1806" s="5" t="str">
        <f>TEXT(E1806,"mm")</f>
        <v>07</v>
      </c>
      <c r="H1806" s="6">
        <v>10415.77</v>
      </c>
      <c r="I1806">
        <v>200</v>
      </c>
      <c r="L1806" t="str">
        <f t="shared" si="28"/>
        <v>Above Average</v>
      </c>
      <c r="M1806">
        <f>RANK(H1806,H:H,0)</f>
        <v>520</v>
      </c>
    </row>
    <row r="1807" spans="1:13">
      <c r="A1807" t="s">
        <v>14</v>
      </c>
      <c r="B1807" t="s">
        <v>7</v>
      </c>
      <c r="C1807" t="s">
        <v>33</v>
      </c>
      <c r="D1807" s="3" t="s">
        <v>177</v>
      </c>
      <c r="E1807" s="5" t="str">
        <f>TEXT(D1807,"dd/mm/yyyy")</f>
        <v>15/06/2023</v>
      </c>
      <c r="G1807" s="5" t="str">
        <f>TEXT(E1807,"mm")</f>
        <v>15/06/2023</v>
      </c>
      <c r="H1807" s="6">
        <v>4220.83</v>
      </c>
      <c r="I1807">
        <v>193</v>
      </c>
      <c r="L1807" t="str">
        <f t="shared" si="28"/>
        <v>Below Average</v>
      </c>
      <c r="M1807">
        <f>RANK(H1807,H:H,0)</f>
        <v>1923</v>
      </c>
    </row>
    <row r="1808" spans="1:13">
      <c r="A1808" t="s">
        <v>31</v>
      </c>
      <c r="B1808" t="s">
        <v>25</v>
      </c>
      <c r="C1808" t="s">
        <v>26</v>
      </c>
      <c r="D1808" s="3" t="s">
        <v>245</v>
      </c>
      <c r="E1808" s="5" t="str">
        <f>TEXT(D1808,"dd/mm/yyyy")</f>
        <v>23/06/2023</v>
      </c>
      <c r="G1808" s="5" t="str">
        <f>TEXT(E1808,"mm")</f>
        <v>23/06/2023</v>
      </c>
      <c r="H1808" s="6">
        <v>4909.8599999999997</v>
      </c>
      <c r="I1808">
        <v>304</v>
      </c>
      <c r="L1808" t="str">
        <f t="shared" si="28"/>
        <v>Below Average</v>
      </c>
      <c r="M1808">
        <f>RANK(H1808,H:H,0)</f>
        <v>1727</v>
      </c>
    </row>
    <row r="1809" spans="1:13">
      <c r="A1809" t="s">
        <v>48</v>
      </c>
      <c r="B1809" t="s">
        <v>15</v>
      </c>
      <c r="C1809" t="s">
        <v>36</v>
      </c>
      <c r="D1809" s="3" t="s">
        <v>235</v>
      </c>
      <c r="E1809" s="5" t="str">
        <f>TEXT(D1809,"dd/mm/yyyy")</f>
        <v>25/03/2023</v>
      </c>
      <c r="G1809" s="5" t="str">
        <f>TEXT(E1809,"mm")</f>
        <v>25/03/2023</v>
      </c>
      <c r="H1809" s="6">
        <v>6549.62</v>
      </c>
      <c r="I1809">
        <v>53</v>
      </c>
      <c r="L1809" t="str">
        <f t="shared" si="28"/>
        <v>Above Average</v>
      </c>
      <c r="M1809">
        <f>RANK(H1809,H:H,0)</f>
        <v>1295</v>
      </c>
    </row>
    <row r="1810" spans="1:13">
      <c r="A1810" t="s">
        <v>14</v>
      </c>
      <c r="B1810" t="s">
        <v>10</v>
      </c>
      <c r="C1810" t="s">
        <v>90</v>
      </c>
      <c r="D1810" s="4">
        <v>45023</v>
      </c>
      <c r="E1810" s="5" t="str">
        <f>TEXT(D1810,"dd/mm/yyyy")</f>
        <v>07/04/2023</v>
      </c>
      <c r="F1810" s="4"/>
      <c r="G1810" s="5" t="str">
        <f>TEXT(E1810,"mm")</f>
        <v>07</v>
      </c>
      <c r="H1810" s="6">
        <v>88.72</v>
      </c>
      <c r="I1810">
        <v>165</v>
      </c>
      <c r="L1810" t="str">
        <f t="shared" si="28"/>
        <v>Below Average</v>
      </c>
      <c r="M1810">
        <f>RANK(H1810,H:H,0)</f>
        <v>3249</v>
      </c>
    </row>
    <row r="1811" spans="1:13">
      <c r="A1811" t="s">
        <v>67</v>
      </c>
      <c r="B1811" t="s">
        <v>7</v>
      </c>
      <c r="C1811" t="s">
        <v>59</v>
      </c>
      <c r="D1811" s="4">
        <v>45265</v>
      </c>
      <c r="E1811" s="5" t="str">
        <f>TEXT(D1811,"dd/mm/yyyy")</f>
        <v>05/12/2023</v>
      </c>
      <c r="F1811" s="4"/>
      <c r="G1811" s="5" t="str">
        <f>TEXT(E1811,"mm")</f>
        <v>05</v>
      </c>
      <c r="H1811" s="6">
        <v>9793.16</v>
      </c>
      <c r="I1811">
        <v>110</v>
      </c>
      <c r="L1811" t="str">
        <f t="shared" si="28"/>
        <v>Above Average</v>
      </c>
      <c r="M1811">
        <f>RANK(H1811,H:H,0)</f>
        <v>614</v>
      </c>
    </row>
    <row r="1812" spans="1:13">
      <c r="A1812" t="s">
        <v>71</v>
      </c>
      <c r="B1812" t="s">
        <v>25</v>
      </c>
      <c r="C1812" t="s">
        <v>73</v>
      </c>
      <c r="D1812" s="4">
        <v>45020</v>
      </c>
      <c r="E1812" s="5" t="str">
        <f>TEXT(D1812,"dd/mm/yyyy")</f>
        <v>04/04/2023</v>
      </c>
      <c r="F1812" s="4"/>
      <c r="G1812" s="5" t="str">
        <f>TEXT(E1812,"mm")</f>
        <v>04</v>
      </c>
      <c r="H1812" s="6">
        <v>4823.6499999999996</v>
      </c>
      <c r="I1812">
        <v>143</v>
      </c>
      <c r="L1812" t="str">
        <f t="shared" si="28"/>
        <v>Below Average</v>
      </c>
      <c r="M1812">
        <f>RANK(H1812,H:H,0)</f>
        <v>1758</v>
      </c>
    </row>
    <row r="1813" spans="1:13">
      <c r="A1813" t="s">
        <v>77</v>
      </c>
      <c r="B1813" t="s">
        <v>15</v>
      </c>
      <c r="C1813" t="s">
        <v>33</v>
      </c>
      <c r="D1813" s="3" t="s">
        <v>184</v>
      </c>
      <c r="E1813" s="5" t="str">
        <f>TEXT(D1813,"dd/mm/yyyy")</f>
        <v>15/04/2023</v>
      </c>
      <c r="G1813" s="5" t="str">
        <f>TEXT(E1813,"mm")</f>
        <v>15/04/2023</v>
      </c>
      <c r="H1813" s="6">
        <v>7556.55</v>
      </c>
      <c r="I1813">
        <v>404</v>
      </c>
      <c r="L1813" t="str">
        <f t="shared" si="28"/>
        <v>Above Average</v>
      </c>
      <c r="M1813">
        <f>RANK(H1813,H:H,0)</f>
        <v>1054</v>
      </c>
    </row>
    <row r="1814" spans="1:13">
      <c r="A1814" t="s">
        <v>45</v>
      </c>
      <c r="B1814" t="s">
        <v>35</v>
      </c>
      <c r="C1814" t="s">
        <v>36</v>
      </c>
      <c r="D1814" s="4">
        <v>45141</v>
      </c>
      <c r="E1814" s="5" t="str">
        <f>TEXT(D1814,"dd/mm/yyyy")</f>
        <v>03/08/2023</v>
      </c>
      <c r="F1814" s="4"/>
      <c r="G1814" s="5" t="str">
        <f>TEXT(E1814,"mm")</f>
        <v>03</v>
      </c>
      <c r="H1814" s="6">
        <v>7082.03</v>
      </c>
      <c r="I1814">
        <v>95</v>
      </c>
      <c r="L1814" t="str">
        <f t="shared" si="28"/>
        <v>Above Average</v>
      </c>
      <c r="M1814">
        <f>RANK(H1814,H:H,0)</f>
        <v>1162</v>
      </c>
    </row>
    <row r="1815" spans="1:13">
      <c r="A1815" t="s">
        <v>37</v>
      </c>
      <c r="B1815" t="s">
        <v>10</v>
      </c>
      <c r="C1815" t="s">
        <v>59</v>
      </c>
      <c r="D1815" s="3" t="s">
        <v>255</v>
      </c>
      <c r="E1815" s="5" t="str">
        <f>TEXT(D1815,"dd/mm/yyyy")</f>
        <v>17/01/2023</v>
      </c>
      <c r="G1815" s="5" t="str">
        <f>TEXT(E1815,"mm")</f>
        <v>17/01/2023</v>
      </c>
      <c r="H1815" s="6">
        <v>8361.4699999999993</v>
      </c>
      <c r="I1815">
        <v>231</v>
      </c>
      <c r="L1815" t="str">
        <f t="shared" si="28"/>
        <v>Above Average</v>
      </c>
      <c r="M1815">
        <f>RANK(H1815,H:H,0)</f>
        <v>861</v>
      </c>
    </row>
    <row r="1816" spans="1:13">
      <c r="A1816" t="s">
        <v>64</v>
      </c>
      <c r="B1816" t="s">
        <v>10</v>
      </c>
      <c r="C1816" t="s">
        <v>8</v>
      </c>
      <c r="D1816" s="3" t="s">
        <v>186</v>
      </c>
      <c r="E1816" s="5" t="str">
        <f>TEXT(D1816,"dd/mm/yyyy")</f>
        <v>22/08/2023</v>
      </c>
      <c r="G1816" s="5" t="str">
        <f>TEXT(E1816,"mm")</f>
        <v>22/08/2023</v>
      </c>
      <c r="H1816" s="6">
        <v>1310.5</v>
      </c>
      <c r="I1816">
        <v>52</v>
      </c>
      <c r="L1816" t="str">
        <f t="shared" si="28"/>
        <v>Below Average</v>
      </c>
      <c r="M1816">
        <f>RANK(H1816,H:H,0)</f>
        <v>2870</v>
      </c>
    </row>
    <row r="1817" spans="1:13">
      <c r="A1817" t="s">
        <v>67</v>
      </c>
      <c r="B1817" t="s">
        <v>7</v>
      </c>
      <c r="C1817" t="s">
        <v>20</v>
      </c>
      <c r="D1817" s="3" t="s">
        <v>216</v>
      </c>
      <c r="E1817" s="5" t="str">
        <f>TEXT(D1817,"dd/mm/yyyy")</f>
        <v>25/07/2023</v>
      </c>
      <c r="G1817" s="5" t="str">
        <f>TEXT(E1817,"mm")</f>
        <v>25/07/2023</v>
      </c>
      <c r="H1817" s="6">
        <v>1288.0999999999999</v>
      </c>
      <c r="I1817">
        <v>67</v>
      </c>
      <c r="L1817" t="str">
        <f t="shared" si="28"/>
        <v>Below Average</v>
      </c>
      <c r="M1817">
        <f>RANK(H1817,H:H,0)</f>
        <v>2877</v>
      </c>
    </row>
    <row r="1818" spans="1:13">
      <c r="A1818" t="s">
        <v>40</v>
      </c>
      <c r="B1818" t="s">
        <v>7</v>
      </c>
      <c r="C1818" t="s">
        <v>26</v>
      </c>
      <c r="D1818" s="3" t="s">
        <v>230</v>
      </c>
      <c r="E1818" s="5" t="str">
        <f>TEXT(D1818,"dd/mm/yyyy")</f>
        <v>14/06/2023</v>
      </c>
      <c r="G1818" s="5" t="str">
        <f>TEXT(E1818,"mm")</f>
        <v>14/06/2023</v>
      </c>
      <c r="H1818" s="6">
        <v>3288.29</v>
      </c>
      <c r="I1818">
        <v>133</v>
      </c>
      <c r="L1818" t="str">
        <f t="shared" si="28"/>
        <v>Below Average</v>
      </c>
      <c r="M1818">
        <f>RANK(H1818,H:H,0)</f>
        <v>2213</v>
      </c>
    </row>
    <row r="1819" spans="1:13">
      <c r="A1819" t="s">
        <v>83</v>
      </c>
      <c r="B1819" t="s">
        <v>10</v>
      </c>
      <c r="C1819" t="s">
        <v>75</v>
      </c>
      <c r="D1819" s="4">
        <v>45050</v>
      </c>
      <c r="E1819" s="5" t="str">
        <f>TEXT(D1819,"dd/mm/yyyy")</f>
        <v>04/05/2023</v>
      </c>
      <c r="F1819" s="4"/>
      <c r="G1819" s="5" t="str">
        <f>TEXT(E1819,"mm")</f>
        <v>04</v>
      </c>
      <c r="H1819" s="6">
        <v>10669.09</v>
      </c>
      <c r="I1819">
        <v>85</v>
      </c>
      <c r="L1819" t="str">
        <f t="shared" si="28"/>
        <v>Above Average</v>
      </c>
      <c r="M1819">
        <f>RANK(H1819,H:H,0)</f>
        <v>493</v>
      </c>
    </row>
    <row r="1820" spans="1:13">
      <c r="A1820" t="s">
        <v>77</v>
      </c>
      <c r="B1820" t="s">
        <v>7</v>
      </c>
      <c r="C1820" t="s">
        <v>73</v>
      </c>
      <c r="D1820" s="3" t="s">
        <v>197</v>
      </c>
      <c r="E1820" s="5" t="str">
        <f>TEXT(D1820,"dd/mm/yyyy")</f>
        <v>26/08/2023</v>
      </c>
      <c r="G1820" s="5" t="str">
        <f>TEXT(E1820,"mm")</f>
        <v>26/08/2023</v>
      </c>
      <c r="H1820" s="6">
        <v>7361.93</v>
      </c>
      <c r="I1820">
        <v>344</v>
      </c>
      <c r="L1820" t="str">
        <f t="shared" si="28"/>
        <v>Above Average</v>
      </c>
      <c r="M1820">
        <f>RANK(H1820,H:H,0)</f>
        <v>1096</v>
      </c>
    </row>
    <row r="1821" spans="1:13">
      <c r="A1821" t="s">
        <v>64</v>
      </c>
      <c r="B1821" t="s">
        <v>15</v>
      </c>
      <c r="C1821" t="s">
        <v>26</v>
      </c>
      <c r="D1821" s="4">
        <v>44993</v>
      </c>
      <c r="E1821" s="5" t="str">
        <f>TEXT(D1821,"dd/mm/yyyy")</f>
        <v>08/03/2023</v>
      </c>
      <c r="F1821" s="4"/>
      <c r="G1821" s="5" t="str">
        <f>TEXT(E1821,"mm")</f>
        <v>08</v>
      </c>
      <c r="H1821" s="6">
        <v>10336.219999999999</v>
      </c>
      <c r="I1821">
        <v>123</v>
      </c>
      <c r="L1821" t="str">
        <f t="shared" si="28"/>
        <v>Above Average</v>
      </c>
      <c r="M1821">
        <f>RANK(H1821,H:H,0)</f>
        <v>529</v>
      </c>
    </row>
    <row r="1822" spans="1:13">
      <c r="A1822" t="s">
        <v>12</v>
      </c>
      <c r="B1822" t="s">
        <v>35</v>
      </c>
      <c r="C1822" t="s">
        <v>59</v>
      </c>
      <c r="D1822" s="4">
        <v>45237</v>
      </c>
      <c r="E1822" s="5" t="str">
        <f>TEXT(D1822,"dd/mm/yyyy")</f>
        <v>07/11/2023</v>
      </c>
      <c r="F1822" s="4"/>
      <c r="G1822" s="5" t="str">
        <f>TEXT(E1822,"mm")</f>
        <v>07</v>
      </c>
      <c r="H1822" s="6">
        <v>6985.95</v>
      </c>
      <c r="I1822">
        <v>4</v>
      </c>
      <c r="L1822" t="str">
        <f t="shared" si="28"/>
        <v>Above Average</v>
      </c>
      <c r="M1822">
        <f>RANK(H1822,H:H,0)</f>
        <v>1185</v>
      </c>
    </row>
    <row r="1823" spans="1:13">
      <c r="A1823" t="s">
        <v>64</v>
      </c>
      <c r="B1823" t="s">
        <v>25</v>
      </c>
      <c r="C1823" t="s">
        <v>36</v>
      </c>
      <c r="D1823" s="4">
        <v>45233</v>
      </c>
      <c r="E1823" s="5" t="str">
        <f>TEXT(D1823,"dd/mm/yyyy")</f>
        <v>03/11/2023</v>
      </c>
      <c r="F1823" s="4"/>
      <c r="G1823" s="5" t="str">
        <f>TEXT(E1823,"mm")</f>
        <v>03</v>
      </c>
      <c r="H1823" s="6">
        <v>3394.46</v>
      </c>
      <c r="I1823">
        <v>21</v>
      </c>
      <c r="L1823" t="str">
        <f t="shared" si="28"/>
        <v>Below Average</v>
      </c>
      <c r="M1823">
        <f>RANK(H1823,H:H,0)</f>
        <v>2177</v>
      </c>
    </row>
    <row r="1824" spans="1:13">
      <c r="A1824" t="s">
        <v>28</v>
      </c>
      <c r="B1824" t="s">
        <v>7</v>
      </c>
      <c r="C1824" t="s">
        <v>13</v>
      </c>
      <c r="D1824" s="4">
        <v>45200</v>
      </c>
      <c r="E1824" s="5" t="str">
        <f>TEXT(D1824,"dd/mm/yyyy")</f>
        <v>01/10/2023</v>
      </c>
      <c r="F1824" s="4"/>
      <c r="G1824" s="5" t="str">
        <f>TEXT(E1824,"mm")</f>
        <v>01</v>
      </c>
      <c r="H1824" s="6">
        <v>15337.23</v>
      </c>
      <c r="I1824">
        <v>31</v>
      </c>
      <c r="L1824" t="str">
        <f t="shared" si="28"/>
        <v>Above Average</v>
      </c>
      <c r="M1824">
        <f>RANK(H1824,H:H,0)</f>
        <v>135</v>
      </c>
    </row>
    <row r="1825" spans="1:13">
      <c r="A1825" t="s">
        <v>45</v>
      </c>
      <c r="B1825" t="s">
        <v>7</v>
      </c>
      <c r="C1825" t="s">
        <v>87</v>
      </c>
      <c r="D1825" s="4">
        <v>45020</v>
      </c>
      <c r="E1825" s="5" t="str">
        <f>TEXT(D1825,"dd/mm/yyyy")</f>
        <v>04/04/2023</v>
      </c>
      <c r="F1825" s="4"/>
      <c r="G1825" s="5" t="str">
        <f>TEXT(E1825,"mm")</f>
        <v>04</v>
      </c>
      <c r="H1825" s="6">
        <v>15925.17</v>
      </c>
      <c r="I1825">
        <v>378</v>
      </c>
      <c r="L1825" t="str">
        <f t="shared" si="28"/>
        <v>Above Average</v>
      </c>
      <c r="M1825">
        <f>RANK(H1825,H:H,0)</f>
        <v>103</v>
      </c>
    </row>
    <row r="1826" spans="1:13">
      <c r="A1826" t="s">
        <v>37</v>
      </c>
      <c r="B1826" t="s">
        <v>15</v>
      </c>
      <c r="C1826" t="s">
        <v>26</v>
      </c>
      <c r="D1826" s="3" t="s">
        <v>255</v>
      </c>
      <c r="E1826" s="5" t="str">
        <f>TEXT(D1826,"dd/mm/yyyy")</f>
        <v>17/01/2023</v>
      </c>
      <c r="G1826" s="5" t="str">
        <f>TEXT(E1826,"mm")</f>
        <v>17/01/2023</v>
      </c>
      <c r="H1826" s="6">
        <v>7355.77</v>
      </c>
      <c r="I1826">
        <v>772</v>
      </c>
      <c r="L1826" t="str">
        <f t="shared" si="28"/>
        <v>Above Average</v>
      </c>
      <c r="M1826">
        <f>RANK(H1826,H:H,0)</f>
        <v>1100</v>
      </c>
    </row>
    <row r="1827" spans="1:13">
      <c r="A1827" t="s">
        <v>40</v>
      </c>
      <c r="B1827" t="s">
        <v>25</v>
      </c>
      <c r="C1827" t="s">
        <v>42</v>
      </c>
      <c r="D1827" s="4">
        <v>45145</v>
      </c>
      <c r="E1827" s="5" t="str">
        <f>TEXT(D1827,"dd/mm/yyyy")</f>
        <v>07/08/2023</v>
      </c>
      <c r="F1827" s="4"/>
      <c r="G1827" s="5" t="str">
        <f>TEXT(E1827,"mm")</f>
        <v>07</v>
      </c>
      <c r="H1827" s="6">
        <v>9489.27</v>
      </c>
      <c r="I1827">
        <v>54</v>
      </c>
      <c r="L1827" t="str">
        <f t="shared" si="28"/>
        <v>Above Average</v>
      </c>
      <c r="M1827">
        <f>RANK(H1827,H:H,0)</f>
        <v>656</v>
      </c>
    </row>
    <row r="1828" spans="1:13">
      <c r="A1828" t="s">
        <v>14</v>
      </c>
      <c r="B1828" t="s">
        <v>7</v>
      </c>
      <c r="C1828" t="s">
        <v>42</v>
      </c>
      <c r="D1828" s="4">
        <v>45264</v>
      </c>
      <c r="E1828" s="5" t="str">
        <f>TEXT(D1828,"dd/mm/yyyy")</f>
        <v>04/12/2023</v>
      </c>
      <c r="F1828" s="4"/>
      <c r="G1828" s="5" t="str">
        <f>TEXT(E1828,"mm")</f>
        <v>04</v>
      </c>
      <c r="H1828" s="6">
        <v>1281.32</v>
      </c>
      <c r="I1828">
        <v>354</v>
      </c>
      <c r="L1828" t="str">
        <f t="shared" si="28"/>
        <v>Below Average</v>
      </c>
      <c r="M1828">
        <f>RANK(H1828,H:H,0)</f>
        <v>2882</v>
      </c>
    </row>
    <row r="1829" spans="1:13">
      <c r="A1829" t="s">
        <v>29</v>
      </c>
      <c r="B1829" t="s">
        <v>35</v>
      </c>
      <c r="C1829" t="s">
        <v>57</v>
      </c>
      <c r="D1829" s="3" t="s">
        <v>182</v>
      </c>
      <c r="E1829" s="5" t="str">
        <f>TEXT(D1829,"dd/mm/yyyy")</f>
        <v>24/08/2023</v>
      </c>
      <c r="G1829" s="5" t="str">
        <f>TEXT(E1829,"mm")</f>
        <v>24/08/2023</v>
      </c>
      <c r="H1829" s="6">
        <v>518.07000000000005</v>
      </c>
      <c r="I1829">
        <v>192</v>
      </c>
      <c r="L1829" t="str">
        <f t="shared" si="28"/>
        <v>Below Average</v>
      </c>
      <c r="M1829">
        <f>RANK(H1829,H:H,0)</f>
        <v>3119</v>
      </c>
    </row>
    <row r="1830" spans="1:13">
      <c r="A1830" t="s">
        <v>83</v>
      </c>
      <c r="B1830" t="s">
        <v>7</v>
      </c>
      <c r="C1830" t="s">
        <v>75</v>
      </c>
      <c r="D1830" s="4">
        <v>45113</v>
      </c>
      <c r="E1830" s="5" t="str">
        <f>TEXT(D1830,"dd/mm/yyyy")</f>
        <v>06/07/2023</v>
      </c>
      <c r="F1830" s="4"/>
      <c r="G1830" s="5" t="str">
        <f>TEXT(E1830,"mm")</f>
        <v>06</v>
      </c>
      <c r="H1830" s="6">
        <v>1933.56</v>
      </c>
      <c r="I1830">
        <v>239</v>
      </c>
      <c r="L1830" t="str">
        <f t="shared" si="28"/>
        <v>Below Average</v>
      </c>
      <c r="M1830">
        <f>RANK(H1830,H:H,0)</f>
        <v>2655</v>
      </c>
    </row>
    <row r="1831" spans="1:13">
      <c r="A1831" t="s">
        <v>22</v>
      </c>
      <c r="B1831" t="s">
        <v>35</v>
      </c>
      <c r="C1831" t="s">
        <v>65</v>
      </c>
      <c r="D1831" s="3" t="s">
        <v>168</v>
      </c>
      <c r="E1831" s="5" t="str">
        <f>TEXT(D1831,"dd/mm/yyyy")</f>
        <v>28/07/2023</v>
      </c>
      <c r="G1831" s="5" t="str">
        <f>TEXT(E1831,"mm")</f>
        <v>28/07/2023</v>
      </c>
      <c r="H1831" s="6">
        <v>1308.52</v>
      </c>
      <c r="I1831">
        <v>30</v>
      </c>
      <c r="L1831" t="str">
        <f t="shared" si="28"/>
        <v>Below Average</v>
      </c>
      <c r="M1831">
        <f>RANK(H1831,H:H,0)</f>
        <v>2874</v>
      </c>
    </row>
    <row r="1832" spans="1:13">
      <c r="A1832" t="s">
        <v>53</v>
      </c>
      <c r="B1832" t="s">
        <v>32</v>
      </c>
      <c r="C1832" t="s">
        <v>20</v>
      </c>
      <c r="D1832" s="3" t="s">
        <v>212</v>
      </c>
      <c r="E1832" s="5" t="str">
        <f>TEXT(D1832,"dd/mm/yyyy")</f>
        <v>21/02/2023</v>
      </c>
      <c r="G1832" s="5" t="str">
        <f>TEXT(E1832,"mm")</f>
        <v>21/02/2023</v>
      </c>
      <c r="H1832" s="6">
        <v>9878.5</v>
      </c>
      <c r="I1832">
        <v>111</v>
      </c>
      <c r="L1832" t="str">
        <f t="shared" si="28"/>
        <v>Above Average</v>
      </c>
      <c r="M1832">
        <f>RANK(H1832,H:H,0)</f>
        <v>598</v>
      </c>
    </row>
    <row r="1833" spans="1:13">
      <c r="A1833" t="s">
        <v>58</v>
      </c>
      <c r="B1833" t="s">
        <v>35</v>
      </c>
      <c r="C1833" t="s">
        <v>8</v>
      </c>
      <c r="D1833" s="4">
        <v>45142</v>
      </c>
      <c r="E1833" s="5" t="str">
        <f>TEXT(D1833,"dd/mm/yyyy")</f>
        <v>04/08/2023</v>
      </c>
      <c r="F1833" s="4"/>
      <c r="G1833" s="5" t="str">
        <f>TEXT(E1833,"mm")</f>
        <v>04</v>
      </c>
      <c r="H1833" s="6">
        <v>1943.7</v>
      </c>
      <c r="I1833">
        <v>297</v>
      </c>
      <c r="L1833" t="str">
        <f t="shared" si="28"/>
        <v>Below Average</v>
      </c>
      <c r="M1833">
        <f>RANK(H1833,H:H,0)</f>
        <v>2651</v>
      </c>
    </row>
    <row r="1834" spans="1:13">
      <c r="A1834" t="s">
        <v>28</v>
      </c>
      <c r="B1834" t="s">
        <v>7</v>
      </c>
      <c r="C1834" t="s">
        <v>60</v>
      </c>
      <c r="D1834" s="3" t="s">
        <v>191</v>
      </c>
      <c r="E1834" s="5" t="str">
        <f>TEXT(D1834,"dd/mm/yyyy")</f>
        <v>28/06/2023</v>
      </c>
      <c r="G1834" s="5" t="str">
        <f>TEXT(E1834,"mm")</f>
        <v>28/06/2023</v>
      </c>
      <c r="H1834" s="6">
        <v>80.62</v>
      </c>
      <c r="I1834">
        <v>103</v>
      </c>
      <c r="L1834" t="str">
        <f t="shared" si="28"/>
        <v>Below Average</v>
      </c>
      <c r="M1834">
        <f>RANK(H1834,H:H,0)</f>
        <v>3252</v>
      </c>
    </row>
    <row r="1835" spans="1:13">
      <c r="A1835" t="s">
        <v>9</v>
      </c>
      <c r="B1835" t="s">
        <v>7</v>
      </c>
      <c r="C1835" t="s">
        <v>87</v>
      </c>
      <c r="D1835" s="3" t="s">
        <v>165</v>
      </c>
      <c r="E1835" s="5" t="str">
        <f>TEXT(D1835,"dd/mm/yyyy")</f>
        <v>24/03/2023</v>
      </c>
      <c r="G1835" s="5" t="str">
        <f>TEXT(E1835,"mm")</f>
        <v>24/03/2023</v>
      </c>
      <c r="H1835" s="6">
        <v>2678.37</v>
      </c>
      <c r="I1835">
        <v>20</v>
      </c>
      <c r="L1835" t="str">
        <f t="shared" si="28"/>
        <v>Below Average</v>
      </c>
      <c r="M1835">
        <f>RANK(H1835,H:H,0)</f>
        <v>2411</v>
      </c>
    </row>
    <row r="1836" spans="1:13">
      <c r="A1836" t="s">
        <v>31</v>
      </c>
      <c r="B1836" t="s">
        <v>15</v>
      </c>
      <c r="C1836" t="s">
        <v>90</v>
      </c>
      <c r="D1836" s="3" t="s">
        <v>223</v>
      </c>
      <c r="E1836" s="5" t="str">
        <f>TEXT(D1836,"dd/mm/yyyy")</f>
        <v>29/07/2023</v>
      </c>
      <c r="G1836" s="5" t="str">
        <f>TEXT(E1836,"mm")</f>
        <v>29/07/2023</v>
      </c>
      <c r="H1836" s="6">
        <v>2931.1</v>
      </c>
      <c r="I1836">
        <v>60</v>
      </c>
      <c r="L1836" t="str">
        <f t="shared" si="28"/>
        <v>Below Average</v>
      </c>
      <c r="M1836">
        <f>RANK(H1836,H:H,0)</f>
        <v>2332</v>
      </c>
    </row>
    <row r="1837" spans="1:13">
      <c r="A1837" t="s">
        <v>58</v>
      </c>
      <c r="B1837" t="s">
        <v>32</v>
      </c>
      <c r="C1837" t="s">
        <v>36</v>
      </c>
      <c r="D1837" s="3" t="s">
        <v>203</v>
      </c>
      <c r="E1837" s="5" t="str">
        <f>TEXT(D1837,"dd/mm/yyyy")</f>
        <v>25/05/2023</v>
      </c>
      <c r="G1837" s="5" t="str">
        <f>TEXT(E1837,"mm")</f>
        <v>25/05/2023</v>
      </c>
      <c r="H1837" s="6">
        <v>2316.09</v>
      </c>
      <c r="I1837">
        <v>90</v>
      </c>
      <c r="L1837" t="str">
        <f t="shared" si="28"/>
        <v>Below Average</v>
      </c>
      <c r="M1837">
        <f>RANK(H1837,H:H,0)</f>
        <v>2547</v>
      </c>
    </row>
    <row r="1838" spans="1:13">
      <c r="A1838" t="s">
        <v>12</v>
      </c>
      <c r="B1838" t="s">
        <v>15</v>
      </c>
      <c r="C1838" t="s">
        <v>73</v>
      </c>
      <c r="D1838" s="3" t="s">
        <v>258</v>
      </c>
      <c r="E1838" s="5" t="str">
        <f>TEXT(D1838,"dd/mm/yyyy")</f>
        <v>30/03/2023</v>
      </c>
      <c r="G1838" s="5" t="str">
        <f>TEXT(E1838,"mm")</f>
        <v>30/03/2023</v>
      </c>
      <c r="H1838" s="6">
        <v>6722.22</v>
      </c>
      <c r="I1838">
        <v>330</v>
      </c>
      <c r="L1838" t="str">
        <f t="shared" si="28"/>
        <v>Above Average</v>
      </c>
      <c r="M1838">
        <f>RANK(H1838,H:H,0)</f>
        <v>1256</v>
      </c>
    </row>
    <row r="1839" spans="1:13">
      <c r="A1839" t="s">
        <v>58</v>
      </c>
      <c r="B1839" t="s">
        <v>32</v>
      </c>
      <c r="C1839" t="s">
        <v>42</v>
      </c>
      <c r="D1839" s="3" t="s">
        <v>248</v>
      </c>
      <c r="E1839" s="5" t="str">
        <f>TEXT(D1839,"dd/mm/yyyy")</f>
        <v>18/07/2023</v>
      </c>
      <c r="G1839" s="5" t="str">
        <f>TEXT(E1839,"mm")</f>
        <v>18/07/2023</v>
      </c>
      <c r="H1839" s="6">
        <v>14528.51</v>
      </c>
      <c r="I1839">
        <v>134</v>
      </c>
      <c r="L1839" t="str">
        <f t="shared" si="28"/>
        <v>Above Average</v>
      </c>
      <c r="M1839">
        <f>RANK(H1839,H:H,0)</f>
        <v>179</v>
      </c>
    </row>
    <row r="1840" spans="1:13">
      <c r="A1840" t="s">
        <v>41</v>
      </c>
      <c r="B1840" t="s">
        <v>35</v>
      </c>
      <c r="C1840" t="s">
        <v>33</v>
      </c>
      <c r="D1840" s="4">
        <v>45204</v>
      </c>
      <c r="E1840" s="5" t="str">
        <f>TEXT(D1840,"dd/mm/yyyy")</f>
        <v>05/10/2023</v>
      </c>
      <c r="F1840" s="4"/>
      <c r="G1840" s="5" t="str">
        <f>TEXT(E1840,"mm")</f>
        <v>05</v>
      </c>
      <c r="H1840" s="6">
        <v>9390.2800000000007</v>
      </c>
      <c r="I1840">
        <v>104</v>
      </c>
      <c r="L1840" t="str">
        <f t="shared" si="28"/>
        <v>Above Average</v>
      </c>
      <c r="M1840">
        <f>RANK(H1840,H:H,0)</f>
        <v>676</v>
      </c>
    </row>
    <row r="1841" spans="1:13">
      <c r="A1841" t="s">
        <v>34</v>
      </c>
      <c r="B1841" t="s">
        <v>15</v>
      </c>
      <c r="C1841" t="s">
        <v>75</v>
      </c>
      <c r="D1841" s="3" t="s">
        <v>236</v>
      </c>
      <c r="E1841" s="5" t="str">
        <f>TEXT(D1841,"dd/mm/yyyy")</f>
        <v>18/03/2023</v>
      </c>
      <c r="G1841" s="5" t="str">
        <f>TEXT(E1841,"mm")</f>
        <v>18/03/2023</v>
      </c>
      <c r="H1841" s="6">
        <v>16230.41</v>
      </c>
      <c r="I1841">
        <v>94</v>
      </c>
      <c r="L1841" t="str">
        <f t="shared" si="28"/>
        <v>Above Average</v>
      </c>
      <c r="M1841">
        <f>RANK(H1841,H:H,0)</f>
        <v>95</v>
      </c>
    </row>
    <row r="1842" spans="1:13">
      <c r="A1842" t="s">
        <v>83</v>
      </c>
      <c r="B1842" t="s">
        <v>10</v>
      </c>
      <c r="C1842" t="s">
        <v>90</v>
      </c>
      <c r="D1842" s="3" t="s">
        <v>177</v>
      </c>
      <c r="E1842" s="5" t="str">
        <f>TEXT(D1842,"dd/mm/yyyy")</f>
        <v>15/06/2023</v>
      </c>
      <c r="G1842" s="5" t="str">
        <f>TEXT(E1842,"mm")</f>
        <v>15/06/2023</v>
      </c>
      <c r="H1842" s="6">
        <v>7224.39</v>
      </c>
      <c r="I1842">
        <v>55</v>
      </c>
      <c r="L1842" t="str">
        <f t="shared" si="28"/>
        <v>Above Average</v>
      </c>
      <c r="M1842">
        <f>RANK(H1842,H:H,0)</f>
        <v>1125</v>
      </c>
    </row>
    <row r="1843" spans="1:13">
      <c r="A1843" t="s">
        <v>9</v>
      </c>
      <c r="B1843" t="s">
        <v>35</v>
      </c>
      <c r="C1843" t="s">
        <v>26</v>
      </c>
      <c r="D1843" s="4">
        <v>45265</v>
      </c>
      <c r="E1843" s="5" t="str">
        <f>TEXT(D1843,"dd/mm/yyyy")</f>
        <v>05/12/2023</v>
      </c>
      <c r="F1843" s="4"/>
      <c r="G1843" s="5" t="str">
        <f>TEXT(E1843,"mm")</f>
        <v>05</v>
      </c>
      <c r="H1843" s="6">
        <v>15567.58</v>
      </c>
      <c r="I1843">
        <v>57</v>
      </c>
      <c r="L1843" t="str">
        <f t="shared" si="28"/>
        <v>Above Average</v>
      </c>
      <c r="M1843">
        <f>RANK(H1843,H:H,0)</f>
        <v>120</v>
      </c>
    </row>
    <row r="1844" spans="1:13">
      <c r="A1844" t="s">
        <v>70</v>
      </c>
      <c r="B1844" t="s">
        <v>25</v>
      </c>
      <c r="C1844" t="s">
        <v>87</v>
      </c>
      <c r="D1844" s="3" t="s">
        <v>245</v>
      </c>
      <c r="E1844" s="5" t="str">
        <f>TEXT(D1844,"dd/mm/yyyy")</f>
        <v>23/06/2023</v>
      </c>
      <c r="G1844" s="5" t="str">
        <f>TEXT(E1844,"mm")</f>
        <v>23/06/2023</v>
      </c>
      <c r="H1844" s="6">
        <v>2964.2</v>
      </c>
      <c r="I1844">
        <v>105</v>
      </c>
      <c r="L1844" t="str">
        <f t="shared" si="28"/>
        <v>Below Average</v>
      </c>
      <c r="M1844">
        <f>RANK(H1844,H:H,0)</f>
        <v>2321</v>
      </c>
    </row>
    <row r="1845" spans="1:13">
      <c r="A1845" t="s">
        <v>41</v>
      </c>
      <c r="B1845" t="s">
        <v>10</v>
      </c>
      <c r="C1845" t="s">
        <v>50</v>
      </c>
      <c r="D1845" s="3" t="s">
        <v>241</v>
      </c>
      <c r="E1845" s="5" t="str">
        <f>TEXT(D1845,"dd/mm/yyyy")</f>
        <v>21/04/2023</v>
      </c>
      <c r="G1845" s="5" t="str">
        <f>TEXT(E1845,"mm")</f>
        <v>21/04/2023</v>
      </c>
      <c r="H1845" s="6">
        <v>3357.08</v>
      </c>
      <c r="I1845">
        <v>186</v>
      </c>
      <c r="L1845" t="str">
        <f t="shared" si="28"/>
        <v>Below Average</v>
      </c>
      <c r="M1845">
        <f>RANK(H1845,H:H,0)</f>
        <v>2197</v>
      </c>
    </row>
    <row r="1846" spans="1:13">
      <c r="A1846" t="s">
        <v>12</v>
      </c>
      <c r="B1846" t="s">
        <v>15</v>
      </c>
      <c r="C1846" t="s">
        <v>65</v>
      </c>
      <c r="D1846" s="3" t="s">
        <v>238</v>
      </c>
      <c r="E1846" s="5" t="str">
        <f>TEXT(D1846,"dd/mm/yyyy")</f>
        <v>17/08/2023</v>
      </c>
      <c r="G1846" s="5" t="str">
        <f>TEXT(E1846,"mm")</f>
        <v>17/08/2023</v>
      </c>
      <c r="H1846" s="6">
        <v>1010.37</v>
      </c>
      <c r="I1846">
        <v>127</v>
      </c>
      <c r="L1846" t="str">
        <f t="shared" si="28"/>
        <v>Below Average</v>
      </c>
      <c r="M1846">
        <f>RANK(H1846,H:H,0)</f>
        <v>2971</v>
      </c>
    </row>
    <row r="1847" spans="1:13">
      <c r="A1847" t="s">
        <v>29</v>
      </c>
      <c r="B1847" t="s">
        <v>25</v>
      </c>
      <c r="C1847" t="s">
        <v>36</v>
      </c>
      <c r="D1847" s="4">
        <v>45109</v>
      </c>
      <c r="E1847" s="5" t="str">
        <f>TEXT(D1847,"dd/mm/yyyy")</f>
        <v>02/07/2023</v>
      </c>
      <c r="F1847" s="4"/>
      <c r="G1847" s="5" t="str">
        <f>TEXT(E1847,"mm")</f>
        <v>02</v>
      </c>
      <c r="H1847" s="6">
        <v>20470.43</v>
      </c>
      <c r="I1847">
        <v>54</v>
      </c>
      <c r="L1847" t="str">
        <f t="shared" si="28"/>
        <v>Above Average</v>
      </c>
      <c r="M1847">
        <f>RANK(H1847,H:H,0)</f>
        <v>15</v>
      </c>
    </row>
    <row r="1848" spans="1:13">
      <c r="A1848" t="s">
        <v>70</v>
      </c>
      <c r="B1848" t="s">
        <v>35</v>
      </c>
      <c r="C1848" t="s">
        <v>18</v>
      </c>
      <c r="D1848" s="3" t="s">
        <v>226</v>
      </c>
      <c r="E1848" s="5" t="str">
        <f>TEXT(D1848,"dd/mm/yyyy")</f>
        <v>17/03/2023</v>
      </c>
      <c r="G1848" s="5" t="str">
        <f>TEXT(E1848,"mm")</f>
        <v>17/03/2023</v>
      </c>
      <c r="H1848" s="6">
        <v>8762.75</v>
      </c>
      <c r="I1848">
        <v>115</v>
      </c>
      <c r="L1848" t="str">
        <f t="shared" si="28"/>
        <v>Above Average</v>
      </c>
      <c r="M1848">
        <f>RANK(H1848,H:H,0)</f>
        <v>786</v>
      </c>
    </row>
    <row r="1849" spans="1:13">
      <c r="A1849" t="s">
        <v>14</v>
      </c>
      <c r="B1849" t="s">
        <v>10</v>
      </c>
      <c r="C1849" t="s">
        <v>87</v>
      </c>
      <c r="D1849" s="4">
        <v>44934</v>
      </c>
      <c r="E1849" s="5" t="str">
        <f>TEXT(D1849,"dd/mm/yyyy")</f>
        <v>08/01/2023</v>
      </c>
      <c r="F1849" s="4"/>
      <c r="G1849" s="5" t="str">
        <f>TEXT(E1849,"mm")</f>
        <v>08</v>
      </c>
      <c r="H1849" s="6">
        <v>14613.52</v>
      </c>
      <c r="I1849">
        <v>85</v>
      </c>
      <c r="L1849" t="str">
        <f t="shared" si="28"/>
        <v>Above Average</v>
      </c>
      <c r="M1849">
        <f>RANK(H1849,H:H,0)</f>
        <v>169</v>
      </c>
    </row>
    <row r="1850" spans="1:13">
      <c r="A1850" t="s">
        <v>6</v>
      </c>
      <c r="B1850" t="s">
        <v>15</v>
      </c>
      <c r="C1850" t="s">
        <v>46</v>
      </c>
      <c r="D1850" s="3" t="s">
        <v>236</v>
      </c>
      <c r="E1850" s="5" t="str">
        <f>TEXT(D1850,"dd/mm/yyyy")</f>
        <v>18/03/2023</v>
      </c>
      <c r="G1850" s="5" t="str">
        <f>TEXT(E1850,"mm")</f>
        <v>18/03/2023</v>
      </c>
      <c r="H1850" s="6">
        <v>9839.4599999999991</v>
      </c>
      <c r="I1850">
        <v>31</v>
      </c>
      <c r="L1850" t="str">
        <f t="shared" si="28"/>
        <v>Above Average</v>
      </c>
      <c r="M1850">
        <f>RANK(H1850,H:H,0)</f>
        <v>607</v>
      </c>
    </row>
    <row r="1851" spans="1:13">
      <c r="A1851" t="s">
        <v>12</v>
      </c>
      <c r="B1851" t="s">
        <v>35</v>
      </c>
      <c r="C1851" t="s">
        <v>57</v>
      </c>
      <c r="D1851" s="3" t="s">
        <v>230</v>
      </c>
      <c r="E1851" s="5" t="str">
        <f>TEXT(D1851,"dd/mm/yyyy")</f>
        <v>14/06/2023</v>
      </c>
      <c r="G1851" s="5" t="str">
        <f>TEXT(E1851,"mm")</f>
        <v>14/06/2023</v>
      </c>
      <c r="H1851" s="6">
        <v>6633.23</v>
      </c>
      <c r="I1851">
        <v>103</v>
      </c>
      <c r="L1851" t="str">
        <f t="shared" si="28"/>
        <v>Above Average</v>
      </c>
      <c r="M1851">
        <f>RANK(H1851,H:H,0)</f>
        <v>1278</v>
      </c>
    </row>
    <row r="1852" spans="1:13">
      <c r="A1852" t="s">
        <v>41</v>
      </c>
      <c r="B1852" t="s">
        <v>7</v>
      </c>
      <c r="C1852" t="s">
        <v>36</v>
      </c>
      <c r="D1852" s="3" t="s">
        <v>237</v>
      </c>
      <c r="E1852" s="5" t="str">
        <f>TEXT(D1852,"dd/mm/yyyy")</f>
        <v>22/04/2023</v>
      </c>
      <c r="G1852" s="5" t="str">
        <f>TEXT(E1852,"mm")</f>
        <v>22/04/2023</v>
      </c>
      <c r="H1852" s="6">
        <v>9749.07</v>
      </c>
      <c r="I1852">
        <v>169</v>
      </c>
      <c r="L1852" t="str">
        <f t="shared" si="28"/>
        <v>Above Average</v>
      </c>
      <c r="M1852">
        <f>RANK(H1852,H:H,0)</f>
        <v>622</v>
      </c>
    </row>
    <row r="1853" spans="1:13">
      <c r="A1853" t="s">
        <v>40</v>
      </c>
      <c r="B1853" t="s">
        <v>25</v>
      </c>
      <c r="C1853" t="s">
        <v>36</v>
      </c>
      <c r="D1853" s="3" t="s">
        <v>218</v>
      </c>
      <c r="E1853" s="5" t="str">
        <f>TEXT(D1853,"dd/mm/yyyy")</f>
        <v>18/01/2023</v>
      </c>
      <c r="G1853" s="5" t="str">
        <f>TEXT(E1853,"mm")</f>
        <v>18/01/2023</v>
      </c>
      <c r="H1853" s="6">
        <v>5254.38</v>
      </c>
      <c r="I1853">
        <v>31</v>
      </c>
      <c r="L1853" t="str">
        <f t="shared" si="28"/>
        <v>Below Average</v>
      </c>
      <c r="M1853">
        <f>RANK(H1853,H:H,0)</f>
        <v>1630</v>
      </c>
    </row>
    <row r="1854" spans="1:13">
      <c r="A1854" t="s">
        <v>53</v>
      </c>
      <c r="B1854" t="s">
        <v>15</v>
      </c>
      <c r="C1854" t="s">
        <v>20</v>
      </c>
      <c r="D1854" s="3" t="s">
        <v>197</v>
      </c>
      <c r="E1854" s="5" t="str">
        <f>TEXT(D1854,"dd/mm/yyyy")</f>
        <v>26/08/2023</v>
      </c>
      <c r="G1854" s="5" t="str">
        <f>TEXT(E1854,"mm")</f>
        <v>26/08/2023</v>
      </c>
      <c r="H1854" s="6">
        <v>3430.43</v>
      </c>
      <c r="I1854">
        <v>123</v>
      </c>
      <c r="L1854" t="str">
        <f t="shared" si="28"/>
        <v>Below Average</v>
      </c>
      <c r="M1854">
        <f>RANK(H1854,H:H,0)</f>
        <v>2164</v>
      </c>
    </row>
    <row r="1855" spans="1:13">
      <c r="A1855" t="s">
        <v>22</v>
      </c>
      <c r="B1855" t="s">
        <v>25</v>
      </c>
      <c r="C1855" t="s">
        <v>57</v>
      </c>
      <c r="D1855" s="4">
        <v>45205</v>
      </c>
      <c r="E1855" s="5" t="str">
        <f>TEXT(D1855,"dd/mm/yyyy")</f>
        <v>06/10/2023</v>
      </c>
      <c r="F1855" s="4"/>
      <c r="G1855" s="5" t="str">
        <f>TEXT(E1855,"mm")</f>
        <v>06</v>
      </c>
      <c r="H1855" s="6">
        <v>10454.549999999999</v>
      </c>
      <c r="I1855">
        <v>434</v>
      </c>
      <c r="L1855" t="str">
        <f t="shared" si="28"/>
        <v>Above Average</v>
      </c>
      <c r="M1855">
        <f>RANK(H1855,H:H,0)</f>
        <v>517</v>
      </c>
    </row>
    <row r="1856" spans="1:13">
      <c r="A1856" t="s">
        <v>48</v>
      </c>
      <c r="B1856" t="s">
        <v>35</v>
      </c>
      <c r="C1856" t="s">
        <v>100</v>
      </c>
      <c r="D1856" s="3" t="s">
        <v>200</v>
      </c>
      <c r="E1856" s="5" t="str">
        <f>TEXT(D1856,"dd/mm/yyyy")</f>
        <v>31/01/2023</v>
      </c>
      <c r="G1856" s="5" t="str">
        <f>TEXT(E1856,"mm")</f>
        <v>31/01/2023</v>
      </c>
      <c r="H1856" s="6">
        <v>2413.87</v>
      </c>
      <c r="I1856">
        <v>7</v>
      </c>
      <c r="L1856" t="str">
        <f t="shared" si="28"/>
        <v>Below Average</v>
      </c>
      <c r="M1856">
        <f>RANK(H1856,H:H,0)</f>
        <v>2510</v>
      </c>
    </row>
    <row r="1857" spans="1:13">
      <c r="A1857" t="s">
        <v>70</v>
      </c>
      <c r="B1857" t="s">
        <v>25</v>
      </c>
      <c r="C1857" t="s">
        <v>60</v>
      </c>
      <c r="D1857" s="4">
        <v>45142</v>
      </c>
      <c r="E1857" s="5" t="str">
        <f>TEXT(D1857,"dd/mm/yyyy")</f>
        <v>04/08/2023</v>
      </c>
      <c r="F1857" s="4"/>
      <c r="G1857" s="5" t="str">
        <f>TEXT(E1857,"mm")</f>
        <v>04</v>
      </c>
      <c r="H1857" s="6">
        <v>1445.14</v>
      </c>
      <c r="I1857">
        <v>108</v>
      </c>
      <c r="L1857" t="str">
        <f t="shared" si="28"/>
        <v>Below Average</v>
      </c>
      <c r="M1857">
        <f>RANK(H1857,H:H,0)</f>
        <v>2822</v>
      </c>
    </row>
    <row r="1858" spans="1:13">
      <c r="A1858" t="s">
        <v>79</v>
      </c>
      <c r="B1858" t="s">
        <v>15</v>
      </c>
      <c r="C1858" t="s">
        <v>87</v>
      </c>
      <c r="D1858" s="4">
        <v>45113</v>
      </c>
      <c r="E1858" s="5" t="str">
        <f>TEXT(D1858,"dd/mm/yyyy")</f>
        <v>06/07/2023</v>
      </c>
      <c r="F1858" s="4"/>
      <c r="G1858" s="5" t="str">
        <f>TEXT(E1858,"mm")</f>
        <v>06</v>
      </c>
      <c r="H1858" s="6">
        <v>4022.64</v>
      </c>
      <c r="I1858">
        <v>71</v>
      </c>
      <c r="L1858" t="str">
        <f t="shared" si="28"/>
        <v>Below Average</v>
      </c>
      <c r="M1858">
        <f>RANK(H1858,H:H,0)</f>
        <v>1979</v>
      </c>
    </row>
    <row r="1859" spans="1:13">
      <c r="A1859" t="s">
        <v>31</v>
      </c>
      <c r="B1859" t="s">
        <v>15</v>
      </c>
      <c r="C1859" t="s">
        <v>11</v>
      </c>
      <c r="D1859" s="4">
        <v>45201</v>
      </c>
      <c r="E1859" s="5" t="str">
        <f>TEXT(D1859,"dd/mm/yyyy")</f>
        <v>02/10/2023</v>
      </c>
      <c r="F1859" s="4"/>
      <c r="G1859" s="5" t="str">
        <f>TEXT(E1859,"mm")</f>
        <v>02</v>
      </c>
      <c r="H1859" s="6">
        <v>8651.2000000000007</v>
      </c>
      <c r="I1859">
        <v>43</v>
      </c>
      <c r="L1859" t="str">
        <f t="shared" ref="L1859:L1922" si="29">IF(H1859&gt;6030.34,"Above Average","Below Average")</f>
        <v>Above Average</v>
      </c>
      <c r="M1859">
        <f>RANK(H1859,H:H,0)</f>
        <v>807</v>
      </c>
    </row>
    <row r="1860" spans="1:13">
      <c r="A1860" t="s">
        <v>41</v>
      </c>
      <c r="B1860" t="s">
        <v>15</v>
      </c>
      <c r="C1860" t="s">
        <v>26</v>
      </c>
      <c r="D1860" s="3" t="s">
        <v>192</v>
      </c>
      <c r="E1860" s="5" t="str">
        <f>TEXT(D1860,"dd/mm/yyyy")</f>
        <v>16/05/2023</v>
      </c>
      <c r="G1860" s="5" t="str">
        <f>TEXT(E1860,"mm")</f>
        <v>16/05/2023</v>
      </c>
      <c r="H1860" s="6">
        <v>725.16</v>
      </c>
      <c r="I1860">
        <v>453</v>
      </c>
      <c r="L1860" t="str">
        <f t="shared" si="29"/>
        <v>Below Average</v>
      </c>
      <c r="M1860">
        <f>RANK(H1860,H:H,0)</f>
        <v>3054</v>
      </c>
    </row>
    <row r="1861" spans="1:13">
      <c r="A1861" t="s">
        <v>22</v>
      </c>
      <c r="B1861" t="s">
        <v>10</v>
      </c>
      <c r="C1861" t="s">
        <v>87</v>
      </c>
      <c r="D1861" s="3" t="s">
        <v>236</v>
      </c>
      <c r="E1861" s="5" t="str">
        <f>TEXT(D1861,"dd/mm/yyyy")</f>
        <v>18/03/2023</v>
      </c>
      <c r="G1861" s="5" t="str">
        <f>TEXT(E1861,"mm")</f>
        <v>18/03/2023</v>
      </c>
      <c r="H1861" s="6">
        <v>2385.4</v>
      </c>
      <c r="I1861">
        <v>540</v>
      </c>
      <c r="L1861" t="str">
        <f t="shared" si="29"/>
        <v>Below Average</v>
      </c>
      <c r="M1861">
        <f>RANK(H1861,H:H,0)</f>
        <v>2520</v>
      </c>
    </row>
    <row r="1862" spans="1:13">
      <c r="A1862" t="s">
        <v>9</v>
      </c>
      <c r="B1862" t="s">
        <v>15</v>
      </c>
      <c r="C1862" t="s">
        <v>26</v>
      </c>
      <c r="D1862" s="3" t="s">
        <v>198</v>
      </c>
      <c r="E1862" s="5" t="str">
        <f>TEXT(D1862,"dd/mm/yyyy")</f>
        <v>13/07/2023</v>
      </c>
      <c r="G1862" s="5" t="str">
        <f>TEXT(E1862,"mm")</f>
        <v>13/07/2023</v>
      </c>
      <c r="H1862" s="6">
        <v>726.04</v>
      </c>
      <c r="I1862">
        <v>131</v>
      </c>
      <c r="L1862" t="str">
        <f t="shared" si="29"/>
        <v>Below Average</v>
      </c>
      <c r="M1862">
        <f>RANK(H1862,H:H,0)</f>
        <v>3053</v>
      </c>
    </row>
    <row r="1863" spans="1:13">
      <c r="A1863" t="s">
        <v>19</v>
      </c>
      <c r="B1863" t="s">
        <v>32</v>
      </c>
      <c r="C1863" t="s">
        <v>60</v>
      </c>
      <c r="D1863" s="3" t="s">
        <v>216</v>
      </c>
      <c r="E1863" s="5" t="str">
        <f>TEXT(D1863,"dd/mm/yyyy")</f>
        <v>25/07/2023</v>
      </c>
      <c r="G1863" s="5" t="str">
        <f>TEXT(E1863,"mm")</f>
        <v>25/07/2023</v>
      </c>
      <c r="H1863" s="6">
        <v>4742.3500000000004</v>
      </c>
      <c r="I1863">
        <v>83</v>
      </c>
      <c r="L1863" t="str">
        <f t="shared" si="29"/>
        <v>Below Average</v>
      </c>
      <c r="M1863">
        <f>RANK(H1863,H:H,0)</f>
        <v>1787</v>
      </c>
    </row>
    <row r="1864" spans="1:13">
      <c r="A1864" t="s">
        <v>9</v>
      </c>
      <c r="B1864" t="s">
        <v>35</v>
      </c>
      <c r="C1864" t="s">
        <v>75</v>
      </c>
      <c r="D1864" s="3" t="s">
        <v>240</v>
      </c>
      <c r="E1864" s="5" t="str">
        <f>TEXT(D1864,"dd/mm/yyyy")</f>
        <v>19/08/2023</v>
      </c>
      <c r="G1864" s="5" t="str">
        <f>TEXT(E1864,"mm")</f>
        <v>19/08/2023</v>
      </c>
      <c r="H1864" s="6">
        <v>2556.96</v>
      </c>
      <c r="I1864">
        <v>312</v>
      </c>
      <c r="L1864" t="str">
        <f t="shared" si="29"/>
        <v>Below Average</v>
      </c>
      <c r="M1864">
        <f>RANK(H1864,H:H,0)</f>
        <v>2449</v>
      </c>
    </row>
    <row r="1865" spans="1:13">
      <c r="A1865" t="s">
        <v>37</v>
      </c>
      <c r="B1865" t="s">
        <v>35</v>
      </c>
      <c r="C1865" t="s">
        <v>100</v>
      </c>
      <c r="D1865" s="3" t="s">
        <v>246</v>
      </c>
      <c r="E1865" s="5" t="str">
        <f>TEXT(D1865,"dd/mm/yyyy")</f>
        <v>24/06/2023</v>
      </c>
      <c r="G1865" s="5" t="str">
        <f>TEXT(E1865,"mm")</f>
        <v>24/06/2023</v>
      </c>
      <c r="H1865" s="6">
        <v>8376.69</v>
      </c>
      <c r="I1865">
        <v>646</v>
      </c>
      <c r="L1865" t="str">
        <f t="shared" si="29"/>
        <v>Above Average</v>
      </c>
      <c r="M1865">
        <f>RANK(H1865,H:H,0)</f>
        <v>859</v>
      </c>
    </row>
    <row r="1866" spans="1:13">
      <c r="A1866" t="s">
        <v>70</v>
      </c>
      <c r="B1866" t="s">
        <v>35</v>
      </c>
      <c r="C1866" t="s">
        <v>57</v>
      </c>
      <c r="D1866" s="3" t="s">
        <v>196</v>
      </c>
      <c r="E1866" s="5" t="str">
        <f>TEXT(D1866,"dd/mm/yyyy")</f>
        <v>20/06/2023</v>
      </c>
      <c r="G1866" s="5" t="str">
        <f>TEXT(E1866,"mm")</f>
        <v>20/06/2023</v>
      </c>
      <c r="H1866" s="6">
        <v>840.71</v>
      </c>
      <c r="I1866">
        <v>162</v>
      </c>
      <c r="L1866" t="str">
        <f t="shared" si="29"/>
        <v>Below Average</v>
      </c>
      <c r="M1866">
        <f>RANK(H1866,H:H,0)</f>
        <v>3019</v>
      </c>
    </row>
    <row r="1867" spans="1:13">
      <c r="A1867" t="s">
        <v>71</v>
      </c>
      <c r="B1867" t="s">
        <v>10</v>
      </c>
      <c r="C1867" t="s">
        <v>20</v>
      </c>
      <c r="D1867" s="4">
        <v>44965</v>
      </c>
      <c r="E1867" s="5" t="str">
        <f>TEXT(D1867,"dd/mm/yyyy")</f>
        <v>08/02/2023</v>
      </c>
      <c r="F1867" s="4"/>
      <c r="G1867" s="5" t="str">
        <f>TEXT(E1867,"mm")</f>
        <v>08</v>
      </c>
      <c r="H1867" s="6">
        <v>207.87</v>
      </c>
      <c r="I1867">
        <v>216</v>
      </c>
      <c r="L1867" t="str">
        <f t="shared" si="29"/>
        <v>Below Average</v>
      </c>
      <c r="M1867">
        <f>RANK(H1867,H:H,0)</f>
        <v>3215</v>
      </c>
    </row>
    <row r="1868" spans="1:13">
      <c r="A1868" t="s">
        <v>77</v>
      </c>
      <c r="B1868" t="s">
        <v>25</v>
      </c>
      <c r="C1868" t="s">
        <v>100</v>
      </c>
      <c r="D1868" s="3" t="s">
        <v>228</v>
      </c>
      <c r="E1868" s="5" t="str">
        <f>TEXT(D1868,"dd/mm/yyyy")</f>
        <v>22/02/2023</v>
      </c>
      <c r="G1868" s="5" t="str">
        <f>TEXT(E1868,"mm")</f>
        <v>22/02/2023</v>
      </c>
      <c r="H1868" s="6">
        <v>13370.34</v>
      </c>
      <c r="I1868">
        <v>94</v>
      </c>
      <c r="L1868" t="str">
        <f t="shared" si="29"/>
        <v>Above Average</v>
      </c>
      <c r="M1868">
        <f>RANK(H1868,H:H,0)</f>
        <v>244</v>
      </c>
    </row>
    <row r="1869" spans="1:13">
      <c r="A1869" t="s">
        <v>34</v>
      </c>
      <c r="B1869" t="s">
        <v>25</v>
      </c>
      <c r="C1869" t="s">
        <v>33</v>
      </c>
      <c r="D1869" s="4">
        <v>44928</v>
      </c>
      <c r="E1869" s="5" t="str">
        <f>TEXT(D1869,"dd/mm/yyyy")</f>
        <v>02/01/2023</v>
      </c>
      <c r="F1869" s="4"/>
      <c r="G1869" s="5" t="str">
        <f>TEXT(E1869,"mm")</f>
        <v>02</v>
      </c>
      <c r="H1869" s="6">
        <v>6811.37</v>
      </c>
      <c r="I1869">
        <v>25</v>
      </c>
      <c r="L1869" t="str">
        <f t="shared" si="29"/>
        <v>Above Average</v>
      </c>
      <c r="M1869">
        <f>RANK(H1869,H:H,0)</f>
        <v>1234</v>
      </c>
    </row>
    <row r="1870" spans="1:13">
      <c r="A1870" t="s">
        <v>14</v>
      </c>
      <c r="B1870" t="s">
        <v>35</v>
      </c>
      <c r="C1870" t="s">
        <v>100</v>
      </c>
      <c r="D1870" s="3" t="s">
        <v>170</v>
      </c>
      <c r="E1870" s="5" t="str">
        <f>TEXT(D1870,"dd/mm/yyyy")</f>
        <v>14/02/2023</v>
      </c>
      <c r="G1870" s="5" t="str">
        <f>TEXT(E1870,"mm")</f>
        <v>14/02/2023</v>
      </c>
      <c r="H1870" s="6">
        <v>6096.52</v>
      </c>
      <c r="I1870">
        <v>300</v>
      </c>
      <c r="L1870" t="str">
        <f t="shared" si="29"/>
        <v>Above Average</v>
      </c>
      <c r="M1870">
        <f>RANK(H1870,H:H,0)</f>
        <v>1403</v>
      </c>
    </row>
    <row r="1871" spans="1:13">
      <c r="A1871" t="s">
        <v>70</v>
      </c>
      <c r="B1871" t="s">
        <v>15</v>
      </c>
      <c r="C1871" t="s">
        <v>46</v>
      </c>
      <c r="D1871" s="3" t="s">
        <v>163</v>
      </c>
      <c r="E1871" s="5" t="str">
        <f>TEXT(D1871,"dd/mm/yyyy")</f>
        <v>24/02/2023</v>
      </c>
      <c r="G1871" s="5" t="str">
        <f>TEXT(E1871,"mm")</f>
        <v>24/02/2023</v>
      </c>
      <c r="H1871" s="6">
        <v>8684.58</v>
      </c>
      <c r="I1871">
        <v>120</v>
      </c>
      <c r="L1871" t="str">
        <f t="shared" si="29"/>
        <v>Above Average</v>
      </c>
      <c r="M1871">
        <f>RANK(H1871,H:H,0)</f>
        <v>801</v>
      </c>
    </row>
    <row r="1872" spans="1:13">
      <c r="A1872" t="s">
        <v>58</v>
      </c>
      <c r="B1872" t="s">
        <v>10</v>
      </c>
      <c r="C1872" t="s">
        <v>33</v>
      </c>
      <c r="D1872" s="3" t="s">
        <v>236</v>
      </c>
      <c r="E1872" s="5" t="str">
        <f>TEXT(D1872,"dd/mm/yyyy")</f>
        <v>18/03/2023</v>
      </c>
      <c r="G1872" s="5" t="str">
        <f>TEXT(E1872,"mm")</f>
        <v>18/03/2023</v>
      </c>
      <c r="H1872" s="6">
        <v>873.26</v>
      </c>
      <c r="I1872">
        <v>140</v>
      </c>
      <c r="L1872" t="str">
        <f t="shared" si="29"/>
        <v>Below Average</v>
      </c>
      <c r="M1872">
        <f>RANK(H1872,H:H,0)</f>
        <v>3009</v>
      </c>
    </row>
    <row r="1873" spans="1:13">
      <c r="A1873" t="s">
        <v>53</v>
      </c>
      <c r="B1873" t="s">
        <v>7</v>
      </c>
      <c r="C1873" t="s">
        <v>36</v>
      </c>
      <c r="D1873" s="3" t="s">
        <v>243</v>
      </c>
      <c r="E1873" s="5" t="str">
        <f>TEXT(D1873,"dd/mm/yyyy")</f>
        <v>30/08/2023</v>
      </c>
      <c r="G1873" s="5" t="str">
        <f>TEXT(E1873,"mm")</f>
        <v>30/08/2023</v>
      </c>
      <c r="H1873" s="6">
        <v>1912.66</v>
      </c>
      <c r="I1873">
        <v>253</v>
      </c>
      <c r="L1873" t="str">
        <f t="shared" si="29"/>
        <v>Below Average</v>
      </c>
      <c r="M1873">
        <f>RANK(H1873,H:H,0)</f>
        <v>2660</v>
      </c>
    </row>
    <row r="1874" spans="1:13">
      <c r="A1874" t="s">
        <v>12</v>
      </c>
      <c r="B1874" t="s">
        <v>32</v>
      </c>
      <c r="C1874" t="s">
        <v>13</v>
      </c>
      <c r="D1874" s="4">
        <v>45174</v>
      </c>
      <c r="E1874" s="5" t="str">
        <f>TEXT(D1874,"dd/mm/yyyy")</f>
        <v>05/09/2023</v>
      </c>
      <c r="F1874" s="4"/>
      <c r="G1874" s="5" t="str">
        <f>TEXT(E1874,"mm")</f>
        <v>05</v>
      </c>
      <c r="H1874" s="6">
        <v>321.61</v>
      </c>
      <c r="I1874">
        <v>76</v>
      </c>
      <c r="L1874" t="str">
        <f t="shared" si="29"/>
        <v>Below Average</v>
      </c>
      <c r="M1874">
        <f>RANK(H1874,H:H,0)</f>
        <v>3181</v>
      </c>
    </row>
    <row r="1875" spans="1:13">
      <c r="A1875" t="s">
        <v>64</v>
      </c>
      <c r="B1875" t="s">
        <v>32</v>
      </c>
      <c r="C1875" t="s">
        <v>18</v>
      </c>
      <c r="D1875" s="3" t="s">
        <v>218</v>
      </c>
      <c r="E1875" s="5" t="str">
        <f>TEXT(D1875,"dd/mm/yyyy")</f>
        <v>18/01/2023</v>
      </c>
      <c r="G1875" s="5" t="str">
        <f>TEXT(E1875,"mm")</f>
        <v>18/01/2023</v>
      </c>
      <c r="H1875" s="6">
        <v>511.12</v>
      </c>
      <c r="I1875">
        <v>96</v>
      </c>
      <c r="L1875" t="str">
        <f t="shared" si="29"/>
        <v>Below Average</v>
      </c>
      <c r="M1875">
        <f>RANK(H1875,H:H,0)</f>
        <v>3122</v>
      </c>
    </row>
    <row r="1876" spans="1:13">
      <c r="A1876" t="s">
        <v>48</v>
      </c>
      <c r="B1876" t="s">
        <v>10</v>
      </c>
      <c r="C1876" t="s">
        <v>59</v>
      </c>
      <c r="D1876" s="4">
        <v>45023</v>
      </c>
      <c r="E1876" s="5" t="str">
        <f>TEXT(D1876,"dd/mm/yyyy")</f>
        <v>07/04/2023</v>
      </c>
      <c r="F1876" s="4"/>
      <c r="G1876" s="5" t="str">
        <f>TEXT(E1876,"mm")</f>
        <v>07</v>
      </c>
      <c r="H1876" s="6">
        <v>7887.15</v>
      </c>
      <c r="I1876">
        <v>335</v>
      </c>
      <c r="L1876" t="str">
        <f t="shared" si="29"/>
        <v>Above Average</v>
      </c>
      <c r="M1876">
        <f>RANK(H1876,H:H,0)</f>
        <v>975</v>
      </c>
    </row>
    <row r="1877" spans="1:13">
      <c r="A1877" t="s">
        <v>19</v>
      </c>
      <c r="B1877" t="s">
        <v>25</v>
      </c>
      <c r="C1877" t="s">
        <v>50</v>
      </c>
      <c r="D1877" s="4">
        <v>44991</v>
      </c>
      <c r="E1877" s="5" t="str">
        <f>TEXT(D1877,"dd/mm/yyyy")</f>
        <v>06/03/2023</v>
      </c>
      <c r="F1877" s="4"/>
      <c r="G1877" s="5" t="str">
        <f>TEXT(E1877,"mm")</f>
        <v>06</v>
      </c>
      <c r="H1877" s="6">
        <v>1793.67</v>
      </c>
      <c r="I1877">
        <v>13</v>
      </c>
      <c r="L1877" t="str">
        <f t="shared" si="29"/>
        <v>Below Average</v>
      </c>
      <c r="M1877">
        <f>RANK(H1877,H:H,0)</f>
        <v>2703</v>
      </c>
    </row>
    <row r="1878" spans="1:13">
      <c r="A1878" t="s">
        <v>41</v>
      </c>
      <c r="B1878" t="s">
        <v>25</v>
      </c>
      <c r="C1878" t="s">
        <v>13</v>
      </c>
      <c r="D1878" s="3" t="s">
        <v>185</v>
      </c>
      <c r="E1878" s="5" t="str">
        <f>TEXT(D1878,"dd/mm/yyyy")</f>
        <v>23/02/2023</v>
      </c>
      <c r="G1878" s="5" t="str">
        <f>TEXT(E1878,"mm")</f>
        <v>23/02/2023</v>
      </c>
      <c r="H1878" s="6">
        <v>12129.42</v>
      </c>
      <c r="I1878">
        <v>29</v>
      </c>
      <c r="L1878" t="str">
        <f t="shared" si="29"/>
        <v>Above Average</v>
      </c>
      <c r="M1878">
        <f>RANK(H1878,H:H,0)</f>
        <v>334</v>
      </c>
    </row>
    <row r="1879" spans="1:13">
      <c r="A1879" t="s">
        <v>79</v>
      </c>
      <c r="B1879" t="s">
        <v>25</v>
      </c>
      <c r="C1879" t="s">
        <v>20</v>
      </c>
      <c r="D1879" s="4">
        <v>45174</v>
      </c>
      <c r="E1879" s="5" t="str">
        <f>TEXT(D1879,"dd/mm/yyyy")</f>
        <v>05/09/2023</v>
      </c>
      <c r="F1879" s="4"/>
      <c r="G1879" s="5" t="str">
        <f>TEXT(E1879,"mm")</f>
        <v>05</v>
      </c>
      <c r="H1879" s="6">
        <v>11749.75</v>
      </c>
      <c r="I1879">
        <v>213</v>
      </c>
      <c r="L1879" t="str">
        <f t="shared" si="29"/>
        <v>Above Average</v>
      </c>
      <c r="M1879">
        <f>RANK(H1879,H:H,0)</f>
        <v>366</v>
      </c>
    </row>
    <row r="1880" spans="1:13">
      <c r="A1880" t="s">
        <v>70</v>
      </c>
      <c r="B1880" t="s">
        <v>10</v>
      </c>
      <c r="C1880" t="s">
        <v>100</v>
      </c>
      <c r="D1880" s="4">
        <v>45083</v>
      </c>
      <c r="E1880" s="5" t="str">
        <f>TEXT(D1880,"dd/mm/yyyy")</f>
        <v>06/06/2023</v>
      </c>
      <c r="F1880" s="4"/>
      <c r="G1880" s="5" t="str">
        <f>TEXT(E1880,"mm")</f>
        <v>06</v>
      </c>
      <c r="H1880" s="6">
        <v>3967.25</v>
      </c>
      <c r="I1880">
        <v>101</v>
      </c>
      <c r="L1880" t="str">
        <f t="shared" si="29"/>
        <v>Below Average</v>
      </c>
      <c r="M1880">
        <f>RANK(H1880,H:H,0)</f>
        <v>1996</v>
      </c>
    </row>
    <row r="1881" spans="1:13">
      <c r="A1881" t="s">
        <v>70</v>
      </c>
      <c r="B1881" t="s">
        <v>10</v>
      </c>
      <c r="C1881" t="s">
        <v>38</v>
      </c>
      <c r="D1881" s="4">
        <v>45023</v>
      </c>
      <c r="E1881" s="5" t="str">
        <f>TEXT(D1881,"dd/mm/yyyy")</f>
        <v>07/04/2023</v>
      </c>
      <c r="F1881" s="4"/>
      <c r="G1881" s="5" t="str">
        <f>TEXT(E1881,"mm")</f>
        <v>07</v>
      </c>
      <c r="H1881" s="6">
        <v>8105.37</v>
      </c>
      <c r="I1881">
        <v>255</v>
      </c>
      <c r="L1881" t="str">
        <f t="shared" si="29"/>
        <v>Above Average</v>
      </c>
      <c r="M1881">
        <f>RANK(H1881,H:H,0)</f>
        <v>916</v>
      </c>
    </row>
    <row r="1882" spans="1:13">
      <c r="A1882" t="s">
        <v>28</v>
      </c>
      <c r="B1882" t="s">
        <v>25</v>
      </c>
      <c r="C1882" t="s">
        <v>38</v>
      </c>
      <c r="D1882" s="4">
        <v>45083</v>
      </c>
      <c r="E1882" s="5" t="str">
        <f>TEXT(D1882,"dd/mm/yyyy")</f>
        <v>06/06/2023</v>
      </c>
      <c r="F1882" s="4"/>
      <c r="G1882" s="5" t="str">
        <f>TEXT(E1882,"mm")</f>
        <v>06</v>
      </c>
      <c r="H1882" s="6">
        <v>1614.17</v>
      </c>
      <c r="I1882">
        <v>106</v>
      </c>
      <c r="L1882" t="str">
        <f t="shared" si="29"/>
        <v>Below Average</v>
      </c>
      <c r="M1882">
        <f>RANK(H1882,H:H,0)</f>
        <v>2765</v>
      </c>
    </row>
    <row r="1883" spans="1:13">
      <c r="A1883" t="s">
        <v>79</v>
      </c>
      <c r="B1883" t="s">
        <v>15</v>
      </c>
      <c r="C1883" t="s">
        <v>65</v>
      </c>
      <c r="D1883" s="3" t="s">
        <v>233</v>
      </c>
      <c r="E1883" s="5" t="str">
        <f>TEXT(D1883,"dd/mm/yyyy")</f>
        <v>13/05/2023</v>
      </c>
      <c r="G1883" s="5" t="str">
        <f>TEXT(E1883,"mm")</f>
        <v>13/05/2023</v>
      </c>
      <c r="H1883" s="6">
        <v>1613.3</v>
      </c>
      <c r="I1883">
        <v>91</v>
      </c>
      <c r="L1883" t="str">
        <f t="shared" si="29"/>
        <v>Below Average</v>
      </c>
      <c r="M1883">
        <f>RANK(H1883,H:H,0)</f>
        <v>2766</v>
      </c>
    </row>
    <row r="1884" spans="1:13">
      <c r="A1884" t="s">
        <v>64</v>
      </c>
      <c r="B1884" t="s">
        <v>25</v>
      </c>
      <c r="C1884" t="s">
        <v>42</v>
      </c>
      <c r="D1884" s="3" t="s">
        <v>200</v>
      </c>
      <c r="E1884" s="5" t="str">
        <f>TEXT(D1884,"dd/mm/yyyy")</f>
        <v>31/01/2023</v>
      </c>
      <c r="G1884" s="5" t="str">
        <f>TEXT(E1884,"mm")</f>
        <v>31/01/2023</v>
      </c>
      <c r="H1884" s="6">
        <v>2155.64</v>
      </c>
      <c r="I1884">
        <v>281</v>
      </c>
      <c r="L1884" t="str">
        <f t="shared" si="29"/>
        <v>Below Average</v>
      </c>
      <c r="M1884">
        <f>RANK(H1884,H:H,0)</f>
        <v>2590</v>
      </c>
    </row>
    <row r="1885" spans="1:13">
      <c r="A1885" t="s">
        <v>83</v>
      </c>
      <c r="B1885" t="s">
        <v>25</v>
      </c>
      <c r="C1885" t="s">
        <v>90</v>
      </c>
      <c r="D1885" s="3" t="s">
        <v>180</v>
      </c>
      <c r="E1885" s="5" t="str">
        <f>TEXT(D1885,"dd/mm/yyyy")</f>
        <v>30/06/2023</v>
      </c>
      <c r="G1885" s="5" t="str">
        <f>TEXT(E1885,"mm")</f>
        <v>30/06/2023</v>
      </c>
      <c r="H1885" s="6">
        <v>8184.37</v>
      </c>
      <c r="I1885">
        <v>43</v>
      </c>
      <c r="L1885" t="str">
        <f t="shared" si="29"/>
        <v>Above Average</v>
      </c>
      <c r="M1885">
        <f>RANK(H1885,H:H,0)</f>
        <v>897</v>
      </c>
    </row>
    <row r="1886" spans="1:13">
      <c r="A1886" t="s">
        <v>31</v>
      </c>
      <c r="B1886" t="s">
        <v>35</v>
      </c>
      <c r="C1886" t="s">
        <v>60</v>
      </c>
      <c r="D1886" s="3" t="s">
        <v>206</v>
      </c>
      <c r="E1886" s="5" t="str">
        <f>TEXT(D1886,"dd/mm/yyyy")</f>
        <v>25/08/2023</v>
      </c>
      <c r="G1886" s="5" t="str">
        <f>TEXT(E1886,"mm")</f>
        <v>25/08/2023</v>
      </c>
      <c r="H1886" s="6">
        <v>3613.32</v>
      </c>
      <c r="I1886">
        <v>251</v>
      </c>
      <c r="L1886" t="str">
        <f t="shared" si="29"/>
        <v>Below Average</v>
      </c>
      <c r="M1886">
        <f>RANK(H1886,H:H,0)</f>
        <v>2101</v>
      </c>
    </row>
    <row r="1887" spans="1:13">
      <c r="A1887" t="s">
        <v>12</v>
      </c>
      <c r="B1887" t="s">
        <v>25</v>
      </c>
      <c r="C1887" t="s">
        <v>18</v>
      </c>
      <c r="D1887" s="4">
        <v>45200</v>
      </c>
      <c r="E1887" s="5" t="str">
        <f>TEXT(D1887,"dd/mm/yyyy")</f>
        <v>01/10/2023</v>
      </c>
      <c r="F1887" s="4"/>
      <c r="G1887" s="5" t="str">
        <f>TEXT(E1887,"mm")</f>
        <v>01</v>
      </c>
      <c r="H1887" s="6">
        <v>801.09</v>
      </c>
      <c r="I1887">
        <v>101</v>
      </c>
      <c r="L1887" t="str">
        <f t="shared" si="29"/>
        <v>Below Average</v>
      </c>
      <c r="M1887">
        <f>RANK(H1887,H:H,0)</f>
        <v>3027</v>
      </c>
    </row>
    <row r="1888" spans="1:13">
      <c r="A1888" t="s">
        <v>28</v>
      </c>
      <c r="B1888" t="s">
        <v>32</v>
      </c>
      <c r="C1888" t="s">
        <v>60</v>
      </c>
      <c r="D1888" s="3" t="s">
        <v>186</v>
      </c>
      <c r="E1888" s="5" t="str">
        <f>TEXT(D1888,"dd/mm/yyyy")</f>
        <v>22/08/2023</v>
      </c>
      <c r="G1888" s="5" t="str">
        <f>TEXT(E1888,"mm")</f>
        <v>22/08/2023</v>
      </c>
      <c r="H1888" s="6">
        <v>2069.48</v>
      </c>
      <c r="I1888">
        <v>8</v>
      </c>
      <c r="L1888" t="str">
        <f t="shared" si="29"/>
        <v>Below Average</v>
      </c>
      <c r="M1888">
        <f>RANK(H1888,H:H,0)</f>
        <v>2610</v>
      </c>
    </row>
    <row r="1889" spans="1:13">
      <c r="A1889" t="s">
        <v>45</v>
      </c>
      <c r="B1889" t="s">
        <v>25</v>
      </c>
      <c r="C1889" t="s">
        <v>11</v>
      </c>
      <c r="D1889" s="3" t="s">
        <v>195</v>
      </c>
      <c r="E1889" s="5" t="str">
        <f>TEXT(D1889,"dd/mm/yyyy")</f>
        <v>14/04/2023</v>
      </c>
      <c r="G1889" s="5" t="str">
        <f>TEXT(E1889,"mm")</f>
        <v>14/04/2023</v>
      </c>
      <c r="H1889" s="6">
        <v>5096.21</v>
      </c>
      <c r="I1889">
        <v>284</v>
      </c>
      <c r="L1889" t="str">
        <f t="shared" si="29"/>
        <v>Below Average</v>
      </c>
      <c r="M1889">
        <f>RANK(H1889,H:H,0)</f>
        <v>1672</v>
      </c>
    </row>
    <row r="1890" spans="1:13">
      <c r="A1890" t="s">
        <v>19</v>
      </c>
      <c r="B1890" t="s">
        <v>7</v>
      </c>
      <c r="C1890" t="s">
        <v>18</v>
      </c>
      <c r="D1890" s="3" t="s">
        <v>229</v>
      </c>
      <c r="E1890" s="5" t="str">
        <f>TEXT(D1890,"dd/mm/yyyy")</f>
        <v>31/05/2023</v>
      </c>
      <c r="G1890" s="5" t="str">
        <f>TEXT(E1890,"mm")</f>
        <v>31/05/2023</v>
      </c>
      <c r="H1890" s="6">
        <v>10573.5</v>
      </c>
      <c r="I1890">
        <v>338</v>
      </c>
      <c r="L1890" t="str">
        <f t="shared" si="29"/>
        <v>Above Average</v>
      </c>
      <c r="M1890">
        <f>RANK(H1890,H:H,0)</f>
        <v>505</v>
      </c>
    </row>
    <row r="1891" spans="1:13">
      <c r="A1891" t="s">
        <v>19</v>
      </c>
      <c r="B1891" t="s">
        <v>7</v>
      </c>
      <c r="C1891" t="s">
        <v>73</v>
      </c>
      <c r="D1891" s="4">
        <v>45142</v>
      </c>
      <c r="E1891" s="5" t="str">
        <f>TEXT(D1891,"dd/mm/yyyy")</f>
        <v>04/08/2023</v>
      </c>
      <c r="F1891" s="4"/>
      <c r="G1891" s="5" t="str">
        <f>TEXT(E1891,"mm")</f>
        <v>04</v>
      </c>
      <c r="H1891" s="6">
        <v>4611.37</v>
      </c>
      <c r="I1891">
        <v>322</v>
      </c>
      <c r="L1891" t="str">
        <f t="shared" si="29"/>
        <v>Below Average</v>
      </c>
      <c r="M1891">
        <f>RANK(H1891,H:H,0)</f>
        <v>1819</v>
      </c>
    </row>
    <row r="1892" spans="1:13">
      <c r="A1892" t="s">
        <v>45</v>
      </c>
      <c r="B1892" t="s">
        <v>32</v>
      </c>
      <c r="C1892" t="s">
        <v>38</v>
      </c>
      <c r="D1892" s="3" t="s">
        <v>212</v>
      </c>
      <c r="E1892" s="5" t="str">
        <f>TEXT(D1892,"dd/mm/yyyy")</f>
        <v>21/02/2023</v>
      </c>
      <c r="G1892" s="5" t="str">
        <f>TEXT(E1892,"mm")</f>
        <v>21/02/2023</v>
      </c>
      <c r="H1892" s="6">
        <v>3288.77</v>
      </c>
      <c r="I1892">
        <v>148</v>
      </c>
      <c r="L1892" t="str">
        <f t="shared" si="29"/>
        <v>Below Average</v>
      </c>
      <c r="M1892">
        <f>RANK(H1892,H:H,0)</f>
        <v>2212</v>
      </c>
    </row>
    <row r="1893" spans="1:13">
      <c r="A1893" t="s">
        <v>67</v>
      </c>
      <c r="B1893" t="s">
        <v>15</v>
      </c>
      <c r="C1893" t="s">
        <v>60</v>
      </c>
      <c r="D1893" s="3" t="s">
        <v>258</v>
      </c>
      <c r="E1893" s="5" t="str">
        <f>TEXT(D1893,"dd/mm/yyyy")</f>
        <v>30/03/2023</v>
      </c>
      <c r="G1893" s="5" t="str">
        <f>TEXT(E1893,"mm")</f>
        <v>30/03/2023</v>
      </c>
      <c r="H1893" s="6">
        <v>10883.13</v>
      </c>
      <c r="I1893">
        <v>394</v>
      </c>
      <c r="L1893" t="str">
        <f t="shared" si="29"/>
        <v>Above Average</v>
      </c>
      <c r="M1893">
        <f>RANK(H1893,H:H,0)</f>
        <v>459</v>
      </c>
    </row>
    <row r="1894" spans="1:13">
      <c r="A1894" t="s">
        <v>34</v>
      </c>
      <c r="B1894" t="s">
        <v>10</v>
      </c>
      <c r="C1894" t="s">
        <v>73</v>
      </c>
      <c r="D1894" s="4">
        <v>44960</v>
      </c>
      <c r="E1894" s="5" t="str">
        <f>TEXT(D1894,"dd/mm/yyyy")</f>
        <v>03/02/2023</v>
      </c>
      <c r="F1894" s="4"/>
      <c r="G1894" s="5" t="str">
        <f>TEXT(E1894,"mm")</f>
        <v>03</v>
      </c>
      <c r="H1894" s="6">
        <v>1516.56</v>
      </c>
      <c r="I1894">
        <v>2</v>
      </c>
      <c r="L1894" t="str">
        <f t="shared" si="29"/>
        <v>Below Average</v>
      </c>
      <c r="M1894">
        <f>RANK(H1894,H:H,0)</f>
        <v>2801</v>
      </c>
    </row>
    <row r="1895" spans="1:13">
      <c r="A1895" t="s">
        <v>6</v>
      </c>
      <c r="B1895" t="s">
        <v>32</v>
      </c>
      <c r="C1895" t="s">
        <v>33</v>
      </c>
      <c r="D1895" s="3" t="s">
        <v>168</v>
      </c>
      <c r="E1895" s="5" t="str">
        <f>TEXT(D1895,"dd/mm/yyyy")</f>
        <v>28/07/2023</v>
      </c>
      <c r="G1895" s="5" t="str">
        <f>TEXT(E1895,"mm")</f>
        <v>28/07/2023</v>
      </c>
      <c r="H1895" s="6">
        <v>391.33</v>
      </c>
      <c r="I1895">
        <v>184</v>
      </c>
      <c r="L1895" t="str">
        <f t="shared" si="29"/>
        <v>Below Average</v>
      </c>
      <c r="M1895">
        <f>RANK(H1895,H:H,0)</f>
        <v>3167</v>
      </c>
    </row>
    <row r="1896" spans="1:13">
      <c r="A1896" t="s">
        <v>55</v>
      </c>
      <c r="B1896" t="s">
        <v>25</v>
      </c>
      <c r="C1896" t="s">
        <v>100</v>
      </c>
      <c r="D1896" s="3" t="s">
        <v>165</v>
      </c>
      <c r="E1896" s="5" t="str">
        <f>TEXT(D1896,"dd/mm/yyyy")</f>
        <v>24/03/2023</v>
      </c>
      <c r="G1896" s="5" t="str">
        <f>TEXT(E1896,"mm")</f>
        <v>24/03/2023</v>
      </c>
      <c r="H1896" s="6">
        <v>7969.08</v>
      </c>
      <c r="I1896">
        <v>38</v>
      </c>
      <c r="L1896" t="str">
        <f t="shared" si="29"/>
        <v>Above Average</v>
      </c>
      <c r="M1896">
        <f>RANK(H1896,H:H,0)</f>
        <v>943</v>
      </c>
    </row>
    <row r="1897" spans="1:13">
      <c r="A1897" t="s">
        <v>48</v>
      </c>
      <c r="B1897" t="s">
        <v>15</v>
      </c>
      <c r="C1897" t="s">
        <v>23</v>
      </c>
      <c r="D1897" s="4">
        <v>45238</v>
      </c>
      <c r="E1897" s="5" t="str">
        <f>TEXT(D1897,"dd/mm/yyyy")</f>
        <v>08/11/2023</v>
      </c>
      <c r="F1897" s="4"/>
      <c r="G1897" s="5" t="str">
        <f>TEXT(E1897,"mm")</f>
        <v>08</v>
      </c>
      <c r="H1897" s="6">
        <v>63.71</v>
      </c>
      <c r="I1897">
        <v>109</v>
      </c>
      <c r="L1897" t="str">
        <f t="shared" si="29"/>
        <v>Below Average</v>
      </c>
      <c r="M1897">
        <f>RANK(H1897,H:H,0)</f>
        <v>3264</v>
      </c>
    </row>
    <row r="1898" spans="1:13">
      <c r="A1898" t="s">
        <v>53</v>
      </c>
      <c r="B1898" t="s">
        <v>7</v>
      </c>
      <c r="C1898" t="s">
        <v>65</v>
      </c>
      <c r="D1898" s="3" t="s">
        <v>247</v>
      </c>
      <c r="E1898" s="5" t="str">
        <f>TEXT(D1898,"dd/mm/yyyy")</f>
        <v>17/05/2023</v>
      </c>
      <c r="G1898" s="5" t="str">
        <f>TEXT(E1898,"mm")</f>
        <v>17/05/2023</v>
      </c>
      <c r="H1898" s="6">
        <v>8832.33</v>
      </c>
      <c r="I1898">
        <v>175</v>
      </c>
      <c r="L1898" t="str">
        <f t="shared" si="29"/>
        <v>Above Average</v>
      </c>
      <c r="M1898">
        <f>RANK(H1898,H:H,0)</f>
        <v>774</v>
      </c>
    </row>
    <row r="1899" spans="1:13">
      <c r="A1899" t="s">
        <v>55</v>
      </c>
      <c r="B1899" t="s">
        <v>35</v>
      </c>
      <c r="C1899" t="s">
        <v>75</v>
      </c>
      <c r="D1899" s="3" t="s">
        <v>190</v>
      </c>
      <c r="E1899" s="5" t="str">
        <f>TEXT(D1899,"dd/mm/yyyy")</f>
        <v>18/05/2023</v>
      </c>
      <c r="G1899" s="5" t="str">
        <f>TEXT(E1899,"mm")</f>
        <v>18/05/2023</v>
      </c>
      <c r="H1899" s="6">
        <v>3542.19</v>
      </c>
      <c r="I1899">
        <v>180</v>
      </c>
      <c r="L1899" t="str">
        <f t="shared" si="29"/>
        <v>Below Average</v>
      </c>
      <c r="M1899">
        <f>RANK(H1899,H:H,0)</f>
        <v>2129</v>
      </c>
    </row>
    <row r="1900" spans="1:13">
      <c r="A1900" t="s">
        <v>45</v>
      </c>
      <c r="B1900" t="s">
        <v>7</v>
      </c>
      <c r="C1900" t="s">
        <v>13</v>
      </c>
      <c r="D1900" s="3" t="s">
        <v>238</v>
      </c>
      <c r="E1900" s="5" t="str">
        <f>TEXT(D1900,"dd/mm/yyyy")</f>
        <v>17/08/2023</v>
      </c>
      <c r="G1900" s="5" t="str">
        <f>TEXT(E1900,"mm")</f>
        <v>17/08/2023</v>
      </c>
      <c r="H1900" s="6">
        <v>6052.07</v>
      </c>
      <c r="I1900">
        <v>173</v>
      </c>
      <c r="L1900" t="str">
        <f t="shared" si="29"/>
        <v>Above Average</v>
      </c>
      <c r="M1900">
        <f>RANK(H1900,H:H,0)</f>
        <v>1421</v>
      </c>
    </row>
    <row r="1901" spans="1:13">
      <c r="A1901" t="s">
        <v>83</v>
      </c>
      <c r="B1901" t="s">
        <v>25</v>
      </c>
      <c r="C1901" t="s">
        <v>36</v>
      </c>
      <c r="D1901" s="4">
        <v>45020</v>
      </c>
      <c r="E1901" s="5" t="str">
        <f>TEXT(D1901,"dd/mm/yyyy")</f>
        <v>04/04/2023</v>
      </c>
      <c r="F1901" s="4"/>
      <c r="G1901" s="5" t="str">
        <f>TEXT(E1901,"mm")</f>
        <v>04</v>
      </c>
      <c r="H1901" s="6">
        <v>543.20000000000005</v>
      </c>
      <c r="I1901">
        <v>54</v>
      </c>
      <c r="L1901" t="str">
        <f t="shared" si="29"/>
        <v>Below Average</v>
      </c>
      <c r="M1901">
        <f>RANK(H1901,H:H,0)</f>
        <v>3114</v>
      </c>
    </row>
    <row r="1902" spans="1:13">
      <c r="A1902" t="s">
        <v>28</v>
      </c>
      <c r="B1902" t="s">
        <v>10</v>
      </c>
      <c r="C1902" t="s">
        <v>11</v>
      </c>
      <c r="D1902" s="4">
        <v>45177</v>
      </c>
      <c r="E1902" s="5" t="str">
        <f>TEXT(D1902,"dd/mm/yyyy")</f>
        <v>08/09/2023</v>
      </c>
      <c r="F1902" s="4"/>
      <c r="G1902" s="5" t="str">
        <f>TEXT(E1902,"mm")</f>
        <v>08</v>
      </c>
      <c r="H1902" s="6">
        <v>18894.919999999998</v>
      </c>
      <c r="I1902">
        <v>201</v>
      </c>
      <c r="L1902" t="str">
        <f t="shared" si="29"/>
        <v>Above Average</v>
      </c>
      <c r="M1902">
        <f>RANK(H1902,H:H,0)</f>
        <v>30</v>
      </c>
    </row>
    <row r="1903" spans="1:13">
      <c r="A1903" t="s">
        <v>28</v>
      </c>
      <c r="B1903" t="s">
        <v>25</v>
      </c>
      <c r="C1903" t="s">
        <v>42</v>
      </c>
      <c r="D1903" s="3" t="s">
        <v>255</v>
      </c>
      <c r="E1903" s="5" t="str">
        <f>TEXT(D1903,"dd/mm/yyyy")</f>
        <v>17/01/2023</v>
      </c>
      <c r="G1903" s="5" t="str">
        <f>TEXT(E1903,"mm")</f>
        <v>17/01/2023</v>
      </c>
      <c r="H1903" s="6">
        <v>689.4</v>
      </c>
      <c r="I1903">
        <v>331</v>
      </c>
      <c r="L1903" t="str">
        <f t="shared" si="29"/>
        <v>Below Average</v>
      </c>
      <c r="M1903">
        <f>RANK(H1903,H:H,0)</f>
        <v>3069</v>
      </c>
    </row>
    <row r="1904" spans="1:13">
      <c r="A1904" t="s">
        <v>67</v>
      </c>
      <c r="B1904" t="s">
        <v>35</v>
      </c>
      <c r="C1904" t="s">
        <v>59</v>
      </c>
      <c r="D1904" s="3" t="s">
        <v>170</v>
      </c>
      <c r="E1904" s="5" t="str">
        <f>TEXT(D1904,"dd/mm/yyyy")</f>
        <v>14/02/2023</v>
      </c>
      <c r="G1904" s="5" t="str">
        <f>TEXT(E1904,"mm")</f>
        <v>14/02/2023</v>
      </c>
      <c r="H1904" s="6">
        <v>4435.95</v>
      </c>
      <c r="I1904">
        <v>31</v>
      </c>
      <c r="L1904" t="str">
        <f t="shared" si="29"/>
        <v>Below Average</v>
      </c>
      <c r="M1904">
        <f>RANK(H1904,H:H,0)</f>
        <v>1870</v>
      </c>
    </row>
    <row r="1905" spans="1:13">
      <c r="A1905" t="s">
        <v>12</v>
      </c>
      <c r="B1905" t="s">
        <v>25</v>
      </c>
      <c r="C1905" t="s">
        <v>33</v>
      </c>
      <c r="D1905" s="3" t="s">
        <v>192</v>
      </c>
      <c r="E1905" s="5" t="str">
        <f>TEXT(D1905,"dd/mm/yyyy")</f>
        <v>16/05/2023</v>
      </c>
      <c r="G1905" s="5" t="str">
        <f>TEXT(E1905,"mm")</f>
        <v>16/05/2023</v>
      </c>
      <c r="H1905" s="6">
        <v>9111.34</v>
      </c>
      <c r="I1905">
        <v>324</v>
      </c>
      <c r="L1905" t="str">
        <f t="shared" si="29"/>
        <v>Above Average</v>
      </c>
      <c r="M1905">
        <f>RANK(H1905,H:H,0)</f>
        <v>717</v>
      </c>
    </row>
    <row r="1906" spans="1:13">
      <c r="A1906" t="s">
        <v>83</v>
      </c>
      <c r="B1906" t="s">
        <v>35</v>
      </c>
      <c r="C1906" t="s">
        <v>18</v>
      </c>
      <c r="D1906" s="3" t="s">
        <v>211</v>
      </c>
      <c r="E1906" s="5" t="str">
        <f>TEXT(D1906,"dd/mm/yyyy")</f>
        <v>16/03/2023</v>
      </c>
      <c r="G1906" s="5" t="str">
        <f>TEXT(E1906,"mm")</f>
        <v>16/03/2023</v>
      </c>
      <c r="H1906" s="6">
        <v>10369.709999999999</v>
      </c>
      <c r="I1906">
        <v>129</v>
      </c>
      <c r="L1906" t="str">
        <f t="shared" si="29"/>
        <v>Above Average</v>
      </c>
      <c r="M1906">
        <f>RANK(H1906,H:H,0)</f>
        <v>525</v>
      </c>
    </row>
    <row r="1907" spans="1:13">
      <c r="A1907" t="s">
        <v>53</v>
      </c>
      <c r="B1907" t="s">
        <v>35</v>
      </c>
      <c r="C1907" t="s">
        <v>100</v>
      </c>
      <c r="D1907" s="3" t="s">
        <v>200</v>
      </c>
      <c r="E1907" s="5" t="str">
        <f>TEXT(D1907,"dd/mm/yyyy")</f>
        <v>31/01/2023</v>
      </c>
      <c r="G1907" s="5" t="str">
        <f>TEXT(E1907,"mm")</f>
        <v>31/01/2023</v>
      </c>
      <c r="H1907" s="6">
        <v>5833.2</v>
      </c>
      <c r="I1907">
        <v>290</v>
      </c>
      <c r="L1907" t="str">
        <f t="shared" si="29"/>
        <v>Below Average</v>
      </c>
      <c r="M1907">
        <f>RANK(H1907,H:H,0)</f>
        <v>1478</v>
      </c>
    </row>
    <row r="1908" spans="1:13">
      <c r="A1908" t="s">
        <v>31</v>
      </c>
      <c r="B1908" t="s">
        <v>35</v>
      </c>
      <c r="C1908" t="s">
        <v>42</v>
      </c>
      <c r="D1908" s="4">
        <v>45202</v>
      </c>
      <c r="E1908" s="5" t="str">
        <f>TEXT(D1908,"dd/mm/yyyy")</f>
        <v>03/10/2023</v>
      </c>
      <c r="F1908" s="4"/>
      <c r="G1908" s="5" t="str">
        <f>TEXT(E1908,"mm")</f>
        <v>03</v>
      </c>
      <c r="H1908" s="6">
        <v>1229.96</v>
      </c>
      <c r="I1908">
        <v>219</v>
      </c>
      <c r="L1908" t="str">
        <f t="shared" si="29"/>
        <v>Below Average</v>
      </c>
      <c r="M1908">
        <f>RANK(H1908,H:H,0)</f>
        <v>2897</v>
      </c>
    </row>
    <row r="1909" spans="1:13">
      <c r="A1909" t="s">
        <v>19</v>
      </c>
      <c r="B1909" t="s">
        <v>7</v>
      </c>
      <c r="C1909" t="s">
        <v>42</v>
      </c>
      <c r="D1909" s="3" t="s">
        <v>180</v>
      </c>
      <c r="E1909" s="5" t="str">
        <f>TEXT(D1909,"dd/mm/yyyy")</f>
        <v>30/06/2023</v>
      </c>
      <c r="G1909" s="5" t="str">
        <f>TEXT(E1909,"mm")</f>
        <v>30/06/2023</v>
      </c>
      <c r="H1909" s="6">
        <v>8839.7199999999993</v>
      </c>
      <c r="I1909">
        <v>170</v>
      </c>
      <c r="L1909" t="str">
        <f t="shared" si="29"/>
        <v>Above Average</v>
      </c>
      <c r="M1909">
        <f>RANK(H1909,H:H,0)</f>
        <v>772</v>
      </c>
    </row>
    <row r="1910" spans="1:13">
      <c r="A1910" t="s">
        <v>9</v>
      </c>
      <c r="B1910" t="s">
        <v>25</v>
      </c>
      <c r="C1910" t="s">
        <v>36</v>
      </c>
      <c r="D1910" s="4">
        <v>44929</v>
      </c>
      <c r="E1910" s="5" t="str">
        <f>TEXT(D1910,"dd/mm/yyyy")</f>
        <v>03/01/2023</v>
      </c>
      <c r="F1910" s="4"/>
      <c r="G1910" s="5" t="str">
        <f>TEXT(E1910,"mm")</f>
        <v>03</v>
      </c>
      <c r="H1910" s="6">
        <v>5747.66</v>
      </c>
      <c r="I1910">
        <v>176</v>
      </c>
      <c r="L1910" t="str">
        <f t="shared" si="29"/>
        <v>Below Average</v>
      </c>
      <c r="M1910">
        <f>RANK(H1910,H:H,0)</f>
        <v>1506</v>
      </c>
    </row>
    <row r="1911" spans="1:13">
      <c r="A1911" t="s">
        <v>34</v>
      </c>
      <c r="B1911" t="s">
        <v>7</v>
      </c>
      <c r="C1911" t="s">
        <v>38</v>
      </c>
      <c r="D1911" s="3" t="s">
        <v>194</v>
      </c>
      <c r="E1911" s="5" t="str">
        <f>TEXT(D1911,"dd/mm/yyyy")</f>
        <v>27/05/2023</v>
      </c>
      <c r="G1911" s="5" t="str">
        <f>TEXT(E1911,"mm")</f>
        <v>27/05/2023</v>
      </c>
      <c r="H1911" s="6">
        <v>3666.04</v>
      </c>
      <c r="I1911">
        <v>107</v>
      </c>
      <c r="L1911" t="str">
        <f t="shared" si="29"/>
        <v>Below Average</v>
      </c>
      <c r="M1911">
        <f>RANK(H1911,H:H,0)</f>
        <v>2082</v>
      </c>
    </row>
    <row r="1912" spans="1:13">
      <c r="A1912" t="s">
        <v>19</v>
      </c>
      <c r="B1912" t="s">
        <v>7</v>
      </c>
      <c r="C1912" t="s">
        <v>46</v>
      </c>
      <c r="D1912" s="4">
        <v>45237</v>
      </c>
      <c r="E1912" s="5" t="str">
        <f>TEXT(D1912,"dd/mm/yyyy")</f>
        <v>07/11/2023</v>
      </c>
      <c r="F1912" s="4"/>
      <c r="G1912" s="5" t="str">
        <f>TEXT(E1912,"mm")</f>
        <v>07</v>
      </c>
      <c r="H1912" s="6">
        <v>6853.82</v>
      </c>
      <c r="I1912">
        <v>220</v>
      </c>
      <c r="L1912" t="str">
        <f t="shared" si="29"/>
        <v>Above Average</v>
      </c>
      <c r="M1912">
        <f>RANK(H1912,H:H,0)</f>
        <v>1219</v>
      </c>
    </row>
    <row r="1913" spans="1:13">
      <c r="A1913" t="s">
        <v>37</v>
      </c>
      <c r="B1913" t="s">
        <v>25</v>
      </c>
      <c r="C1913" t="s">
        <v>8</v>
      </c>
      <c r="D1913" s="4">
        <v>44960</v>
      </c>
      <c r="E1913" s="5" t="str">
        <f>TEXT(D1913,"dd/mm/yyyy")</f>
        <v>03/02/2023</v>
      </c>
      <c r="F1913" s="4"/>
      <c r="G1913" s="5" t="str">
        <f>TEXT(E1913,"mm")</f>
        <v>03</v>
      </c>
      <c r="H1913" s="6">
        <v>4361.01</v>
      </c>
      <c r="I1913">
        <v>59</v>
      </c>
      <c r="L1913" t="str">
        <f t="shared" si="29"/>
        <v>Below Average</v>
      </c>
      <c r="M1913">
        <f>RANK(H1913,H:H,0)</f>
        <v>1886</v>
      </c>
    </row>
    <row r="1914" spans="1:13">
      <c r="A1914" t="s">
        <v>6</v>
      </c>
      <c r="B1914" t="s">
        <v>32</v>
      </c>
      <c r="C1914" t="s">
        <v>73</v>
      </c>
      <c r="D1914" s="4">
        <v>45019</v>
      </c>
      <c r="E1914" s="5" t="str">
        <f>TEXT(D1914,"dd/mm/yyyy")</f>
        <v>03/04/2023</v>
      </c>
      <c r="F1914" s="4"/>
      <c r="G1914" s="5" t="str">
        <f>TEXT(E1914,"mm")</f>
        <v>03</v>
      </c>
      <c r="H1914" s="6">
        <v>7686.15</v>
      </c>
      <c r="I1914">
        <v>141</v>
      </c>
      <c r="L1914" t="str">
        <f t="shared" si="29"/>
        <v>Above Average</v>
      </c>
      <c r="M1914">
        <f>RANK(H1914,H:H,0)</f>
        <v>1018</v>
      </c>
    </row>
    <row r="1915" spans="1:13">
      <c r="A1915" t="s">
        <v>70</v>
      </c>
      <c r="B1915" t="s">
        <v>7</v>
      </c>
      <c r="C1915" t="s">
        <v>11</v>
      </c>
      <c r="D1915" s="3" t="s">
        <v>245</v>
      </c>
      <c r="E1915" s="5" t="str">
        <f>TEXT(D1915,"dd/mm/yyyy")</f>
        <v>23/06/2023</v>
      </c>
      <c r="G1915" s="5" t="str">
        <f>TEXT(E1915,"mm")</f>
        <v>23/06/2023</v>
      </c>
      <c r="H1915" s="6">
        <v>4188.43</v>
      </c>
      <c r="I1915">
        <v>235</v>
      </c>
      <c r="L1915" t="str">
        <f t="shared" si="29"/>
        <v>Below Average</v>
      </c>
      <c r="M1915">
        <f>RANK(H1915,H:H,0)</f>
        <v>1932</v>
      </c>
    </row>
    <row r="1916" spans="1:13">
      <c r="A1916" t="s">
        <v>70</v>
      </c>
      <c r="B1916" t="s">
        <v>32</v>
      </c>
      <c r="C1916" t="s">
        <v>65</v>
      </c>
      <c r="D1916" s="3" t="s">
        <v>199</v>
      </c>
      <c r="E1916" s="5" t="str">
        <f>TEXT(D1916,"dd/mm/yyyy")</f>
        <v>27/01/2023</v>
      </c>
      <c r="G1916" s="5" t="str">
        <f>TEXT(E1916,"mm")</f>
        <v>27/01/2023</v>
      </c>
      <c r="H1916" s="6">
        <v>5425.24</v>
      </c>
      <c r="I1916">
        <v>234</v>
      </c>
      <c r="L1916" t="str">
        <f t="shared" si="29"/>
        <v>Below Average</v>
      </c>
      <c r="M1916">
        <f>RANK(H1916,H:H,0)</f>
        <v>1587</v>
      </c>
    </row>
    <row r="1917" spans="1:13">
      <c r="A1917" t="s">
        <v>40</v>
      </c>
      <c r="B1917" t="s">
        <v>35</v>
      </c>
      <c r="C1917" t="s">
        <v>33</v>
      </c>
      <c r="D1917" s="3" t="s">
        <v>225</v>
      </c>
      <c r="E1917" s="5" t="str">
        <f>TEXT(D1917,"dd/mm/yyyy")</f>
        <v>14/01/2023</v>
      </c>
      <c r="G1917" s="5" t="str">
        <f>TEXT(E1917,"mm")</f>
        <v>14/01/2023</v>
      </c>
      <c r="H1917" s="6">
        <v>2896.97</v>
      </c>
      <c r="I1917">
        <v>456</v>
      </c>
      <c r="L1917" t="str">
        <f t="shared" si="29"/>
        <v>Below Average</v>
      </c>
      <c r="M1917">
        <f>RANK(H1917,H:H,0)</f>
        <v>2348</v>
      </c>
    </row>
    <row r="1918" spans="1:13">
      <c r="A1918" t="s">
        <v>58</v>
      </c>
      <c r="B1918" t="s">
        <v>10</v>
      </c>
      <c r="C1918" t="s">
        <v>57</v>
      </c>
      <c r="D1918" s="3" t="s">
        <v>223</v>
      </c>
      <c r="E1918" s="5" t="str">
        <f>TEXT(D1918,"dd/mm/yyyy")</f>
        <v>29/07/2023</v>
      </c>
      <c r="G1918" s="5" t="str">
        <f>TEXT(E1918,"mm")</f>
        <v>29/07/2023</v>
      </c>
      <c r="H1918" s="6">
        <v>1071.31</v>
      </c>
      <c r="I1918">
        <v>23</v>
      </c>
      <c r="L1918" t="str">
        <f t="shared" si="29"/>
        <v>Below Average</v>
      </c>
      <c r="M1918">
        <f>RANK(H1918,H:H,0)</f>
        <v>2950</v>
      </c>
    </row>
    <row r="1919" spans="1:13">
      <c r="A1919" t="s">
        <v>28</v>
      </c>
      <c r="B1919" t="s">
        <v>35</v>
      </c>
      <c r="C1919" t="s">
        <v>18</v>
      </c>
      <c r="D1919" s="3" t="s">
        <v>233</v>
      </c>
      <c r="E1919" s="5" t="str">
        <f>TEXT(D1919,"dd/mm/yyyy")</f>
        <v>13/05/2023</v>
      </c>
      <c r="G1919" s="5" t="str">
        <f>TEXT(E1919,"mm")</f>
        <v>13/05/2023</v>
      </c>
      <c r="H1919" s="6">
        <v>6417.05</v>
      </c>
      <c r="I1919">
        <v>497</v>
      </c>
      <c r="L1919" t="str">
        <f t="shared" si="29"/>
        <v>Above Average</v>
      </c>
      <c r="M1919">
        <f>RANK(H1919,H:H,0)</f>
        <v>1330</v>
      </c>
    </row>
    <row r="1920" spans="1:13">
      <c r="A1920" t="s">
        <v>31</v>
      </c>
      <c r="B1920" t="s">
        <v>35</v>
      </c>
      <c r="C1920" t="s">
        <v>87</v>
      </c>
      <c r="D1920" s="4">
        <v>44987</v>
      </c>
      <c r="E1920" s="5" t="str">
        <f>TEXT(D1920,"dd/mm/yyyy")</f>
        <v>02/03/2023</v>
      </c>
      <c r="F1920" s="4"/>
      <c r="G1920" s="5" t="str">
        <f>TEXT(E1920,"mm")</f>
        <v>02</v>
      </c>
      <c r="H1920" s="6">
        <v>10967.31</v>
      </c>
      <c r="I1920">
        <v>172</v>
      </c>
      <c r="L1920" t="str">
        <f t="shared" si="29"/>
        <v>Above Average</v>
      </c>
      <c r="M1920">
        <f>RANK(H1920,H:H,0)</f>
        <v>445</v>
      </c>
    </row>
    <row r="1921" spans="1:13">
      <c r="A1921" t="s">
        <v>28</v>
      </c>
      <c r="B1921" t="s">
        <v>10</v>
      </c>
      <c r="C1921" t="s">
        <v>18</v>
      </c>
      <c r="D1921" s="3" t="s">
        <v>194</v>
      </c>
      <c r="E1921" s="5" t="str">
        <f>TEXT(D1921,"dd/mm/yyyy")</f>
        <v>27/05/2023</v>
      </c>
      <c r="G1921" s="5" t="str">
        <f>TEXT(E1921,"mm")</f>
        <v>27/05/2023</v>
      </c>
      <c r="H1921" s="6">
        <v>6345.02</v>
      </c>
      <c r="I1921">
        <v>28</v>
      </c>
      <c r="L1921" t="str">
        <f t="shared" si="29"/>
        <v>Above Average</v>
      </c>
      <c r="M1921">
        <f>RANK(H1921,H:H,0)</f>
        <v>1340</v>
      </c>
    </row>
    <row r="1922" spans="1:13">
      <c r="A1922" t="s">
        <v>14</v>
      </c>
      <c r="B1922" t="s">
        <v>15</v>
      </c>
      <c r="C1922" t="s">
        <v>38</v>
      </c>
      <c r="D1922" s="3" t="s">
        <v>260</v>
      </c>
      <c r="E1922" s="5" t="str">
        <f>TEXT(D1922,"dd/mm/yyyy")</f>
        <v>18/02/2023</v>
      </c>
      <c r="G1922" s="5" t="str">
        <f>TEXT(E1922,"mm")</f>
        <v>18/02/2023</v>
      </c>
      <c r="H1922" s="6">
        <v>2824.71</v>
      </c>
      <c r="I1922">
        <v>25</v>
      </c>
      <c r="L1922" t="str">
        <f t="shared" si="29"/>
        <v>Below Average</v>
      </c>
      <c r="M1922">
        <f>RANK(H1922,H:H,0)</f>
        <v>2362</v>
      </c>
    </row>
    <row r="1923" spans="1:13">
      <c r="A1923" t="s">
        <v>28</v>
      </c>
      <c r="B1923" t="s">
        <v>10</v>
      </c>
      <c r="C1923" t="s">
        <v>50</v>
      </c>
      <c r="D1923" s="3" t="s">
        <v>210</v>
      </c>
      <c r="E1923" s="5" t="str">
        <f>TEXT(D1923,"dd/mm/yyyy")</f>
        <v>28/01/2023</v>
      </c>
      <c r="G1923" s="5" t="str">
        <f>TEXT(E1923,"mm")</f>
        <v>28/01/2023</v>
      </c>
      <c r="H1923" s="6">
        <v>1463.67</v>
      </c>
      <c r="I1923">
        <v>34</v>
      </c>
      <c r="L1923" t="str">
        <f t="shared" ref="L1923:L1986" si="30">IF(H1923&gt;6030.34,"Above Average","Below Average")</f>
        <v>Below Average</v>
      </c>
      <c r="M1923">
        <f>RANK(H1923,H:H,0)</f>
        <v>2813</v>
      </c>
    </row>
    <row r="1924" spans="1:13">
      <c r="A1924" t="s">
        <v>9</v>
      </c>
      <c r="B1924" t="s">
        <v>7</v>
      </c>
      <c r="C1924" t="s">
        <v>36</v>
      </c>
      <c r="D1924" s="3" t="s">
        <v>179</v>
      </c>
      <c r="E1924" s="5" t="str">
        <f>TEXT(D1924,"dd/mm/yyyy")</f>
        <v>29/06/2023</v>
      </c>
      <c r="G1924" s="5" t="str">
        <f>TEXT(E1924,"mm")</f>
        <v>29/06/2023</v>
      </c>
      <c r="H1924" s="6">
        <v>5856.52</v>
      </c>
      <c r="I1924">
        <v>115</v>
      </c>
      <c r="L1924" t="str">
        <f t="shared" si="30"/>
        <v>Below Average</v>
      </c>
      <c r="M1924">
        <f>RANK(H1924,H:H,0)</f>
        <v>1472</v>
      </c>
    </row>
    <row r="1925" spans="1:13">
      <c r="A1925" t="s">
        <v>64</v>
      </c>
      <c r="B1925" t="s">
        <v>10</v>
      </c>
      <c r="C1925" t="s">
        <v>90</v>
      </c>
      <c r="D1925" s="3" t="s">
        <v>167</v>
      </c>
      <c r="E1925" s="5" t="str">
        <f>TEXT(D1925,"dd/mm/yyyy")</f>
        <v>13/01/2023</v>
      </c>
      <c r="G1925" s="5" t="str">
        <f>TEXT(E1925,"mm")</f>
        <v>13/01/2023</v>
      </c>
      <c r="H1925" s="6">
        <v>4303.8599999999997</v>
      </c>
      <c r="I1925">
        <v>282</v>
      </c>
      <c r="L1925" t="str">
        <f t="shared" si="30"/>
        <v>Below Average</v>
      </c>
      <c r="M1925">
        <f>RANK(H1925,H:H,0)</f>
        <v>1903</v>
      </c>
    </row>
    <row r="1926" spans="1:13">
      <c r="A1926" t="s">
        <v>6</v>
      </c>
      <c r="B1926" t="s">
        <v>7</v>
      </c>
      <c r="C1926" t="s">
        <v>23</v>
      </c>
      <c r="D1926" s="3" t="s">
        <v>172</v>
      </c>
      <c r="E1926" s="5" t="str">
        <f>TEXT(D1926,"dd/mm/yyyy")</f>
        <v>27/06/2023</v>
      </c>
      <c r="G1926" s="5" t="str">
        <f>TEXT(E1926,"mm")</f>
        <v>27/06/2023</v>
      </c>
      <c r="H1926" s="6">
        <v>2047.77</v>
      </c>
      <c r="I1926">
        <v>169</v>
      </c>
      <c r="L1926" t="str">
        <f t="shared" si="30"/>
        <v>Below Average</v>
      </c>
      <c r="M1926">
        <f>RANK(H1926,H:H,0)</f>
        <v>2621</v>
      </c>
    </row>
    <row r="1927" spans="1:13">
      <c r="A1927" t="s">
        <v>31</v>
      </c>
      <c r="B1927" t="s">
        <v>35</v>
      </c>
      <c r="C1927" t="s">
        <v>59</v>
      </c>
      <c r="D1927" s="3" t="s">
        <v>221</v>
      </c>
      <c r="E1927" s="5" t="str">
        <f>TEXT(D1927,"dd/mm/yyyy")</f>
        <v>29/03/2023</v>
      </c>
      <c r="G1927" s="5" t="str">
        <f>TEXT(E1927,"mm")</f>
        <v>29/03/2023</v>
      </c>
      <c r="H1927" s="6">
        <v>4692.3599999999997</v>
      </c>
      <c r="I1927">
        <v>1</v>
      </c>
      <c r="L1927" t="str">
        <f t="shared" si="30"/>
        <v>Below Average</v>
      </c>
      <c r="M1927">
        <f>RANK(H1927,H:H,0)</f>
        <v>1801</v>
      </c>
    </row>
    <row r="1928" spans="1:13">
      <c r="A1928" t="s">
        <v>22</v>
      </c>
      <c r="B1928" t="s">
        <v>10</v>
      </c>
      <c r="C1928" t="s">
        <v>42</v>
      </c>
      <c r="D1928" s="4">
        <v>44991</v>
      </c>
      <c r="E1928" s="5" t="str">
        <f>TEXT(D1928,"dd/mm/yyyy")</f>
        <v>06/03/2023</v>
      </c>
      <c r="F1928" s="4"/>
      <c r="G1928" s="5" t="str">
        <f>TEXT(E1928,"mm")</f>
        <v>06</v>
      </c>
      <c r="H1928" s="6">
        <v>7302.42</v>
      </c>
      <c r="I1928">
        <v>153</v>
      </c>
      <c r="L1928" t="str">
        <f t="shared" si="30"/>
        <v>Above Average</v>
      </c>
      <c r="M1928">
        <f>RANK(H1928,H:H,0)</f>
        <v>1108</v>
      </c>
    </row>
    <row r="1929" spans="1:13">
      <c r="A1929" t="s">
        <v>34</v>
      </c>
      <c r="B1929" t="s">
        <v>35</v>
      </c>
      <c r="C1929" t="s">
        <v>18</v>
      </c>
      <c r="D1929" s="3" t="s">
        <v>251</v>
      </c>
      <c r="E1929" s="5" t="str">
        <f>TEXT(D1929,"dd/mm/yyyy")</f>
        <v>21/03/2023</v>
      </c>
      <c r="G1929" s="5" t="str">
        <f>TEXT(E1929,"mm")</f>
        <v>21/03/2023</v>
      </c>
      <c r="H1929" s="6">
        <v>2056.92</v>
      </c>
      <c r="I1929">
        <v>103</v>
      </c>
      <c r="L1929" t="str">
        <f t="shared" si="30"/>
        <v>Below Average</v>
      </c>
      <c r="M1929">
        <f>RANK(H1929,H:H,0)</f>
        <v>2616</v>
      </c>
    </row>
    <row r="1930" spans="1:13">
      <c r="A1930" t="s">
        <v>34</v>
      </c>
      <c r="B1930" t="s">
        <v>10</v>
      </c>
      <c r="C1930" t="s">
        <v>36</v>
      </c>
      <c r="D1930" s="4">
        <v>45264</v>
      </c>
      <c r="E1930" s="5" t="str">
        <f>TEXT(D1930,"dd/mm/yyyy")</f>
        <v>04/12/2023</v>
      </c>
      <c r="F1930" s="4"/>
      <c r="G1930" s="5" t="str">
        <f>TEXT(E1930,"mm")</f>
        <v>04</v>
      </c>
      <c r="H1930" s="6">
        <v>11032.79</v>
      </c>
      <c r="I1930">
        <v>49</v>
      </c>
      <c r="L1930" t="str">
        <f t="shared" si="30"/>
        <v>Above Average</v>
      </c>
      <c r="M1930">
        <f>RANK(H1930,H:H,0)</f>
        <v>436</v>
      </c>
    </row>
    <row r="1931" spans="1:13">
      <c r="A1931" t="s">
        <v>29</v>
      </c>
      <c r="B1931" t="s">
        <v>15</v>
      </c>
      <c r="C1931" t="s">
        <v>73</v>
      </c>
      <c r="D1931" s="3" t="s">
        <v>208</v>
      </c>
      <c r="E1931" s="5" t="str">
        <f>TEXT(D1931,"dd/mm/yyyy")</f>
        <v>19/01/2023</v>
      </c>
      <c r="G1931" s="5" t="str">
        <f>TEXT(E1931,"mm")</f>
        <v>19/01/2023</v>
      </c>
      <c r="H1931" s="6">
        <v>7773.64</v>
      </c>
      <c r="I1931">
        <v>247</v>
      </c>
      <c r="L1931" t="str">
        <f t="shared" si="30"/>
        <v>Above Average</v>
      </c>
      <c r="M1931">
        <f>RANK(H1931,H:H,0)</f>
        <v>993</v>
      </c>
    </row>
    <row r="1932" spans="1:13">
      <c r="A1932" t="s">
        <v>37</v>
      </c>
      <c r="B1932" t="s">
        <v>7</v>
      </c>
      <c r="C1932" t="s">
        <v>26</v>
      </c>
      <c r="D1932" s="4">
        <v>45081</v>
      </c>
      <c r="E1932" s="5" t="str">
        <f>TEXT(D1932,"dd/mm/yyyy")</f>
        <v>04/06/2023</v>
      </c>
      <c r="F1932" s="4"/>
      <c r="G1932" s="5" t="str">
        <f>TEXT(E1932,"mm")</f>
        <v>04</v>
      </c>
      <c r="H1932" s="6">
        <v>3843.01</v>
      </c>
      <c r="I1932">
        <v>295</v>
      </c>
      <c r="L1932" t="str">
        <f t="shared" si="30"/>
        <v>Below Average</v>
      </c>
      <c r="M1932">
        <f>RANK(H1932,H:H,0)</f>
        <v>2027</v>
      </c>
    </row>
    <row r="1933" spans="1:13">
      <c r="A1933" t="s">
        <v>55</v>
      </c>
      <c r="B1933" t="s">
        <v>15</v>
      </c>
      <c r="C1933" t="s">
        <v>26</v>
      </c>
      <c r="D1933" s="4">
        <v>44965</v>
      </c>
      <c r="E1933" s="5" t="str">
        <f>TEXT(D1933,"dd/mm/yyyy")</f>
        <v>08/02/2023</v>
      </c>
      <c r="F1933" s="4"/>
      <c r="G1933" s="5" t="str">
        <f>TEXT(E1933,"mm")</f>
        <v>08</v>
      </c>
      <c r="H1933" s="6">
        <v>9163.7900000000009</v>
      </c>
      <c r="I1933">
        <v>81</v>
      </c>
      <c r="L1933" t="str">
        <f t="shared" si="30"/>
        <v>Above Average</v>
      </c>
      <c r="M1933">
        <f>RANK(H1933,H:H,0)</f>
        <v>709</v>
      </c>
    </row>
    <row r="1934" spans="1:13">
      <c r="A1934" t="s">
        <v>12</v>
      </c>
      <c r="B1934" t="s">
        <v>15</v>
      </c>
      <c r="C1934" t="s">
        <v>36</v>
      </c>
      <c r="D1934" s="4">
        <v>45264</v>
      </c>
      <c r="E1934" s="5" t="str">
        <f>TEXT(D1934,"dd/mm/yyyy")</f>
        <v>04/12/2023</v>
      </c>
      <c r="F1934" s="4"/>
      <c r="G1934" s="5" t="str">
        <f>TEXT(E1934,"mm")</f>
        <v>04</v>
      </c>
      <c r="H1934" s="6">
        <v>7628.59</v>
      </c>
      <c r="I1934">
        <v>146</v>
      </c>
      <c r="L1934" t="str">
        <f t="shared" si="30"/>
        <v>Above Average</v>
      </c>
      <c r="M1934">
        <f>RANK(H1934,H:H,0)</f>
        <v>1031</v>
      </c>
    </row>
    <row r="1935" spans="1:13">
      <c r="A1935" t="s">
        <v>19</v>
      </c>
      <c r="B1935" t="s">
        <v>10</v>
      </c>
      <c r="C1935" t="s">
        <v>38</v>
      </c>
      <c r="D1935" s="3" t="s">
        <v>244</v>
      </c>
      <c r="E1935" s="5" t="str">
        <f>TEXT(D1935,"dd/mm/yyyy")</f>
        <v>21/07/2023</v>
      </c>
      <c r="G1935" s="5" t="str">
        <f>TEXT(E1935,"mm")</f>
        <v>21/07/2023</v>
      </c>
      <c r="H1935" s="6">
        <v>18220.59</v>
      </c>
      <c r="I1935">
        <v>139</v>
      </c>
      <c r="L1935" t="str">
        <f t="shared" si="30"/>
        <v>Above Average</v>
      </c>
      <c r="M1935">
        <f>RANK(H1935,H:H,0)</f>
        <v>40</v>
      </c>
    </row>
    <row r="1936" spans="1:13">
      <c r="A1936" t="s">
        <v>9</v>
      </c>
      <c r="B1936" t="s">
        <v>25</v>
      </c>
      <c r="C1936" t="s">
        <v>87</v>
      </c>
      <c r="D1936" s="3" t="s">
        <v>242</v>
      </c>
      <c r="E1936" s="5" t="str">
        <f>TEXT(D1936,"dd/mm/yyyy")</f>
        <v>22/03/2023</v>
      </c>
      <c r="G1936" s="5" t="str">
        <f>TEXT(E1936,"mm")</f>
        <v>22/03/2023</v>
      </c>
      <c r="H1936" s="6">
        <v>9828.94</v>
      </c>
      <c r="I1936">
        <v>24</v>
      </c>
      <c r="L1936" t="str">
        <f t="shared" si="30"/>
        <v>Above Average</v>
      </c>
      <c r="M1936">
        <f>RANK(H1936,H:H,0)</f>
        <v>610</v>
      </c>
    </row>
    <row r="1937" spans="1:13">
      <c r="A1937" t="s">
        <v>53</v>
      </c>
      <c r="B1937" t="s">
        <v>10</v>
      </c>
      <c r="C1937" t="s">
        <v>13</v>
      </c>
      <c r="D1937" s="4">
        <v>45174</v>
      </c>
      <c r="E1937" s="5" t="str">
        <f>TEXT(D1937,"dd/mm/yyyy")</f>
        <v>05/09/2023</v>
      </c>
      <c r="F1937" s="4"/>
      <c r="G1937" s="5" t="str">
        <f>TEXT(E1937,"mm")</f>
        <v>05</v>
      </c>
      <c r="H1937" s="6">
        <v>4726.6499999999996</v>
      </c>
      <c r="I1937">
        <v>5</v>
      </c>
      <c r="L1937" t="str">
        <f t="shared" si="30"/>
        <v>Below Average</v>
      </c>
      <c r="M1937">
        <f>RANK(H1937,H:H,0)</f>
        <v>1792</v>
      </c>
    </row>
    <row r="1938" spans="1:13">
      <c r="A1938" t="s">
        <v>67</v>
      </c>
      <c r="B1938" t="s">
        <v>15</v>
      </c>
      <c r="C1938" t="s">
        <v>87</v>
      </c>
      <c r="D1938" s="4">
        <v>45177</v>
      </c>
      <c r="E1938" s="5" t="str">
        <f>TEXT(D1938,"dd/mm/yyyy")</f>
        <v>08/09/2023</v>
      </c>
      <c r="F1938" s="4"/>
      <c r="G1938" s="5" t="str">
        <f>TEXT(E1938,"mm")</f>
        <v>08</v>
      </c>
      <c r="H1938" s="6">
        <v>344.82</v>
      </c>
      <c r="I1938">
        <v>118</v>
      </c>
      <c r="L1938" t="str">
        <f t="shared" si="30"/>
        <v>Below Average</v>
      </c>
      <c r="M1938">
        <f>RANK(H1938,H:H,0)</f>
        <v>3174</v>
      </c>
    </row>
    <row r="1939" spans="1:13">
      <c r="A1939" t="s">
        <v>77</v>
      </c>
      <c r="B1939" t="s">
        <v>35</v>
      </c>
      <c r="C1939" t="s">
        <v>75</v>
      </c>
      <c r="D1939" s="3" t="s">
        <v>261</v>
      </c>
      <c r="E1939" s="5" t="str">
        <f>TEXT(D1939,"dd/mm/yyyy")</f>
        <v>20/07/2023</v>
      </c>
      <c r="G1939" s="5" t="str">
        <f>TEXT(E1939,"mm")</f>
        <v>20/07/2023</v>
      </c>
      <c r="H1939" s="6">
        <v>3451.24</v>
      </c>
      <c r="I1939">
        <v>283</v>
      </c>
      <c r="L1939" t="str">
        <f t="shared" si="30"/>
        <v>Below Average</v>
      </c>
      <c r="M1939">
        <f>RANK(H1939,H:H,0)</f>
        <v>2154</v>
      </c>
    </row>
    <row r="1940" spans="1:13">
      <c r="A1940" t="s">
        <v>28</v>
      </c>
      <c r="B1940" t="s">
        <v>10</v>
      </c>
      <c r="C1940" t="s">
        <v>100</v>
      </c>
      <c r="D1940" s="3" t="s">
        <v>195</v>
      </c>
      <c r="E1940" s="5" t="str">
        <f>TEXT(D1940,"dd/mm/yyyy")</f>
        <v>14/04/2023</v>
      </c>
      <c r="G1940" s="5" t="str">
        <f>TEXT(E1940,"mm")</f>
        <v>14/04/2023</v>
      </c>
      <c r="H1940" s="6">
        <v>5071.49</v>
      </c>
      <c r="I1940">
        <v>439</v>
      </c>
      <c r="L1940" t="str">
        <f t="shared" si="30"/>
        <v>Below Average</v>
      </c>
      <c r="M1940">
        <f>RANK(H1940,H:H,0)</f>
        <v>1684</v>
      </c>
    </row>
    <row r="1941" spans="1:13">
      <c r="A1941" t="s">
        <v>6</v>
      </c>
      <c r="B1941" t="s">
        <v>35</v>
      </c>
      <c r="C1941" t="s">
        <v>59</v>
      </c>
      <c r="D1941" s="3" t="s">
        <v>164</v>
      </c>
      <c r="E1941" s="5" t="str">
        <f>TEXT(D1941,"dd/mm/yyyy")</f>
        <v>25/01/2023</v>
      </c>
      <c r="G1941" s="5" t="str">
        <f>TEXT(E1941,"mm")</f>
        <v>25/01/2023</v>
      </c>
      <c r="H1941" s="6">
        <v>4719.38</v>
      </c>
      <c r="I1941">
        <v>132</v>
      </c>
      <c r="L1941" t="str">
        <f t="shared" si="30"/>
        <v>Below Average</v>
      </c>
      <c r="M1941">
        <f>RANK(H1941,H:H,0)</f>
        <v>1796</v>
      </c>
    </row>
    <row r="1942" spans="1:13">
      <c r="A1942" t="s">
        <v>67</v>
      </c>
      <c r="B1942" t="s">
        <v>15</v>
      </c>
      <c r="C1942" t="s">
        <v>65</v>
      </c>
      <c r="D1942" s="3" t="s">
        <v>217</v>
      </c>
      <c r="E1942" s="5" t="str">
        <f>TEXT(D1942,"dd/mm/yyyy")</f>
        <v>25/04/2023</v>
      </c>
      <c r="G1942" s="5" t="str">
        <f>TEXT(E1942,"mm")</f>
        <v>25/04/2023</v>
      </c>
      <c r="H1942" s="6">
        <v>3430.58</v>
      </c>
      <c r="I1942">
        <v>174</v>
      </c>
      <c r="L1942" t="str">
        <f t="shared" si="30"/>
        <v>Below Average</v>
      </c>
      <c r="M1942">
        <f>RANK(H1942,H:H,0)</f>
        <v>2163</v>
      </c>
    </row>
    <row r="1943" spans="1:13">
      <c r="A1943" t="s">
        <v>79</v>
      </c>
      <c r="B1943" t="s">
        <v>35</v>
      </c>
      <c r="C1943" t="s">
        <v>23</v>
      </c>
      <c r="D1943" s="3" t="s">
        <v>255</v>
      </c>
      <c r="E1943" s="5" t="str">
        <f>TEXT(D1943,"dd/mm/yyyy")</f>
        <v>17/01/2023</v>
      </c>
      <c r="G1943" s="5" t="str">
        <f>TEXT(E1943,"mm")</f>
        <v>17/01/2023</v>
      </c>
      <c r="H1943" s="6">
        <v>268.3</v>
      </c>
      <c r="I1943">
        <v>239</v>
      </c>
      <c r="L1943" t="str">
        <f t="shared" si="30"/>
        <v>Below Average</v>
      </c>
      <c r="M1943">
        <f>RANK(H1943,H:H,0)</f>
        <v>3205</v>
      </c>
    </row>
    <row r="1944" spans="1:13">
      <c r="A1944" t="s">
        <v>37</v>
      </c>
      <c r="B1944" t="s">
        <v>32</v>
      </c>
      <c r="C1944" t="s">
        <v>36</v>
      </c>
      <c r="D1944" s="3" t="s">
        <v>215</v>
      </c>
      <c r="E1944" s="5" t="str">
        <f>TEXT(D1944,"dd/mm/yyyy")</f>
        <v>15/08/2023</v>
      </c>
      <c r="G1944" s="5" t="str">
        <f>TEXT(E1944,"mm")</f>
        <v>15/08/2023</v>
      </c>
      <c r="H1944" s="6">
        <v>991.46</v>
      </c>
      <c r="I1944">
        <v>133</v>
      </c>
      <c r="L1944" t="str">
        <f t="shared" si="30"/>
        <v>Below Average</v>
      </c>
      <c r="M1944">
        <f>RANK(H1944,H:H,0)</f>
        <v>2977</v>
      </c>
    </row>
    <row r="1945" spans="1:13">
      <c r="A1945" t="s">
        <v>37</v>
      </c>
      <c r="B1945" t="s">
        <v>35</v>
      </c>
      <c r="C1945" t="s">
        <v>57</v>
      </c>
      <c r="D1945" s="4">
        <v>44963</v>
      </c>
      <c r="E1945" s="5" t="str">
        <f>TEXT(D1945,"dd/mm/yyyy")</f>
        <v>06/02/2023</v>
      </c>
      <c r="F1945" s="4"/>
      <c r="G1945" s="5" t="str">
        <f>TEXT(E1945,"mm")</f>
        <v>06</v>
      </c>
      <c r="H1945" s="6">
        <v>213.45</v>
      </c>
      <c r="I1945">
        <v>17</v>
      </c>
      <c r="L1945" t="str">
        <f t="shared" si="30"/>
        <v>Below Average</v>
      </c>
      <c r="M1945">
        <f>RANK(H1945,H:H,0)</f>
        <v>3213</v>
      </c>
    </row>
    <row r="1946" spans="1:13">
      <c r="A1946" t="s">
        <v>22</v>
      </c>
      <c r="B1946" t="s">
        <v>32</v>
      </c>
      <c r="C1946" t="s">
        <v>11</v>
      </c>
      <c r="D1946" s="3" t="s">
        <v>180</v>
      </c>
      <c r="E1946" s="5" t="str">
        <f>TEXT(D1946,"dd/mm/yyyy")</f>
        <v>30/06/2023</v>
      </c>
      <c r="G1946" s="5" t="str">
        <f>TEXT(E1946,"mm")</f>
        <v>30/06/2023</v>
      </c>
      <c r="H1946" s="6">
        <v>7586.38</v>
      </c>
      <c r="I1946">
        <v>131</v>
      </c>
      <c r="L1946" t="str">
        <f t="shared" si="30"/>
        <v>Above Average</v>
      </c>
      <c r="M1946">
        <f>RANK(H1946,H:H,0)</f>
        <v>1049</v>
      </c>
    </row>
    <row r="1947" spans="1:13">
      <c r="A1947" t="s">
        <v>79</v>
      </c>
      <c r="B1947" t="s">
        <v>25</v>
      </c>
      <c r="C1947" t="s">
        <v>73</v>
      </c>
      <c r="D1947" s="4">
        <v>45201</v>
      </c>
      <c r="E1947" s="5" t="str">
        <f>TEXT(D1947,"dd/mm/yyyy")</f>
        <v>02/10/2023</v>
      </c>
      <c r="F1947" s="4"/>
      <c r="G1947" s="5" t="str">
        <f>TEXT(E1947,"mm")</f>
        <v>02</v>
      </c>
      <c r="H1947" s="6">
        <v>6192.19</v>
      </c>
      <c r="I1947">
        <v>99</v>
      </c>
      <c r="L1947" t="str">
        <f t="shared" si="30"/>
        <v>Above Average</v>
      </c>
      <c r="M1947">
        <f>RANK(H1947,H:H,0)</f>
        <v>1380</v>
      </c>
    </row>
    <row r="1948" spans="1:13">
      <c r="A1948" t="s">
        <v>40</v>
      </c>
      <c r="B1948" t="s">
        <v>35</v>
      </c>
      <c r="C1948" t="s">
        <v>90</v>
      </c>
      <c r="D1948" s="3" t="s">
        <v>185</v>
      </c>
      <c r="E1948" s="5" t="str">
        <f>TEXT(D1948,"dd/mm/yyyy")</f>
        <v>23/02/2023</v>
      </c>
      <c r="G1948" s="5" t="str">
        <f>TEXT(E1948,"mm")</f>
        <v>23/02/2023</v>
      </c>
      <c r="H1948" s="6">
        <v>1510.58</v>
      </c>
      <c r="I1948">
        <v>602</v>
      </c>
      <c r="L1948" t="str">
        <f t="shared" si="30"/>
        <v>Below Average</v>
      </c>
      <c r="M1948">
        <f>RANK(H1948,H:H,0)</f>
        <v>2806</v>
      </c>
    </row>
    <row r="1949" spans="1:13">
      <c r="A1949" t="s">
        <v>58</v>
      </c>
      <c r="B1949" t="s">
        <v>10</v>
      </c>
      <c r="C1949" t="s">
        <v>42</v>
      </c>
      <c r="D1949" s="3" t="s">
        <v>199</v>
      </c>
      <c r="E1949" s="5" t="str">
        <f>TEXT(D1949,"dd/mm/yyyy")</f>
        <v>27/01/2023</v>
      </c>
      <c r="G1949" s="5" t="str">
        <f>TEXT(E1949,"mm")</f>
        <v>27/01/2023</v>
      </c>
      <c r="H1949" s="6">
        <v>8693.31</v>
      </c>
      <c r="I1949">
        <v>209</v>
      </c>
      <c r="L1949" t="str">
        <f t="shared" si="30"/>
        <v>Above Average</v>
      </c>
      <c r="M1949">
        <f>RANK(H1949,H:H,0)</f>
        <v>798</v>
      </c>
    </row>
    <row r="1950" spans="1:13">
      <c r="A1950" t="s">
        <v>71</v>
      </c>
      <c r="B1950" t="s">
        <v>7</v>
      </c>
      <c r="C1950" t="s">
        <v>8</v>
      </c>
      <c r="D1950" s="3" t="s">
        <v>193</v>
      </c>
      <c r="E1950" s="5" t="str">
        <f>TEXT(D1950,"dd/mm/yyyy")</f>
        <v>26/05/2023</v>
      </c>
      <c r="G1950" s="5" t="str">
        <f>TEXT(E1950,"mm")</f>
        <v>26/05/2023</v>
      </c>
      <c r="H1950" s="6">
        <v>5509.77</v>
      </c>
      <c r="I1950">
        <v>307</v>
      </c>
      <c r="L1950" t="str">
        <f t="shared" si="30"/>
        <v>Below Average</v>
      </c>
      <c r="M1950">
        <f>RANK(H1950,H:H,0)</f>
        <v>1563</v>
      </c>
    </row>
    <row r="1951" spans="1:13">
      <c r="A1951" t="s">
        <v>28</v>
      </c>
      <c r="B1951" t="s">
        <v>32</v>
      </c>
      <c r="C1951" t="s">
        <v>100</v>
      </c>
      <c r="D1951" s="3" t="s">
        <v>195</v>
      </c>
      <c r="E1951" s="5" t="str">
        <f>TEXT(D1951,"dd/mm/yyyy")</f>
        <v>14/04/2023</v>
      </c>
      <c r="G1951" s="5" t="str">
        <f>TEXT(E1951,"mm")</f>
        <v>14/04/2023</v>
      </c>
      <c r="H1951" s="6">
        <v>1863.2</v>
      </c>
      <c r="I1951">
        <v>22</v>
      </c>
      <c r="L1951" t="str">
        <f t="shared" si="30"/>
        <v>Below Average</v>
      </c>
      <c r="M1951">
        <f>RANK(H1951,H:H,0)</f>
        <v>2678</v>
      </c>
    </row>
    <row r="1952" spans="1:13">
      <c r="A1952" t="s">
        <v>77</v>
      </c>
      <c r="B1952" t="s">
        <v>15</v>
      </c>
      <c r="C1952" t="s">
        <v>20</v>
      </c>
      <c r="D1952" s="4">
        <v>44934</v>
      </c>
      <c r="E1952" s="5" t="str">
        <f>TEXT(D1952,"dd/mm/yyyy")</f>
        <v>08/01/2023</v>
      </c>
      <c r="F1952" s="4"/>
      <c r="G1952" s="5" t="str">
        <f>TEXT(E1952,"mm")</f>
        <v>08</v>
      </c>
      <c r="H1952" s="6">
        <v>4822.5</v>
      </c>
      <c r="I1952">
        <v>159</v>
      </c>
      <c r="L1952" t="str">
        <f t="shared" si="30"/>
        <v>Below Average</v>
      </c>
      <c r="M1952">
        <f>RANK(H1952,H:H,0)</f>
        <v>1759</v>
      </c>
    </row>
    <row r="1953" spans="1:13">
      <c r="A1953" t="s">
        <v>34</v>
      </c>
      <c r="B1953" t="s">
        <v>15</v>
      </c>
      <c r="C1953" t="s">
        <v>36</v>
      </c>
      <c r="D1953" s="3" t="s">
        <v>186</v>
      </c>
      <c r="E1953" s="5" t="str">
        <f>TEXT(D1953,"dd/mm/yyyy")</f>
        <v>22/08/2023</v>
      </c>
      <c r="G1953" s="5" t="str">
        <f>TEXT(E1953,"mm")</f>
        <v>22/08/2023</v>
      </c>
      <c r="H1953" s="6">
        <v>10856.55</v>
      </c>
      <c r="I1953">
        <v>229</v>
      </c>
      <c r="L1953" t="str">
        <f t="shared" si="30"/>
        <v>Above Average</v>
      </c>
      <c r="M1953">
        <f>RANK(H1953,H:H,0)</f>
        <v>462</v>
      </c>
    </row>
    <row r="1954" spans="1:13">
      <c r="A1954" t="s">
        <v>40</v>
      </c>
      <c r="B1954" t="s">
        <v>10</v>
      </c>
      <c r="C1954" t="s">
        <v>20</v>
      </c>
      <c r="D1954" s="3" t="s">
        <v>181</v>
      </c>
      <c r="E1954" s="5" t="str">
        <f>TEXT(D1954,"dd/mm/yyyy")</f>
        <v>22/07/2023</v>
      </c>
      <c r="G1954" s="5" t="str">
        <f>TEXT(E1954,"mm")</f>
        <v>22/07/2023</v>
      </c>
      <c r="H1954" s="6">
        <v>11252.11</v>
      </c>
      <c r="I1954">
        <v>159</v>
      </c>
      <c r="L1954" t="str">
        <f t="shared" si="30"/>
        <v>Above Average</v>
      </c>
      <c r="M1954">
        <f>RANK(H1954,H:H,0)</f>
        <v>422</v>
      </c>
    </row>
    <row r="1955" spans="1:13">
      <c r="A1955" t="s">
        <v>53</v>
      </c>
      <c r="B1955" t="s">
        <v>32</v>
      </c>
      <c r="C1955" t="s">
        <v>57</v>
      </c>
      <c r="D1955" s="3" t="s">
        <v>262</v>
      </c>
      <c r="E1955" s="5" t="str">
        <f>TEXT(D1955,"dd/mm/yyyy")</f>
        <v>28/04/2023</v>
      </c>
      <c r="G1955" s="5" t="str">
        <f>TEXT(E1955,"mm")</f>
        <v>28/04/2023</v>
      </c>
      <c r="H1955" s="6">
        <v>1387.72</v>
      </c>
      <c r="I1955">
        <v>27</v>
      </c>
      <c r="L1955" t="str">
        <f t="shared" si="30"/>
        <v>Below Average</v>
      </c>
      <c r="M1955">
        <f>RANK(H1955,H:H,0)</f>
        <v>2843</v>
      </c>
    </row>
    <row r="1956" spans="1:13">
      <c r="A1956" t="s">
        <v>70</v>
      </c>
      <c r="B1956" t="s">
        <v>15</v>
      </c>
      <c r="C1956" t="s">
        <v>65</v>
      </c>
      <c r="D1956" s="3" t="s">
        <v>174</v>
      </c>
      <c r="E1956" s="5" t="str">
        <f>TEXT(D1956,"dd/mm/yyyy")</f>
        <v>30/05/2023</v>
      </c>
      <c r="G1956" s="5" t="str">
        <f>TEXT(E1956,"mm")</f>
        <v>30/05/2023</v>
      </c>
      <c r="H1956" s="6">
        <v>5509.22</v>
      </c>
      <c r="I1956">
        <v>341</v>
      </c>
      <c r="L1956" t="str">
        <f t="shared" si="30"/>
        <v>Below Average</v>
      </c>
      <c r="M1956">
        <f>RANK(H1956,H:H,0)</f>
        <v>1564</v>
      </c>
    </row>
    <row r="1957" spans="1:13">
      <c r="A1957" t="s">
        <v>83</v>
      </c>
      <c r="B1957" t="s">
        <v>32</v>
      </c>
      <c r="C1957" t="s">
        <v>46</v>
      </c>
      <c r="D1957" s="3" t="s">
        <v>244</v>
      </c>
      <c r="E1957" s="5" t="str">
        <f>TEXT(D1957,"dd/mm/yyyy")</f>
        <v>21/07/2023</v>
      </c>
      <c r="G1957" s="5" t="str">
        <f>TEXT(E1957,"mm")</f>
        <v>21/07/2023</v>
      </c>
      <c r="H1957" s="6">
        <v>2444.25</v>
      </c>
      <c r="I1957">
        <v>155</v>
      </c>
      <c r="L1957" t="str">
        <f t="shared" si="30"/>
        <v>Below Average</v>
      </c>
      <c r="M1957">
        <f>RANK(H1957,H:H,0)</f>
        <v>2498</v>
      </c>
    </row>
    <row r="1958" spans="1:13">
      <c r="A1958" t="s">
        <v>14</v>
      </c>
      <c r="B1958" t="s">
        <v>7</v>
      </c>
      <c r="C1958" t="s">
        <v>90</v>
      </c>
      <c r="D1958" s="4">
        <v>44965</v>
      </c>
      <c r="E1958" s="5" t="str">
        <f>TEXT(D1958,"dd/mm/yyyy")</f>
        <v>08/02/2023</v>
      </c>
      <c r="F1958" s="4"/>
      <c r="G1958" s="5" t="str">
        <f>TEXT(E1958,"mm")</f>
        <v>08</v>
      </c>
      <c r="H1958" s="6">
        <v>3175.62</v>
      </c>
      <c r="I1958">
        <v>507</v>
      </c>
      <c r="L1958" t="str">
        <f t="shared" si="30"/>
        <v>Below Average</v>
      </c>
      <c r="M1958">
        <f>RANK(H1958,H:H,0)</f>
        <v>2240</v>
      </c>
    </row>
    <row r="1959" spans="1:13">
      <c r="A1959" t="s">
        <v>28</v>
      </c>
      <c r="B1959" t="s">
        <v>25</v>
      </c>
      <c r="C1959" t="s">
        <v>100</v>
      </c>
      <c r="D1959" s="3" t="s">
        <v>177</v>
      </c>
      <c r="E1959" s="5" t="str">
        <f>TEXT(D1959,"dd/mm/yyyy")</f>
        <v>15/06/2023</v>
      </c>
      <c r="G1959" s="5" t="str">
        <f>TEXT(E1959,"mm")</f>
        <v>15/06/2023</v>
      </c>
      <c r="H1959" s="6">
        <v>7900.42</v>
      </c>
      <c r="I1959">
        <v>143</v>
      </c>
      <c r="L1959" t="str">
        <f t="shared" si="30"/>
        <v>Above Average</v>
      </c>
      <c r="M1959">
        <f>RANK(H1959,H:H,0)</f>
        <v>968</v>
      </c>
    </row>
    <row r="1960" spans="1:13">
      <c r="A1960" t="s">
        <v>19</v>
      </c>
      <c r="B1960" t="s">
        <v>10</v>
      </c>
      <c r="C1960" t="s">
        <v>11</v>
      </c>
      <c r="D1960" s="4">
        <v>45053</v>
      </c>
      <c r="E1960" s="5" t="str">
        <f>TEXT(D1960,"dd/mm/yyyy")</f>
        <v>07/05/2023</v>
      </c>
      <c r="F1960" s="4"/>
      <c r="G1960" s="5" t="str">
        <f>TEXT(E1960,"mm")</f>
        <v>07</v>
      </c>
      <c r="H1960" s="6">
        <v>9072.4599999999991</v>
      </c>
      <c r="I1960">
        <v>142</v>
      </c>
      <c r="L1960" t="str">
        <f t="shared" si="30"/>
        <v>Above Average</v>
      </c>
      <c r="M1960">
        <f>RANK(H1960,H:H,0)</f>
        <v>723</v>
      </c>
    </row>
    <row r="1961" spans="1:13">
      <c r="A1961" t="s">
        <v>55</v>
      </c>
      <c r="B1961" t="s">
        <v>25</v>
      </c>
      <c r="C1961" t="s">
        <v>18</v>
      </c>
      <c r="D1961" s="4">
        <v>45264</v>
      </c>
      <c r="E1961" s="5" t="str">
        <f>TEXT(D1961,"dd/mm/yyyy")</f>
        <v>04/12/2023</v>
      </c>
      <c r="F1961" s="4"/>
      <c r="G1961" s="5" t="str">
        <f>TEXT(E1961,"mm")</f>
        <v>04</v>
      </c>
      <c r="H1961" s="6">
        <v>8.06</v>
      </c>
      <c r="I1961">
        <v>513</v>
      </c>
      <c r="L1961" t="str">
        <f t="shared" si="30"/>
        <v>Below Average</v>
      </c>
      <c r="M1961">
        <f>RANK(H1961,H:H,0)</f>
        <v>3278</v>
      </c>
    </row>
    <row r="1962" spans="1:13">
      <c r="A1962" t="s">
        <v>12</v>
      </c>
      <c r="B1962" t="s">
        <v>15</v>
      </c>
      <c r="C1962" t="s">
        <v>100</v>
      </c>
      <c r="D1962" s="3" t="s">
        <v>201</v>
      </c>
      <c r="E1962" s="5" t="str">
        <f>TEXT(D1962,"dd/mm/yyyy")</f>
        <v>18/08/2023</v>
      </c>
      <c r="G1962" s="5" t="str">
        <f>TEXT(E1962,"mm")</f>
        <v>18/08/2023</v>
      </c>
      <c r="H1962" s="6">
        <v>1548.54</v>
      </c>
      <c r="I1962">
        <v>104</v>
      </c>
      <c r="L1962" t="str">
        <f t="shared" si="30"/>
        <v>Below Average</v>
      </c>
      <c r="M1962">
        <f>RANK(H1962,H:H,0)</f>
        <v>2787</v>
      </c>
    </row>
    <row r="1963" spans="1:13">
      <c r="A1963" t="s">
        <v>14</v>
      </c>
      <c r="B1963" t="s">
        <v>7</v>
      </c>
      <c r="C1963" t="s">
        <v>26</v>
      </c>
      <c r="D1963" s="4">
        <v>45261</v>
      </c>
      <c r="E1963" s="5" t="str">
        <f>TEXT(D1963,"dd/mm/yyyy")</f>
        <v>01/12/2023</v>
      </c>
      <c r="F1963" s="4"/>
      <c r="G1963" s="5" t="str">
        <f>TEXT(E1963,"mm")</f>
        <v>01</v>
      </c>
      <c r="H1963" s="6">
        <v>5501.67</v>
      </c>
      <c r="I1963">
        <v>298</v>
      </c>
      <c r="L1963" t="str">
        <f t="shared" si="30"/>
        <v>Below Average</v>
      </c>
      <c r="M1963">
        <f>RANK(H1963,H:H,0)</f>
        <v>1569</v>
      </c>
    </row>
    <row r="1964" spans="1:13">
      <c r="A1964" t="s">
        <v>22</v>
      </c>
      <c r="B1964" t="s">
        <v>35</v>
      </c>
      <c r="C1964" t="s">
        <v>59</v>
      </c>
      <c r="D1964" s="4">
        <v>45238</v>
      </c>
      <c r="E1964" s="5" t="str">
        <f>TEXT(D1964,"dd/mm/yyyy")</f>
        <v>08/11/2023</v>
      </c>
      <c r="F1964" s="4"/>
      <c r="G1964" s="5" t="str">
        <f>TEXT(E1964,"mm")</f>
        <v>08</v>
      </c>
      <c r="H1964" s="6">
        <v>7685.42</v>
      </c>
      <c r="I1964">
        <v>15</v>
      </c>
      <c r="L1964" t="str">
        <f t="shared" si="30"/>
        <v>Above Average</v>
      </c>
      <c r="M1964">
        <f>RANK(H1964,H:H,0)</f>
        <v>1019</v>
      </c>
    </row>
    <row r="1965" spans="1:13">
      <c r="A1965" t="s">
        <v>6</v>
      </c>
      <c r="B1965" t="s">
        <v>15</v>
      </c>
      <c r="C1965" t="s">
        <v>50</v>
      </c>
      <c r="D1965" s="3" t="s">
        <v>167</v>
      </c>
      <c r="E1965" s="5" t="str">
        <f>TEXT(D1965,"dd/mm/yyyy")</f>
        <v>13/01/2023</v>
      </c>
      <c r="G1965" s="5" t="str">
        <f>TEXT(E1965,"mm")</f>
        <v>13/01/2023</v>
      </c>
      <c r="H1965" s="6">
        <v>5147.7700000000004</v>
      </c>
      <c r="I1965">
        <v>402</v>
      </c>
      <c r="L1965" t="str">
        <f t="shared" si="30"/>
        <v>Below Average</v>
      </c>
      <c r="M1965">
        <f>RANK(H1965,H:H,0)</f>
        <v>1661</v>
      </c>
    </row>
    <row r="1966" spans="1:13">
      <c r="A1966" t="s">
        <v>53</v>
      </c>
      <c r="B1966" t="s">
        <v>7</v>
      </c>
      <c r="C1966" t="s">
        <v>87</v>
      </c>
      <c r="D1966" s="3" t="s">
        <v>219</v>
      </c>
      <c r="E1966" s="5" t="str">
        <f>TEXT(D1966,"dd/mm/yyyy")</f>
        <v>29/04/2023</v>
      </c>
      <c r="G1966" s="5" t="str">
        <f>TEXT(E1966,"mm")</f>
        <v>29/04/2023</v>
      </c>
      <c r="H1966" s="6">
        <v>3070.43</v>
      </c>
      <c r="I1966">
        <v>143</v>
      </c>
      <c r="L1966" t="str">
        <f t="shared" si="30"/>
        <v>Below Average</v>
      </c>
      <c r="M1966">
        <f>RANK(H1966,H:H,0)</f>
        <v>2281</v>
      </c>
    </row>
    <row r="1967" spans="1:13">
      <c r="A1967" t="s">
        <v>29</v>
      </c>
      <c r="B1967" t="s">
        <v>25</v>
      </c>
      <c r="C1967" t="s">
        <v>23</v>
      </c>
      <c r="D1967" s="4">
        <v>45114</v>
      </c>
      <c r="E1967" s="5" t="str">
        <f>TEXT(D1967,"dd/mm/yyyy")</f>
        <v>07/07/2023</v>
      </c>
      <c r="F1967" s="4"/>
      <c r="G1967" s="5" t="str">
        <f>TEXT(E1967,"mm")</f>
        <v>07</v>
      </c>
      <c r="H1967" s="6">
        <v>1127.5</v>
      </c>
      <c r="I1967">
        <v>88</v>
      </c>
      <c r="L1967" t="str">
        <f t="shared" si="30"/>
        <v>Below Average</v>
      </c>
      <c r="M1967">
        <f>RANK(H1967,H:H,0)</f>
        <v>2926</v>
      </c>
    </row>
    <row r="1968" spans="1:13">
      <c r="A1968" t="s">
        <v>77</v>
      </c>
      <c r="B1968" t="s">
        <v>25</v>
      </c>
      <c r="C1968" t="s">
        <v>8</v>
      </c>
      <c r="D1968" s="4">
        <v>45233</v>
      </c>
      <c r="E1968" s="5" t="str">
        <f>TEXT(D1968,"dd/mm/yyyy")</f>
        <v>03/11/2023</v>
      </c>
      <c r="F1968" s="4"/>
      <c r="G1968" s="5" t="str">
        <f>TEXT(E1968,"mm")</f>
        <v>03</v>
      </c>
      <c r="H1968" s="6">
        <v>8502.77</v>
      </c>
      <c r="I1968">
        <v>4</v>
      </c>
      <c r="L1968" t="str">
        <f t="shared" si="30"/>
        <v>Above Average</v>
      </c>
      <c r="M1968">
        <f>RANK(H1968,H:H,0)</f>
        <v>833</v>
      </c>
    </row>
    <row r="1969" spans="1:13">
      <c r="A1969" t="s">
        <v>77</v>
      </c>
      <c r="B1969" t="s">
        <v>7</v>
      </c>
      <c r="C1969" t="s">
        <v>100</v>
      </c>
      <c r="D1969" s="3" t="s">
        <v>171</v>
      </c>
      <c r="E1969" s="5" t="str">
        <f>TEXT(D1969,"dd/mm/yyyy")</f>
        <v>16/02/2023</v>
      </c>
      <c r="G1969" s="5" t="str">
        <f>TEXT(E1969,"mm")</f>
        <v>16/02/2023</v>
      </c>
      <c r="H1969" s="6">
        <v>5961.02</v>
      </c>
      <c r="I1969">
        <v>241</v>
      </c>
      <c r="L1969" t="str">
        <f t="shared" si="30"/>
        <v>Below Average</v>
      </c>
      <c r="M1969">
        <f>RANK(H1969,H:H,0)</f>
        <v>1442</v>
      </c>
    </row>
    <row r="1970" spans="1:13">
      <c r="A1970" t="s">
        <v>31</v>
      </c>
      <c r="B1970" t="s">
        <v>15</v>
      </c>
      <c r="C1970" t="s">
        <v>42</v>
      </c>
      <c r="D1970" s="4">
        <v>45108</v>
      </c>
      <c r="E1970" s="5" t="str">
        <f>TEXT(D1970,"dd/mm/yyyy")</f>
        <v>01/07/2023</v>
      </c>
      <c r="F1970" s="4"/>
      <c r="G1970" s="5" t="str">
        <f>TEXT(E1970,"mm")</f>
        <v>01</v>
      </c>
      <c r="H1970" s="6">
        <v>2478.33</v>
      </c>
      <c r="I1970">
        <v>33</v>
      </c>
      <c r="L1970" t="str">
        <f t="shared" si="30"/>
        <v>Below Average</v>
      </c>
      <c r="M1970">
        <f>RANK(H1970,H:H,0)</f>
        <v>2484</v>
      </c>
    </row>
    <row r="1971" spans="1:13">
      <c r="A1971" t="s">
        <v>41</v>
      </c>
      <c r="B1971" t="s">
        <v>25</v>
      </c>
      <c r="C1971" t="s">
        <v>38</v>
      </c>
      <c r="D1971" s="4">
        <v>45261</v>
      </c>
      <c r="E1971" s="5" t="str">
        <f>TEXT(D1971,"dd/mm/yyyy")</f>
        <v>01/12/2023</v>
      </c>
      <c r="F1971" s="4"/>
      <c r="G1971" s="5" t="str">
        <f>TEXT(E1971,"mm")</f>
        <v>01</v>
      </c>
      <c r="H1971" s="6">
        <v>1269.56</v>
      </c>
      <c r="I1971">
        <v>497</v>
      </c>
      <c r="L1971" t="str">
        <f t="shared" si="30"/>
        <v>Below Average</v>
      </c>
      <c r="M1971">
        <f>RANK(H1971,H:H,0)</f>
        <v>2884</v>
      </c>
    </row>
    <row r="1972" spans="1:13">
      <c r="A1972" t="s">
        <v>41</v>
      </c>
      <c r="B1972" t="s">
        <v>10</v>
      </c>
      <c r="C1972" t="s">
        <v>36</v>
      </c>
      <c r="D1972" s="4">
        <v>45175</v>
      </c>
      <c r="E1972" s="5" t="str">
        <f>TEXT(D1972,"dd/mm/yyyy")</f>
        <v>06/09/2023</v>
      </c>
      <c r="F1972" s="4"/>
      <c r="G1972" s="5" t="str">
        <f>TEXT(E1972,"mm")</f>
        <v>06</v>
      </c>
      <c r="H1972" s="6">
        <v>11130.52</v>
      </c>
      <c r="I1972">
        <v>144</v>
      </c>
      <c r="L1972" t="str">
        <f t="shared" si="30"/>
        <v>Above Average</v>
      </c>
      <c r="M1972">
        <f>RANK(H1972,H:H,0)</f>
        <v>429</v>
      </c>
    </row>
    <row r="1973" spans="1:13">
      <c r="A1973" t="s">
        <v>67</v>
      </c>
      <c r="B1973" t="s">
        <v>10</v>
      </c>
      <c r="C1973" t="s">
        <v>36</v>
      </c>
      <c r="D1973" s="3" t="s">
        <v>192</v>
      </c>
      <c r="E1973" s="5" t="str">
        <f>TEXT(D1973,"dd/mm/yyyy")</f>
        <v>16/05/2023</v>
      </c>
      <c r="G1973" s="5" t="str">
        <f>TEXT(E1973,"mm")</f>
        <v>16/05/2023</v>
      </c>
      <c r="H1973" s="6">
        <v>2455.09</v>
      </c>
      <c r="I1973">
        <v>83</v>
      </c>
      <c r="L1973" t="str">
        <f t="shared" si="30"/>
        <v>Below Average</v>
      </c>
      <c r="M1973">
        <f>RANK(H1973,H:H,0)</f>
        <v>2494</v>
      </c>
    </row>
    <row r="1974" spans="1:13">
      <c r="A1974" t="s">
        <v>12</v>
      </c>
      <c r="B1974" t="s">
        <v>7</v>
      </c>
      <c r="C1974" t="s">
        <v>11</v>
      </c>
      <c r="D1974" s="3" t="s">
        <v>245</v>
      </c>
      <c r="E1974" s="5" t="str">
        <f>TEXT(D1974,"dd/mm/yyyy")</f>
        <v>23/06/2023</v>
      </c>
      <c r="G1974" s="5" t="str">
        <f>TEXT(E1974,"mm")</f>
        <v>23/06/2023</v>
      </c>
      <c r="H1974" s="6">
        <v>12764.94</v>
      </c>
      <c r="I1974">
        <v>100</v>
      </c>
      <c r="L1974" t="str">
        <f t="shared" si="30"/>
        <v>Above Average</v>
      </c>
      <c r="M1974">
        <f>RANK(H1974,H:H,0)</f>
        <v>279</v>
      </c>
    </row>
    <row r="1975" spans="1:13">
      <c r="A1975" t="s">
        <v>45</v>
      </c>
      <c r="B1975" t="s">
        <v>7</v>
      </c>
      <c r="C1975" t="s">
        <v>73</v>
      </c>
      <c r="D1975" s="3" t="s">
        <v>210</v>
      </c>
      <c r="E1975" s="5" t="str">
        <f>TEXT(D1975,"dd/mm/yyyy")</f>
        <v>28/01/2023</v>
      </c>
      <c r="G1975" s="5" t="str">
        <f>TEXT(E1975,"mm")</f>
        <v>28/01/2023</v>
      </c>
      <c r="H1975" s="6">
        <v>13351.42</v>
      </c>
      <c r="I1975">
        <v>198</v>
      </c>
      <c r="L1975" t="str">
        <f t="shared" si="30"/>
        <v>Above Average</v>
      </c>
      <c r="M1975">
        <f>RANK(H1975,H:H,0)</f>
        <v>246</v>
      </c>
    </row>
    <row r="1976" spans="1:13">
      <c r="A1976" t="s">
        <v>79</v>
      </c>
      <c r="B1976" t="s">
        <v>7</v>
      </c>
      <c r="C1976" t="s">
        <v>8</v>
      </c>
      <c r="D1976" s="3" t="s">
        <v>263</v>
      </c>
      <c r="E1976" s="5" t="str">
        <f>TEXT(D1976,"dd/mm/yyyy")</f>
        <v>14/07/2023</v>
      </c>
      <c r="G1976" s="5" t="str">
        <f>TEXT(E1976,"mm")</f>
        <v>14/07/2023</v>
      </c>
      <c r="H1976" s="6">
        <v>2763.22</v>
      </c>
      <c r="I1976">
        <v>223</v>
      </c>
      <c r="L1976" t="str">
        <f t="shared" si="30"/>
        <v>Below Average</v>
      </c>
      <c r="M1976">
        <f>RANK(H1976,H:H,0)</f>
        <v>2387</v>
      </c>
    </row>
    <row r="1977" spans="1:13">
      <c r="A1977" t="s">
        <v>31</v>
      </c>
      <c r="B1977" t="s">
        <v>35</v>
      </c>
      <c r="C1977" t="s">
        <v>38</v>
      </c>
      <c r="D1977" s="3" t="s">
        <v>257</v>
      </c>
      <c r="E1977" s="5" t="str">
        <f>TEXT(D1977,"dd/mm/yyyy")</f>
        <v>18/04/2023</v>
      </c>
      <c r="G1977" s="5" t="str">
        <f>TEXT(E1977,"mm")</f>
        <v>18/04/2023</v>
      </c>
      <c r="H1977" s="6">
        <v>6523.34</v>
      </c>
      <c r="I1977">
        <v>245</v>
      </c>
      <c r="L1977" t="str">
        <f t="shared" si="30"/>
        <v>Above Average</v>
      </c>
      <c r="M1977">
        <f>RANK(H1977,H:H,0)</f>
        <v>1304</v>
      </c>
    </row>
    <row r="1978" spans="1:13">
      <c r="A1978" t="s">
        <v>19</v>
      </c>
      <c r="B1978" t="s">
        <v>32</v>
      </c>
      <c r="C1978" t="s">
        <v>46</v>
      </c>
      <c r="D1978" s="3" t="s">
        <v>230</v>
      </c>
      <c r="E1978" s="5" t="str">
        <f>TEXT(D1978,"dd/mm/yyyy")</f>
        <v>14/06/2023</v>
      </c>
      <c r="G1978" s="5" t="str">
        <f>TEXT(E1978,"mm")</f>
        <v>14/06/2023</v>
      </c>
      <c r="H1978" s="6">
        <v>1868.25</v>
      </c>
      <c r="I1978">
        <v>82</v>
      </c>
      <c r="L1978" t="str">
        <f t="shared" si="30"/>
        <v>Below Average</v>
      </c>
      <c r="M1978">
        <f>RANK(H1978,H:H,0)</f>
        <v>2676</v>
      </c>
    </row>
    <row r="1979" spans="1:13">
      <c r="A1979" t="s">
        <v>19</v>
      </c>
      <c r="B1979" t="s">
        <v>7</v>
      </c>
      <c r="C1979" t="s">
        <v>33</v>
      </c>
      <c r="D1979" s="3" t="s">
        <v>184</v>
      </c>
      <c r="E1979" s="5" t="str">
        <f>TEXT(D1979,"dd/mm/yyyy")</f>
        <v>15/04/2023</v>
      </c>
      <c r="G1979" s="5" t="str">
        <f>TEXT(E1979,"mm")</f>
        <v>15/04/2023</v>
      </c>
      <c r="H1979" s="6">
        <v>8431.83</v>
      </c>
      <c r="I1979">
        <v>251</v>
      </c>
      <c r="L1979" t="str">
        <f t="shared" si="30"/>
        <v>Above Average</v>
      </c>
      <c r="M1979">
        <f>RANK(H1979,H:H,0)</f>
        <v>848</v>
      </c>
    </row>
    <row r="1980" spans="1:13">
      <c r="A1980" t="s">
        <v>48</v>
      </c>
      <c r="B1980" t="s">
        <v>35</v>
      </c>
      <c r="C1980" t="s">
        <v>13</v>
      </c>
      <c r="D1980" s="3" t="s">
        <v>183</v>
      </c>
      <c r="E1980" s="5" t="str">
        <f>TEXT(D1980,"dd/mm/yyyy")</f>
        <v>19/05/2023</v>
      </c>
      <c r="G1980" s="5" t="str">
        <f>TEXT(E1980,"mm")</f>
        <v>19/05/2023</v>
      </c>
      <c r="H1980" s="6">
        <v>5646.99</v>
      </c>
      <c r="I1980">
        <v>64</v>
      </c>
      <c r="L1980" t="str">
        <f t="shared" si="30"/>
        <v>Below Average</v>
      </c>
      <c r="M1980">
        <f>RANK(H1980,H:H,0)</f>
        <v>1530</v>
      </c>
    </row>
    <row r="1981" spans="1:13">
      <c r="A1981" t="s">
        <v>12</v>
      </c>
      <c r="B1981" t="s">
        <v>10</v>
      </c>
      <c r="C1981" t="s">
        <v>59</v>
      </c>
      <c r="D1981" s="3" t="s">
        <v>224</v>
      </c>
      <c r="E1981" s="5" t="str">
        <f>TEXT(D1981,"dd/mm/yyyy")</f>
        <v>13/04/2023</v>
      </c>
      <c r="G1981" s="5" t="str">
        <f>TEXT(E1981,"mm")</f>
        <v>13/04/2023</v>
      </c>
      <c r="H1981" s="6">
        <v>1484.67</v>
      </c>
      <c r="I1981">
        <v>180</v>
      </c>
      <c r="L1981" t="str">
        <f t="shared" si="30"/>
        <v>Below Average</v>
      </c>
      <c r="M1981">
        <f>RANK(H1981,H:H,0)</f>
        <v>2810</v>
      </c>
    </row>
    <row r="1982" spans="1:13">
      <c r="A1982" t="s">
        <v>53</v>
      </c>
      <c r="B1982" t="s">
        <v>35</v>
      </c>
      <c r="C1982" t="s">
        <v>75</v>
      </c>
      <c r="D1982" s="3" t="s">
        <v>215</v>
      </c>
      <c r="E1982" s="5" t="str">
        <f>TEXT(D1982,"dd/mm/yyyy")</f>
        <v>15/08/2023</v>
      </c>
      <c r="G1982" s="5" t="str">
        <f>TEXT(E1982,"mm")</f>
        <v>15/08/2023</v>
      </c>
      <c r="H1982" s="6">
        <v>3859.95</v>
      </c>
      <c r="I1982">
        <v>395</v>
      </c>
      <c r="L1982" t="str">
        <f t="shared" si="30"/>
        <v>Below Average</v>
      </c>
      <c r="M1982">
        <f>RANK(H1982,H:H,0)</f>
        <v>2021</v>
      </c>
    </row>
    <row r="1983" spans="1:13">
      <c r="A1983" t="s">
        <v>64</v>
      </c>
      <c r="B1983" t="s">
        <v>10</v>
      </c>
      <c r="C1983" t="s">
        <v>75</v>
      </c>
      <c r="D1983" s="3" t="s">
        <v>186</v>
      </c>
      <c r="E1983" s="5" t="str">
        <f>TEXT(D1983,"dd/mm/yyyy")</f>
        <v>22/08/2023</v>
      </c>
      <c r="G1983" s="5" t="str">
        <f>TEXT(E1983,"mm")</f>
        <v>22/08/2023</v>
      </c>
      <c r="H1983" s="6">
        <v>3237.3</v>
      </c>
      <c r="I1983">
        <v>227</v>
      </c>
      <c r="L1983" t="str">
        <f t="shared" si="30"/>
        <v>Below Average</v>
      </c>
      <c r="M1983">
        <f>RANK(H1983,H:H,0)</f>
        <v>2227</v>
      </c>
    </row>
    <row r="1984" spans="1:13">
      <c r="A1984" t="s">
        <v>64</v>
      </c>
      <c r="B1984" t="s">
        <v>25</v>
      </c>
      <c r="C1984" t="s">
        <v>87</v>
      </c>
      <c r="D1984" s="3" t="s">
        <v>237</v>
      </c>
      <c r="E1984" s="5" t="str">
        <f>TEXT(D1984,"dd/mm/yyyy")</f>
        <v>22/04/2023</v>
      </c>
      <c r="G1984" s="5" t="str">
        <f>TEXT(E1984,"mm")</f>
        <v>22/04/2023</v>
      </c>
      <c r="H1984" s="6">
        <v>4072.43</v>
      </c>
      <c r="I1984">
        <v>64</v>
      </c>
      <c r="L1984" t="str">
        <f t="shared" si="30"/>
        <v>Below Average</v>
      </c>
      <c r="M1984">
        <f>RANK(H1984,H:H,0)</f>
        <v>1961</v>
      </c>
    </row>
    <row r="1985" spans="1:13">
      <c r="A1985" t="s">
        <v>55</v>
      </c>
      <c r="B1985" t="s">
        <v>7</v>
      </c>
      <c r="C1985" t="s">
        <v>75</v>
      </c>
      <c r="D1985" s="4">
        <v>44993</v>
      </c>
      <c r="E1985" s="5" t="str">
        <f>TEXT(D1985,"dd/mm/yyyy")</f>
        <v>08/03/2023</v>
      </c>
      <c r="F1985" s="4"/>
      <c r="G1985" s="5" t="str">
        <f>TEXT(E1985,"mm")</f>
        <v>08</v>
      </c>
      <c r="H1985" s="6">
        <v>8054.87</v>
      </c>
      <c r="I1985">
        <v>118</v>
      </c>
      <c r="L1985" t="str">
        <f t="shared" si="30"/>
        <v>Above Average</v>
      </c>
      <c r="M1985">
        <f>RANK(H1985,H:H,0)</f>
        <v>927</v>
      </c>
    </row>
    <row r="1986" spans="1:13">
      <c r="A1986" t="s">
        <v>58</v>
      </c>
      <c r="B1986" t="s">
        <v>25</v>
      </c>
      <c r="C1986" t="s">
        <v>42</v>
      </c>
      <c r="D1986" s="4">
        <v>45017</v>
      </c>
      <c r="E1986" s="5" t="str">
        <f>TEXT(D1986,"dd/mm/yyyy")</f>
        <v>01/04/2023</v>
      </c>
      <c r="F1986" s="4"/>
      <c r="G1986" s="5" t="str">
        <f>TEXT(E1986,"mm")</f>
        <v>01</v>
      </c>
      <c r="H1986" s="6">
        <v>420.3</v>
      </c>
      <c r="I1986">
        <v>224</v>
      </c>
      <c r="L1986" t="str">
        <f t="shared" si="30"/>
        <v>Below Average</v>
      </c>
      <c r="M1986">
        <f>RANK(H1986,H:H,0)</f>
        <v>3159</v>
      </c>
    </row>
    <row r="1987" spans="1:13">
      <c r="A1987" t="s">
        <v>70</v>
      </c>
      <c r="B1987" t="s">
        <v>35</v>
      </c>
      <c r="C1987" t="s">
        <v>23</v>
      </c>
      <c r="D1987" s="3" t="s">
        <v>167</v>
      </c>
      <c r="E1987" s="5" t="str">
        <f>TEXT(D1987,"dd/mm/yyyy")</f>
        <v>13/01/2023</v>
      </c>
      <c r="G1987" s="5" t="str">
        <f>TEXT(E1987,"mm")</f>
        <v>13/01/2023</v>
      </c>
      <c r="H1987" s="6">
        <v>17073.990000000002</v>
      </c>
      <c r="I1987">
        <v>218</v>
      </c>
      <c r="L1987" t="str">
        <f t="shared" ref="L1987:L2050" si="31">IF(H1987&gt;6030.34,"Above Average","Below Average")</f>
        <v>Above Average</v>
      </c>
      <c r="M1987">
        <f>RANK(H1987,H:H,0)</f>
        <v>66</v>
      </c>
    </row>
    <row r="1988" spans="1:13">
      <c r="A1988" t="s">
        <v>9</v>
      </c>
      <c r="B1988" t="s">
        <v>15</v>
      </c>
      <c r="C1988" t="s">
        <v>87</v>
      </c>
      <c r="D1988" s="4">
        <v>45235</v>
      </c>
      <c r="E1988" s="5" t="str">
        <f>TEXT(D1988,"dd/mm/yyyy")</f>
        <v>05/11/2023</v>
      </c>
      <c r="F1988" s="4"/>
      <c r="G1988" s="5" t="str">
        <f>TEXT(E1988,"mm")</f>
        <v>05</v>
      </c>
      <c r="H1988" s="6">
        <v>13624.31</v>
      </c>
      <c r="I1988">
        <v>33</v>
      </c>
      <c r="L1988" t="str">
        <f t="shared" si="31"/>
        <v>Above Average</v>
      </c>
      <c r="M1988">
        <f>RANK(H1988,H:H,0)</f>
        <v>228</v>
      </c>
    </row>
    <row r="1989" spans="1:13">
      <c r="A1989" t="s">
        <v>53</v>
      </c>
      <c r="B1989" t="s">
        <v>25</v>
      </c>
      <c r="C1989" t="s">
        <v>13</v>
      </c>
      <c r="D1989" s="3" t="s">
        <v>171</v>
      </c>
      <c r="E1989" s="5" t="str">
        <f>TEXT(D1989,"dd/mm/yyyy")</f>
        <v>16/02/2023</v>
      </c>
      <c r="G1989" s="5" t="str">
        <f>TEXT(E1989,"mm")</f>
        <v>16/02/2023</v>
      </c>
      <c r="H1989" s="6">
        <v>2318.46</v>
      </c>
      <c r="I1989">
        <v>235</v>
      </c>
      <c r="L1989" t="str">
        <f t="shared" si="31"/>
        <v>Below Average</v>
      </c>
      <c r="M1989">
        <f>RANK(H1989,H:H,0)</f>
        <v>2541</v>
      </c>
    </row>
    <row r="1990" spans="1:13">
      <c r="A1990" t="s">
        <v>55</v>
      </c>
      <c r="B1990" t="s">
        <v>7</v>
      </c>
      <c r="C1990" t="s">
        <v>90</v>
      </c>
      <c r="D1990" s="3" t="s">
        <v>222</v>
      </c>
      <c r="E1990" s="5" t="str">
        <f>TEXT(D1990,"dd/mm/yyyy")</f>
        <v>20/05/2023</v>
      </c>
      <c r="G1990" s="5" t="str">
        <f>TEXT(E1990,"mm")</f>
        <v>20/05/2023</v>
      </c>
      <c r="H1990" s="6">
        <v>10740.05</v>
      </c>
      <c r="I1990">
        <v>67</v>
      </c>
      <c r="L1990" t="str">
        <f t="shared" si="31"/>
        <v>Above Average</v>
      </c>
      <c r="M1990">
        <f>RANK(H1990,H:H,0)</f>
        <v>486</v>
      </c>
    </row>
    <row r="1991" spans="1:13">
      <c r="A1991" t="s">
        <v>6</v>
      </c>
      <c r="B1991" t="s">
        <v>7</v>
      </c>
      <c r="C1991" t="s">
        <v>38</v>
      </c>
      <c r="D1991" s="4">
        <v>44987</v>
      </c>
      <c r="E1991" s="5" t="str">
        <f>TEXT(D1991,"dd/mm/yyyy")</f>
        <v>02/03/2023</v>
      </c>
      <c r="F1991" s="4"/>
      <c r="G1991" s="5" t="str">
        <f>TEXT(E1991,"mm")</f>
        <v>02</v>
      </c>
      <c r="H1991" s="6">
        <v>7624.67</v>
      </c>
      <c r="I1991">
        <v>422</v>
      </c>
      <c r="L1991" t="str">
        <f t="shared" si="31"/>
        <v>Above Average</v>
      </c>
      <c r="M1991">
        <f>RANK(H1991,H:H,0)</f>
        <v>1032</v>
      </c>
    </row>
    <row r="1992" spans="1:13">
      <c r="A1992" t="s">
        <v>41</v>
      </c>
      <c r="B1992" t="s">
        <v>10</v>
      </c>
      <c r="C1992" t="s">
        <v>60</v>
      </c>
      <c r="D1992" s="4">
        <v>45082</v>
      </c>
      <c r="E1992" s="5" t="str">
        <f>TEXT(D1992,"dd/mm/yyyy")</f>
        <v>05/06/2023</v>
      </c>
      <c r="F1992" s="4"/>
      <c r="G1992" s="5" t="str">
        <f>TEXT(E1992,"mm")</f>
        <v>05</v>
      </c>
      <c r="H1992" s="6">
        <v>10168.32</v>
      </c>
      <c r="I1992">
        <v>159</v>
      </c>
      <c r="L1992" t="str">
        <f t="shared" si="31"/>
        <v>Above Average</v>
      </c>
      <c r="M1992">
        <f>RANK(H1992,H:H,0)</f>
        <v>557</v>
      </c>
    </row>
    <row r="1993" spans="1:13">
      <c r="A1993" t="s">
        <v>22</v>
      </c>
      <c r="B1993" t="s">
        <v>7</v>
      </c>
      <c r="C1993" t="s">
        <v>75</v>
      </c>
      <c r="D1993" s="3" t="s">
        <v>180</v>
      </c>
      <c r="E1993" s="5" t="str">
        <f>TEXT(D1993,"dd/mm/yyyy")</f>
        <v>30/06/2023</v>
      </c>
      <c r="G1993" s="5" t="str">
        <f>TEXT(E1993,"mm")</f>
        <v>30/06/2023</v>
      </c>
      <c r="H1993" s="6">
        <v>6635.15</v>
      </c>
      <c r="I1993">
        <v>141</v>
      </c>
      <c r="L1993" t="str">
        <f t="shared" si="31"/>
        <v>Above Average</v>
      </c>
      <c r="M1993">
        <f>RANK(H1993,H:H,0)</f>
        <v>1277</v>
      </c>
    </row>
    <row r="1994" spans="1:13">
      <c r="A1994" t="s">
        <v>22</v>
      </c>
      <c r="B1994" t="s">
        <v>7</v>
      </c>
      <c r="C1994" t="s">
        <v>18</v>
      </c>
      <c r="D1994" s="3" t="s">
        <v>242</v>
      </c>
      <c r="E1994" s="5" t="str">
        <f>TEXT(D1994,"dd/mm/yyyy")</f>
        <v>22/03/2023</v>
      </c>
      <c r="G1994" s="5" t="str">
        <f>TEXT(E1994,"mm")</f>
        <v>22/03/2023</v>
      </c>
      <c r="H1994" s="6">
        <v>860.12</v>
      </c>
      <c r="I1994">
        <v>158</v>
      </c>
      <c r="L1994" t="str">
        <f t="shared" si="31"/>
        <v>Below Average</v>
      </c>
      <c r="M1994">
        <f>RANK(H1994,H:H,0)</f>
        <v>3013</v>
      </c>
    </row>
    <row r="1995" spans="1:13">
      <c r="A1995" t="s">
        <v>71</v>
      </c>
      <c r="B1995" t="s">
        <v>35</v>
      </c>
      <c r="C1995" t="s">
        <v>33</v>
      </c>
      <c r="D1995" s="3" t="s">
        <v>173</v>
      </c>
      <c r="E1995" s="5" t="str">
        <f>TEXT(D1995,"dd/mm/yyyy")</f>
        <v>17/02/2023</v>
      </c>
      <c r="G1995" s="5" t="str">
        <f>TEXT(E1995,"mm")</f>
        <v>17/02/2023</v>
      </c>
      <c r="H1995" s="6">
        <v>8671.2099999999991</v>
      </c>
      <c r="I1995">
        <v>52</v>
      </c>
      <c r="L1995" t="str">
        <f t="shared" si="31"/>
        <v>Above Average</v>
      </c>
      <c r="M1995">
        <f>RANK(H1995,H:H,0)</f>
        <v>804</v>
      </c>
    </row>
    <row r="1996" spans="1:13">
      <c r="A1996" t="s">
        <v>6</v>
      </c>
      <c r="B1996" t="s">
        <v>7</v>
      </c>
      <c r="C1996" t="s">
        <v>11</v>
      </c>
      <c r="D1996" s="4">
        <v>45114</v>
      </c>
      <c r="E1996" s="5" t="str">
        <f>TEXT(D1996,"dd/mm/yyyy")</f>
        <v>07/07/2023</v>
      </c>
      <c r="F1996" s="4"/>
      <c r="G1996" s="5" t="str">
        <f>TEXT(E1996,"mm")</f>
        <v>07</v>
      </c>
      <c r="H1996" s="6">
        <v>5534.11</v>
      </c>
      <c r="I1996">
        <v>63</v>
      </c>
      <c r="L1996" t="str">
        <f t="shared" si="31"/>
        <v>Below Average</v>
      </c>
      <c r="M1996">
        <f>RANK(H1996,H:H,0)</f>
        <v>1558</v>
      </c>
    </row>
    <row r="1997" spans="1:13">
      <c r="A1997" t="s">
        <v>19</v>
      </c>
      <c r="B1997" t="s">
        <v>7</v>
      </c>
      <c r="C1997" t="s">
        <v>100</v>
      </c>
      <c r="D1997" s="3" t="s">
        <v>211</v>
      </c>
      <c r="E1997" s="5" t="str">
        <f>TEXT(D1997,"dd/mm/yyyy")</f>
        <v>16/03/2023</v>
      </c>
      <c r="G1997" s="5" t="str">
        <f>TEXT(E1997,"mm")</f>
        <v>16/03/2023</v>
      </c>
      <c r="H1997" s="6">
        <v>6800.26</v>
      </c>
      <c r="I1997">
        <v>187</v>
      </c>
      <c r="L1997" t="str">
        <f t="shared" si="31"/>
        <v>Above Average</v>
      </c>
      <c r="M1997">
        <f>RANK(H1997,H:H,0)</f>
        <v>1236</v>
      </c>
    </row>
    <row r="1998" spans="1:13">
      <c r="A1998" t="s">
        <v>70</v>
      </c>
      <c r="B1998" t="s">
        <v>7</v>
      </c>
      <c r="C1998" t="s">
        <v>20</v>
      </c>
      <c r="D1998" s="4">
        <v>45268</v>
      </c>
      <c r="E1998" s="5" t="str">
        <f>TEXT(D1998,"dd/mm/yyyy")</f>
        <v>08/12/2023</v>
      </c>
      <c r="F1998" s="4"/>
      <c r="G1998" s="5" t="str">
        <f>TEXT(E1998,"mm")</f>
        <v>08</v>
      </c>
      <c r="H1998" s="6">
        <v>3927.83</v>
      </c>
      <c r="I1998">
        <v>123</v>
      </c>
      <c r="L1998" t="str">
        <f t="shared" si="31"/>
        <v>Below Average</v>
      </c>
      <c r="M1998">
        <f>RANK(H1998,H:H,0)</f>
        <v>2005</v>
      </c>
    </row>
    <row r="1999" spans="1:13">
      <c r="A1999" t="s">
        <v>12</v>
      </c>
      <c r="B1999" t="s">
        <v>25</v>
      </c>
      <c r="C1999" t="s">
        <v>23</v>
      </c>
      <c r="D1999" s="3" t="s">
        <v>227</v>
      </c>
      <c r="E1999" s="5" t="str">
        <f>TEXT(D1999,"dd/mm/yyyy")</f>
        <v>21/01/2023</v>
      </c>
      <c r="G1999" s="5" t="str">
        <f>TEXT(E1999,"mm")</f>
        <v>21/01/2023</v>
      </c>
      <c r="H1999" s="6">
        <v>5833.8</v>
      </c>
      <c r="I1999">
        <v>196</v>
      </c>
      <c r="L1999" t="str">
        <f t="shared" si="31"/>
        <v>Below Average</v>
      </c>
      <c r="M1999">
        <f>RANK(H1999,H:H,0)</f>
        <v>1477</v>
      </c>
    </row>
    <row r="2000" spans="1:13">
      <c r="A2000" t="s">
        <v>19</v>
      </c>
      <c r="B2000" t="s">
        <v>15</v>
      </c>
      <c r="C2000" t="s">
        <v>26</v>
      </c>
      <c r="D2000" s="4">
        <v>45082</v>
      </c>
      <c r="E2000" s="5" t="str">
        <f>TEXT(D2000,"dd/mm/yyyy")</f>
        <v>05/06/2023</v>
      </c>
      <c r="F2000" s="4"/>
      <c r="G2000" s="5" t="str">
        <f>TEXT(E2000,"mm")</f>
        <v>05</v>
      </c>
      <c r="H2000" s="6">
        <v>733.08</v>
      </c>
      <c r="I2000">
        <v>147</v>
      </c>
      <c r="L2000" t="str">
        <f t="shared" si="31"/>
        <v>Below Average</v>
      </c>
      <c r="M2000">
        <f>RANK(H2000,H:H,0)</f>
        <v>3049</v>
      </c>
    </row>
    <row r="2001" spans="1:13">
      <c r="A2001" t="s">
        <v>19</v>
      </c>
      <c r="B2001" t="s">
        <v>35</v>
      </c>
      <c r="C2001" t="s">
        <v>26</v>
      </c>
      <c r="D2001" s="3" t="s">
        <v>246</v>
      </c>
      <c r="E2001" s="5" t="str">
        <f>TEXT(D2001,"dd/mm/yyyy")</f>
        <v>24/06/2023</v>
      </c>
      <c r="G2001" s="5" t="str">
        <f>TEXT(E2001,"mm")</f>
        <v>24/06/2023</v>
      </c>
      <c r="H2001" s="6">
        <v>7164.51</v>
      </c>
      <c r="I2001">
        <v>140</v>
      </c>
      <c r="L2001" t="str">
        <f t="shared" si="31"/>
        <v>Above Average</v>
      </c>
      <c r="M2001">
        <f>RANK(H2001,H:H,0)</f>
        <v>1142</v>
      </c>
    </row>
    <row r="2002" spans="1:13">
      <c r="A2002" t="s">
        <v>31</v>
      </c>
      <c r="B2002" t="s">
        <v>32</v>
      </c>
      <c r="C2002" t="s">
        <v>59</v>
      </c>
      <c r="D2002" s="4">
        <v>45051</v>
      </c>
      <c r="E2002" s="5" t="str">
        <f>TEXT(D2002,"dd/mm/yyyy")</f>
        <v>05/05/2023</v>
      </c>
      <c r="F2002" s="4"/>
      <c r="G2002" s="5" t="str">
        <f>TEXT(E2002,"mm")</f>
        <v>05</v>
      </c>
      <c r="H2002" s="6">
        <v>7900.52</v>
      </c>
      <c r="I2002">
        <v>175</v>
      </c>
      <c r="L2002" t="str">
        <f t="shared" si="31"/>
        <v>Above Average</v>
      </c>
      <c r="M2002">
        <f>RANK(H2002,H:H,0)</f>
        <v>967</v>
      </c>
    </row>
    <row r="2003" spans="1:13">
      <c r="A2003" t="s">
        <v>29</v>
      </c>
      <c r="B2003" t="s">
        <v>25</v>
      </c>
      <c r="C2003" t="s">
        <v>20</v>
      </c>
      <c r="D2003" s="3" t="s">
        <v>235</v>
      </c>
      <c r="E2003" s="5" t="str">
        <f>TEXT(D2003,"dd/mm/yyyy")</f>
        <v>25/03/2023</v>
      </c>
      <c r="G2003" s="5" t="str">
        <f>TEXT(E2003,"mm")</f>
        <v>25/03/2023</v>
      </c>
      <c r="H2003" s="6">
        <v>3550.76</v>
      </c>
      <c r="I2003">
        <v>85</v>
      </c>
      <c r="L2003" t="str">
        <f t="shared" si="31"/>
        <v>Below Average</v>
      </c>
      <c r="M2003">
        <f>RANK(H2003,H:H,0)</f>
        <v>2125</v>
      </c>
    </row>
    <row r="2004" spans="1:13">
      <c r="A2004" t="s">
        <v>48</v>
      </c>
      <c r="B2004" t="s">
        <v>15</v>
      </c>
      <c r="C2004" t="s">
        <v>90</v>
      </c>
      <c r="D2004" s="3" t="s">
        <v>170</v>
      </c>
      <c r="E2004" s="5" t="str">
        <f>TEXT(D2004,"dd/mm/yyyy")</f>
        <v>14/02/2023</v>
      </c>
      <c r="G2004" s="5" t="str">
        <f>TEXT(E2004,"mm")</f>
        <v>14/02/2023</v>
      </c>
      <c r="H2004" s="6">
        <v>10281.51</v>
      </c>
      <c r="I2004">
        <v>136</v>
      </c>
      <c r="L2004" t="str">
        <f t="shared" si="31"/>
        <v>Above Average</v>
      </c>
      <c r="M2004">
        <f>RANK(H2004,H:H,0)</f>
        <v>537</v>
      </c>
    </row>
    <row r="2005" spans="1:13">
      <c r="A2005" t="s">
        <v>48</v>
      </c>
      <c r="B2005" t="s">
        <v>25</v>
      </c>
      <c r="C2005" t="s">
        <v>11</v>
      </c>
      <c r="D2005" s="4">
        <v>45265</v>
      </c>
      <c r="E2005" s="5" t="str">
        <f>TEXT(D2005,"dd/mm/yyyy")</f>
        <v>05/12/2023</v>
      </c>
      <c r="F2005" s="4"/>
      <c r="G2005" s="5" t="str">
        <f>TEXT(E2005,"mm")</f>
        <v>05</v>
      </c>
      <c r="H2005" s="6">
        <v>5936.81</v>
      </c>
      <c r="I2005">
        <v>180</v>
      </c>
      <c r="L2005" t="str">
        <f t="shared" si="31"/>
        <v>Below Average</v>
      </c>
      <c r="M2005">
        <f>RANK(H2005,H:H,0)</f>
        <v>1444</v>
      </c>
    </row>
    <row r="2006" spans="1:13">
      <c r="A2006" t="s">
        <v>31</v>
      </c>
      <c r="B2006" t="s">
        <v>25</v>
      </c>
      <c r="C2006" t="s">
        <v>18</v>
      </c>
      <c r="D2006" s="3" t="s">
        <v>164</v>
      </c>
      <c r="E2006" s="5" t="str">
        <f>TEXT(D2006,"dd/mm/yyyy")</f>
        <v>25/01/2023</v>
      </c>
      <c r="G2006" s="5" t="str">
        <f>TEXT(E2006,"mm")</f>
        <v>25/01/2023</v>
      </c>
      <c r="H2006" s="6">
        <v>4552.1499999999996</v>
      </c>
      <c r="I2006">
        <v>172</v>
      </c>
      <c r="L2006" t="str">
        <f t="shared" si="31"/>
        <v>Below Average</v>
      </c>
      <c r="M2006">
        <f>RANK(H2006,H:H,0)</f>
        <v>1837</v>
      </c>
    </row>
    <row r="2007" spans="1:13">
      <c r="A2007" t="s">
        <v>83</v>
      </c>
      <c r="B2007" t="s">
        <v>7</v>
      </c>
      <c r="C2007" t="s">
        <v>11</v>
      </c>
      <c r="D2007" s="3" t="s">
        <v>191</v>
      </c>
      <c r="E2007" s="5" t="str">
        <f>TEXT(D2007,"dd/mm/yyyy")</f>
        <v>28/06/2023</v>
      </c>
      <c r="G2007" s="5" t="str">
        <f>TEXT(E2007,"mm")</f>
        <v>28/06/2023</v>
      </c>
      <c r="H2007" s="6">
        <v>15944.86</v>
      </c>
      <c r="I2007">
        <v>11</v>
      </c>
      <c r="L2007" t="str">
        <f t="shared" si="31"/>
        <v>Above Average</v>
      </c>
      <c r="M2007">
        <f>RANK(H2007,H:H,0)</f>
        <v>102</v>
      </c>
    </row>
    <row r="2008" spans="1:13">
      <c r="A2008" t="s">
        <v>58</v>
      </c>
      <c r="B2008" t="s">
        <v>15</v>
      </c>
      <c r="C2008" t="s">
        <v>38</v>
      </c>
      <c r="D2008" s="3" t="s">
        <v>198</v>
      </c>
      <c r="E2008" s="5" t="str">
        <f>TEXT(D2008,"dd/mm/yyyy")</f>
        <v>13/07/2023</v>
      </c>
      <c r="G2008" s="5" t="str">
        <f>TEXT(E2008,"mm")</f>
        <v>13/07/2023</v>
      </c>
      <c r="H2008" s="6">
        <v>7722.58</v>
      </c>
      <c r="I2008">
        <v>188</v>
      </c>
      <c r="L2008" t="str">
        <f t="shared" si="31"/>
        <v>Above Average</v>
      </c>
      <c r="M2008">
        <f>RANK(H2008,H:H,0)</f>
        <v>1007</v>
      </c>
    </row>
    <row r="2009" spans="1:13">
      <c r="A2009" t="s">
        <v>45</v>
      </c>
      <c r="B2009" t="s">
        <v>32</v>
      </c>
      <c r="C2009" t="s">
        <v>46</v>
      </c>
      <c r="D2009" s="3" t="s">
        <v>192</v>
      </c>
      <c r="E2009" s="5" t="str">
        <f>TEXT(D2009,"dd/mm/yyyy")</f>
        <v>16/05/2023</v>
      </c>
      <c r="G2009" s="5" t="str">
        <f>TEXT(E2009,"mm")</f>
        <v>16/05/2023</v>
      </c>
      <c r="H2009" s="6">
        <v>3105.38</v>
      </c>
      <c r="I2009">
        <v>268</v>
      </c>
      <c r="L2009" t="str">
        <f t="shared" si="31"/>
        <v>Below Average</v>
      </c>
      <c r="M2009">
        <f>RANK(H2009,H:H,0)</f>
        <v>2269</v>
      </c>
    </row>
    <row r="2010" spans="1:13">
      <c r="A2010" t="s">
        <v>14</v>
      </c>
      <c r="B2010" t="s">
        <v>10</v>
      </c>
      <c r="C2010" t="s">
        <v>23</v>
      </c>
      <c r="D2010" s="3" t="s">
        <v>175</v>
      </c>
      <c r="E2010" s="5" t="str">
        <f>TEXT(D2010,"dd/mm/yyyy")</f>
        <v>14/03/2023</v>
      </c>
      <c r="G2010" s="5" t="str">
        <f>TEXT(E2010,"mm")</f>
        <v>14/03/2023</v>
      </c>
      <c r="H2010" s="6">
        <v>6994.35</v>
      </c>
      <c r="I2010">
        <v>179</v>
      </c>
      <c r="L2010" t="str">
        <f t="shared" si="31"/>
        <v>Above Average</v>
      </c>
      <c r="M2010">
        <f>RANK(H2010,H:H,0)</f>
        <v>1181</v>
      </c>
    </row>
    <row r="2011" spans="1:13">
      <c r="A2011" t="s">
        <v>22</v>
      </c>
      <c r="B2011" t="s">
        <v>32</v>
      </c>
      <c r="C2011" t="s">
        <v>23</v>
      </c>
      <c r="D2011" s="3" t="s">
        <v>215</v>
      </c>
      <c r="E2011" s="5" t="str">
        <f>TEXT(D2011,"dd/mm/yyyy")</f>
        <v>15/08/2023</v>
      </c>
      <c r="G2011" s="5" t="str">
        <f>TEXT(E2011,"mm")</f>
        <v>15/08/2023</v>
      </c>
      <c r="H2011" s="6">
        <v>4264.49</v>
      </c>
      <c r="I2011">
        <v>252</v>
      </c>
      <c r="L2011" t="str">
        <f t="shared" si="31"/>
        <v>Below Average</v>
      </c>
      <c r="M2011">
        <f>RANK(H2011,H:H,0)</f>
        <v>1910</v>
      </c>
    </row>
    <row r="2012" spans="1:13">
      <c r="A2012" t="s">
        <v>83</v>
      </c>
      <c r="B2012" t="s">
        <v>10</v>
      </c>
      <c r="C2012" t="s">
        <v>33</v>
      </c>
      <c r="D2012" s="3" t="s">
        <v>171</v>
      </c>
      <c r="E2012" s="5" t="str">
        <f>TEXT(D2012,"dd/mm/yyyy")</f>
        <v>16/02/2023</v>
      </c>
      <c r="G2012" s="5" t="str">
        <f>TEXT(E2012,"mm")</f>
        <v>16/02/2023</v>
      </c>
      <c r="H2012" s="6">
        <v>1215.3</v>
      </c>
      <c r="I2012">
        <v>271</v>
      </c>
      <c r="L2012" t="str">
        <f t="shared" si="31"/>
        <v>Below Average</v>
      </c>
      <c r="M2012">
        <f>RANK(H2012,H:H,0)</f>
        <v>2903</v>
      </c>
    </row>
    <row r="2013" spans="1:13">
      <c r="A2013" t="s">
        <v>34</v>
      </c>
      <c r="B2013" t="s">
        <v>7</v>
      </c>
      <c r="C2013" t="s">
        <v>60</v>
      </c>
      <c r="D2013" s="3" t="s">
        <v>177</v>
      </c>
      <c r="E2013" s="5" t="str">
        <f>TEXT(D2013,"dd/mm/yyyy")</f>
        <v>15/06/2023</v>
      </c>
      <c r="G2013" s="5" t="str">
        <f>TEXT(E2013,"mm")</f>
        <v>15/06/2023</v>
      </c>
      <c r="H2013" s="6">
        <v>8519.3700000000008</v>
      </c>
      <c r="I2013">
        <v>45</v>
      </c>
      <c r="L2013" t="str">
        <f t="shared" si="31"/>
        <v>Above Average</v>
      </c>
      <c r="M2013">
        <f>RANK(H2013,H:H,0)</f>
        <v>830</v>
      </c>
    </row>
    <row r="2014" spans="1:13">
      <c r="A2014" t="s">
        <v>31</v>
      </c>
      <c r="B2014" t="s">
        <v>15</v>
      </c>
      <c r="C2014" t="s">
        <v>73</v>
      </c>
      <c r="D2014" s="3" t="s">
        <v>194</v>
      </c>
      <c r="E2014" s="5" t="str">
        <f>TEXT(D2014,"dd/mm/yyyy")</f>
        <v>27/05/2023</v>
      </c>
      <c r="G2014" s="5" t="str">
        <f>TEXT(E2014,"mm")</f>
        <v>27/05/2023</v>
      </c>
      <c r="H2014" s="6">
        <v>9810.9500000000007</v>
      </c>
      <c r="I2014">
        <v>105</v>
      </c>
      <c r="L2014" t="str">
        <f t="shared" si="31"/>
        <v>Above Average</v>
      </c>
      <c r="M2014">
        <f>RANK(H2014,H:H,0)</f>
        <v>612</v>
      </c>
    </row>
    <row r="2015" spans="1:13">
      <c r="A2015" t="s">
        <v>64</v>
      </c>
      <c r="B2015" t="s">
        <v>32</v>
      </c>
      <c r="C2015" t="s">
        <v>38</v>
      </c>
      <c r="D2015" s="3" t="s">
        <v>230</v>
      </c>
      <c r="E2015" s="5" t="str">
        <f>TEXT(D2015,"dd/mm/yyyy")</f>
        <v>14/06/2023</v>
      </c>
      <c r="G2015" s="5" t="str">
        <f>TEXT(E2015,"mm")</f>
        <v>14/06/2023</v>
      </c>
      <c r="H2015" s="6">
        <v>1065.6300000000001</v>
      </c>
      <c r="I2015">
        <v>107</v>
      </c>
      <c r="L2015" t="str">
        <f t="shared" si="31"/>
        <v>Below Average</v>
      </c>
      <c r="M2015">
        <f>RANK(H2015,H:H,0)</f>
        <v>2951</v>
      </c>
    </row>
    <row r="2016" spans="1:13">
      <c r="A2016" t="s">
        <v>64</v>
      </c>
      <c r="B2016" t="s">
        <v>10</v>
      </c>
      <c r="C2016" t="s">
        <v>36</v>
      </c>
      <c r="D2016" s="3" t="s">
        <v>207</v>
      </c>
      <c r="E2016" s="5" t="str">
        <f>TEXT(D2016,"dd/mm/yyyy")</f>
        <v>25/02/2023</v>
      </c>
      <c r="G2016" s="5" t="str">
        <f>TEXT(E2016,"mm")</f>
        <v>25/02/2023</v>
      </c>
      <c r="H2016" s="6">
        <v>3894.68</v>
      </c>
      <c r="I2016">
        <v>80</v>
      </c>
      <c r="L2016" t="str">
        <f t="shared" si="31"/>
        <v>Below Average</v>
      </c>
      <c r="M2016">
        <f>RANK(H2016,H:H,0)</f>
        <v>2014</v>
      </c>
    </row>
    <row r="2017" spans="1:13">
      <c r="A2017" t="s">
        <v>64</v>
      </c>
      <c r="B2017" t="s">
        <v>10</v>
      </c>
      <c r="C2017" t="s">
        <v>23</v>
      </c>
      <c r="D2017" s="4">
        <v>45024</v>
      </c>
      <c r="E2017" s="5" t="str">
        <f>TEXT(D2017,"dd/mm/yyyy")</f>
        <v>08/04/2023</v>
      </c>
      <c r="F2017" s="4"/>
      <c r="G2017" s="5" t="str">
        <f>TEXT(E2017,"mm")</f>
        <v>08</v>
      </c>
      <c r="H2017" s="6">
        <v>12194.27</v>
      </c>
      <c r="I2017">
        <v>252</v>
      </c>
      <c r="L2017" t="str">
        <f t="shared" si="31"/>
        <v>Above Average</v>
      </c>
      <c r="M2017">
        <f>RANK(H2017,H:H,0)</f>
        <v>328</v>
      </c>
    </row>
    <row r="2018" spans="1:13">
      <c r="A2018" t="s">
        <v>70</v>
      </c>
      <c r="B2018" t="s">
        <v>10</v>
      </c>
      <c r="C2018" t="s">
        <v>20</v>
      </c>
      <c r="D2018" s="3" t="s">
        <v>191</v>
      </c>
      <c r="E2018" s="5" t="str">
        <f>TEXT(D2018,"dd/mm/yyyy")</f>
        <v>28/06/2023</v>
      </c>
      <c r="G2018" s="5" t="str">
        <f>TEXT(E2018,"mm")</f>
        <v>28/06/2023</v>
      </c>
      <c r="H2018" s="6">
        <v>2455.13</v>
      </c>
      <c r="I2018">
        <v>236</v>
      </c>
      <c r="L2018" t="str">
        <f t="shared" si="31"/>
        <v>Below Average</v>
      </c>
      <c r="M2018">
        <f>RANK(H2018,H:H,0)</f>
        <v>2493</v>
      </c>
    </row>
    <row r="2019" spans="1:13">
      <c r="A2019" t="s">
        <v>22</v>
      </c>
      <c r="B2019" t="s">
        <v>35</v>
      </c>
      <c r="C2019" t="s">
        <v>50</v>
      </c>
      <c r="D2019" s="4">
        <v>45050</v>
      </c>
      <c r="E2019" s="5" t="str">
        <f>TEXT(D2019,"dd/mm/yyyy")</f>
        <v>04/05/2023</v>
      </c>
      <c r="F2019" s="4"/>
      <c r="G2019" s="5" t="str">
        <f>TEXT(E2019,"mm")</f>
        <v>04</v>
      </c>
      <c r="H2019" s="6">
        <v>14887.76</v>
      </c>
      <c r="I2019">
        <v>12</v>
      </c>
      <c r="L2019" t="str">
        <f t="shared" si="31"/>
        <v>Above Average</v>
      </c>
      <c r="M2019">
        <f>RANK(H2019,H:H,0)</f>
        <v>155</v>
      </c>
    </row>
    <row r="2020" spans="1:13">
      <c r="A2020" t="s">
        <v>77</v>
      </c>
      <c r="B2020" t="s">
        <v>35</v>
      </c>
      <c r="C2020" t="s">
        <v>13</v>
      </c>
      <c r="D2020" s="4">
        <v>45053</v>
      </c>
      <c r="E2020" s="5" t="str">
        <f>TEXT(D2020,"dd/mm/yyyy")</f>
        <v>07/05/2023</v>
      </c>
      <c r="F2020" s="4"/>
      <c r="G2020" s="5" t="str">
        <f>TEXT(E2020,"mm")</f>
        <v>07</v>
      </c>
      <c r="H2020" s="6">
        <v>15276.46</v>
      </c>
      <c r="I2020">
        <v>121</v>
      </c>
      <c r="L2020" t="str">
        <f t="shared" si="31"/>
        <v>Above Average</v>
      </c>
      <c r="M2020">
        <f>RANK(H2020,H:H,0)</f>
        <v>139</v>
      </c>
    </row>
    <row r="2021" spans="1:13">
      <c r="A2021" t="s">
        <v>55</v>
      </c>
      <c r="B2021" t="s">
        <v>25</v>
      </c>
      <c r="C2021" t="s">
        <v>36</v>
      </c>
      <c r="D2021" s="3" t="s">
        <v>264</v>
      </c>
      <c r="E2021" s="5" t="str">
        <f>TEXT(D2021,"dd/mm/yyyy")</f>
        <v>20/01/2023</v>
      </c>
      <c r="G2021" s="5" t="str">
        <f>TEXT(E2021,"mm")</f>
        <v>20/01/2023</v>
      </c>
      <c r="H2021" s="6">
        <v>13520.48</v>
      </c>
      <c r="I2021">
        <v>47</v>
      </c>
      <c r="L2021" t="str">
        <f t="shared" si="31"/>
        <v>Above Average</v>
      </c>
      <c r="M2021">
        <f>RANK(H2021,H:H,0)</f>
        <v>234</v>
      </c>
    </row>
    <row r="2022" spans="1:13">
      <c r="A2022" t="s">
        <v>83</v>
      </c>
      <c r="B2022" t="s">
        <v>25</v>
      </c>
      <c r="C2022" t="s">
        <v>38</v>
      </c>
      <c r="D2022" s="3" t="s">
        <v>171</v>
      </c>
      <c r="E2022" s="5" t="str">
        <f>TEXT(D2022,"dd/mm/yyyy")</f>
        <v>16/02/2023</v>
      </c>
      <c r="G2022" s="5" t="str">
        <f>TEXT(E2022,"mm")</f>
        <v>16/02/2023</v>
      </c>
      <c r="H2022" s="6">
        <v>9195.5300000000007</v>
      </c>
      <c r="I2022">
        <v>127</v>
      </c>
      <c r="L2022" t="str">
        <f t="shared" si="31"/>
        <v>Above Average</v>
      </c>
      <c r="M2022">
        <f>RANK(H2022,H:H,0)</f>
        <v>705</v>
      </c>
    </row>
    <row r="2023" spans="1:13">
      <c r="A2023" t="s">
        <v>48</v>
      </c>
      <c r="B2023" t="s">
        <v>7</v>
      </c>
      <c r="C2023" t="s">
        <v>38</v>
      </c>
      <c r="D2023" s="4">
        <v>45267</v>
      </c>
      <c r="E2023" s="5" t="str">
        <f>TEXT(D2023,"dd/mm/yyyy")</f>
        <v>07/12/2023</v>
      </c>
      <c r="F2023" s="4"/>
      <c r="G2023" s="5" t="str">
        <f>TEXT(E2023,"mm")</f>
        <v>07</v>
      </c>
      <c r="H2023" s="6">
        <v>460.98</v>
      </c>
      <c r="I2023">
        <v>182</v>
      </c>
      <c r="L2023" t="str">
        <f t="shared" si="31"/>
        <v>Below Average</v>
      </c>
      <c r="M2023">
        <f>RANK(H2023,H:H,0)</f>
        <v>3148</v>
      </c>
    </row>
    <row r="2024" spans="1:13">
      <c r="A2024" t="s">
        <v>70</v>
      </c>
      <c r="B2024" t="s">
        <v>10</v>
      </c>
      <c r="C2024" t="s">
        <v>73</v>
      </c>
      <c r="D2024" s="3" t="s">
        <v>214</v>
      </c>
      <c r="E2024" s="5" t="str">
        <f>TEXT(D2024,"dd/mm/yyyy")</f>
        <v>16/06/2023</v>
      </c>
      <c r="G2024" s="5" t="str">
        <f>TEXT(E2024,"mm")</f>
        <v>16/06/2023</v>
      </c>
      <c r="H2024" s="6">
        <v>8216.56</v>
      </c>
      <c r="I2024">
        <v>257</v>
      </c>
      <c r="L2024" t="str">
        <f t="shared" si="31"/>
        <v>Above Average</v>
      </c>
      <c r="M2024">
        <f>RANK(H2024,H:H,0)</f>
        <v>890</v>
      </c>
    </row>
    <row r="2025" spans="1:13">
      <c r="A2025" t="s">
        <v>79</v>
      </c>
      <c r="B2025" t="s">
        <v>15</v>
      </c>
      <c r="C2025" t="s">
        <v>75</v>
      </c>
      <c r="D2025" s="3" t="s">
        <v>224</v>
      </c>
      <c r="E2025" s="5" t="str">
        <f>TEXT(D2025,"dd/mm/yyyy")</f>
        <v>13/04/2023</v>
      </c>
      <c r="G2025" s="5" t="str">
        <f>TEXT(E2025,"mm")</f>
        <v>13/04/2023</v>
      </c>
      <c r="H2025" s="6">
        <v>1863.54</v>
      </c>
      <c r="I2025">
        <v>277</v>
      </c>
      <c r="L2025" t="str">
        <f t="shared" si="31"/>
        <v>Below Average</v>
      </c>
      <c r="M2025">
        <f>RANK(H2025,H:H,0)</f>
        <v>2677</v>
      </c>
    </row>
    <row r="2026" spans="1:13">
      <c r="A2026" t="s">
        <v>55</v>
      </c>
      <c r="B2026" t="s">
        <v>7</v>
      </c>
      <c r="C2026" t="s">
        <v>26</v>
      </c>
      <c r="D2026" s="3" t="s">
        <v>212</v>
      </c>
      <c r="E2026" s="5" t="str">
        <f>TEXT(D2026,"dd/mm/yyyy")</f>
        <v>21/02/2023</v>
      </c>
      <c r="G2026" s="5" t="str">
        <f>TEXT(E2026,"mm")</f>
        <v>21/02/2023</v>
      </c>
      <c r="H2026" s="6">
        <v>3283</v>
      </c>
      <c r="I2026">
        <v>72</v>
      </c>
      <c r="L2026" t="str">
        <f t="shared" si="31"/>
        <v>Below Average</v>
      </c>
      <c r="M2026">
        <f>RANK(H2026,H:H,0)</f>
        <v>2216</v>
      </c>
    </row>
    <row r="2027" spans="1:13">
      <c r="A2027" t="s">
        <v>45</v>
      </c>
      <c r="B2027" t="s">
        <v>35</v>
      </c>
      <c r="C2027" t="s">
        <v>75</v>
      </c>
      <c r="D2027" s="4">
        <v>45235</v>
      </c>
      <c r="E2027" s="5" t="str">
        <f>TEXT(D2027,"dd/mm/yyyy")</f>
        <v>05/11/2023</v>
      </c>
      <c r="F2027" s="4"/>
      <c r="G2027" s="5" t="str">
        <f>TEXT(E2027,"mm")</f>
        <v>05</v>
      </c>
      <c r="H2027" s="6">
        <v>5967.18</v>
      </c>
      <c r="I2027">
        <v>247</v>
      </c>
      <c r="L2027" t="str">
        <f t="shared" si="31"/>
        <v>Below Average</v>
      </c>
      <c r="M2027">
        <f>RANK(H2027,H:H,0)</f>
        <v>1439</v>
      </c>
    </row>
    <row r="2028" spans="1:13">
      <c r="A2028" t="s">
        <v>83</v>
      </c>
      <c r="B2028" t="s">
        <v>10</v>
      </c>
      <c r="C2028" t="s">
        <v>26</v>
      </c>
      <c r="D2028" s="3" t="s">
        <v>184</v>
      </c>
      <c r="E2028" s="5" t="str">
        <f>TEXT(D2028,"dd/mm/yyyy")</f>
        <v>15/04/2023</v>
      </c>
      <c r="G2028" s="5" t="str">
        <f>TEXT(E2028,"mm")</f>
        <v>15/04/2023</v>
      </c>
      <c r="H2028" s="6">
        <v>12083.5</v>
      </c>
      <c r="I2028">
        <v>334</v>
      </c>
      <c r="L2028" t="str">
        <f t="shared" si="31"/>
        <v>Above Average</v>
      </c>
      <c r="M2028">
        <f>RANK(H2028,H:H,0)</f>
        <v>340</v>
      </c>
    </row>
    <row r="2029" spans="1:13">
      <c r="A2029" t="s">
        <v>19</v>
      </c>
      <c r="B2029" t="s">
        <v>35</v>
      </c>
      <c r="C2029" t="s">
        <v>13</v>
      </c>
      <c r="D2029" s="4">
        <v>45113</v>
      </c>
      <c r="E2029" s="5" t="str">
        <f>TEXT(D2029,"dd/mm/yyyy")</f>
        <v>06/07/2023</v>
      </c>
      <c r="F2029" s="4"/>
      <c r="G2029" s="5" t="str">
        <f>TEXT(E2029,"mm")</f>
        <v>06</v>
      </c>
      <c r="H2029" s="6">
        <v>12397.06</v>
      </c>
      <c r="I2029">
        <v>179</v>
      </c>
      <c r="L2029" t="str">
        <f t="shared" si="31"/>
        <v>Above Average</v>
      </c>
      <c r="M2029">
        <f>RANK(H2029,H:H,0)</f>
        <v>312</v>
      </c>
    </row>
    <row r="2030" spans="1:13">
      <c r="A2030" t="s">
        <v>19</v>
      </c>
      <c r="B2030" t="s">
        <v>7</v>
      </c>
      <c r="C2030" t="s">
        <v>59</v>
      </c>
      <c r="D2030" s="3" t="s">
        <v>172</v>
      </c>
      <c r="E2030" s="5" t="str">
        <f>TEXT(D2030,"dd/mm/yyyy")</f>
        <v>27/06/2023</v>
      </c>
      <c r="G2030" s="5" t="str">
        <f>TEXT(E2030,"mm")</f>
        <v>27/06/2023</v>
      </c>
      <c r="H2030" s="6">
        <v>1746.01</v>
      </c>
      <c r="I2030">
        <v>280</v>
      </c>
      <c r="L2030" t="str">
        <f t="shared" si="31"/>
        <v>Below Average</v>
      </c>
      <c r="M2030">
        <f>RANK(H2030,H:H,0)</f>
        <v>2714</v>
      </c>
    </row>
    <row r="2031" spans="1:13">
      <c r="A2031" t="s">
        <v>31</v>
      </c>
      <c r="B2031" t="s">
        <v>10</v>
      </c>
      <c r="C2031" t="s">
        <v>23</v>
      </c>
      <c r="D2031" s="3" t="s">
        <v>223</v>
      </c>
      <c r="E2031" s="5" t="str">
        <f>TEXT(D2031,"dd/mm/yyyy")</f>
        <v>29/07/2023</v>
      </c>
      <c r="G2031" s="5" t="str">
        <f>TEXT(E2031,"mm")</f>
        <v>29/07/2023</v>
      </c>
      <c r="H2031" s="6">
        <v>9021.65</v>
      </c>
      <c r="I2031">
        <v>104</v>
      </c>
      <c r="L2031" t="str">
        <f t="shared" si="31"/>
        <v>Above Average</v>
      </c>
      <c r="M2031">
        <f>RANK(H2031,H:H,0)</f>
        <v>734</v>
      </c>
    </row>
    <row r="2032" spans="1:13">
      <c r="A2032" t="s">
        <v>64</v>
      </c>
      <c r="B2032" t="s">
        <v>35</v>
      </c>
      <c r="C2032" t="s">
        <v>18</v>
      </c>
      <c r="D2032" s="4">
        <v>44963</v>
      </c>
      <c r="E2032" s="5" t="str">
        <f>TEXT(D2032,"dd/mm/yyyy")</f>
        <v>06/02/2023</v>
      </c>
      <c r="F2032" s="4"/>
      <c r="G2032" s="5" t="str">
        <f>TEXT(E2032,"mm")</f>
        <v>06</v>
      </c>
      <c r="H2032" s="6">
        <v>5263.45</v>
      </c>
      <c r="I2032">
        <v>165</v>
      </c>
      <c r="L2032" t="str">
        <f t="shared" si="31"/>
        <v>Below Average</v>
      </c>
      <c r="M2032">
        <f>RANK(H2032,H:H,0)</f>
        <v>1628</v>
      </c>
    </row>
    <row r="2033" spans="1:13">
      <c r="A2033" t="s">
        <v>29</v>
      </c>
      <c r="B2033" t="s">
        <v>10</v>
      </c>
      <c r="C2033" t="s">
        <v>8</v>
      </c>
      <c r="D2033" s="3" t="s">
        <v>169</v>
      </c>
      <c r="E2033" s="5" t="str">
        <f>TEXT(D2033,"dd/mm/yyyy")</f>
        <v>26/01/2023</v>
      </c>
      <c r="G2033" s="5" t="str">
        <f>TEXT(E2033,"mm")</f>
        <v>26/01/2023</v>
      </c>
      <c r="H2033" s="6">
        <v>15473</v>
      </c>
      <c r="I2033">
        <v>91</v>
      </c>
      <c r="L2033" t="str">
        <f t="shared" si="31"/>
        <v>Above Average</v>
      </c>
      <c r="M2033">
        <f>RANK(H2033,H:H,0)</f>
        <v>129</v>
      </c>
    </row>
    <row r="2034" spans="1:13">
      <c r="A2034" t="s">
        <v>29</v>
      </c>
      <c r="B2034" t="s">
        <v>35</v>
      </c>
      <c r="C2034" t="s">
        <v>20</v>
      </c>
      <c r="D2034" s="4">
        <v>44960</v>
      </c>
      <c r="E2034" s="5" t="str">
        <f>TEXT(D2034,"dd/mm/yyyy")</f>
        <v>03/02/2023</v>
      </c>
      <c r="F2034" s="4"/>
      <c r="G2034" s="5" t="str">
        <f>TEXT(E2034,"mm")</f>
        <v>03</v>
      </c>
      <c r="H2034" s="6">
        <v>5566.57</v>
      </c>
      <c r="I2034">
        <v>140</v>
      </c>
      <c r="L2034" t="str">
        <f t="shared" si="31"/>
        <v>Below Average</v>
      </c>
      <c r="M2034">
        <f>RANK(H2034,H:H,0)</f>
        <v>1552</v>
      </c>
    </row>
    <row r="2035" spans="1:13">
      <c r="A2035" t="s">
        <v>9</v>
      </c>
      <c r="B2035" t="s">
        <v>15</v>
      </c>
      <c r="C2035" t="s">
        <v>100</v>
      </c>
      <c r="D2035" s="4">
        <v>45200</v>
      </c>
      <c r="E2035" s="5" t="str">
        <f>TEXT(D2035,"dd/mm/yyyy")</f>
        <v>01/10/2023</v>
      </c>
      <c r="F2035" s="4"/>
      <c r="G2035" s="5" t="str">
        <f>TEXT(E2035,"mm")</f>
        <v>01</v>
      </c>
      <c r="H2035" s="6">
        <v>8111.43</v>
      </c>
      <c r="I2035">
        <v>111</v>
      </c>
      <c r="L2035" t="str">
        <f t="shared" si="31"/>
        <v>Above Average</v>
      </c>
      <c r="M2035">
        <f>RANK(H2035,H:H,0)</f>
        <v>912</v>
      </c>
    </row>
    <row r="2036" spans="1:13">
      <c r="A2036" t="s">
        <v>41</v>
      </c>
      <c r="B2036" t="s">
        <v>32</v>
      </c>
      <c r="C2036" t="s">
        <v>100</v>
      </c>
      <c r="D2036" s="3" t="s">
        <v>172</v>
      </c>
      <c r="E2036" s="5" t="str">
        <f>TEXT(D2036,"dd/mm/yyyy")</f>
        <v>27/06/2023</v>
      </c>
      <c r="G2036" s="5" t="str">
        <f>TEXT(E2036,"mm")</f>
        <v>27/06/2023</v>
      </c>
      <c r="H2036" s="6">
        <v>2341.8000000000002</v>
      </c>
      <c r="I2036">
        <v>117</v>
      </c>
      <c r="L2036" t="str">
        <f t="shared" si="31"/>
        <v>Below Average</v>
      </c>
      <c r="M2036">
        <f>RANK(H2036,H:H,0)</f>
        <v>2535</v>
      </c>
    </row>
    <row r="2037" spans="1:13">
      <c r="A2037" t="s">
        <v>31</v>
      </c>
      <c r="B2037" t="s">
        <v>35</v>
      </c>
      <c r="C2037" t="s">
        <v>33</v>
      </c>
      <c r="D2037" s="3" t="s">
        <v>180</v>
      </c>
      <c r="E2037" s="5" t="str">
        <f>TEXT(D2037,"dd/mm/yyyy")</f>
        <v>30/06/2023</v>
      </c>
      <c r="G2037" s="5" t="str">
        <f>TEXT(E2037,"mm")</f>
        <v>30/06/2023</v>
      </c>
      <c r="H2037" s="6">
        <v>8650.42</v>
      </c>
      <c r="I2037">
        <v>19</v>
      </c>
      <c r="L2037" t="str">
        <f t="shared" si="31"/>
        <v>Above Average</v>
      </c>
      <c r="M2037">
        <f>RANK(H2037,H:H,0)</f>
        <v>808</v>
      </c>
    </row>
    <row r="2038" spans="1:13">
      <c r="A2038" t="s">
        <v>45</v>
      </c>
      <c r="B2038" t="s">
        <v>15</v>
      </c>
      <c r="C2038" t="s">
        <v>11</v>
      </c>
      <c r="D2038" s="4">
        <v>45145</v>
      </c>
      <c r="E2038" s="5" t="str">
        <f>TEXT(D2038,"dd/mm/yyyy")</f>
        <v>07/08/2023</v>
      </c>
      <c r="F2038" s="4"/>
      <c r="G2038" s="5" t="str">
        <f>TEXT(E2038,"mm")</f>
        <v>07</v>
      </c>
      <c r="H2038" s="6">
        <v>4444.72</v>
      </c>
      <c r="I2038">
        <v>77</v>
      </c>
      <c r="L2038" t="str">
        <f t="shared" si="31"/>
        <v>Below Average</v>
      </c>
      <c r="M2038">
        <f>RANK(H2038,H:H,0)</f>
        <v>1866</v>
      </c>
    </row>
    <row r="2039" spans="1:13">
      <c r="A2039" t="s">
        <v>19</v>
      </c>
      <c r="B2039" t="s">
        <v>10</v>
      </c>
      <c r="C2039" t="s">
        <v>50</v>
      </c>
      <c r="D2039" s="4">
        <v>45144</v>
      </c>
      <c r="E2039" s="5" t="str">
        <f>TEXT(D2039,"dd/mm/yyyy")</f>
        <v>06/08/2023</v>
      </c>
      <c r="F2039" s="4"/>
      <c r="G2039" s="5" t="str">
        <f>TEXT(E2039,"mm")</f>
        <v>06</v>
      </c>
      <c r="H2039" s="6">
        <v>12531.37</v>
      </c>
      <c r="I2039">
        <v>86</v>
      </c>
      <c r="L2039" t="str">
        <f t="shared" si="31"/>
        <v>Above Average</v>
      </c>
      <c r="M2039">
        <f>RANK(H2039,H:H,0)</f>
        <v>298</v>
      </c>
    </row>
    <row r="2040" spans="1:13">
      <c r="A2040" t="s">
        <v>14</v>
      </c>
      <c r="B2040" t="s">
        <v>7</v>
      </c>
      <c r="C2040" t="s">
        <v>60</v>
      </c>
      <c r="D2040" s="3" t="s">
        <v>201</v>
      </c>
      <c r="E2040" s="5" t="str">
        <f>TEXT(D2040,"dd/mm/yyyy")</f>
        <v>18/08/2023</v>
      </c>
      <c r="G2040" s="5" t="str">
        <f>TEXT(E2040,"mm")</f>
        <v>18/08/2023</v>
      </c>
      <c r="H2040" s="6">
        <v>3558.89</v>
      </c>
      <c r="I2040">
        <v>231</v>
      </c>
      <c r="L2040" t="str">
        <f t="shared" si="31"/>
        <v>Below Average</v>
      </c>
      <c r="M2040">
        <f>RANK(H2040,H:H,0)</f>
        <v>2123</v>
      </c>
    </row>
    <row r="2041" spans="1:13">
      <c r="A2041" t="s">
        <v>55</v>
      </c>
      <c r="B2041" t="s">
        <v>15</v>
      </c>
      <c r="C2041" t="s">
        <v>23</v>
      </c>
      <c r="D2041" s="4">
        <v>45142</v>
      </c>
      <c r="E2041" s="5" t="str">
        <f>TEXT(D2041,"dd/mm/yyyy")</f>
        <v>04/08/2023</v>
      </c>
      <c r="F2041" s="4"/>
      <c r="G2041" s="5" t="str">
        <f>TEXT(E2041,"mm")</f>
        <v>04</v>
      </c>
      <c r="H2041" s="6">
        <v>7889.9</v>
      </c>
      <c r="I2041">
        <v>300</v>
      </c>
      <c r="L2041" t="str">
        <f t="shared" si="31"/>
        <v>Above Average</v>
      </c>
      <c r="M2041">
        <f>RANK(H2041,H:H,0)</f>
        <v>974</v>
      </c>
    </row>
    <row r="2042" spans="1:13">
      <c r="A2042" t="s">
        <v>64</v>
      </c>
      <c r="B2042" t="s">
        <v>35</v>
      </c>
      <c r="C2042" t="s">
        <v>57</v>
      </c>
      <c r="D2042" s="4">
        <v>45146</v>
      </c>
      <c r="E2042" s="5" t="str">
        <f>TEXT(D2042,"dd/mm/yyyy")</f>
        <v>08/08/2023</v>
      </c>
      <c r="F2042" s="4"/>
      <c r="G2042" s="5" t="str">
        <f>TEXT(E2042,"mm")</f>
        <v>08</v>
      </c>
      <c r="H2042" s="6">
        <v>3589.18</v>
      </c>
      <c r="I2042">
        <v>176</v>
      </c>
      <c r="L2042" t="str">
        <f t="shared" si="31"/>
        <v>Below Average</v>
      </c>
      <c r="M2042">
        <f>RANK(H2042,H:H,0)</f>
        <v>2110</v>
      </c>
    </row>
    <row r="2043" spans="1:13">
      <c r="A2043" t="s">
        <v>64</v>
      </c>
      <c r="B2043" t="s">
        <v>7</v>
      </c>
      <c r="C2043" t="s">
        <v>46</v>
      </c>
      <c r="D2043" s="3" t="s">
        <v>197</v>
      </c>
      <c r="E2043" s="5" t="str">
        <f>TEXT(D2043,"dd/mm/yyyy")</f>
        <v>26/08/2023</v>
      </c>
      <c r="G2043" s="5" t="str">
        <f>TEXT(E2043,"mm")</f>
        <v>26/08/2023</v>
      </c>
      <c r="H2043" s="6">
        <v>305.39</v>
      </c>
      <c r="I2043">
        <v>62</v>
      </c>
      <c r="L2043" t="str">
        <f t="shared" si="31"/>
        <v>Below Average</v>
      </c>
      <c r="M2043">
        <f>RANK(H2043,H:H,0)</f>
        <v>3189</v>
      </c>
    </row>
    <row r="2044" spans="1:13">
      <c r="A2044" t="s">
        <v>19</v>
      </c>
      <c r="B2044" t="s">
        <v>35</v>
      </c>
      <c r="C2044" t="s">
        <v>57</v>
      </c>
      <c r="D2044" s="3" t="s">
        <v>225</v>
      </c>
      <c r="E2044" s="5" t="str">
        <f>TEXT(D2044,"dd/mm/yyyy")</f>
        <v>14/01/2023</v>
      </c>
      <c r="G2044" s="5" t="str">
        <f>TEXT(E2044,"mm")</f>
        <v>14/01/2023</v>
      </c>
      <c r="H2044" s="6">
        <v>1896.64</v>
      </c>
      <c r="I2044">
        <v>161</v>
      </c>
      <c r="L2044" t="str">
        <f t="shared" si="31"/>
        <v>Below Average</v>
      </c>
      <c r="M2044">
        <f>RANK(H2044,H:H,0)</f>
        <v>2666</v>
      </c>
    </row>
    <row r="2045" spans="1:13">
      <c r="A2045" t="s">
        <v>58</v>
      </c>
      <c r="B2045" t="s">
        <v>32</v>
      </c>
      <c r="C2045" t="s">
        <v>87</v>
      </c>
      <c r="D2045" s="4">
        <v>45238</v>
      </c>
      <c r="E2045" s="5" t="str">
        <f>TEXT(D2045,"dd/mm/yyyy")</f>
        <v>08/11/2023</v>
      </c>
      <c r="F2045" s="4"/>
      <c r="G2045" s="5" t="str">
        <f>TEXT(E2045,"mm")</f>
        <v>08</v>
      </c>
      <c r="H2045" s="6">
        <v>18494.72</v>
      </c>
      <c r="I2045">
        <v>298</v>
      </c>
      <c r="L2045" t="str">
        <f t="shared" si="31"/>
        <v>Above Average</v>
      </c>
      <c r="M2045">
        <f>RANK(H2045,H:H,0)</f>
        <v>34</v>
      </c>
    </row>
    <row r="2046" spans="1:13">
      <c r="A2046" t="s">
        <v>77</v>
      </c>
      <c r="B2046" t="s">
        <v>32</v>
      </c>
      <c r="C2046" t="s">
        <v>65</v>
      </c>
      <c r="D2046" s="3" t="s">
        <v>229</v>
      </c>
      <c r="E2046" s="5" t="str">
        <f>TEXT(D2046,"dd/mm/yyyy")</f>
        <v>31/05/2023</v>
      </c>
      <c r="G2046" s="5" t="str">
        <f>TEXT(E2046,"mm")</f>
        <v>31/05/2023</v>
      </c>
      <c r="H2046" s="6">
        <v>11103.47</v>
      </c>
      <c r="I2046">
        <v>24</v>
      </c>
      <c r="L2046" t="str">
        <f t="shared" si="31"/>
        <v>Above Average</v>
      </c>
      <c r="M2046">
        <f>RANK(H2046,H:H,0)</f>
        <v>431</v>
      </c>
    </row>
    <row r="2047" spans="1:13">
      <c r="A2047" t="s">
        <v>9</v>
      </c>
      <c r="B2047" t="s">
        <v>25</v>
      </c>
      <c r="C2047" t="s">
        <v>26</v>
      </c>
      <c r="D2047" s="4">
        <v>45237</v>
      </c>
      <c r="E2047" s="5" t="str">
        <f>TEXT(D2047,"dd/mm/yyyy")</f>
        <v>07/11/2023</v>
      </c>
      <c r="F2047" s="4"/>
      <c r="G2047" s="5" t="str">
        <f>TEXT(E2047,"mm")</f>
        <v>07</v>
      </c>
      <c r="H2047" s="6">
        <v>4162.28</v>
      </c>
      <c r="I2047">
        <v>11</v>
      </c>
      <c r="L2047" t="str">
        <f t="shared" si="31"/>
        <v>Below Average</v>
      </c>
      <c r="M2047">
        <f>RANK(H2047,H:H,0)</f>
        <v>1941</v>
      </c>
    </row>
    <row r="2048" spans="1:13">
      <c r="A2048" t="s">
        <v>37</v>
      </c>
      <c r="B2048" t="s">
        <v>35</v>
      </c>
      <c r="C2048" t="s">
        <v>90</v>
      </c>
      <c r="D2048" s="4">
        <v>44960</v>
      </c>
      <c r="E2048" s="5" t="str">
        <f>TEXT(D2048,"dd/mm/yyyy")</f>
        <v>03/02/2023</v>
      </c>
      <c r="F2048" s="4"/>
      <c r="G2048" s="5" t="str">
        <f>TEXT(E2048,"mm")</f>
        <v>03</v>
      </c>
      <c r="H2048" s="6">
        <v>3357.3</v>
      </c>
      <c r="I2048">
        <v>308</v>
      </c>
      <c r="L2048" t="str">
        <f t="shared" si="31"/>
        <v>Below Average</v>
      </c>
      <c r="M2048">
        <f>RANK(H2048,H:H,0)</f>
        <v>2196</v>
      </c>
    </row>
    <row r="2049" spans="1:13">
      <c r="A2049" t="s">
        <v>77</v>
      </c>
      <c r="B2049" t="s">
        <v>15</v>
      </c>
      <c r="C2049" t="s">
        <v>73</v>
      </c>
      <c r="D2049" s="3" t="s">
        <v>198</v>
      </c>
      <c r="E2049" s="5" t="str">
        <f>TEXT(D2049,"dd/mm/yyyy")</f>
        <v>13/07/2023</v>
      </c>
      <c r="G2049" s="5" t="str">
        <f>TEXT(E2049,"mm")</f>
        <v>13/07/2023</v>
      </c>
      <c r="H2049" s="6">
        <v>7033.52</v>
      </c>
      <c r="I2049">
        <v>94</v>
      </c>
      <c r="L2049" t="str">
        <f t="shared" si="31"/>
        <v>Above Average</v>
      </c>
      <c r="M2049">
        <f>RANK(H2049,H:H,0)</f>
        <v>1171</v>
      </c>
    </row>
    <row r="2050" spans="1:13">
      <c r="A2050" t="s">
        <v>29</v>
      </c>
      <c r="B2050" t="s">
        <v>7</v>
      </c>
      <c r="C2050" t="s">
        <v>50</v>
      </c>
      <c r="D2050" s="4">
        <v>44993</v>
      </c>
      <c r="E2050" s="5" t="str">
        <f>TEXT(D2050,"dd/mm/yyyy")</f>
        <v>08/03/2023</v>
      </c>
      <c r="F2050" s="4"/>
      <c r="G2050" s="5" t="str">
        <f>TEXT(E2050,"mm")</f>
        <v>08</v>
      </c>
      <c r="H2050" s="6">
        <v>9896.7999999999993</v>
      </c>
      <c r="I2050">
        <v>143</v>
      </c>
      <c r="L2050" t="str">
        <f t="shared" si="31"/>
        <v>Above Average</v>
      </c>
      <c r="M2050">
        <f>RANK(H2050,H:H,0)</f>
        <v>595</v>
      </c>
    </row>
    <row r="2051" spans="1:13">
      <c r="A2051" t="s">
        <v>48</v>
      </c>
      <c r="B2051" t="s">
        <v>7</v>
      </c>
      <c r="C2051" t="s">
        <v>13</v>
      </c>
      <c r="D2051" s="4">
        <v>44929</v>
      </c>
      <c r="E2051" s="5" t="str">
        <f>TEXT(D2051,"dd/mm/yyyy")</f>
        <v>03/01/2023</v>
      </c>
      <c r="F2051" s="4"/>
      <c r="G2051" s="5" t="str">
        <f>TEXT(E2051,"mm")</f>
        <v>03</v>
      </c>
      <c r="H2051" s="6">
        <v>15653.44</v>
      </c>
      <c r="I2051">
        <v>175</v>
      </c>
      <c r="L2051" t="str">
        <f t="shared" ref="L2051:L2114" si="32">IF(H2051&gt;6030.34,"Above Average","Below Average")</f>
        <v>Above Average</v>
      </c>
      <c r="M2051">
        <f>RANK(H2051,H:H,0)</f>
        <v>114</v>
      </c>
    </row>
    <row r="2052" spans="1:13">
      <c r="A2052" t="s">
        <v>70</v>
      </c>
      <c r="B2052" t="s">
        <v>25</v>
      </c>
      <c r="C2052" t="s">
        <v>59</v>
      </c>
      <c r="D2052" s="3" t="s">
        <v>224</v>
      </c>
      <c r="E2052" s="5" t="str">
        <f>TEXT(D2052,"dd/mm/yyyy")</f>
        <v>13/04/2023</v>
      </c>
      <c r="G2052" s="5" t="str">
        <f>TEXT(E2052,"mm")</f>
        <v>13/04/2023</v>
      </c>
      <c r="H2052" s="6">
        <v>7899.31</v>
      </c>
      <c r="I2052">
        <v>148</v>
      </c>
      <c r="L2052" t="str">
        <f t="shared" si="32"/>
        <v>Above Average</v>
      </c>
      <c r="M2052">
        <f>RANK(H2052,H:H,0)</f>
        <v>970</v>
      </c>
    </row>
    <row r="2053" spans="1:13">
      <c r="A2053" t="s">
        <v>41</v>
      </c>
      <c r="B2053" t="s">
        <v>35</v>
      </c>
      <c r="C2053" t="s">
        <v>57</v>
      </c>
      <c r="D2053" s="3" t="s">
        <v>170</v>
      </c>
      <c r="E2053" s="5" t="str">
        <f>TEXT(D2053,"dd/mm/yyyy")</f>
        <v>14/02/2023</v>
      </c>
      <c r="G2053" s="5" t="str">
        <f>TEXT(E2053,"mm")</f>
        <v>14/02/2023</v>
      </c>
      <c r="H2053" s="6">
        <v>10644.74</v>
      </c>
      <c r="I2053">
        <v>172</v>
      </c>
      <c r="L2053" t="str">
        <f t="shared" si="32"/>
        <v>Above Average</v>
      </c>
      <c r="M2053">
        <f>RANK(H2053,H:H,0)</f>
        <v>496</v>
      </c>
    </row>
    <row r="2054" spans="1:13">
      <c r="A2054" t="s">
        <v>34</v>
      </c>
      <c r="B2054" t="s">
        <v>10</v>
      </c>
      <c r="C2054" t="s">
        <v>59</v>
      </c>
      <c r="D2054" s="3" t="s">
        <v>204</v>
      </c>
      <c r="E2054" s="5" t="str">
        <f>TEXT(D2054,"dd/mm/yyyy")</f>
        <v>26/07/2023</v>
      </c>
      <c r="G2054" s="5" t="str">
        <f>TEXT(E2054,"mm")</f>
        <v>26/07/2023</v>
      </c>
      <c r="H2054" s="6">
        <v>872.83</v>
      </c>
      <c r="I2054">
        <v>224</v>
      </c>
      <c r="L2054" t="str">
        <f t="shared" si="32"/>
        <v>Below Average</v>
      </c>
      <c r="M2054">
        <f>RANK(H2054,H:H,0)</f>
        <v>3010</v>
      </c>
    </row>
    <row r="2055" spans="1:13">
      <c r="A2055" t="s">
        <v>28</v>
      </c>
      <c r="B2055" t="s">
        <v>7</v>
      </c>
      <c r="C2055" t="s">
        <v>38</v>
      </c>
      <c r="D2055" s="3" t="s">
        <v>199</v>
      </c>
      <c r="E2055" s="5" t="str">
        <f>TEXT(D2055,"dd/mm/yyyy")</f>
        <v>27/01/2023</v>
      </c>
      <c r="G2055" s="5" t="str">
        <f>TEXT(E2055,"mm")</f>
        <v>27/01/2023</v>
      </c>
      <c r="H2055" s="6">
        <v>6337.94</v>
      </c>
      <c r="I2055">
        <v>128</v>
      </c>
      <c r="L2055" t="str">
        <f t="shared" si="32"/>
        <v>Above Average</v>
      </c>
      <c r="M2055">
        <f>RANK(H2055,H:H,0)</f>
        <v>1344</v>
      </c>
    </row>
    <row r="2056" spans="1:13">
      <c r="A2056" t="s">
        <v>6</v>
      </c>
      <c r="B2056" t="s">
        <v>10</v>
      </c>
      <c r="C2056" t="s">
        <v>13</v>
      </c>
      <c r="D2056" s="3" t="s">
        <v>195</v>
      </c>
      <c r="E2056" s="5" t="str">
        <f>TEXT(D2056,"dd/mm/yyyy")</f>
        <v>14/04/2023</v>
      </c>
      <c r="G2056" s="5" t="str">
        <f>TEXT(E2056,"mm")</f>
        <v>14/04/2023</v>
      </c>
      <c r="H2056" s="6">
        <v>31.15</v>
      </c>
      <c r="I2056">
        <v>451</v>
      </c>
      <c r="L2056" t="str">
        <f t="shared" si="32"/>
        <v>Below Average</v>
      </c>
      <c r="M2056">
        <f>RANK(H2056,H:H,0)</f>
        <v>3275</v>
      </c>
    </row>
    <row r="2057" spans="1:13">
      <c r="A2057" t="s">
        <v>19</v>
      </c>
      <c r="B2057" t="s">
        <v>32</v>
      </c>
      <c r="C2057" t="s">
        <v>65</v>
      </c>
      <c r="D2057" s="3" t="s">
        <v>183</v>
      </c>
      <c r="E2057" s="5" t="str">
        <f>TEXT(D2057,"dd/mm/yyyy")</f>
        <v>19/05/2023</v>
      </c>
      <c r="G2057" s="5" t="str">
        <f>TEXT(E2057,"mm")</f>
        <v>19/05/2023</v>
      </c>
      <c r="H2057" s="6">
        <v>7107.55</v>
      </c>
      <c r="I2057">
        <v>142</v>
      </c>
      <c r="L2057" t="str">
        <f t="shared" si="32"/>
        <v>Above Average</v>
      </c>
      <c r="M2057">
        <f>RANK(H2057,H:H,0)</f>
        <v>1157</v>
      </c>
    </row>
    <row r="2058" spans="1:13">
      <c r="A2058" t="s">
        <v>53</v>
      </c>
      <c r="B2058" t="s">
        <v>10</v>
      </c>
      <c r="C2058" t="s">
        <v>36</v>
      </c>
      <c r="D2058" s="4">
        <v>45171</v>
      </c>
      <c r="E2058" s="5" t="str">
        <f>TEXT(D2058,"dd/mm/yyyy")</f>
        <v>02/09/2023</v>
      </c>
      <c r="F2058" s="4"/>
      <c r="G2058" s="5" t="str">
        <f>TEXT(E2058,"mm")</f>
        <v>02</v>
      </c>
      <c r="H2058" s="6">
        <v>5465.85</v>
      </c>
      <c r="I2058">
        <v>56</v>
      </c>
      <c r="L2058" t="str">
        <f t="shared" si="32"/>
        <v>Below Average</v>
      </c>
      <c r="M2058">
        <f>RANK(H2058,H:H,0)</f>
        <v>1577</v>
      </c>
    </row>
    <row r="2059" spans="1:13">
      <c r="A2059" t="s">
        <v>28</v>
      </c>
      <c r="B2059" t="s">
        <v>7</v>
      </c>
      <c r="C2059" t="s">
        <v>50</v>
      </c>
      <c r="D2059" s="3" t="s">
        <v>203</v>
      </c>
      <c r="E2059" s="5" t="str">
        <f>TEXT(D2059,"dd/mm/yyyy")</f>
        <v>25/05/2023</v>
      </c>
      <c r="G2059" s="5" t="str">
        <f>TEXT(E2059,"mm")</f>
        <v>25/05/2023</v>
      </c>
      <c r="H2059" s="6">
        <v>2462.14</v>
      </c>
      <c r="I2059">
        <v>60</v>
      </c>
      <c r="L2059" t="str">
        <f t="shared" si="32"/>
        <v>Below Average</v>
      </c>
      <c r="M2059">
        <f>RANK(H2059,H:H,0)</f>
        <v>2490</v>
      </c>
    </row>
    <row r="2060" spans="1:13">
      <c r="A2060" t="s">
        <v>19</v>
      </c>
      <c r="B2060" t="s">
        <v>15</v>
      </c>
      <c r="C2060" t="s">
        <v>60</v>
      </c>
      <c r="D2060" s="3" t="s">
        <v>169</v>
      </c>
      <c r="E2060" s="5" t="str">
        <f>TEXT(D2060,"dd/mm/yyyy")</f>
        <v>26/01/2023</v>
      </c>
      <c r="G2060" s="5" t="str">
        <f>TEXT(E2060,"mm")</f>
        <v>26/01/2023</v>
      </c>
      <c r="H2060" s="6">
        <v>4194.4399999999996</v>
      </c>
      <c r="I2060">
        <v>80</v>
      </c>
      <c r="L2060" t="str">
        <f t="shared" si="32"/>
        <v>Below Average</v>
      </c>
      <c r="M2060">
        <f>RANK(H2060,H:H,0)</f>
        <v>1930</v>
      </c>
    </row>
    <row r="2061" spans="1:13">
      <c r="A2061" t="s">
        <v>41</v>
      </c>
      <c r="B2061" t="s">
        <v>10</v>
      </c>
      <c r="C2061" t="s">
        <v>59</v>
      </c>
      <c r="D2061" s="4">
        <v>45023</v>
      </c>
      <c r="E2061" s="5" t="str">
        <f>TEXT(D2061,"dd/mm/yyyy")</f>
        <v>07/04/2023</v>
      </c>
      <c r="F2061" s="4"/>
      <c r="G2061" s="5" t="str">
        <f>TEXT(E2061,"mm")</f>
        <v>07</v>
      </c>
      <c r="H2061" s="6">
        <v>1994.44</v>
      </c>
      <c r="I2061">
        <v>299</v>
      </c>
      <c r="L2061" t="str">
        <f t="shared" si="32"/>
        <v>Below Average</v>
      </c>
      <c r="M2061">
        <f>RANK(H2061,H:H,0)</f>
        <v>2638</v>
      </c>
    </row>
    <row r="2062" spans="1:13">
      <c r="A2062" t="s">
        <v>83</v>
      </c>
      <c r="B2062" t="s">
        <v>10</v>
      </c>
      <c r="C2062" t="s">
        <v>65</v>
      </c>
      <c r="D2062" s="3" t="s">
        <v>224</v>
      </c>
      <c r="E2062" s="5" t="str">
        <f>TEXT(D2062,"dd/mm/yyyy")</f>
        <v>13/04/2023</v>
      </c>
      <c r="G2062" s="5" t="str">
        <f>TEXT(E2062,"mm")</f>
        <v>13/04/2023</v>
      </c>
      <c r="H2062" s="6">
        <v>12124.05</v>
      </c>
      <c r="I2062">
        <v>80</v>
      </c>
      <c r="L2062" t="str">
        <f t="shared" si="32"/>
        <v>Above Average</v>
      </c>
      <c r="M2062">
        <f>RANK(H2062,H:H,0)</f>
        <v>335</v>
      </c>
    </row>
    <row r="2063" spans="1:13">
      <c r="A2063" t="s">
        <v>12</v>
      </c>
      <c r="B2063" t="s">
        <v>15</v>
      </c>
      <c r="C2063" t="s">
        <v>18</v>
      </c>
      <c r="D2063" s="3" t="s">
        <v>164</v>
      </c>
      <c r="E2063" s="5" t="str">
        <f>TEXT(D2063,"dd/mm/yyyy")</f>
        <v>25/01/2023</v>
      </c>
      <c r="G2063" s="5" t="str">
        <f>TEXT(E2063,"mm")</f>
        <v>25/01/2023</v>
      </c>
      <c r="H2063" s="6">
        <v>5884.09</v>
      </c>
      <c r="I2063">
        <v>117</v>
      </c>
      <c r="L2063" t="str">
        <f t="shared" si="32"/>
        <v>Below Average</v>
      </c>
      <c r="M2063">
        <f>RANK(H2063,H:H,0)</f>
        <v>1464</v>
      </c>
    </row>
    <row r="2064" spans="1:13">
      <c r="A2064" t="s">
        <v>71</v>
      </c>
      <c r="B2064" t="s">
        <v>32</v>
      </c>
      <c r="C2064" t="s">
        <v>11</v>
      </c>
      <c r="D2064" s="3" t="s">
        <v>217</v>
      </c>
      <c r="E2064" s="5" t="str">
        <f>TEXT(D2064,"dd/mm/yyyy")</f>
        <v>25/04/2023</v>
      </c>
      <c r="G2064" s="5" t="str">
        <f>TEXT(E2064,"mm")</f>
        <v>25/04/2023</v>
      </c>
      <c r="H2064" s="6">
        <v>2639.16</v>
      </c>
      <c r="I2064">
        <v>80</v>
      </c>
      <c r="L2064" t="str">
        <f t="shared" si="32"/>
        <v>Below Average</v>
      </c>
      <c r="M2064">
        <f>RANK(H2064,H:H,0)</f>
        <v>2425</v>
      </c>
    </row>
    <row r="2065" spans="1:13">
      <c r="A2065" t="s">
        <v>71</v>
      </c>
      <c r="B2065" t="s">
        <v>32</v>
      </c>
      <c r="C2065" t="s">
        <v>36</v>
      </c>
      <c r="D2065" s="4">
        <v>45205</v>
      </c>
      <c r="E2065" s="5" t="str">
        <f>TEXT(D2065,"dd/mm/yyyy")</f>
        <v>06/10/2023</v>
      </c>
      <c r="F2065" s="4"/>
      <c r="G2065" s="5" t="str">
        <f>TEXT(E2065,"mm")</f>
        <v>06</v>
      </c>
      <c r="H2065" s="6">
        <v>5031.3999999999996</v>
      </c>
      <c r="I2065">
        <v>401</v>
      </c>
      <c r="L2065" t="str">
        <f t="shared" si="32"/>
        <v>Below Average</v>
      </c>
      <c r="M2065">
        <f>RANK(H2065,H:H,0)</f>
        <v>1697</v>
      </c>
    </row>
    <row r="2066" spans="1:13">
      <c r="A2066" t="s">
        <v>77</v>
      </c>
      <c r="B2066" t="s">
        <v>25</v>
      </c>
      <c r="C2066" t="s">
        <v>59</v>
      </c>
      <c r="D2066" s="3" t="s">
        <v>186</v>
      </c>
      <c r="E2066" s="5" t="str">
        <f>TEXT(D2066,"dd/mm/yyyy")</f>
        <v>22/08/2023</v>
      </c>
      <c r="G2066" s="5" t="str">
        <f>TEXT(E2066,"mm")</f>
        <v>22/08/2023</v>
      </c>
      <c r="H2066" s="6">
        <v>11510.71</v>
      </c>
      <c r="I2066">
        <v>56</v>
      </c>
      <c r="L2066" t="str">
        <f t="shared" si="32"/>
        <v>Above Average</v>
      </c>
      <c r="M2066">
        <f>RANK(H2066,H:H,0)</f>
        <v>396</v>
      </c>
    </row>
    <row r="2067" spans="1:13">
      <c r="A2067" t="s">
        <v>9</v>
      </c>
      <c r="B2067" t="s">
        <v>10</v>
      </c>
      <c r="C2067" t="s">
        <v>23</v>
      </c>
      <c r="D2067" s="3" t="s">
        <v>172</v>
      </c>
      <c r="E2067" s="5" t="str">
        <f>TEXT(D2067,"dd/mm/yyyy")</f>
        <v>27/06/2023</v>
      </c>
      <c r="G2067" s="5" t="str">
        <f>TEXT(E2067,"mm")</f>
        <v>27/06/2023</v>
      </c>
      <c r="H2067" s="6">
        <v>15021.98</v>
      </c>
      <c r="I2067">
        <v>211</v>
      </c>
      <c r="L2067" t="str">
        <f t="shared" si="32"/>
        <v>Above Average</v>
      </c>
      <c r="M2067">
        <f>RANK(H2067,H:H,0)</f>
        <v>144</v>
      </c>
    </row>
    <row r="2068" spans="1:13">
      <c r="A2068" t="s">
        <v>53</v>
      </c>
      <c r="B2068" t="s">
        <v>10</v>
      </c>
      <c r="C2068" t="s">
        <v>33</v>
      </c>
      <c r="D2068" s="3" t="s">
        <v>180</v>
      </c>
      <c r="E2068" s="5" t="str">
        <f>TEXT(D2068,"dd/mm/yyyy")</f>
        <v>30/06/2023</v>
      </c>
      <c r="G2068" s="5" t="str">
        <f>TEXT(E2068,"mm")</f>
        <v>30/06/2023</v>
      </c>
      <c r="H2068" s="6">
        <v>4517.1899999999996</v>
      </c>
      <c r="I2068">
        <v>40</v>
      </c>
      <c r="L2068" t="str">
        <f t="shared" si="32"/>
        <v>Below Average</v>
      </c>
      <c r="M2068">
        <f>RANK(H2068,H:H,0)</f>
        <v>1842</v>
      </c>
    </row>
    <row r="2069" spans="1:13">
      <c r="A2069" t="s">
        <v>6</v>
      </c>
      <c r="B2069" t="s">
        <v>10</v>
      </c>
      <c r="C2069" t="s">
        <v>65</v>
      </c>
      <c r="D2069" s="3" t="s">
        <v>243</v>
      </c>
      <c r="E2069" s="5" t="str">
        <f>TEXT(D2069,"dd/mm/yyyy")</f>
        <v>30/08/2023</v>
      </c>
      <c r="G2069" s="5" t="str">
        <f>TEXT(E2069,"mm")</f>
        <v>30/08/2023</v>
      </c>
      <c r="H2069" s="6">
        <v>10778.53</v>
      </c>
      <c r="I2069">
        <v>99</v>
      </c>
      <c r="L2069" t="str">
        <f t="shared" si="32"/>
        <v>Above Average</v>
      </c>
      <c r="M2069">
        <f>RANK(H2069,H:H,0)</f>
        <v>477</v>
      </c>
    </row>
    <row r="2070" spans="1:13">
      <c r="A2070" t="s">
        <v>37</v>
      </c>
      <c r="B2070" t="s">
        <v>15</v>
      </c>
      <c r="C2070" t="s">
        <v>73</v>
      </c>
      <c r="D2070" s="3" t="s">
        <v>202</v>
      </c>
      <c r="E2070" s="5" t="str">
        <f>TEXT(D2070,"dd/mm/yyyy")</f>
        <v>23/08/2023</v>
      </c>
      <c r="G2070" s="5" t="str">
        <f>TEXT(E2070,"mm")</f>
        <v>23/08/2023</v>
      </c>
      <c r="H2070" s="6">
        <v>1145.72</v>
      </c>
      <c r="I2070">
        <v>60</v>
      </c>
      <c r="L2070" t="str">
        <f t="shared" si="32"/>
        <v>Below Average</v>
      </c>
      <c r="M2070">
        <f>RANK(H2070,H:H,0)</f>
        <v>2920</v>
      </c>
    </row>
    <row r="2071" spans="1:13">
      <c r="A2071" t="s">
        <v>71</v>
      </c>
      <c r="B2071" t="s">
        <v>25</v>
      </c>
      <c r="C2071" t="s">
        <v>20</v>
      </c>
      <c r="D2071" s="3" t="s">
        <v>197</v>
      </c>
      <c r="E2071" s="5" t="str">
        <f>TEXT(D2071,"dd/mm/yyyy")</f>
        <v>26/08/2023</v>
      </c>
      <c r="G2071" s="5" t="str">
        <f>TEXT(E2071,"mm")</f>
        <v>26/08/2023</v>
      </c>
      <c r="H2071" s="6">
        <v>2518.5</v>
      </c>
      <c r="I2071">
        <v>45</v>
      </c>
      <c r="L2071" t="str">
        <f t="shared" si="32"/>
        <v>Below Average</v>
      </c>
      <c r="M2071">
        <f>RANK(H2071,H:H,0)</f>
        <v>2463</v>
      </c>
    </row>
    <row r="2072" spans="1:13">
      <c r="A2072" t="s">
        <v>12</v>
      </c>
      <c r="B2072" t="s">
        <v>15</v>
      </c>
      <c r="C2072" t="s">
        <v>33</v>
      </c>
      <c r="D2072" s="4">
        <v>45172</v>
      </c>
      <c r="E2072" s="5" t="str">
        <f>TEXT(D2072,"dd/mm/yyyy")</f>
        <v>03/09/2023</v>
      </c>
      <c r="F2072" s="4"/>
      <c r="G2072" s="5" t="str">
        <f>TEXT(E2072,"mm")</f>
        <v>03</v>
      </c>
      <c r="H2072" s="6">
        <v>596.63</v>
      </c>
      <c r="I2072">
        <v>158</v>
      </c>
      <c r="L2072" t="str">
        <f t="shared" si="32"/>
        <v>Below Average</v>
      </c>
      <c r="M2072">
        <f>RANK(H2072,H:H,0)</f>
        <v>3099</v>
      </c>
    </row>
    <row r="2073" spans="1:13">
      <c r="A2073" t="s">
        <v>70</v>
      </c>
      <c r="B2073" t="s">
        <v>7</v>
      </c>
      <c r="C2073" t="s">
        <v>38</v>
      </c>
      <c r="D2073" s="3" t="s">
        <v>166</v>
      </c>
      <c r="E2073" s="5" t="str">
        <f>TEXT(D2073,"dd/mm/yyyy")</f>
        <v>20/04/2023</v>
      </c>
      <c r="G2073" s="5" t="str">
        <f>TEXT(E2073,"mm")</f>
        <v>20/04/2023</v>
      </c>
      <c r="H2073" s="6">
        <v>1858.71</v>
      </c>
      <c r="I2073">
        <v>24</v>
      </c>
      <c r="L2073" t="str">
        <f t="shared" si="32"/>
        <v>Below Average</v>
      </c>
      <c r="M2073">
        <f>RANK(H2073,H:H,0)</f>
        <v>2682</v>
      </c>
    </row>
    <row r="2074" spans="1:13">
      <c r="A2074" t="s">
        <v>34</v>
      </c>
      <c r="B2074" t="s">
        <v>35</v>
      </c>
      <c r="C2074" t="s">
        <v>90</v>
      </c>
      <c r="D2074" s="4">
        <v>45205</v>
      </c>
      <c r="E2074" s="5" t="str">
        <f>TEXT(D2074,"dd/mm/yyyy")</f>
        <v>06/10/2023</v>
      </c>
      <c r="F2074" s="4"/>
      <c r="G2074" s="5" t="str">
        <f>TEXT(E2074,"mm")</f>
        <v>06</v>
      </c>
      <c r="H2074" s="6">
        <v>5194.28</v>
      </c>
      <c r="I2074">
        <v>547</v>
      </c>
      <c r="L2074" t="str">
        <f t="shared" si="32"/>
        <v>Below Average</v>
      </c>
      <c r="M2074">
        <f>RANK(H2074,H:H,0)</f>
        <v>1648</v>
      </c>
    </row>
    <row r="2075" spans="1:13">
      <c r="A2075" t="s">
        <v>53</v>
      </c>
      <c r="B2075" t="s">
        <v>15</v>
      </c>
      <c r="C2075" t="s">
        <v>42</v>
      </c>
      <c r="D2075" s="4">
        <v>45140</v>
      </c>
      <c r="E2075" s="5" t="str">
        <f>TEXT(D2075,"dd/mm/yyyy")</f>
        <v>02/08/2023</v>
      </c>
      <c r="F2075" s="4"/>
      <c r="G2075" s="5" t="str">
        <f>TEXT(E2075,"mm")</f>
        <v>02</v>
      </c>
      <c r="H2075" s="6">
        <v>960.69</v>
      </c>
      <c r="I2075">
        <v>155</v>
      </c>
      <c r="L2075" t="str">
        <f t="shared" si="32"/>
        <v>Below Average</v>
      </c>
      <c r="M2075">
        <f>RANK(H2075,H:H,0)</f>
        <v>2985</v>
      </c>
    </row>
    <row r="2076" spans="1:13">
      <c r="A2076" t="s">
        <v>28</v>
      </c>
      <c r="B2076" t="s">
        <v>15</v>
      </c>
      <c r="C2076" t="s">
        <v>59</v>
      </c>
      <c r="D2076" s="3" t="s">
        <v>206</v>
      </c>
      <c r="E2076" s="5" t="str">
        <f>TEXT(D2076,"dd/mm/yyyy")</f>
        <v>25/08/2023</v>
      </c>
      <c r="G2076" s="5" t="str">
        <f>TEXT(E2076,"mm")</f>
        <v>25/08/2023</v>
      </c>
      <c r="H2076" s="6">
        <v>5347.12</v>
      </c>
      <c r="I2076">
        <v>23</v>
      </c>
      <c r="L2076" t="str">
        <f t="shared" si="32"/>
        <v>Below Average</v>
      </c>
      <c r="M2076">
        <f>RANK(H2076,H:H,0)</f>
        <v>1601</v>
      </c>
    </row>
    <row r="2077" spans="1:13">
      <c r="A2077" t="s">
        <v>79</v>
      </c>
      <c r="B2077" t="s">
        <v>10</v>
      </c>
      <c r="C2077" t="s">
        <v>13</v>
      </c>
      <c r="D2077" s="3" t="s">
        <v>171</v>
      </c>
      <c r="E2077" s="5" t="str">
        <f>TEXT(D2077,"dd/mm/yyyy")</f>
        <v>16/02/2023</v>
      </c>
      <c r="G2077" s="5" t="str">
        <f>TEXT(E2077,"mm")</f>
        <v>16/02/2023</v>
      </c>
      <c r="H2077" s="6">
        <v>9805.11</v>
      </c>
      <c r="I2077">
        <v>76</v>
      </c>
      <c r="L2077" t="str">
        <f t="shared" si="32"/>
        <v>Above Average</v>
      </c>
      <c r="M2077">
        <f>RANK(H2077,H:H,0)</f>
        <v>613</v>
      </c>
    </row>
    <row r="2078" spans="1:13">
      <c r="A2078" t="s">
        <v>58</v>
      </c>
      <c r="B2078" t="s">
        <v>7</v>
      </c>
      <c r="C2078" t="s">
        <v>20</v>
      </c>
      <c r="D2078" s="3" t="s">
        <v>174</v>
      </c>
      <c r="E2078" s="5" t="str">
        <f>TEXT(D2078,"dd/mm/yyyy")</f>
        <v>30/05/2023</v>
      </c>
      <c r="G2078" s="5" t="str">
        <f>TEXT(E2078,"mm")</f>
        <v>30/05/2023</v>
      </c>
      <c r="H2078" s="6">
        <v>13205.42</v>
      </c>
      <c r="I2078">
        <v>26</v>
      </c>
      <c r="L2078" t="str">
        <f t="shared" si="32"/>
        <v>Above Average</v>
      </c>
      <c r="M2078">
        <f>RANK(H2078,H:H,0)</f>
        <v>252</v>
      </c>
    </row>
    <row r="2079" spans="1:13">
      <c r="A2079" t="s">
        <v>12</v>
      </c>
      <c r="B2079" t="s">
        <v>25</v>
      </c>
      <c r="C2079" t="s">
        <v>26</v>
      </c>
      <c r="D2079" s="3" t="s">
        <v>179</v>
      </c>
      <c r="E2079" s="5" t="str">
        <f>TEXT(D2079,"dd/mm/yyyy")</f>
        <v>29/06/2023</v>
      </c>
      <c r="G2079" s="5" t="str">
        <f>TEXT(E2079,"mm")</f>
        <v>29/06/2023</v>
      </c>
      <c r="H2079" s="6">
        <v>5929.2</v>
      </c>
      <c r="I2079">
        <v>65</v>
      </c>
      <c r="L2079" t="str">
        <f t="shared" si="32"/>
        <v>Below Average</v>
      </c>
      <c r="M2079">
        <f>RANK(H2079,H:H,0)</f>
        <v>1450</v>
      </c>
    </row>
    <row r="2080" spans="1:13">
      <c r="A2080" t="s">
        <v>12</v>
      </c>
      <c r="B2080" t="s">
        <v>32</v>
      </c>
      <c r="C2080" t="s">
        <v>46</v>
      </c>
      <c r="D2080" s="3" t="s">
        <v>214</v>
      </c>
      <c r="E2080" s="5" t="str">
        <f>TEXT(D2080,"dd/mm/yyyy")</f>
        <v>16/06/2023</v>
      </c>
      <c r="G2080" s="5" t="str">
        <f>TEXT(E2080,"mm")</f>
        <v>16/06/2023</v>
      </c>
      <c r="H2080" s="6">
        <v>516.91999999999996</v>
      </c>
      <c r="I2080">
        <v>141</v>
      </c>
      <c r="L2080" t="str">
        <f t="shared" si="32"/>
        <v>Below Average</v>
      </c>
      <c r="M2080">
        <f>RANK(H2080,H:H,0)</f>
        <v>3120</v>
      </c>
    </row>
    <row r="2081" spans="1:13">
      <c r="A2081" t="s">
        <v>28</v>
      </c>
      <c r="B2081" t="s">
        <v>7</v>
      </c>
      <c r="C2081" t="s">
        <v>90</v>
      </c>
      <c r="D2081" s="4">
        <v>45019</v>
      </c>
      <c r="E2081" s="5" t="str">
        <f>TEXT(D2081,"dd/mm/yyyy")</f>
        <v>03/04/2023</v>
      </c>
      <c r="F2081" s="4"/>
      <c r="G2081" s="5" t="str">
        <f>TEXT(E2081,"mm")</f>
        <v>03</v>
      </c>
      <c r="H2081" s="6">
        <v>2882.76</v>
      </c>
      <c r="I2081">
        <v>145</v>
      </c>
      <c r="L2081" t="str">
        <f t="shared" si="32"/>
        <v>Below Average</v>
      </c>
      <c r="M2081">
        <f>RANK(H2081,H:H,0)</f>
        <v>2350</v>
      </c>
    </row>
    <row r="2082" spans="1:13">
      <c r="A2082" t="s">
        <v>48</v>
      </c>
      <c r="B2082" t="s">
        <v>25</v>
      </c>
      <c r="C2082" t="s">
        <v>13</v>
      </c>
      <c r="D2082" s="3" t="s">
        <v>234</v>
      </c>
      <c r="E2082" s="5" t="str">
        <f>TEXT(D2082,"dd/mm/yyyy")</f>
        <v>15/03/2023</v>
      </c>
      <c r="G2082" s="5" t="str">
        <f>TEXT(E2082,"mm")</f>
        <v>15/03/2023</v>
      </c>
      <c r="H2082" s="6">
        <v>1637.72</v>
      </c>
      <c r="I2082">
        <v>454</v>
      </c>
      <c r="L2082" t="str">
        <f t="shared" si="32"/>
        <v>Below Average</v>
      </c>
      <c r="M2082">
        <f>RANK(H2082,H:H,0)</f>
        <v>2759</v>
      </c>
    </row>
    <row r="2083" spans="1:13">
      <c r="A2083" t="s">
        <v>48</v>
      </c>
      <c r="B2083" t="s">
        <v>25</v>
      </c>
      <c r="C2083" t="s">
        <v>26</v>
      </c>
      <c r="D2083" s="3" t="s">
        <v>199</v>
      </c>
      <c r="E2083" s="5" t="str">
        <f>TEXT(D2083,"dd/mm/yyyy")</f>
        <v>27/01/2023</v>
      </c>
      <c r="G2083" s="5" t="str">
        <f>TEXT(E2083,"mm")</f>
        <v>27/01/2023</v>
      </c>
      <c r="H2083" s="6">
        <v>10791.46</v>
      </c>
      <c r="I2083">
        <v>88</v>
      </c>
      <c r="L2083" t="str">
        <f t="shared" si="32"/>
        <v>Above Average</v>
      </c>
      <c r="M2083">
        <f>RANK(H2083,H:H,0)</f>
        <v>475</v>
      </c>
    </row>
    <row r="2084" spans="1:13">
      <c r="A2084" t="s">
        <v>41</v>
      </c>
      <c r="B2084" t="s">
        <v>35</v>
      </c>
      <c r="C2084" t="s">
        <v>38</v>
      </c>
      <c r="D2084" s="4">
        <v>45053</v>
      </c>
      <c r="E2084" s="5" t="str">
        <f>TEXT(D2084,"dd/mm/yyyy")</f>
        <v>07/05/2023</v>
      </c>
      <c r="F2084" s="4"/>
      <c r="G2084" s="5" t="str">
        <f>TEXT(E2084,"mm")</f>
        <v>07</v>
      </c>
      <c r="H2084" s="6">
        <v>1093.46</v>
      </c>
      <c r="I2084">
        <v>115</v>
      </c>
      <c r="L2084" t="str">
        <f t="shared" si="32"/>
        <v>Below Average</v>
      </c>
      <c r="M2084">
        <f>RANK(H2084,H:H,0)</f>
        <v>2943</v>
      </c>
    </row>
    <row r="2085" spans="1:13">
      <c r="A2085" t="s">
        <v>31</v>
      </c>
      <c r="B2085" t="s">
        <v>32</v>
      </c>
      <c r="C2085" t="s">
        <v>90</v>
      </c>
      <c r="D2085" s="3" t="s">
        <v>221</v>
      </c>
      <c r="E2085" s="5" t="str">
        <f>TEXT(D2085,"dd/mm/yyyy")</f>
        <v>29/03/2023</v>
      </c>
      <c r="G2085" s="5" t="str">
        <f>TEXT(E2085,"mm")</f>
        <v>29/03/2023</v>
      </c>
      <c r="H2085" s="6">
        <v>3407.61</v>
      </c>
      <c r="I2085">
        <v>316</v>
      </c>
      <c r="L2085" t="str">
        <f t="shared" si="32"/>
        <v>Below Average</v>
      </c>
      <c r="M2085">
        <f>RANK(H2085,H:H,0)</f>
        <v>2169</v>
      </c>
    </row>
    <row r="2086" spans="1:13">
      <c r="A2086" t="s">
        <v>34</v>
      </c>
      <c r="B2086" t="s">
        <v>35</v>
      </c>
      <c r="C2086" t="s">
        <v>65</v>
      </c>
      <c r="D2086" s="4">
        <v>45265</v>
      </c>
      <c r="E2086" s="5" t="str">
        <f>TEXT(D2086,"dd/mm/yyyy")</f>
        <v>05/12/2023</v>
      </c>
      <c r="F2086" s="4"/>
      <c r="G2086" s="5" t="str">
        <f>TEXT(E2086,"mm")</f>
        <v>05</v>
      </c>
      <c r="H2086" s="6">
        <v>4753.93</v>
      </c>
      <c r="I2086">
        <v>37</v>
      </c>
      <c r="L2086" t="str">
        <f t="shared" si="32"/>
        <v>Below Average</v>
      </c>
      <c r="M2086">
        <f>RANK(H2086,H:H,0)</f>
        <v>1782</v>
      </c>
    </row>
    <row r="2087" spans="1:13">
      <c r="A2087" t="s">
        <v>19</v>
      </c>
      <c r="B2087" t="s">
        <v>32</v>
      </c>
      <c r="C2087" t="s">
        <v>38</v>
      </c>
      <c r="D2087" s="4">
        <v>45233</v>
      </c>
      <c r="E2087" s="5" t="str">
        <f>TEXT(D2087,"dd/mm/yyyy")</f>
        <v>03/11/2023</v>
      </c>
      <c r="F2087" s="4"/>
      <c r="G2087" s="5" t="str">
        <f>TEXT(E2087,"mm")</f>
        <v>03</v>
      </c>
      <c r="H2087" s="6">
        <v>8280.6200000000008</v>
      </c>
      <c r="I2087">
        <v>47</v>
      </c>
      <c r="L2087" t="str">
        <f t="shared" si="32"/>
        <v>Above Average</v>
      </c>
      <c r="M2087">
        <f>RANK(H2087,H:H,0)</f>
        <v>875</v>
      </c>
    </row>
    <row r="2088" spans="1:13">
      <c r="A2088" t="s">
        <v>28</v>
      </c>
      <c r="B2088" t="s">
        <v>25</v>
      </c>
      <c r="C2088" t="s">
        <v>36</v>
      </c>
      <c r="D2088" s="4">
        <v>45237</v>
      </c>
      <c r="E2088" s="5" t="str">
        <f>TEXT(D2088,"dd/mm/yyyy")</f>
        <v>07/11/2023</v>
      </c>
      <c r="F2088" s="4"/>
      <c r="G2088" s="5" t="str">
        <f>TEXT(E2088,"mm")</f>
        <v>07</v>
      </c>
      <c r="H2088" s="6">
        <v>4981.78</v>
      </c>
      <c r="I2088">
        <v>299</v>
      </c>
      <c r="L2088" t="str">
        <f t="shared" si="32"/>
        <v>Below Average</v>
      </c>
      <c r="M2088">
        <f>RANK(H2088,H:H,0)</f>
        <v>1711</v>
      </c>
    </row>
    <row r="2089" spans="1:13">
      <c r="A2089" t="s">
        <v>22</v>
      </c>
      <c r="B2089" t="s">
        <v>25</v>
      </c>
      <c r="C2089" t="s">
        <v>75</v>
      </c>
      <c r="D2089" s="4">
        <v>44934</v>
      </c>
      <c r="E2089" s="5" t="str">
        <f>TEXT(D2089,"dd/mm/yyyy")</f>
        <v>08/01/2023</v>
      </c>
      <c r="F2089" s="4"/>
      <c r="G2089" s="5" t="str">
        <f>TEXT(E2089,"mm")</f>
        <v>08</v>
      </c>
      <c r="H2089" s="6">
        <v>13998.33</v>
      </c>
      <c r="I2089">
        <v>60</v>
      </c>
      <c r="L2089" t="str">
        <f t="shared" si="32"/>
        <v>Above Average</v>
      </c>
      <c r="M2089">
        <f>RANK(H2089,H:H,0)</f>
        <v>210</v>
      </c>
    </row>
    <row r="2090" spans="1:13">
      <c r="A2090" t="s">
        <v>22</v>
      </c>
      <c r="B2090" t="s">
        <v>7</v>
      </c>
      <c r="C2090" t="s">
        <v>50</v>
      </c>
      <c r="D2090" s="3" t="s">
        <v>171</v>
      </c>
      <c r="E2090" s="5" t="str">
        <f>TEXT(D2090,"dd/mm/yyyy")</f>
        <v>16/02/2023</v>
      </c>
      <c r="G2090" s="5" t="str">
        <f>TEXT(E2090,"mm")</f>
        <v>16/02/2023</v>
      </c>
      <c r="H2090" s="6">
        <v>13105.65</v>
      </c>
      <c r="I2090">
        <v>199</v>
      </c>
      <c r="L2090" t="str">
        <f t="shared" si="32"/>
        <v>Above Average</v>
      </c>
      <c r="M2090">
        <f>RANK(H2090,H:H,0)</f>
        <v>258</v>
      </c>
    </row>
    <row r="2091" spans="1:13">
      <c r="A2091" t="s">
        <v>48</v>
      </c>
      <c r="B2091" t="s">
        <v>32</v>
      </c>
      <c r="C2091" t="s">
        <v>23</v>
      </c>
      <c r="D2091" s="3" t="s">
        <v>224</v>
      </c>
      <c r="E2091" s="5" t="str">
        <f>TEXT(D2091,"dd/mm/yyyy")</f>
        <v>13/04/2023</v>
      </c>
      <c r="G2091" s="5" t="str">
        <f>TEXT(E2091,"mm")</f>
        <v>13/04/2023</v>
      </c>
      <c r="H2091" s="6">
        <v>15728.81</v>
      </c>
      <c r="I2091">
        <v>256</v>
      </c>
      <c r="L2091" t="str">
        <f t="shared" si="32"/>
        <v>Above Average</v>
      </c>
      <c r="M2091">
        <f>RANK(H2091,H:H,0)</f>
        <v>112</v>
      </c>
    </row>
    <row r="2092" spans="1:13">
      <c r="A2092" t="s">
        <v>19</v>
      </c>
      <c r="B2092" t="s">
        <v>10</v>
      </c>
      <c r="C2092" t="s">
        <v>75</v>
      </c>
      <c r="D2092" s="3" t="s">
        <v>170</v>
      </c>
      <c r="E2092" s="5" t="str">
        <f>TEXT(D2092,"dd/mm/yyyy")</f>
        <v>14/02/2023</v>
      </c>
      <c r="G2092" s="5" t="str">
        <f>TEXT(E2092,"mm")</f>
        <v>14/02/2023</v>
      </c>
      <c r="H2092" s="6">
        <v>53.85</v>
      </c>
      <c r="I2092">
        <v>399</v>
      </c>
      <c r="L2092" t="str">
        <f t="shared" si="32"/>
        <v>Below Average</v>
      </c>
      <c r="M2092">
        <f>RANK(H2092,H:H,0)</f>
        <v>3268</v>
      </c>
    </row>
    <row r="2093" spans="1:13">
      <c r="A2093" t="s">
        <v>83</v>
      </c>
      <c r="B2093" t="s">
        <v>15</v>
      </c>
      <c r="C2093" t="s">
        <v>13</v>
      </c>
      <c r="D2093" s="3" t="s">
        <v>175</v>
      </c>
      <c r="E2093" s="5" t="str">
        <f>TEXT(D2093,"dd/mm/yyyy")</f>
        <v>14/03/2023</v>
      </c>
      <c r="G2093" s="5" t="str">
        <f>TEXT(E2093,"mm")</f>
        <v>14/03/2023</v>
      </c>
      <c r="H2093" s="6">
        <v>10857.23</v>
      </c>
      <c r="I2093">
        <v>73</v>
      </c>
      <c r="L2093" t="str">
        <f t="shared" si="32"/>
        <v>Above Average</v>
      </c>
      <c r="M2093">
        <f>RANK(H2093,H:H,0)</f>
        <v>461</v>
      </c>
    </row>
    <row r="2094" spans="1:13">
      <c r="A2094" t="s">
        <v>19</v>
      </c>
      <c r="B2094" t="s">
        <v>15</v>
      </c>
      <c r="C2094" t="s">
        <v>50</v>
      </c>
      <c r="D2094" s="3" t="s">
        <v>254</v>
      </c>
      <c r="E2094" s="5" t="str">
        <f>TEXT(D2094,"dd/mm/yyyy")</f>
        <v>26/04/2023</v>
      </c>
      <c r="G2094" s="5" t="str">
        <f>TEXT(E2094,"mm")</f>
        <v>26/04/2023</v>
      </c>
      <c r="H2094" s="6">
        <v>12412.53</v>
      </c>
      <c r="I2094">
        <v>25</v>
      </c>
      <c r="L2094" t="str">
        <f t="shared" si="32"/>
        <v>Above Average</v>
      </c>
      <c r="M2094">
        <f>RANK(H2094,H:H,0)</f>
        <v>309</v>
      </c>
    </row>
    <row r="2095" spans="1:13">
      <c r="A2095" t="s">
        <v>6</v>
      </c>
      <c r="B2095" t="s">
        <v>35</v>
      </c>
      <c r="C2095" t="s">
        <v>60</v>
      </c>
      <c r="D2095" s="4">
        <v>45050</v>
      </c>
      <c r="E2095" s="5" t="str">
        <f>TEXT(D2095,"dd/mm/yyyy")</f>
        <v>04/05/2023</v>
      </c>
      <c r="F2095" s="4"/>
      <c r="G2095" s="5" t="str">
        <f>TEXT(E2095,"mm")</f>
        <v>04</v>
      </c>
      <c r="H2095" s="6">
        <v>3669.15</v>
      </c>
      <c r="I2095">
        <v>209</v>
      </c>
      <c r="L2095" t="str">
        <f t="shared" si="32"/>
        <v>Below Average</v>
      </c>
      <c r="M2095">
        <f>RANK(H2095,H:H,0)</f>
        <v>2081</v>
      </c>
    </row>
    <row r="2096" spans="1:13">
      <c r="A2096" t="s">
        <v>71</v>
      </c>
      <c r="B2096" t="s">
        <v>35</v>
      </c>
      <c r="C2096" t="s">
        <v>38</v>
      </c>
      <c r="D2096" s="4">
        <v>44988</v>
      </c>
      <c r="E2096" s="5" t="str">
        <f>TEXT(D2096,"dd/mm/yyyy")</f>
        <v>03/03/2023</v>
      </c>
      <c r="F2096" s="4"/>
      <c r="G2096" s="5" t="str">
        <f>TEXT(E2096,"mm")</f>
        <v>03</v>
      </c>
      <c r="H2096" s="6">
        <v>13555.26</v>
      </c>
      <c r="I2096">
        <v>279</v>
      </c>
      <c r="L2096" t="str">
        <f t="shared" si="32"/>
        <v>Above Average</v>
      </c>
      <c r="M2096">
        <f>RANK(H2096,H:H,0)</f>
        <v>230</v>
      </c>
    </row>
    <row r="2097" spans="1:13">
      <c r="A2097" t="s">
        <v>55</v>
      </c>
      <c r="B2097" t="s">
        <v>32</v>
      </c>
      <c r="C2097" t="s">
        <v>50</v>
      </c>
      <c r="D2097" s="3" t="s">
        <v>231</v>
      </c>
      <c r="E2097" s="5" t="str">
        <f>TEXT(D2097,"dd/mm/yyyy")</f>
        <v>13/06/2023</v>
      </c>
      <c r="G2097" s="5" t="str">
        <f>TEXT(E2097,"mm")</f>
        <v>13/06/2023</v>
      </c>
      <c r="H2097" s="6">
        <v>2333.84</v>
      </c>
      <c r="I2097">
        <v>171</v>
      </c>
      <c r="L2097" t="str">
        <f t="shared" si="32"/>
        <v>Below Average</v>
      </c>
      <c r="M2097">
        <f>RANK(H2097,H:H,0)</f>
        <v>2537</v>
      </c>
    </row>
    <row r="2098" spans="1:13">
      <c r="A2098" t="s">
        <v>40</v>
      </c>
      <c r="B2098" t="s">
        <v>25</v>
      </c>
      <c r="C2098" t="s">
        <v>100</v>
      </c>
      <c r="D2098" s="3" t="s">
        <v>170</v>
      </c>
      <c r="E2098" s="5" t="str">
        <f>TEXT(D2098,"dd/mm/yyyy")</f>
        <v>14/02/2023</v>
      </c>
      <c r="G2098" s="5" t="str">
        <f>TEXT(E2098,"mm")</f>
        <v>14/02/2023</v>
      </c>
      <c r="H2098" s="6">
        <v>8973.0499999999993</v>
      </c>
      <c r="I2098">
        <v>360</v>
      </c>
      <c r="L2098" t="str">
        <f t="shared" si="32"/>
        <v>Above Average</v>
      </c>
      <c r="M2098">
        <f>RANK(H2098,H:H,0)</f>
        <v>743</v>
      </c>
    </row>
    <row r="2099" spans="1:13">
      <c r="A2099" t="s">
        <v>45</v>
      </c>
      <c r="B2099" t="s">
        <v>25</v>
      </c>
      <c r="C2099" t="s">
        <v>20</v>
      </c>
      <c r="D2099" s="3" t="s">
        <v>257</v>
      </c>
      <c r="E2099" s="5" t="str">
        <f>TEXT(D2099,"dd/mm/yyyy")</f>
        <v>18/04/2023</v>
      </c>
      <c r="G2099" s="5" t="str">
        <f>TEXT(E2099,"mm")</f>
        <v>18/04/2023</v>
      </c>
      <c r="H2099" s="6">
        <v>8610.3799999999992</v>
      </c>
      <c r="I2099">
        <v>188</v>
      </c>
      <c r="L2099" t="str">
        <f t="shared" si="32"/>
        <v>Above Average</v>
      </c>
      <c r="M2099">
        <f>RANK(H2099,H:H,0)</f>
        <v>812</v>
      </c>
    </row>
    <row r="2100" spans="1:13">
      <c r="A2100" t="s">
        <v>19</v>
      </c>
      <c r="B2100" t="s">
        <v>25</v>
      </c>
      <c r="C2100" t="s">
        <v>11</v>
      </c>
      <c r="D2100" s="4">
        <v>44928</v>
      </c>
      <c r="E2100" s="5" t="str">
        <f>TEXT(D2100,"dd/mm/yyyy")</f>
        <v>02/01/2023</v>
      </c>
      <c r="F2100" s="4"/>
      <c r="G2100" s="5" t="str">
        <f>TEXT(E2100,"mm")</f>
        <v>02</v>
      </c>
      <c r="H2100" s="6">
        <v>3432.3</v>
      </c>
      <c r="I2100">
        <v>452</v>
      </c>
      <c r="L2100" t="str">
        <f t="shared" si="32"/>
        <v>Below Average</v>
      </c>
      <c r="M2100">
        <f>RANK(H2100,H:H,0)</f>
        <v>2162</v>
      </c>
    </row>
    <row r="2101" spans="1:13">
      <c r="A2101" t="s">
        <v>79</v>
      </c>
      <c r="B2101" t="s">
        <v>25</v>
      </c>
      <c r="C2101" t="s">
        <v>33</v>
      </c>
      <c r="D2101" s="4">
        <v>45024</v>
      </c>
      <c r="E2101" s="5" t="str">
        <f>TEXT(D2101,"dd/mm/yyyy")</f>
        <v>08/04/2023</v>
      </c>
      <c r="F2101" s="4"/>
      <c r="G2101" s="5" t="str">
        <f>TEXT(E2101,"mm")</f>
        <v>08</v>
      </c>
      <c r="H2101" s="6">
        <v>2283.39</v>
      </c>
      <c r="I2101">
        <v>155</v>
      </c>
      <c r="L2101" t="str">
        <f t="shared" si="32"/>
        <v>Below Average</v>
      </c>
      <c r="M2101">
        <f>RANK(H2101,H:H,0)</f>
        <v>2555</v>
      </c>
    </row>
    <row r="2102" spans="1:13">
      <c r="A2102" t="s">
        <v>67</v>
      </c>
      <c r="B2102" t="s">
        <v>25</v>
      </c>
      <c r="C2102" t="s">
        <v>65</v>
      </c>
      <c r="D2102" s="4">
        <v>45050</v>
      </c>
      <c r="E2102" s="5" t="str">
        <f>TEXT(D2102,"dd/mm/yyyy")</f>
        <v>04/05/2023</v>
      </c>
      <c r="F2102" s="4"/>
      <c r="G2102" s="5" t="str">
        <f>TEXT(E2102,"mm")</f>
        <v>04</v>
      </c>
      <c r="H2102" s="6">
        <v>7190.49</v>
      </c>
      <c r="I2102">
        <v>165</v>
      </c>
      <c r="L2102" t="str">
        <f t="shared" si="32"/>
        <v>Above Average</v>
      </c>
      <c r="M2102">
        <f>RANK(H2102,H:H,0)</f>
        <v>1134</v>
      </c>
    </row>
    <row r="2103" spans="1:13">
      <c r="A2103" t="s">
        <v>37</v>
      </c>
      <c r="B2103" t="s">
        <v>15</v>
      </c>
      <c r="C2103" t="s">
        <v>20</v>
      </c>
      <c r="D2103" s="3" t="s">
        <v>169</v>
      </c>
      <c r="E2103" s="5" t="str">
        <f>TEXT(D2103,"dd/mm/yyyy")</f>
        <v>26/01/2023</v>
      </c>
      <c r="G2103" s="5" t="str">
        <f>TEXT(E2103,"mm")</f>
        <v>26/01/2023</v>
      </c>
      <c r="H2103" s="6">
        <v>11303.07</v>
      </c>
      <c r="I2103">
        <v>166</v>
      </c>
      <c r="L2103" t="str">
        <f t="shared" si="32"/>
        <v>Above Average</v>
      </c>
      <c r="M2103">
        <f>RANK(H2103,H:H,0)</f>
        <v>414</v>
      </c>
    </row>
    <row r="2104" spans="1:13">
      <c r="A2104" t="s">
        <v>55</v>
      </c>
      <c r="B2104" t="s">
        <v>7</v>
      </c>
      <c r="C2104" t="s">
        <v>23</v>
      </c>
      <c r="D2104" s="3" t="s">
        <v>227</v>
      </c>
      <c r="E2104" s="5" t="str">
        <f>TEXT(D2104,"dd/mm/yyyy")</f>
        <v>21/01/2023</v>
      </c>
      <c r="G2104" s="5" t="str">
        <f>TEXT(E2104,"mm")</f>
        <v>21/01/2023</v>
      </c>
      <c r="H2104" s="6">
        <v>18911.490000000002</v>
      </c>
      <c r="I2104">
        <v>171</v>
      </c>
      <c r="L2104" t="str">
        <f t="shared" si="32"/>
        <v>Above Average</v>
      </c>
      <c r="M2104">
        <f>RANK(H2104,H:H,0)</f>
        <v>29</v>
      </c>
    </row>
    <row r="2105" spans="1:13">
      <c r="A2105" t="s">
        <v>55</v>
      </c>
      <c r="B2105" t="s">
        <v>35</v>
      </c>
      <c r="C2105" t="s">
        <v>23</v>
      </c>
      <c r="D2105" s="3" t="s">
        <v>186</v>
      </c>
      <c r="E2105" s="5" t="str">
        <f>TEXT(D2105,"dd/mm/yyyy")</f>
        <v>22/08/2023</v>
      </c>
      <c r="G2105" s="5" t="str">
        <f>TEXT(E2105,"mm")</f>
        <v>22/08/2023</v>
      </c>
      <c r="H2105" s="6">
        <v>6233.02</v>
      </c>
      <c r="I2105">
        <v>178</v>
      </c>
      <c r="L2105" t="str">
        <f t="shared" si="32"/>
        <v>Above Average</v>
      </c>
      <c r="M2105">
        <f>RANK(H2105,H:H,0)</f>
        <v>1372</v>
      </c>
    </row>
    <row r="2106" spans="1:13">
      <c r="A2106" t="s">
        <v>55</v>
      </c>
      <c r="B2106" t="s">
        <v>7</v>
      </c>
      <c r="C2106" t="s">
        <v>38</v>
      </c>
      <c r="D2106" s="3" t="s">
        <v>199</v>
      </c>
      <c r="E2106" s="5" t="str">
        <f>TEXT(D2106,"dd/mm/yyyy")</f>
        <v>27/01/2023</v>
      </c>
      <c r="G2106" s="5" t="str">
        <f>TEXT(E2106,"mm")</f>
        <v>27/01/2023</v>
      </c>
      <c r="H2106" s="6">
        <v>2334.5</v>
      </c>
      <c r="I2106">
        <v>233</v>
      </c>
      <c r="L2106" t="str">
        <f t="shared" si="32"/>
        <v>Below Average</v>
      </c>
      <c r="M2106">
        <f>RANK(H2106,H:H,0)</f>
        <v>2536</v>
      </c>
    </row>
    <row r="2107" spans="1:13">
      <c r="A2107" t="s">
        <v>29</v>
      </c>
      <c r="B2107" t="s">
        <v>7</v>
      </c>
      <c r="C2107" t="s">
        <v>26</v>
      </c>
      <c r="D2107" s="3" t="s">
        <v>171</v>
      </c>
      <c r="E2107" s="5" t="str">
        <f>TEXT(D2107,"dd/mm/yyyy")</f>
        <v>16/02/2023</v>
      </c>
      <c r="G2107" s="5" t="str">
        <f>TEXT(E2107,"mm")</f>
        <v>16/02/2023</v>
      </c>
      <c r="H2107" s="6">
        <v>11099.73</v>
      </c>
      <c r="I2107">
        <v>73</v>
      </c>
      <c r="L2107" t="str">
        <f t="shared" si="32"/>
        <v>Above Average</v>
      </c>
      <c r="M2107">
        <f>RANK(H2107,H:H,0)</f>
        <v>432</v>
      </c>
    </row>
    <row r="2108" spans="1:13">
      <c r="A2108" t="s">
        <v>79</v>
      </c>
      <c r="B2108" t="s">
        <v>32</v>
      </c>
      <c r="C2108" t="s">
        <v>73</v>
      </c>
      <c r="D2108" s="4">
        <v>44986</v>
      </c>
      <c r="E2108" s="5" t="str">
        <f>TEXT(D2108,"dd/mm/yyyy")</f>
        <v>01/03/2023</v>
      </c>
      <c r="F2108" s="4"/>
      <c r="G2108" s="5" t="str">
        <f>TEXT(E2108,"mm")</f>
        <v>01</v>
      </c>
      <c r="H2108" s="6">
        <v>3590.55</v>
      </c>
      <c r="I2108">
        <v>47</v>
      </c>
      <c r="L2108" t="str">
        <f t="shared" si="32"/>
        <v>Below Average</v>
      </c>
      <c r="M2108">
        <f>RANK(H2108,H:H,0)</f>
        <v>2108</v>
      </c>
    </row>
    <row r="2109" spans="1:13">
      <c r="A2109" t="s">
        <v>37</v>
      </c>
      <c r="B2109" t="s">
        <v>32</v>
      </c>
      <c r="C2109" t="s">
        <v>59</v>
      </c>
      <c r="D2109" s="3" t="s">
        <v>182</v>
      </c>
      <c r="E2109" s="5" t="str">
        <f>TEXT(D2109,"dd/mm/yyyy")</f>
        <v>24/08/2023</v>
      </c>
      <c r="G2109" s="5" t="str">
        <f>TEXT(E2109,"mm")</f>
        <v>24/08/2023</v>
      </c>
      <c r="H2109" s="6">
        <v>5209.3999999999996</v>
      </c>
      <c r="I2109">
        <v>2</v>
      </c>
      <c r="L2109" t="str">
        <f t="shared" si="32"/>
        <v>Below Average</v>
      </c>
      <c r="M2109">
        <f>RANK(H2109,H:H,0)</f>
        <v>1646</v>
      </c>
    </row>
    <row r="2110" spans="1:13">
      <c r="A2110" t="s">
        <v>19</v>
      </c>
      <c r="B2110" t="s">
        <v>32</v>
      </c>
      <c r="C2110" t="s">
        <v>50</v>
      </c>
      <c r="D2110" s="4">
        <v>45109</v>
      </c>
      <c r="E2110" s="5" t="str">
        <f>TEXT(D2110,"dd/mm/yyyy")</f>
        <v>02/07/2023</v>
      </c>
      <c r="F2110" s="4"/>
      <c r="G2110" s="5" t="str">
        <f>TEXT(E2110,"mm")</f>
        <v>02</v>
      </c>
      <c r="H2110" s="6">
        <v>6315.14</v>
      </c>
      <c r="I2110">
        <v>398</v>
      </c>
      <c r="L2110" t="str">
        <f t="shared" si="32"/>
        <v>Above Average</v>
      </c>
      <c r="M2110">
        <f>RANK(H2110,H:H,0)</f>
        <v>1354</v>
      </c>
    </row>
    <row r="2111" spans="1:13">
      <c r="A2111" t="s">
        <v>34</v>
      </c>
      <c r="B2111" t="s">
        <v>15</v>
      </c>
      <c r="C2111" t="s">
        <v>18</v>
      </c>
      <c r="D2111" s="4">
        <v>45232</v>
      </c>
      <c r="E2111" s="5" t="str">
        <f>TEXT(D2111,"dd/mm/yyyy")</f>
        <v>02/11/2023</v>
      </c>
      <c r="F2111" s="4"/>
      <c r="G2111" s="5" t="str">
        <f>TEXT(E2111,"mm")</f>
        <v>02</v>
      </c>
      <c r="H2111" s="6">
        <v>4454.71</v>
      </c>
      <c r="I2111">
        <v>117</v>
      </c>
      <c r="L2111" t="str">
        <f t="shared" si="32"/>
        <v>Below Average</v>
      </c>
      <c r="M2111">
        <f>RANK(H2111,H:H,0)</f>
        <v>1863</v>
      </c>
    </row>
    <row r="2112" spans="1:13">
      <c r="A2112" t="s">
        <v>55</v>
      </c>
      <c r="B2112" t="s">
        <v>35</v>
      </c>
      <c r="C2112" t="s">
        <v>42</v>
      </c>
      <c r="D2112" s="3" t="s">
        <v>221</v>
      </c>
      <c r="E2112" s="5" t="str">
        <f>TEXT(D2112,"dd/mm/yyyy")</f>
        <v>29/03/2023</v>
      </c>
      <c r="G2112" s="5" t="str">
        <f>TEXT(E2112,"mm")</f>
        <v>29/03/2023</v>
      </c>
      <c r="H2112" s="6">
        <v>6078.71</v>
      </c>
      <c r="I2112">
        <v>78</v>
      </c>
      <c r="L2112" t="str">
        <f t="shared" si="32"/>
        <v>Above Average</v>
      </c>
      <c r="M2112">
        <f>RANK(H2112,H:H,0)</f>
        <v>1409</v>
      </c>
    </row>
    <row r="2113" spans="1:13">
      <c r="A2113" t="s">
        <v>40</v>
      </c>
      <c r="B2113" t="s">
        <v>32</v>
      </c>
      <c r="C2113" t="s">
        <v>13</v>
      </c>
      <c r="D2113" s="3" t="s">
        <v>177</v>
      </c>
      <c r="E2113" s="5" t="str">
        <f>TEXT(D2113,"dd/mm/yyyy")</f>
        <v>15/06/2023</v>
      </c>
      <c r="G2113" s="5" t="str">
        <f>TEXT(E2113,"mm")</f>
        <v>15/06/2023</v>
      </c>
      <c r="H2113" s="6">
        <v>695.96</v>
      </c>
      <c r="I2113">
        <v>363</v>
      </c>
      <c r="L2113" t="str">
        <f t="shared" si="32"/>
        <v>Below Average</v>
      </c>
      <c r="M2113">
        <f>RANK(H2113,H:H,0)</f>
        <v>3066</v>
      </c>
    </row>
    <row r="2114" spans="1:13">
      <c r="A2114" t="s">
        <v>58</v>
      </c>
      <c r="B2114" t="s">
        <v>7</v>
      </c>
      <c r="C2114" t="s">
        <v>18</v>
      </c>
      <c r="D2114" s="3" t="s">
        <v>254</v>
      </c>
      <c r="E2114" s="5" t="str">
        <f>TEXT(D2114,"dd/mm/yyyy")</f>
        <v>26/04/2023</v>
      </c>
      <c r="G2114" s="5" t="str">
        <f>TEXT(E2114,"mm")</f>
        <v>26/04/2023</v>
      </c>
      <c r="H2114" s="6">
        <v>563.76</v>
      </c>
      <c r="I2114">
        <v>151</v>
      </c>
      <c r="L2114" t="str">
        <f t="shared" si="32"/>
        <v>Below Average</v>
      </c>
      <c r="M2114">
        <f>RANK(H2114,H:H,0)</f>
        <v>3111</v>
      </c>
    </row>
    <row r="2115" spans="1:13">
      <c r="A2115" t="s">
        <v>28</v>
      </c>
      <c r="B2115" t="s">
        <v>15</v>
      </c>
      <c r="C2115" t="s">
        <v>42</v>
      </c>
      <c r="D2115" s="3" t="s">
        <v>189</v>
      </c>
      <c r="E2115" s="5" t="str">
        <f>TEXT(D2115,"dd/mm/yyyy")</f>
        <v>15/07/2023</v>
      </c>
      <c r="G2115" s="5" t="str">
        <f>TEXT(E2115,"mm")</f>
        <v>15/07/2023</v>
      </c>
      <c r="H2115" s="6">
        <v>4479.6899999999996</v>
      </c>
      <c r="I2115">
        <v>261</v>
      </c>
      <c r="L2115" t="str">
        <f t="shared" ref="L2115:L2178" si="33">IF(H2115&gt;6030.34,"Above Average","Below Average")</f>
        <v>Below Average</v>
      </c>
      <c r="M2115">
        <f>RANK(H2115,H:H,0)</f>
        <v>1859</v>
      </c>
    </row>
    <row r="2116" spans="1:13">
      <c r="A2116" t="s">
        <v>41</v>
      </c>
      <c r="B2116" t="s">
        <v>10</v>
      </c>
      <c r="C2116" t="s">
        <v>42</v>
      </c>
      <c r="D2116" s="3" t="s">
        <v>245</v>
      </c>
      <c r="E2116" s="5" t="str">
        <f>TEXT(D2116,"dd/mm/yyyy")</f>
        <v>23/06/2023</v>
      </c>
      <c r="G2116" s="5" t="str">
        <f>TEXT(E2116,"mm")</f>
        <v>23/06/2023</v>
      </c>
      <c r="H2116" s="6">
        <v>1093.72</v>
      </c>
      <c r="I2116">
        <v>22</v>
      </c>
      <c r="L2116" t="str">
        <f t="shared" si="33"/>
        <v>Below Average</v>
      </c>
      <c r="M2116">
        <f>RANK(H2116,H:H,0)</f>
        <v>2942</v>
      </c>
    </row>
    <row r="2117" spans="1:13">
      <c r="A2117" t="s">
        <v>58</v>
      </c>
      <c r="B2117" t="s">
        <v>15</v>
      </c>
      <c r="C2117" t="s">
        <v>87</v>
      </c>
      <c r="D2117" s="4">
        <v>45231</v>
      </c>
      <c r="E2117" s="5" t="str">
        <f>TEXT(D2117,"dd/mm/yyyy")</f>
        <v>01/11/2023</v>
      </c>
      <c r="F2117" s="4"/>
      <c r="G2117" s="5" t="str">
        <f>TEXT(E2117,"mm")</f>
        <v>01</v>
      </c>
      <c r="H2117" s="6">
        <v>15870.43</v>
      </c>
      <c r="I2117">
        <v>449</v>
      </c>
      <c r="L2117" t="str">
        <f t="shared" si="33"/>
        <v>Above Average</v>
      </c>
      <c r="M2117">
        <f>RANK(H2117,H:H,0)</f>
        <v>105</v>
      </c>
    </row>
    <row r="2118" spans="1:13">
      <c r="A2118" t="s">
        <v>41</v>
      </c>
      <c r="B2118" t="s">
        <v>7</v>
      </c>
      <c r="C2118" t="s">
        <v>26</v>
      </c>
      <c r="D2118" s="4">
        <v>45171</v>
      </c>
      <c r="E2118" s="5" t="str">
        <f>TEXT(D2118,"dd/mm/yyyy")</f>
        <v>02/09/2023</v>
      </c>
      <c r="F2118" s="4"/>
      <c r="G2118" s="5" t="str">
        <f>TEXT(E2118,"mm")</f>
        <v>02</v>
      </c>
      <c r="H2118" s="6">
        <v>2529.8200000000002</v>
      </c>
      <c r="I2118">
        <v>297</v>
      </c>
      <c r="L2118" t="str">
        <f t="shared" si="33"/>
        <v>Below Average</v>
      </c>
      <c r="M2118">
        <f>RANK(H2118,H:H,0)</f>
        <v>2458</v>
      </c>
    </row>
    <row r="2119" spans="1:13">
      <c r="A2119" t="s">
        <v>9</v>
      </c>
      <c r="B2119" t="s">
        <v>7</v>
      </c>
      <c r="C2119" t="s">
        <v>65</v>
      </c>
      <c r="D2119" s="4">
        <v>45083</v>
      </c>
      <c r="E2119" s="5" t="str">
        <f>TEXT(D2119,"dd/mm/yyyy")</f>
        <v>06/06/2023</v>
      </c>
      <c r="F2119" s="4"/>
      <c r="G2119" s="5" t="str">
        <f>TEXT(E2119,"mm")</f>
        <v>06</v>
      </c>
      <c r="H2119" s="6">
        <v>11258.39</v>
      </c>
      <c r="I2119">
        <v>217</v>
      </c>
      <c r="L2119" t="str">
        <f t="shared" si="33"/>
        <v>Above Average</v>
      </c>
      <c r="M2119">
        <f>RANK(H2119,H:H,0)</f>
        <v>420</v>
      </c>
    </row>
    <row r="2120" spans="1:13">
      <c r="A2120" t="s">
        <v>79</v>
      </c>
      <c r="B2120" t="s">
        <v>7</v>
      </c>
      <c r="C2120" t="s">
        <v>90</v>
      </c>
      <c r="D2120" s="4">
        <v>45207</v>
      </c>
      <c r="E2120" s="5" t="str">
        <f>TEXT(D2120,"dd/mm/yyyy")</f>
        <v>08/10/2023</v>
      </c>
      <c r="F2120" s="4"/>
      <c r="G2120" s="5" t="str">
        <f>TEXT(E2120,"mm")</f>
        <v>08</v>
      </c>
      <c r="H2120" s="6">
        <v>6180.45</v>
      </c>
      <c r="I2120">
        <v>230</v>
      </c>
      <c r="L2120" t="str">
        <f t="shared" si="33"/>
        <v>Above Average</v>
      </c>
      <c r="M2120">
        <f>RANK(H2120,H:H,0)</f>
        <v>1385</v>
      </c>
    </row>
    <row r="2121" spans="1:13">
      <c r="A2121" t="s">
        <v>64</v>
      </c>
      <c r="B2121" t="s">
        <v>15</v>
      </c>
      <c r="C2121" t="s">
        <v>18</v>
      </c>
      <c r="D2121" s="4">
        <v>45017</v>
      </c>
      <c r="E2121" s="5" t="str">
        <f>TEXT(D2121,"dd/mm/yyyy")</f>
        <v>01/04/2023</v>
      </c>
      <c r="F2121" s="4"/>
      <c r="G2121" s="5" t="str">
        <f>TEXT(E2121,"mm")</f>
        <v>01</v>
      </c>
      <c r="H2121" s="6">
        <v>2496.06</v>
      </c>
      <c r="I2121">
        <v>45</v>
      </c>
      <c r="L2121" t="str">
        <f t="shared" si="33"/>
        <v>Below Average</v>
      </c>
      <c r="M2121">
        <f>RANK(H2121,H:H,0)</f>
        <v>2475</v>
      </c>
    </row>
    <row r="2122" spans="1:13">
      <c r="A2122" t="s">
        <v>67</v>
      </c>
      <c r="B2122" t="s">
        <v>35</v>
      </c>
      <c r="C2122" t="s">
        <v>100</v>
      </c>
      <c r="D2122" s="4">
        <v>45142</v>
      </c>
      <c r="E2122" s="5" t="str">
        <f>TEXT(D2122,"dd/mm/yyyy")</f>
        <v>04/08/2023</v>
      </c>
      <c r="F2122" s="4"/>
      <c r="G2122" s="5" t="str">
        <f>TEXT(E2122,"mm")</f>
        <v>04</v>
      </c>
      <c r="H2122" s="6">
        <v>10964.29</v>
      </c>
      <c r="I2122">
        <v>16</v>
      </c>
      <c r="L2122" t="str">
        <f t="shared" si="33"/>
        <v>Above Average</v>
      </c>
      <c r="M2122">
        <f>RANK(H2122,H:H,0)</f>
        <v>446</v>
      </c>
    </row>
    <row r="2123" spans="1:13">
      <c r="A2123" t="s">
        <v>31</v>
      </c>
      <c r="B2123" t="s">
        <v>7</v>
      </c>
      <c r="C2123" t="s">
        <v>46</v>
      </c>
      <c r="D2123" s="4">
        <v>44960</v>
      </c>
      <c r="E2123" s="5" t="str">
        <f>TEXT(D2123,"dd/mm/yyyy")</f>
        <v>03/02/2023</v>
      </c>
      <c r="F2123" s="4"/>
      <c r="G2123" s="5" t="str">
        <f>TEXT(E2123,"mm")</f>
        <v>03</v>
      </c>
      <c r="H2123" s="6">
        <v>4012.51</v>
      </c>
      <c r="I2123">
        <v>409</v>
      </c>
      <c r="L2123" t="str">
        <f t="shared" si="33"/>
        <v>Below Average</v>
      </c>
      <c r="M2123">
        <f>RANK(H2123,H:H,0)</f>
        <v>1982</v>
      </c>
    </row>
    <row r="2124" spans="1:13">
      <c r="A2124" t="s">
        <v>9</v>
      </c>
      <c r="B2124" t="s">
        <v>35</v>
      </c>
      <c r="C2124" t="s">
        <v>38</v>
      </c>
      <c r="D2124" s="3" t="s">
        <v>177</v>
      </c>
      <c r="E2124" s="5" t="str">
        <f>TEXT(D2124,"dd/mm/yyyy")</f>
        <v>15/06/2023</v>
      </c>
      <c r="G2124" s="5" t="str">
        <f>TEXT(E2124,"mm")</f>
        <v>15/06/2023</v>
      </c>
      <c r="H2124" s="6">
        <v>4919.25</v>
      </c>
      <c r="I2124">
        <v>746</v>
      </c>
      <c r="L2124" t="str">
        <f t="shared" si="33"/>
        <v>Below Average</v>
      </c>
      <c r="M2124">
        <f>RANK(H2124,H:H,0)</f>
        <v>1724</v>
      </c>
    </row>
    <row r="2125" spans="1:13">
      <c r="A2125" t="s">
        <v>6</v>
      </c>
      <c r="B2125" t="s">
        <v>15</v>
      </c>
      <c r="C2125" t="s">
        <v>23</v>
      </c>
      <c r="D2125" s="3" t="s">
        <v>170</v>
      </c>
      <c r="E2125" s="5" t="str">
        <f>TEXT(D2125,"dd/mm/yyyy")</f>
        <v>14/02/2023</v>
      </c>
      <c r="G2125" s="5" t="str">
        <f>TEXT(E2125,"mm")</f>
        <v>14/02/2023</v>
      </c>
      <c r="H2125" s="6">
        <v>5602.02</v>
      </c>
      <c r="I2125">
        <v>51</v>
      </c>
      <c r="L2125" t="str">
        <f t="shared" si="33"/>
        <v>Below Average</v>
      </c>
      <c r="M2125">
        <f>RANK(H2125,H:H,0)</f>
        <v>1541</v>
      </c>
    </row>
    <row r="2126" spans="1:13">
      <c r="A2126" t="s">
        <v>53</v>
      </c>
      <c r="B2126" t="s">
        <v>7</v>
      </c>
      <c r="C2126" t="s">
        <v>23</v>
      </c>
      <c r="D2126" s="4">
        <v>45053</v>
      </c>
      <c r="E2126" s="5" t="str">
        <f>TEXT(D2126,"dd/mm/yyyy")</f>
        <v>07/05/2023</v>
      </c>
      <c r="F2126" s="4"/>
      <c r="G2126" s="5" t="str">
        <f>TEXT(E2126,"mm")</f>
        <v>07</v>
      </c>
      <c r="H2126" s="6">
        <v>3563.87</v>
      </c>
      <c r="I2126">
        <v>372</v>
      </c>
      <c r="L2126" t="str">
        <f t="shared" si="33"/>
        <v>Below Average</v>
      </c>
      <c r="M2126">
        <f>RANK(H2126,H:H,0)</f>
        <v>2119</v>
      </c>
    </row>
    <row r="2127" spans="1:13">
      <c r="A2127" t="s">
        <v>31</v>
      </c>
      <c r="B2127" t="s">
        <v>10</v>
      </c>
      <c r="C2127" t="s">
        <v>8</v>
      </c>
      <c r="D2127" s="4">
        <v>45261</v>
      </c>
      <c r="E2127" s="5" t="str">
        <f>TEXT(D2127,"dd/mm/yyyy")</f>
        <v>01/12/2023</v>
      </c>
      <c r="F2127" s="4"/>
      <c r="G2127" s="5" t="str">
        <f>TEXT(E2127,"mm")</f>
        <v>01</v>
      </c>
      <c r="H2127" s="6">
        <v>8313.09</v>
      </c>
      <c r="I2127">
        <v>493</v>
      </c>
      <c r="L2127" t="str">
        <f t="shared" si="33"/>
        <v>Above Average</v>
      </c>
      <c r="M2127">
        <f>RANK(H2127,H:H,0)</f>
        <v>869</v>
      </c>
    </row>
    <row r="2128" spans="1:13">
      <c r="A2128" t="s">
        <v>48</v>
      </c>
      <c r="B2128" t="s">
        <v>10</v>
      </c>
      <c r="C2128" t="s">
        <v>8</v>
      </c>
      <c r="D2128" s="4">
        <v>44988</v>
      </c>
      <c r="E2128" s="5" t="str">
        <f>TEXT(D2128,"dd/mm/yyyy")</f>
        <v>03/03/2023</v>
      </c>
      <c r="F2128" s="4"/>
      <c r="G2128" s="5" t="str">
        <f>TEXT(E2128,"mm")</f>
        <v>03</v>
      </c>
      <c r="H2128" s="6">
        <v>8447.48</v>
      </c>
      <c r="I2128">
        <v>96</v>
      </c>
      <c r="L2128" t="str">
        <f t="shared" si="33"/>
        <v>Above Average</v>
      </c>
      <c r="M2128">
        <f>RANK(H2128,H:H,0)</f>
        <v>846</v>
      </c>
    </row>
    <row r="2129" spans="1:13">
      <c r="A2129" t="s">
        <v>6</v>
      </c>
      <c r="B2129" t="s">
        <v>25</v>
      </c>
      <c r="C2129" t="s">
        <v>46</v>
      </c>
      <c r="D2129" s="3" t="s">
        <v>190</v>
      </c>
      <c r="E2129" s="5" t="str">
        <f>TEXT(D2129,"dd/mm/yyyy")</f>
        <v>18/05/2023</v>
      </c>
      <c r="G2129" s="5" t="str">
        <f>TEXT(E2129,"mm")</f>
        <v>18/05/2023</v>
      </c>
      <c r="H2129" s="6">
        <v>2646.23</v>
      </c>
      <c r="I2129">
        <v>198</v>
      </c>
      <c r="L2129" t="str">
        <f t="shared" si="33"/>
        <v>Below Average</v>
      </c>
      <c r="M2129">
        <f>RANK(H2129,H:H,0)</f>
        <v>2422</v>
      </c>
    </row>
    <row r="2130" spans="1:13">
      <c r="A2130" t="s">
        <v>22</v>
      </c>
      <c r="B2130" t="s">
        <v>10</v>
      </c>
      <c r="C2130" t="s">
        <v>90</v>
      </c>
      <c r="D2130" s="3" t="s">
        <v>168</v>
      </c>
      <c r="E2130" s="5" t="str">
        <f>TEXT(D2130,"dd/mm/yyyy")</f>
        <v>28/07/2023</v>
      </c>
      <c r="G2130" s="5" t="str">
        <f>TEXT(E2130,"mm")</f>
        <v>28/07/2023</v>
      </c>
      <c r="H2130" s="6">
        <v>2706.83</v>
      </c>
      <c r="I2130">
        <v>198</v>
      </c>
      <c r="L2130" t="str">
        <f t="shared" si="33"/>
        <v>Below Average</v>
      </c>
      <c r="M2130">
        <f>RANK(H2130,H:H,0)</f>
        <v>2402</v>
      </c>
    </row>
    <row r="2131" spans="1:13">
      <c r="A2131" t="s">
        <v>48</v>
      </c>
      <c r="B2131" t="s">
        <v>7</v>
      </c>
      <c r="C2131" t="s">
        <v>60</v>
      </c>
      <c r="D2131" s="4">
        <v>45109</v>
      </c>
      <c r="E2131" s="5" t="str">
        <f>TEXT(D2131,"dd/mm/yyyy")</f>
        <v>02/07/2023</v>
      </c>
      <c r="F2131" s="4"/>
      <c r="G2131" s="5" t="str">
        <f>TEXT(E2131,"mm")</f>
        <v>02</v>
      </c>
      <c r="H2131" s="6">
        <v>1710.48</v>
      </c>
      <c r="I2131">
        <v>108</v>
      </c>
      <c r="L2131" t="str">
        <f t="shared" si="33"/>
        <v>Below Average</v>
      </c>
      <c r="M2131">
        <f>RANK(H2131,H:H,0)</f>
        <v>2731</v>
      </c>
    </row>
    <row r="2132" spans="1:13">
      <c r="A2132" t="s">
        <v>67</v>
      </c>
      <c r="B2132" t="s">
        <v>10</v>
      </c>
      <c r="C2132" t="s">
        <v>33</v>
      </c>
      <c r="D2132" s="3" t="s">
        <v>174</v>
      </c>
      <c r="E2132" s="5" t="str">
        <f>TEXT(D2132,"dd/mm/yyyy")</f>
        <v>30/05/2023</v>
      </c>
      <c r="G2132" s="5" t="str">
        <f>TEXT(E2132,"mm")</f>
        <v>30/05/2023</v>
      </c>
      <c r="H2132" s="6">
        <v>318.19</v>
      </c>
      <c r="I2132">
        <v>417</v>
      </c>
      <c r="L2132" t="str">
        <f t="shared" si="33"/>
        <v>Below Average</v>
      </c>
      <c r="M2132">
        <f>RANK(H2132,H:H,0)</f>
        <v>3183</v>
      </c>
    </row>
    <row r="2133" spans="1:13">
      <c r="A2133" t="s">
        <v>34</v>
      </c>
      <c r="B2133" t="s">
        <v>15</v>
      </c>
      <c r="C2133" t="s">
        <v>73</v>
      </c>
      <c r="D2133" s="3" t="s">
        <v>217</v>
      </c>
      <c r="E2133" s="5" t="str">
        <f>TEXT(D2133,"dd/mm/yyyy")</f>
        <v>25/04/2023</v>
      </c>
      <c r="G2133" s="5" t="str">
        <f>TEXT(E2133,"mm")</f>
        <v>25/04/2023</v>
      </c>
      <c r="H2133" s="6">
        <v>9479.65</v>
      </c>
      <c r="I2133">
        <v>26</v>
      </c>
      <c r="L2133" t="str">
        <f t="shared" si="33"/>
        <v>Above Average</v>
      </c>
      <c r="M2133">
        <f>RANK(H2133,H:H,0)</f>
        <v>657</v>
      </c>
    </row>
    <row r="2134" spans="1:13">
      <c r="A2134" t="s">
        <v>41</v>
      </c>
      <c r="B2134" t="s">
        <v>35</v>
      </c>
      <c r="C2134" t="s">
        <v>11</v>
      </c>
      <c r="D2134" s="3" t="s">
        <v>171</v>
      </c>
      <c r="E2134" s="5" t="str">
        <f>TEXT(D2134,"dd/mm/yyyy")</f>
        <v>16/02/2023</v>
      </c>
      <c r="G2134" s="5" t="str">
        <f>TEXT(E2134,"mm")</f>
        <v>16/02/2023</v>
      </c>
      <c r="H2134" s="6">
        <v>6393.2</v>
      </c>
      <c r="I2134">
        <v>44</v>
      </c>
      <c r="L2134" t="str">
        <f t="shared" si="33"/>
        <v>Above Average</v>
      </c>
      <c r="M2134">
        <f>RANK(H2134,H:H,0)</f>
        <v>1333</v>
      </c>
    </row>
    <row r="2135" spans="1:13">
      <c r="A2135" t="s">
        <v>70</v>
      </c>
      <c r="B2135" t="s">
        <v>15</v>
      </c>
      <c r="C2135" t="s">
        <v>38</v>
      </c>
      <c r="D2135" s="4">
        <v>45021</v>
      </c>
      <c r="E2135" s="5" t="str">
        <f>TEXT(D2135,"dd/mm/yyyy")</f>
        <v>05/04/2023</v>
      </c>
      <c r="F2135" s="4"/>
      <c r="G2135" s="5" t="str">
        <f>TEXT(E2135,"mm")</f>
        <v>05</v>
      </c>
      <c r="H2135" s="6">
        <v>1355.65</v>
      </c>
      <c r="I2135">
        <v>60</v>
      </c>
      <c r="L2135" t="str">
        <f t="shared" si="33"/>
        <v>Below Average</v>
      </c>
      <c r="M2135">
        <f>RANK(H2135,H:H,0)</f>
        <v>2859</v>
      </c>
    </row>
    <row r="2136" spans="1:13">
      <c r="A2136" t="s">
        <v>9</v>
      </c>
      <c r="B2136" t="s">
        <v>35</v>
      </c>
      <c r="C2136" t="s">
        <v>100</v>
      </c>
      <c r="D2136" s="4">
        <v>44963</v>
      </c>
      <c r="E2136" s="5" t="str">
        <f>TEXT(D2136,"dd/mm/yyyy")</f>
        <v>06/02/2023</v>
      </c>
      <c r="F2136" s="4"/>
      <c r="G2136" s="5" t="str">
        <f>TEXT(E2136,"mm")</f>
        <v>06</v>
      </c>
      <c r="H2136" s="6">
        <v>7911.23</v>
      </c>
      <c r="I2136">
        <v>74</v>
      </c>
      <c r="L2136" t="str">
        <f t="shared" si="33"/>
        <v>Above Average</v>
      </c>
      <c r="M2136">
        <f>RANK(H2136,H:H,0)</f>
        <v>963</v>
      </c>
    </row>
    <row r="2137" spans="1:13">
      <c r="A2137" t="s">
        <v>58</v>
      </c>
      <c r="B2137" t="s">
        <v>32</v>
      </c>
      <c r="C2137" t="s">
        <v>90</v>
      </c>
      <c r="D2137" s="4">
        <v>45237</v>
      </c>
      <c r="E2137" s="5" t="str">
        <f>TEXT(D2137,"dd/mm/yyyy")</f>
        <v>07/11/2023</v>
      </c>
      <c r="F2137" s="4"/>
      <c r="G2137" s="5" t="str">
        <f>TEXT(E2137,"mm")</f>
        <v>07</v>
      </c>
      <c r="H2137" s="6">
        <v>2583.0300000000002</v>
      </c>
      <c r="I2137">
        <v>501</v>
      </c>
      <c r="L2137" t="str">
        <f t="shared" si="33"/>
        <v>Below Average</v>
      </c>
      <c r="M2137">
        <f>RANK(H2137,H:H,0)</f>
        <v>2445</v>
      </c>
    </row>
    <row r="2138" spans="1:13">
      <c r="A2138" t="s">
        <v>41</v>
      </c>
      <c r="B2138" t="s">
        <v>25</v>
      </c>
      <c r="C2138" t="s">
        <v>50</v>
      </c>
      <c r="D2138" s="4">
        <v>45113</v>
      </c>
      <c r="E2138" s="5" t="str">
        <f>TEXT(D2138,"dd/mm/yyyy")</f>
        <v>06/07/2023</v>
      </c>
      <c r="F2138" s="4"/>
      <c r="G2138" s="5" t="str">
        <f>TEXT(E2138,"mm")</f>
        <v>06</v>
      </c>
      <c r="H2138" s="6">
        <v>66.13</v>
      </c>
      <c r="I2138">
        <v>65</v>
      </c>
      <c r="L2138" t="str">
        <f t="shared" si="33"/>
        <v>Below Average</v>
      </c>
      <c r="M2138">
        <f>RANK(H2138,H:H,0)</f>
        <v>3263</v>
      </c>
    </row>
    <row r="2139" spans="1:13">
      <c r="A2139" t="s">
        <v>14</v>
      </c>
      <c r="B2139" t="s">
        <v>7</v>
      </c>
      <c r="C2139" t="s">
        <v>65</v>
      </c>
      <c r="D2139" s="4">
        <v>45084</v>
      </c>
      <c r="E2139" s="5" t="str">
        <f>TEXT(D2139,"dd/mm/yyyy")</f>
        <v>07/06/2023</v>
      </c>
      <c r="F2139" s="4"/>
      <c r="G2139" s="5" t="str">
        <f>TEXT(E2139,"mm")</f>
        <v>07</v>
      </c>
      <c r="H2139" s="6">
        <v>10668.69</v>
      </c>
      <c r="I2139">
        <v>150</v>
      </c>
      <c r="L2139" t="str">
        <f t="shared" si="33"/>
        <v>Above Average</v>
      </c>
      <c r="M2139">
        <f>RANK(H2139,H:H,0)</f>
        <v>494</v>
      </c>
    </row>
    <row r="2140" spans="1:13">
      <c r="A2140" t="s">
        <v>53</v>
      </c>
      <c r="B2140" t="s">
        <v>10</v>
      </c>
      <c r="C2140" t="s">
        <v>73</v>
      </c>
      <c r="D2140" s="3" t="s">
        <v>177</v>
      </c>
      <c r="E2140" s="5" t="str">
        <f>TEXT(D2140,"dd/mm/yyyy")</f>
        <v>15/06/2023</v>
      </c>
      <c r="G2140" s="5" t="str">
        <f>TEXT(E2140,"mm")</f>
        <v>15/06/2023</v>
      </c>
      <c r="H2140" s="6">
        <v>10994.3</v>
      </c>
      <c r="I2140">
        <v>152</v>
      </c>
      <c r="L2140" t="str">
        <f t="shared" si="33"/>
        <v>Above Average</v>
      </c>
      <c r="M2140">
        <f>RANK(H2140,H:H,0)</f>
        <v>439</v>
      </c>
    </row>
    <row r="2141" spans="1:13">
      <c r="A2141" t="s">
        <v>79</v>
      </c>
      <c r="B2141" t="s">
        <v>10</v>
      </c>
      <c r="C2141" t="s">
        <v>8</v>
      </c>
      <c r="D2141" s="3" t="s">
        <v>195</v>
      </c>
      <c r="E2141" s="5" t="str">
        <f>TEXT(D2141,"dd/mm/yyyy")</f>
        <v>14/04/2023</v>
      </c>
      <c r="G2141" s="5" t="str">
        <f>TEXT(E2141,"mm")</f>
        <v>14/04/2023</v>
      </c>
      <c r="H2141" s="6">
        <v>1259.6099999999999</v>
      </c>
      <c r="I2141">
        <v>227</v>
      </c>
      <c r="L2141" t="str">
        <f t="shared" si="33"/>
        <v>Below Average</v>
      </c>
      <c r="M2141">
        <f>RANK(H2141,H:H,0)</f>
        <v>2892</v>
      </c>
    </row>
    <row r="2142" spans="1:13">
      <c r="A2142" t="s">
        <v>71</v>
      </c>
      <c r="B2142" t="s">
        <v>10</v>
      </c>
      <c r="C2142" t="s">
        <v>38</v>
      </c>
      <c r="D2142" s="4">
        <v>45146</v>
      </c>
      <c r="E2142" s="5" t="str">
        <f>TEXT(D2142,"dd/mm/yyyy")</f>
        <v>08/08/2023</v>
      </c>
      <c r="F2142" s="4"/>
      <c r="G2142" s="5" t="str">
        <f>TEXT(E2142,"mm")</f>
        <v>08</v>
      </c>
      <c r="H2142" s="6">
        <v>492.13</v>
      </c>
      <c r="I2142">
        <v>164</v>
      </c>
      <c r="L2142" t="str">
        <f t="shared" si="33"/>
        <v>Below Average</v>
      </c>
      <c r="M2142">
        <f>RANK(H2142,H:H,0)</f>
        <v>3132</v>
      </c>
    </row>
    <row r="2143" spans="1:13">
      <c r="A2143" t="s">
        <v>40</v>
      </c>
      <c r="B2143" t="s">
        <v>7</v>
      </c>
      <c r="C2143" t="s">
        <v>38</v>
      </c>
      <c r="D2143" s="3" t="s">
        <v>221</v>
      </c>
      <c r="E2143" s="5" t="str">
        <f>TEXT(D2143,"dd/mm/yyyy")</f>
        <v>29/03/2023</v>
      </c>
      <c r="G2143" s="5" t="str">
        <f>TEXT(E2143,"mm")</f>
        <v>29/03/2023</v>
      </c>
      <c r="H2143" s="6">
        <v>1016.77</v>
      </c>
      <c r="I2143">
        <v>28</v>
      </c>
      <c r="L2143" t="str">
        <f t="shared" si="33"/>
        <v>Below Average</v>
      </c>
      <c r="M2143">
        <f>RANK(H2143,H:H,0)</f>
        <v>2969</v>
      </c>
    </row>
    <row r="2144" spans="1:13">
      <c r="A2144" t="s">
        <v>45</v>
      </c>
      <c r="B2144" t="s">
        <v>15</v>
      </c>
      <c r="C2144" t="s">
        <v>42</v>
      </c>
      <c r="D2144" s="4">
        <v>45023</v>
      </c>
      <c r="E2144" s="5" t="str">
        <f>TEXT(D2144,"dd/mm/yyyy")</f>
        <v>07/04/2023</v>
      </c>
      <c r="F2144" s="4"/>
      <c r="G2144" s="5" t="str">
        <f>TEXT(E2144,"mm")</f>
        <v>07</v>
      </c>
      <c r="H2144" s="6">
        <v>4111.42</v>
      </c>
      <c r="I2144">
        <v>81</v>
      </c>
      <c r="L2144" t="str">
        <f t="shared" si="33"/>
        <v>Below Average</v>
      </c>
      <c r="M2144">
        <f>RANK(H2144,H:H,0)</f>
        <v>1955</v>
      </c>
    </row>
    <row r="2145" spans="1:13">
      <c r="A2145" t="s">
        <v>83</v>
      </c>
      <c r="B2145" t="s">
        <v>10</v>
      </c>
      <c r="C2145" t="s">
        <v>20</v>
      </c>
      <c r="D2145" s="3" t="s">
        <v>171</v>
      </c>
      <c r="E2145" s="5" t="str">
        <f>TEXT(D2145,"dd/mm/yyyy")</f>
        <v>16/02/2023</v>
      </c>
      <c r="G2145" s="5" t="str">
        <f>TEXT(E2145,"mm")</f>
        <v>16/02/2023</v>
      </c>
      <c r="H2145" s="6">
        <v>503.97</v>
      </c>
      <c r="I2145">
        <v>105</v>
      </c>
      <c r="L2145" t="str">
        <f t="shared" si="33"/>
        <v>Below Average</v>
      </c>
      <c r="M2145">
        <f>RANK(H2145,H:H,0)</f>
        <v>3125</v>
      </c>
    </row>
    <row r="2146" spans="1:13">
      <c r="A2146" t="s">
        <v>29</v>
      </c>
      <c r="B2146" t="s">
        <v>35</v>
      </c>
      <c r="C2146" t="s">
        <v>50</v>
      </c>
      <c r="D2146" s="4">
        <v>44962</v>
      </c>
      <c r="E2146" s="5" t="str">
        <f>TEXT(D2146,"dd/mm/yyyy")</f>
        <v>05/02/2023</v>
      </c>
      <c r="F2146" s="4"/>
      <c r="G2146" s="5" t="str">
        <f>TEXT(E2146,"mm")</f>
        <v>05</v>
      </c>
      <c r="H2146" s="6">
        <v>2883.71</v>
      </c>
      <c r="I2146">
        <v>163</v>
      </c>
      <c r="L2146" t="str">
        <f t="shared" si="33"/>
        <v>Below Average</v>
      </c>
      <c r="M2146">
        <f>RANK(H2146,H:H,0)</f>
        <v>2349</v>
      </c>
    </row>
    <row r="2147" spans="1:13">
      <c r="A2147" t="s">
        <v>9</v>
      </c>
      <c r="B2147" t="s">
        <v>10</v>
      </c>
      <c r="C2147" t="s">
        <v>36</v>
      </c>
      <c r="D2147" s="3" t="s">
        <v>244</v>
      </c>
      <c r="E2147" s="5" t="str">
        <f>TEXT(D2147,"dd/mm/yyyy")</f>
        <v>21/07/2023</v>
      </c>
      <c r="G2147" s="5" t="str">
        <f>TEXT(E2147,"mm")</f>
        <v>21/07/2023</v>
      </c>
      <c r="H2147" s="6">
        <v>11861.89</v>
      </c>
      <c r="I2147">
        <v>105</v>
      </c>
      <c r="L2147" t="str">
        <f t="shared" si="33"/>
        <v>Above Average</v>
      </c>
      <c r="M2147">
        <f>RANK(H2147,H:H,0)</f>
        <v>355</v>
      </c>
    </row>
    <row r="2148" spans="1:13">
      <c r="A2148" t="s">
        <v>22</v>
      </c>
      <c r="B2148" t="s">
        <v>15</v>
      </c>
      <c r="C2148" t="s">
        <v>20</v>
      </c>
      <c r="D2148" s="3" t="s">
        <v>201</v>
      </c>
      <c r="E2148" s="5" t="str">
        <f>TEXT(D2148,"dd/mm/yyyy")</f>
        <v>18/08/2023</v>
      </c>
      <c r="G2148" s="5" t="str">
        <f>TEXT(E2148,"mm")</f>
        <v>18/08/2023</v>
      </c>
      <c r="H2148" s="6">
        <v>8564.73</v>
      </c>
      <c r="I2148">
        <v>237</v>
      </c>
      <c r="L2148" t="str">
        <f t="shared" si="33"/>
        <v>Above Average</v>
      </c>
      <c r="M2148">
        <f>RANK(H2148,H:H,0)</f>
        <v>819</v>
      </c>
    </row>
    <row r="2149" spans="1:13">
      <c r="A2149" t="s">
        <v>55</v>
      </c>
      <c r="B2149" t="s">
        <v>32</v>
      </c>
      <c r="C2149" t="s">
        <v>11</v>
      </c>
      <c r="D2149" s="3" t="s">
        <v>250</v>
      </c>
      <c r="E2149" s="5" t="str">
        <f>TEXT(D2149,"dd/mm/yyyy")</f>
        <v>22/06/2023</v>
      </c>
      <c r="G2149" s="5" t="str">
        <f>TEXT(E2149,"mm")</f>
        <v>22/06/2023</v>
      </c>
      <c r="H2149" s="6">
        <v>538.03</v>
      </c>
      <c r="I2149">
        <v>271</v>
      </c>
      <c r="L2149" t="str">
        <f t="shared" si="33"/>
        <v>Below Average</v>
      </c>
      <c r="M2149">
        <f>RANK(H2149,H:H,0)</f>
        <v>3116</v>
      </c>
    </row>
    <row r="2150" spans="1:13">
      <c r="A2150" t="s">
        <v>71</v>
      </c>
      <c r="B2150" t="s">
        <v>7</v>
      </c>
      <c r="C2150" t="s">
        <v>13</v>
      </c>
      <c r="D2150" s="3" t="s">
        <v>187</v>
      </c>
      <c r="E2150" s="5" t="str">
        <f>TEXT(D2150,"dd/mm/yyyy")</f>
        <v>19/07/2023</v>
      </c>
      <c r="G2150" s="5" t="str">
        <f>TEXT(E2150,"mm")</f>
        <v>19/07/2023</v>
      </c>
      <c r="H2150" s="6">
        <v>5231.88</v>
      </c>
      <c r="I2150">
        <v>125</v>
      </c>
      <c r="L2150" t="str">
        <f t="shared" si="33"/>
        <v>Below Average</v>
      </c>
      <c r="M2150">
        <f>RANK(H2150,H:H,0)</f>
        <v>1637</v>
      </c>
    </row>
    <row r="2151" spans="1:13">
      <c r="A2151" t="s">
        <v>77</v>
      </c>
      <c r="B2151" t="s">
        <v>7</v>
      </c>
      <c r="C2151" t="s">
        <v>13</v>
      </c>
      <c r="D2151" s="4">
        <v>45268</v>
      </c>
      <c r="E2151" s="5" t="str">
        <f>TEXT(D2151,"dd/mm/yyyy")</f>
        <v>08/12/2023</v>
      </c>
      <c r="F2151" s="4"/>
      <c r="G2151" s="5" t="str">
        <f>TEXT(E2151,"mm")</f>
        <v>08</v>
      </c>
      <c r="H2151" s="6">
        <v>7916.13</v>
      </c>
      <c r="I2151">
        <v>84</v>
      </c>
      <c r="L2151" t="str">
        <f t="shared" si="33"/>
        <v>Above Average</v>
      </c>
      <c r="M2151">
        <f>RANK(H2151,H:H,0)</f>
        <v>960</v>
      </c>
    </row>
    <row r="2152" spans="1:13">
      <c r="A2152" t="s">
        <v>77</v>
      </c>
      <c r="B2152" t="s">
        <v>32</v>
      </c>
      <c r="C2152" t="s">
        <v>75</v>
      </c>
      <c r="D2152" s="4">
        <v>45113</v>
      </c>
      <c r="E2152" s="5" t="str">
        <f>TEXT(D2152,"dd/mm/yyyy")</f>
        <v>06/07/2023</v>
      </c>
      <c r="F2152" s="4"/>
      <c r="G2152" s="5" t="str">
        <f>TEXT(E2152,"mm")</f>
        <v>06</v>
      </c>
      <c r="H2152" s="6">
        <v>6016.32</v>
      </c>
      <c r="I2152">
        <v>143</v>
      </c>
      <c r="L2152" t="str">
        <f t="shared" si="33"/>
        <v>Below Average</v>
      </c>
      <c r="M2152">
        <f>RANK(H2152,H:H,0)</f>
        <v>1432</v>
      </c>
    </row>
    <row r="2153" spans="1:13">
      <c r="A2153" t="s">
        <v>40</v>
      </c>
      <c r="B2153" t="s">
        <v>35</v>
      </c>
      <c r="C2153" t="s">
        <v>13</v>
      </c>
      <c r="D2153" s="4">
        <v>45141</v>
      </c>
      <c r="E2153" s="5" t="str">
        <f>TEXT(D2153,"dd/mm/yyyy")</f>
        <v>03/08/2023</v>
      </c>
      <c r="F2153" s="4"/>
      <c r="G2153" s="5" t="str">
        <f>TEXT(E2153,"mm")</f>
        <v>03</v>
      </c>
      <c r="H2153" s="6">
        <v>7504.86</v>
      </c>
      <c r="I2153">
        <v>97</v>
      </c>
      <c r="L2153" t="str">
        <f t="shared" si="33"/>
        <v>Above Average</v>
      </c>
      <c r="M2153">
        <f>RANK(H2153,H:H,0)</f>
        <v>1060</v>
      </c>
    </row>
    <row r="2154" spans="1:13">
      <c r="A2154" t="s">
        <v>83</v>
      </c>
      <c r="B2154" t="s">
        <v>15</v>
      </c>
      <c r="C2154" t="s">
        <v>75</v>
      </c>
      <c r="D2154" s="4">
        <v>45142</v>
      </c>
      <c r="E2154" s="5" t="str">
        <f>TEXT(D2154,"dd/mm/yyyy")</f>
        <v>04/08/2023</v>
      </c>
      <c r="F2154" s="4"/>
      <c r="G2154" s="5" t="str">
        <f>TEXT(E2154,"mm")</f>
        <v>04</v>
      </c>
      <c r="H2154" s="6">
        <v>1590.98</v>
      </c>
      <c r="I2154">
        <v>182</v>
      </c>
      <c r="L2154" t="str">
        <f t="shared" si="33"/>
        <v>Below Average</v>
      </c>
      <c r="M2154">
        <f>RANK(H2154,H:H,0)</f>
        <v>2773</v>
      </c>
    </row>
    <row r="2155" spans="1:13">
      <c r="A2155" t="s">
        <v>48</v>
      </c>
      <c r="B2155" t="s">
        <v>35</v>
      </c>
      <c r="C2155" t="s">
        <v>36</v>
      </c>
      <c r="D2155" s="4">
        <v>45082</v>
      </c>
      <c r="E2155" s="5" t="str">
        <f>TEXT(D2155,"dd/mm/yyyy")</f>
        <v>05/06/2023</v>
      </c>
      <c r="F2155" s="4"/>
      <c r="G2155" s="5" t="str">
        <f>TEXT(E2155,"mm")</f>
        <v>05</v>
      </c>
      <c r="H2155" s="6">
        <v>740.07</v>
      </c>
      <c r="I2155">
        <v>205</v>
      </c>
      <c r="L2155" t="str">
        <f t="shared" si="33"/>
        <v>Below Average</v>
      </c>
      <c r="M2155">
        <f>RANK(H2155,H:H,0)</f>
        <v>3046</v>
      </c>
    </row>
    <row r="2156" spans="1:13">
      <c r="A2156" t="s">
        <v>45</v>
      </c>
      <c r="B2156" t="s">
        <v>10</v>
      </c>
      <c r="C2156" t="s">
        <v>38</v>
      </c>
      <c r="D2156" s="3" t="s">
        <v>229</v>
      </c>
      <c r="E2156" s="5" t="str">
        <f>TEXT(D2156,"dd/mm/yyyy")</f>
        <v>31/05/2023</v>
      </c>
      <c r="G2156" s="5" t="str">
        <f>TEXT(E2156,"mm")</f>
        <v>31/05/2023</v>
      </c>
      <c r="H2156" s="6">
        <v>4591.1099999999997</v>
      </c>
      <c r="I2156">
        <v>11</v>
      </c>
      <c r="L2156" t="str">
        <f t="shared" si="33"/>
        <v>Below Average</v>
      </c>
      <c r="M2156">
        <f>RANK(H2156,H:H,0)</f>
        <v>1825</v>
      </c>
    </row>
    <row r="2157" spans="1:13">
      <c r="A2157" t="s">
        <v>9</v>
      </c>
      <c r="B2157" t="s">
        <v>15</v>
      </c>
      <c r="C2157" t="s">
        <v>8</v>
      </c>
      <c r="D2157" s="3" t="s">
        <v>167</v>
      </c>
      <c r="E2157" s="5" t="str">
        <f>TEXT(D2157,"dd/mm/yyyy")</f>
        <v>13/01/2023</v>
      </c>
      <c r="G2157" s="5" t="str">
        <f>TEXT(E2157,"mm")</f>
        <v>13/01/2023</v>
      </c>
      <c r="H2157" s="6">
        <v>2686.51</v>
      </c>
      <c r="I2157">
        <v>324</v>
      </c>
      <c r="L2157" t="str">
        <f t="shared" si="33"/>
        <v>Below Average</v>
      </c>
      <c r="M2157">
        <f>RANK(H2157,H:H,0)</f>
        <v>2409</v>
      </c>
    </row>
    <row r="2158" spans="1:13">
      <c r="A2158" t="s">
        <v>58</v>
      </c>
      <c r="B2158" t="s">
        <v>32</v>
      </c>
      <c r="C2158" t="s">
        <v>100</v>
      </c>
      <c r="D2158" s="3" t="s">
        <v>234</v>
      </c>
      <c r="E2158" s="5" t="str">
        <f>TEXT(D2158,"dd/mm/yyyy")</f>
        <v>15/03/2023</v>
      </c>
      <c r="G2158" s="5" t="str">
        <f>TEXT(E2158,"mm")</f>
        <v>15/03/2023</v>
      </c>
      <c r="H2158" s="6">
        <v>735.48</v>
      </c>
      <c r="I2158">
        <v>77</v>
      </c>
      <c r="L2158" t="str">
        <f t="shared" si="33"/>
        <v>Below Average</v>
      </c>
      <c r="M2158">
        <f>RANK(H2158,H:H,0)</f>
        <v>3047</v>
      </c>
    </row>
    <row r="2159" spans="1:13">
      <c r="A2159" t="s">
        <v>67</v>
      </c>
      <c r="B2159" t="s">
        <v>35</v>
      </c>
      <c r="C2159" t="s">
        <v>13</v>
      </c>
      <c r="D2159" s="3" t="s">
        <v>171</v>
      </c>
      <c r="E2159" s="5" t="str">
        <f>TEXT(D2159,"dd/mm/yyyy")</f>
        <v>16/02/2023</v>
      </c>
      <c r="G2159" s="5" t="str">
        <f>TEXT(E2159,"mm")</f>
        <v>16/02/2023</v>
      </c>
      <c r="H2159" s="6">
        <v>1160.54</v>
      </c>
      <c r="I2159">
        <v>311</v>
      </c>
      <c r="L2159" t="str">
        <f t="shared" si="33"/>
        <v>Below Average</v>
      </c>
      <c r="M2159">
        <f>RANK(H2159,H:H,0)</f>
        <v>2916</v>
      </c>
    </row>
    <row r="2160" spans="1:13">
      <c r="A2160" t="s">
        <v>12</v>
      </c>
      <c r="B2160" t="s">
        <v>32</v>
      </c>
      <c r="C2160" t="s">
        <v>100</v>
      </c>
      <c r="D2160" s="3" t="s">
        <v>225</v>
      </c>
      <c r="E2160" s="5" t="str">
        <f>TEXT(D2160,"dd/mm/yyyy")</f>
        <v>14/01/2023</v>
      </c>
      <c r="G2160" s="5" t="str">
        <f>TEXT(E2160,"mm")</f>
        <v>14/01/2023</v>
      </c>
      <c r="H2160" s="6">
        <v>8078.15</v>
      </c>
      <c r="I2160">
        <v>189</v>
      </c>
      <c r="L2160" t="str">
        <f t="shared" si="33"/>
        <v>Above Average</v>
      </c>
      <c r="M2160">
        <f>RANK(H2160,H:H,0)</f>
        <v>922</v>
      </c>
    </row>
    <row r="2161" spans="1:13">
      <c r="A2161" t="s">
        <v>29</v>
      </c>
      <c r="B2161" t="s">
        <v>15</v>
      </c>
      <c r="C2161" t="s">
        <v>59</v>
      </c>
      <c r="D2161" s="3" t="s">
        <v>251</v>
      </c>
      <c r="E2161" s="5" t="str">
        <f>TEXT(D2161,"dd/mm/yyyy")</f>
        <v>21/03/2023</v>
      </c>
      <c r="G2161" s="5" t="str">
        <f>TEXT(E2161,"mm")</f>
        <v>21/03/2023</v>
      </c>
      <c r="H2161" s="6">
        <v>7467.74</v>
      </c>
      <c r="I2161">
        <v>111</v>
      </c>
      <c r="L2161" t="str">
        <f t="shared" si="33"/>
        <v>Above Average</v>
      </c>
      <c r="M2161">
        <f>RANK(H2161,H:H,0)</f>
        <v>1073</v>
      </c>
    </row>
    <row r="2162" spans="1:13">
      <c r="A2162" t="s">
        <v>45</v>
      </c>
      <c r="B2162" t="s">
        <v>35</v>
      </c>
      <c r="C2162" t="s">
        <v>38</v>
      </c>
      <c r="D2162" s="3" t="s">
        <v>247</v>
      </c>
      <c r="E2162" s="5" t="str">
        <f>TEXT(D2162,"dd/mm/yyyy")</f>
        <v>17/05/2023</v>
      </c>
      <c r="G2162" s="5" t="str">
        <f>TEXT(E2162,"mm")</f>
        <v>17/05/2023</v>
      </c>
      <c r="H2162" s="6">
        <v>7588.41</v>
      </c>
      <c r="I2162">
        <v>342</v>
      </c>
      <c r="L2162" t="str">
        <f t="shared" si="33"/>
        <v>Above Average</v>
      </c>
      <c r="M2162">
        <f>RANK(H2162,H:H,0)</f>
        <v>1047</v>
      </c>
    </row>
    <row r="2163" spans="1:13">
      <c r="A2163" t="s">
        <v>71</v>
      </c>
      <c r="B2163" t="s">
        <v>25</v>
      </c>
      <c r="C2163" t="s">
        <v>11</v>
      </c>
      <c r="D2163" s="4">
        <v>45146</v>
      </c>
      <c r="E2163" s="5" t="str">
        <f>TEXT(D2163,"dd/mm/yyyy")</f>
        <v>08/08/2023</v>
      </c>
      <c r="F2163" s="4"/>
      <c r="G2163" s="5" t="str">
        <f>TEXT(E2163,"mm")</f>
        <v>08</v>
      </c>
      <c r="H2163" s="6">
        <v>15372.54</v>
      </c>
      <c r="I2163">
        <v>57</v>
      </c>
      <c r="L2163" t="str">
        <f t="shared" si="33"/>
        <v>Above Average</v>
      </c>
      <c r="M2163">
        <f>RANK(H2163,H:H,0)</f>
        <v>132</v>
      </c>
    </row>
    <row r="2164" spans="1:13">
      <c r="A2164" t="s">
        <v>77</v>
      </c>
      <c r="B2164" t="s">
        <v>35</v>
      </c>
      <c r="C2164" t="s">
        <v>46</v>
      </c>
      <c r="D2164" s="3" t="s">
        <v>254</v>
      </c>
      <c r="E2164" s="5" t="str">
        <f>TEXT(D2164,"dd/mm/yyyy")</f>
        <v>26/04/2023</v>
      </c>
      <c r="G2164" s="5" t="str">
        <f>TEXT(E2164,"mm")</f>
        <v>26/04/2023</v>
      </c>
      <c r="H2164" s="6">
        <v>3907.5</v>
      </c>
      <c r="I2164">
        <v>86</v>
      </c>
      <c r="L2164" t="str">
        <f t="shared" si="33"/>
        <v>Below Average</v>
      </c>
      <c r="M2164">
        <f>RANK(H2164,H:H,0)</f>
        <v>2011</v>
      </c>
    </row>
    <row r="2165" spans="1:13">
      <c r="A2165" t="s">
        <v>77</v>
      </c>
      <c r="B2165" t="s">
        <v>15</v>
      </c>
      <c r="C2165" t="s">
        <v>100</v>
      </c>
      <c r="D2165" s="3" t="s">
        <v>184</v>
      </c>
      <c r="E2165" s="5" t="str">
        <f>TEXT(D2165,"dd/mm/yyyy")</f>
        <v>15/04/2023</v>
      </c>
      <c r="G2165" s="5" t="str">
        <f>TEXT(E2165,"mm")</f>
        <v>15/04/2023</v>
      </c>
      <c r="H2165" s="6">
        <v>3740.76</v>
      </c>
      <c r="I2165">
        <v>255</v>
      </c>
      <c r="L2165" t="str">
        <f t="shared" si="33"/>
        <v>Below Average</v>
      </c>
      <c r="M2165">
        <f>RANK(H2165,H:H,0)</f>
        <v>2058</v>
      </c>
    </row>
    <row r="2166" spans="1:13">
      <c r="A2166" t="s">
        <v>19</v>
      </c>
      <c r="B2166" t="s">
        <v>35</v>
      </c>
      <c r="C2166" t="s">
        <v>36</v>
      </c>
      <c r="D2166" s="3" t="s">
        <v>183</v>
      </c>
      <c r="E2166" s="5" t="str">
        <f>TEXT(D2166,"dd/mm/yyyy")</f>
        <v>19/05/2023</v>
      </c>
      <c r="G2166" s="5" t="str">
        <f>TEXT(E2166,"mm")</f>
        <v>19/05/2023</v>
      </c>
      <c r="H2166" s="6">
        <v>6211.75</v>
      </c>
      <c r="I2166">
        <v>561</v>
      </c>
      <c r="L2166" t="str">
        <f t="shared" si="33"/>
        <v>Above Average</v>
      </c>
      <c r="M2166">
        <f>RANK(H2166,H:H,0)</f>
        <v>1377</v>
      </c>
    </row>
    <row r="2167" spans="1:13">
      <c r="A2167" t="s">
        <v>58</v>
      </c>
      <c r="B2167" t="s">
        <v>35</v>
      </c>
      <c r="C2167" t="s">
        <v>38</v>
      </c>
      <c r="D2167" s="4">
        <v>45200</v>
      </c>
      <c r="E2167" s="5" t="str">
        <f>TEXT(D2167,"dd/mm/yyyy")</f>
        <v>01/10/2023</v>
      </c>
      <c r="F2167" s="4"/>
      <c r="G2167" s="5" t="str">
        <f>TEXT(E2167,"mm")</f>
        <v>01</v>
      </c>
      <c r="H2167" s="6">
        <v>2924.46</v>
      </c>
      <c r="I2167">
        <v>25</v>
      </c>
      <c r="L2167" t="str">
        <f t="shared" si="33"/>
        <v>Below Average</v>
      </c>
      <c r="M2167">
        <f>RANK(H2167,H:H,0)</f>
        <v>2336</v>
      </c>
    </row>
    <row r="2168" spans="1:13">
      <c r="A2168" t="s">
        <v>34</v>
      </c>
      <c r="B2168" t="s">
        <v>25</v>
      </c>
      <c r="C2168" t="s">
        <v>23</v>
      </c>
      <c r="D2168" s="4">
        <v>45021</v>
      </c>
      <c r="E2168" s="5" t="str">
        <f>TEXT(D2168,"dd/mm/yyyy")</f>
        <v>05/04/2023</v>
      </c>
      <c r="F2168" s="4"/>
      <c r="G2168" s="5" t="str">
        <f>TEXT(E2168,"mm")</f>
        <v>05</v>
      </c>
      <c r="H2168" s="6">
        <v>501.79</v>
      </c>
      <c r="I2168">
        <v>241</v>
      </c>
      <c r="L2168" t="str">
        <f t="shared" si="33"/>
        <v>Below Average</v>
      </c>
      <c r="M2168">
        <f>RANK(H2168,H:H,0)</f>
        <v>3127</v>
      </c>
    </row>
    <row r="2169" spans="1:13">
      <c r="A2169" t="s">
        <v>45</v>
      </c>
      <c r="B2169" t="s">
        <v>35</v>
      </c>
      <c r="C2169" t="s">
        <v>59</v>
      </c>
      <c r="D2169" s="4">
        <v>45050</v>
      </c>
      <c r="E2169" s="5" t="str">
        <f>TEXT(D2169,"dd/mm/yyyy")</f>
        <v>04/05/2023</v>
      </c>
      <c r="F2169" s="4"/>
      <c r="G2169" s="5" t="str">
        <f>TEXT(E2169,"mm")</f>
        <v>04</v>
      </c>
      <c r="H2169" s="6">
        <v>6594.09</v>
      </c>
      <c r="I2169">
        <v>270</v>
      </c>
      <c r="L2169" t="str">
        <f t="shared" si="33"/>
        <v>Above Average</v>
      </c>
      <c r="M2169">
        <f>RANK(H2169,H:H,0)</f>
        <v>1281</v>
      </c>
    </row>
    <row r="2170" spans="1:13">
      <c r="A2170" t="s">
        <v>67</v>
      </c>
      <c r="B2170" t="s">
        <v>10</v>
      </c>
      <c r="C2170" t="s">
        <v>23</v>
      </c>
      <c r="D2170" s="3" t="s">
        <v>255</v>
      </c>
      <c r="E2170" s="5" t="str">
        <f>TEXT(D2170,"dd/mm/yyyy")</f>
        <v>17/01/2023</v>
      </c>
      <c r="G2170" s="5" t="str">
        <f>TEXT(E2170,"mm")</f>
        <v>17/01/2023</v>
      </c>
      <c r="H2170" s="6">
        <v>960.68</v>
      </c>
      <c r="I2170">
        <v>71</v>
      </c>
      <c r="L2170" t="str">
        <f t="shared" si="33"/>
        <v>Below Average</v>
      </c>
      <c r="M2170">
        <f>RANK(H2170,H:H,0)</f>
        <v>2986</v>
      </c>
    </row>
    <row r="2171" spans="1:13">
      <c r="A2171" t="s">
        <v>45</v>
      </c>
      <c r="B2171" t="s">
        <v>10</v>
      </c>
      <c r="C2171" t="s">
        <v>50</v>
      </c>
      <c r="D2171" s="3" t="s">
        <v>242</v>
      </c>
      <c r="E2171" s="5" t="str">
        <f>TEXT(D2171,"dd/mm/yyyy")</f>
        <v>22/03/2023</v>
      </c>
      <c r="G2171" s="5" t="str">
        <f>TEXT(E2171,"mm")</f>
        <v>22/03/2023</v>
      </c>
      <c r="H2171" s="6">
        <v>11370.32</v>
      </c>
      <c r="I2171">
        <v>170</v>
      </c>
      <c r="L2171" t="str">
        <f t="shared" si="33"/>
        <v>Above Average</v>
      </c>
      <c r="M2171">
        <f>RANK(H2171,H:H,0)</f>
        <v>408</v>
      </c>
    </row>
    <row r="2172" spans="1:13">
      <c r="A2172" t="s">
        <v>79</v>
      </c>
      <c r="B2172" t="s">
        <v>15</v>
      </c>
      <c r="C2172" t="s">
        <v>59</v>
      </c>
      <c r="D2172" s="4">
        <v>45053</v>
      </c>
      <c r="E2172" s="5" t="str">
        <f>TEXT(D2172,"dd/mm/yyyy")</f>
        <v>07/05/2023</v>
      </c>
      <c r="F2172" s="4"/>
      <c r="G2172" s="5" t="str">
        <f>TEXT(E2172,"mm")</f>
        <v>07</v>
      </c>
      <c r="H2172" s="6">
        <v>6067.94</v>
      </c>
      <c r="I2172">
        <v>94</v>
      </c>
      <c r="L2172" t="str">
        <f t="shared" si="33"/>
        <v>Above Average</v>
      </c>
      <c r="M2172">
        <f>RANK(H2172,H:H,0)</f>
        <v>1414</v>
      </c>
    </row>
    <row r="2173" spans="1:13">
      <c r="A2173" t="s">
        <v>19</v>
      </c>
      <c r="B2173" t="s">
        <v>35</v>
      </c>
      <c r="C2173" t="s">
        <v>33</v>
      </c>
      <c r="D2173" s="3" t="s">
        <v>162</v>
      </c>
      <c r="E2173" s="5" t="str">
        <f>TEXT(D2173,"dd/mm/yyyy")</f>
        <v>27/04/2023</v>
      </c>
      <c r="G2173" s="5" t="str">
        <f>TEXT(E2173,"mm")</f>
        <v>27/04/2023</v>
      </c>
      <c r="H2173" s="6">
        <v>8909.75</v>
      </c>
      <c r="I2173">
        <v>355</v>
      </c>
      <c r="L2173" t="str">
        <f t="shared" si="33"/>
        <v>Above Average</v>
      </c>
      <c r="M2173">
        <f>RANK(H2173,H:H,0)</f>
        <v>757</v>
      </c>
    </row>
    <row r="2174" spans="1:13">
      <c r="A2174" t="s">
        <v>55</v>
      </c>
      <c r="B2174" t="s">
        <v>35</v>
      </c>
      <c r="C2174" t="s">
        <v>65</v>
      </c>
      <c r="D2174" s="4">
        <v>45268</v>
      </c>
      <c r="E2174" s="5" t="str">
        <f>TEXT(D2174,"dd/mm/yyyy")</f>
        <v>08/12/2023</v>
      </c>
      <c r="F2174" s="4"/>
      <c r="G2174" s="5" t="str">
        <f>TEXT(E2174,"mm")</f>
        <v>08</v>
      </c>
      <c r="H2174" s="6">
        <v>6865.35</v>
      </c>
      <c r="I2174">
        <v>75</v>
      </c>
      <c r="L2174" t="str">
        <f t="shared" si="33"/>
        <v>Above Average</v>
      </c>
      <c r="M2174">
        <f>RANK(H2174,H:H,0)</f>
        <v>1218</v>
      </c>
    </row>
    <row r="2175" spans="1:13">
      <c r="A2175" t="s">
        <v>14</v>
      </c>
      <c r="B2175" t="s">
        <v>7</v>
      </c>
      <c r="C2175" t="s">
        <v>87</v>
      </c>
      <c r="D2175" s="4">
        <v>45233</v>
      </c>
      <c r="E2175" s="5" t="str">
        <f>TEXT(D2175,"dd/mm/yyyy")</f>
        <v>03/11/2023</v>
      </c>
      <c r="F2175" s="4"/>
      <c r="G2175" s="5" t="str">
        <f>TEXT(E2175,"mm")</f>
        <v>03</v>
      </c>
      <c r="H2175" s="6">
        <v>805.23</v>
      </c>
      <c r="I2175">
        <v>259</v>
      </c>
      <c r="L2175" t="str">
        <f t="shared" si="33"/>
        <v>Below Average</v>
      </c>
      <c r="M2175">
        <f>RANK(H2175,H:H,0)</f>
        <v>3026</v>
      </c>
    </row>
    <row r="2176" spans="1:13">
      <c r="A2176" t="s">
        <v>6</v>
      </c>
      <c r="B2176" t="s">
        <v>7</v>
      </c>
      <c r="C2176" t="s">
        <v>57</v>
      </c>
      <c r="D2176" s="3" t="s">
        <v>233</v>
      </c>
      <c r="E2176" s="5" t="str">
        <f>TEXT(D2176,"dd/mm/yyyy")</f>
        <v>13/05/2023</v>
      </c>
      <c r="G2176" s="5" t="str">
        <f>TEXT(E2176,"mm")</f>
        <v>13/05/2023</v>
      </c>
      <c r="H2176" s="6">
        <v>9851.6200000000008</v>
      </c>
      <c r="I2176">
        <v>221</v>
      </c>
      <c r="L2176" t="str">
        <f t="shared" si="33"/>
        <v>Above Average</v>
      </c>
      <c r="M2176">
        <f>RANK(H2176,H:H,0)</f>
        <v>606</v>
      </c>
    </row>
    <row r="2177" spans="1:13">
      <c r="A2177" t="s">
        <v>58</v>
      </c>
      <c r="B2177" t="s">
        <v>32</v>
      </c>
      <c r="C2177" t="s">
        <v>18</v>
      </c>
      <c r="D2177" s="4">
        <v>45265</v>
      </c>
      <c r="E2177" s="5" t="str">
        <f>TEXT(D2177,"dd/mm/yyyy")</f>
        <v>05/12/2023</v>
      </c>
      <c r="F2177" s="4"/>
      <c r="G2177" s="5" t="str">
        <f>TEXT(E2177,"mm")</f>
        <v>05</v>
      </c>
      <c r="H2177" s="6">
        <v>11823.35</v>
      </c>
      <c r="I2177">
        <v>90</v>
      </c>
      <c r="L2177" t="str">
        <f t="shared" si="33"/>
        <v>Above Average</v>
      </c>
      <c r="M2177">
        <f>RANK(H2177,H:H,0)</f>
        <v>357</v>
      </c>
    </row>
    <row r="2178" spans="1:13">
      <c r="A2178" t="s">
        <v>28</v>
      </c>
      <c r="B2178" t="s">
        <v>32</v>
      </c>
      <c r="C2178" t="s">
        <v>73</v>
      </c>
      <c r="D2178" s="4">
        <v>45261</v>
      </c>
      <c r="E2178" s="5" t="str">
        <f>TEXT(D2178,"dd/mm/yyyy")</f>
        <v>01/12/2023</v>
      </c>
      <c r="F2178" s="4"/>
      <c r="G2178" s="5" t="str">
        <f>TEXT(E2178,"mm")</f>
        <v>01</v>
      </c>
      <c r="H2178" s="6">
        <v>683.63</v>
      </c>
      <c r="I2178">
        <v>202</v>
      </c>
      <c r="L2178" t="str">
        <f t="shared" si="33"/>
        <v>Below Average</v>
      </c>
      <c r="M2178">
        <f>RANK(H2178,H:H,0)</f>
        <v>3070</v>
      </c>
    </row>
    <row r="2179" spans="1:13">
      <c r="A2179" t="s">
        <v>77</v>
      </c>
      <c r="B2179" t="s">
        <v>25</v>
      </c>
      <c r="C2179" t="s">
        <v>46</v>
      </c>
      <c r="D2179" s="3" t="s">
        <v>221</v>
      </c>
      <c r="E2179" s="5" t="str">
        <f>TEXT(D2179,"dd/mm/yyyy")</f>
        <v>29/03/2023</v>
      </c>
      <c r="G2179" s="5" t="str">
        <f>TEXT(E2179,"mm")</f>
        <v>29/03/2023</v>
      </c>
      <c r="H2179" s="6">
        <v>14002.42</v>
      </c>
      <c r="I2179">
        <v>388</v>
      </c>
      <c r="L2179" t="str">
        <f t="shared" ref="L2179:L2242" si="34">IF(H2179&gt;6030.34,"Above Average","Below Average")</f>
        <v>Above Average</v>
      </c>
      <c r="M2179">
        <f>RANK(H2179,H:H,0)</f>
        <v>208</v>
      </c>
    </row>
    <row r="2180" spans="1:13">
      <c r="A2180" t="s">
        <v>45</v>
      </c>
      <c r="B2180" t="s">
        <v>10</v>
      </c>
      <c r="C2180" t="s">
        <v>26</v>
      </c>
      <c r="D2180" s="3" t="s">
        <v>175</v>
      </c>
      <c r="E2180" s="5" t="str">
        <f>TEXT(D2180,"dd/mm/yyyy")</f>
        <v>14/03/2023</v>
      </c>
      <c r="G2180" s="5" t="str">
        <f>TEXT(E2180,"mm")</f>
        <v>14/03/2023</v>
      </c>
      <c r="H2180" s="6">
        <v>8744.9500000000007</v>
      </c>
      <c r="I2180">
        <v>12</v>
      </c>
      <c r="L2180" t="str">
        <f t="shared" si="34"/>
        <v>Above Average</v>
      </c>
      <c r="M2180">
        <f>RANK(H2180,H:H,0)</f>
        <v>791</v>
      </c>
    </row>
    <row r="2181" spans="1:13">
      <c r="A2181" t="s">
        <v>31</v>
      </c>
      <c r="B2181" t="s">
        <v>25</v>
      </c>
      <c r="C2181" t="s">
        <v>20</v>
      </c>
      <c r="D2181" s="3" t="s">
        <v>178</v>
      </c>
      <c r="E2181" s="5" t="str">
        <f>TEXT(D2181,"dd/mm/yyyy")</f>
        <v>24/05/2023</v>
      </c>
      <c r="G2181" s="5" t="str">
        <f>TEXT(E2181,"mm")</f>
        <v>24/05/2023</v>
      </c>
      <c r="H2181" s="6">
        <v>9294.14</v>
      </c>
      <c r="I2181">
        <v>201</v>
      </c>
      <c r="L2181" t="str">
        <f t="shared" si="34"/>
        <v>Above Average</v>
      </c>
      <c r="M2181">
        <f>RANK(H2181,H:H,0)</f>
        <v>692</v>
      </c>
    </row>
    <row r="2182" spans="1:13">
      <c r="A2182" t="s">
        <v>58</v>
      </c>
      <c r="B2182" t="s">
        <v>35</v>
      </c>
      <c r="C2182" t="s">
        <v>42</v>
      </c>
      <c r="D2182" s="3" t="s">
        <v>210</v>
      </c>
      <c r="E2182" s="5" t="str">
        <f>TEXT(D2182,"dd/mm/yyyy")</f>
        <v>28/01/2023</v>
      </c>
      <c r="G2182" s="5" t="str">
        <f>TEXT(E2182,"mm")</f>
        <v>28/01/2023</v>
      </c>
      <c r="H2182" s="6">
        <v>8831.89</v>
      </c>
      <c r="I2182">
        <v>79</v>
      </c>
      <c r="L2182" t="str">
        <f t="shared" si="34"/>
        <v>Above Average</v>
      </c>
      <c r="M2182">
        <f>RANK(H2182,H:H,0)</f>
        <v>775</v>
      </c>
    </row>
    <row r="2183" spans="1:13">
      <c r="A2183" t="s">
        <v>41</v>
      </c>
      <c r="B2183" t="s">
        <v>10</v>
      </c>
      <c r="C2183" t="s">
        <v>65</v>
      </c>
      <c r="D2183" s="3" t="s">
        <v>178</v>
      </c>
      <c r="E2183" s="5" t="str">
        <f>TEXT(D2183,"dd/mm/yyyy")</f>
        <v>24/05/2023</v>
      </c>
      <c r="G2183" s="5" t="str">
        <f>TEXT(E2183,"mm")</f>
        <v>24/05/2023</v>
      </c>
      <c r="H2183" s="6">
        <v>3474.98</v>
      </c>
      <c r="I2183">
        <v>104</v>
      </c>
      <c r="L2183" t="str">
        <f t="shared" si="34"/>
        <v>Below Average</v>
      </c>
      <c r="M2183">
        <f>RANK(H2183,H:H,0)</f>
        <v>2144</v>
      </c>
    </row>
    <row r="2184" spans="1:13">
      <c r="A2184" t="s">
        <v>28</v>
      </c>
      <c r="B2184" t="s">
        <v>15</v>
      </c>
      <c r="C2184" t="s">
        <v>13</v>
      </c>
      <c r="D2184" s="3" t="s">
        <v>240</v>
      </c>
      <c r="E2184" s="5" t="str">
        <f>TEXT(D2184,"dd/mm/yyyy")</f>
        <v>19/08/2023</v>
      </c>
      <c r="G2184" s="5" t="str">
        <f>TEXT(E2184,"mm")</f>
        <v>19/08/2023</v>
      </c>
      <c r="H2184" s="6">
        <v>311.61</v>
      </c>
      <c r="I2184">
        <v>204</v>
      </c>
      <c r="L2184" t="str">
        <f t="shared" si="34"/>
        <v>Below Average</v>
      </c>
      <c r="M2184">
        <f>RANK(H2184,H:H,0)</f>
        <v>3185</v>
      </c>
    </row>
    <row r="2185" spans="1:13">
      <c r="A2185" t="s">
        <v>37</v>
      </c>
      <c r="B2185" t="s">
        <v>15</v>
      </c>
      <c r="C2185" t="s">
        <v>50</v>
      </c>
      <c r="D2185" s="3" t="s">
        <v>247</v>
      </c>
      <c r="E2185" s="5" t="str">
        <f>TEXT(D2185,"dd/mm/yyyy")</f>
        <v>17/05/2023</v>
      </c>
      <c r="G2185" s="5" t="str">
        <f>TEXT(E2185,"mm")</f>
        <v>17/05/2023</v>
      </c>
      <c r="H2185" s="6">
        <v>4791.2</v>
      </c>
      <c r="I2185">
        <v>335</v>
      </c>
      <c r="L2185" t="str">
        <f t="shared" si="34"/>
        <v>Below Average</v>
      </c>
      <c r="M2185">
        <f>RANK(H2185,H:H,0)</f>
        <v>1769</v>
      </c>
    </row>
    <row r="2186" spans="1:13">
      <c r="A2186" t="s">
        <v>6</v>
      </c>
      <c r="B2186" t="s">
        <v>32</v>
      </c>
      <c r="C2186" t="s">
        <v>59</v>
      </c>
      <c r="D2186" s="4">
        <v>45113</v>
      </c>
      <c r="E2186" s="5" t="str">
        <f>TEXT(D2186,"dd/mm/yyyy")</f>
        <v>06/07/2023</v>
      </c>
      <c r="F2186" s="4"/>
      <c r="G2186" s="5" t="str">
        <f>TEXT(E2186,"mm")</f>
        <v>06</v>
      </c>
      <c r="H2186" s="6">
        <v>6646.33</v>
      </c>
      <c r="I2186">
        <v>117</v>
      </c>
      <c r="L2186" t="str">
        <f t="shared" si="34"/>
        <v>Above Average</v>
      </c>
      <c r="M2186">
        <f>RANK(H2186,H:H,0)</f>
        <v>1275</v>
      </c>
    </row>
    <row r="2187" spans="1:13">
      <c r="A2187" t="s">
        <v>83</v>
      </c>
      <c r="B2187" t="s">
        <v>35</v>
      </c>
      <c r="C2187" t="s">
        <v>42</v>
      </c>
      <c r="D2187" s="3" t="s">
        <v>204</v>
      </c>
      <c r="E2187" s="5" t="str">
        <f>TEXT(D2187,"dd/mm/yyyy")</f>
        <v>26/07/2023</v>
      </c>
      <c r="G2187" s="5" t="str">
        <f>TEXT(E2187,"mm")</f>
        <v>26/07/2023</v>
      </c>
      <c r="H2187" s="6">
        <v>593.63</v>
      </c>
      <c r="I2187">
        <v>229</v>
      </c>
      <c r="L2187" t="str">
        <f t="shared" si="34"/>
        <v>Below Average</v>
      </c>
      <c r="M2187">
        <f>RANK(H2187,H:H,0)</f>
        <v>3101</v>
      </c>
    </row>
    <row r="2188" spans="1:13">
      <c r="A2188" t="s">
        <v>79</v>
      </c>
      <c r="B2188" t="s">
        <v>10</v>
      </c>
      <c r="C2188" t="s">
        <v>36</v>
      </c>
      <c r="D2188" s="3" t="s">
        <v>168</v>
      </c>
      <c r="E2188" s="5" t="str">
        <f>TEXT(D2188,"dd/mm/yyyy")</f>
        <v>28/07/2023</v>
      </c>
      <c r="G2188" s="5" t="str">
        <f>TEXT(E2188,"mm")</f>
        <v>28/07/2023</v>
      </c>
      <c r="H2188" s="6">
        <v>2345.9499999999998</v>
      </c>
      <c r="I2188">
        <v>406</v>
      </c>
      <c r="L2188" t="str">
        <f t="shared" si="34"/>
        <v>Below Average</v>
      </c>
      <c r="M2188">
        <f>RANK(H2188,H:H,0)</f>
        <v>2531</v>
      </c>
    </row>
    <row r="2189" spans="1:13">
      <c r="A2189" t="s">
        <v>37</v>
      </c>
      <c r="B2189" t="s">
        <v>10</v>
      </c>
      <c r="C2189" t="s">
        <v>100</v>
      </c>
      <c r="D2189" s="3" t="s">
        <v>239</v>
      </c>
      <c r="E2189" s="5" t="str">
        <f>TEXT(D2189,"dd/mm/yyyy")</f>
        <v>23/05/2023</v>
      </c>
      <c r="G2189" s="5" t="str">
        <f>TEXT(E2189,"mm")</f>
        <v>23/05/2023</v>
      </c>
      <c r="H2189" s="6">
        <v>5083.07</v>
      </c>
      <c r="I2189">
        <v>368</v>
      </c>
      <c r="L2189" t="str">
        <f t="shared" si="34"/>
        <v>Below Average</v>
      </c>
      <c r="M2189">
        <f>RANK(H2189,H:H,0)</f>
        <v>1678</v>
      </c>
    </row>
    <row r="2190" spans="1:13">
      <c r="A2190" t="s">
        <v>6</v>
      </c>
      <c r="B2190" t="s">
        <v>7</v>
      </c>
      <c r="C2190" t="s">
        <v>8</v>
      </c>
      <c r="D2190" s="4">
        <v>45383</v>
      </c>
      <c r="E2190" s="5" t="str">
        <f>TEXT(D2190,"dd/mm/yyyy")</f>
        <v>01/04/2024</v>
      </c>
      <c r="F2190" s="4"/>
      <c r="G2190" s="5" t="str">
        <f>TEXT(E2190,"mm")</f>
        <v>01</v>
      </c>
      <c r="H2190" s="6">
        <v>6339.57</v>
      </c>
      <c r="I2190">
        <v>187</v>
      </c>
      <c r="L2190" t="str">
        <f t="shared" si="34"/>
        <v>Above Average</v>
      </c>
      <c r="M2190">
        <f>RANK(H2190,H:H,0)</f>
        <v>1343</v>
      </c>
    </row>
    <row r="2191" spans="1:13">
      <c r="A2191" t="s">
        <v>9</v>
      </c>
      <c r="B2191" t="s">
        <v>10</v>
      </c>
      <c r="C2191" t="s">
        <v>11</v>
      </c>
      <c r="D2191" s="4">
        <v>45299</v>
      </c>
      <c r="E2191" s="5" t="str">
        <f>TEXT(D2191,"dd/mm/yyyy")</f>
        <v>08/01/2024</v>
      </c>
      <c r="F2191" s="4"/>
      <c r="G2191" s="5" t="str">
        <f>TEXT(E2191,"mm")</f>
        <v>08</v>
      </c>
      <c r="H2191" s="6">
        <v>9005.8700000000008</v>
      </c>
      <c r="I2191">
        <v>90</v>
      </c>
      <c r="L2191" t="str">
        <f t="shared" si="34"/>
        <v>Above Average</v>
      </c>
      <c r="M2191">
        <f>RANK(H2191,H:H,0)</f>
        <v>737</v>
      </c>
    </row>
    <row r="2192" spans="1:13">
      <c r="A2192" t="s">
        <v>12</v>
      </c>
      <c r="B2192" t="s">
        <v>10</v>
      </c>
      <c r="C2192" t="s">
        <v>13</v>
      </c>
      <c r="D2192" s="4">
        <v>45480</v>
      </c>
      <c r="E2192" s="5" t="str">
        <f>TEXT(D2192,"dd/mm/yyyy")</f>
        <v>07/07/2024</v>
      </c>
      <c r="F2192" s="4"/>
      <c r="G2192" s="5" t="str">
        <f>TEXT(E2192,"mm")</f>
        <v>07</v>
      </c>
      <c r="H2192" s="6">
        <v>5159.07</v>
      </c>
      <c r="I2192">
        <v>87</v>
      </c>
      <c r="L2192" t="str">
        <f t="shared" si="34"/>
        <v>Below Average</v>
      </c>
      <c r="M2192">
        <f>RANK(H2192,H:H,0)</f>
        <v>1657</v>
      </c>
    </row>
    <row r="2193" spans="1:13">
      <c r="A2193" t="s">
        <v>14</v>
      </c>
      <c r="B2193" t="s">
        <v>15</v>
      </c>
      <c r="C2193" t="s">
        <v>13</v>
      </c>
      <c r="D2193" s="3" t="s">
        <v>265</v>
      </c>
      <c r="E2193" s="5" t="str">
        <f>TEXT(D2193,"dd/mm/yyyy")</f>
        <v>27/04/2024</v>
      </c>
      <c r="G2193" s="5" t="str">
        <f>TEXT(E2193,"mm")</f>
        <v>27/04/2024</v>
      </c>
      <c r="H2193" s="6">
        <v>13370.97</v>
      </c>
      <c r="I2193">
        <v>349</v>
      </c>
      <c r="L2193" t="str">
        <f t="shared" si="34"/>
        <v>Above Average</v>
      </c>
      <c r="M2193">
        <f>RANK(H2193,H:H,0)</f>
        <v>243</v>
      </c>
    </row>
    <row r="2194" spans="1:13">
      <c r="A2194" t="s">
        <v>6</v>
      </c>
      <c r="B2194" t="s">
        <v>7</v>
      </c>
      <c r="C2194" t="s">
        <v>13</v>
      </c>
      <c r="D2194" s="3" t="s">
        <v>266</v>
      </c>
      <c r="E2194" s="5" t="str">
        <f>TEXT(D2194,"dd/mm/yyyy")</f>
        <v>24/02/2024</v>
      </c>
      <c r="G2194" s="5" t="str">
        <f>TEXT(E2194,"mm")</f>
        <v>24/02/2024</v>
      </c>
      <c r="H2194" s="6">
        <v>14791.64</v>
      </c>
      <c r="I2194">
        <v>182</v>
      </c>
      <c r="L2194" t="str">
        <f t="shared" si="34"/>
        <v>Above Average</v>
      </c>
      <c r="M2194">
        <f>RANK(H2194,H:H,0)</f>
        <v>158</v>
      </c>
    </row>
    <row r="2195" spans="1:13">
      <c r="A2195" t="s">
        <v>9</v>
      </c>
      <c r="B2195" t="s">
        <v>10</v>
      </c>
      <c r="C2195" t="s">
        <v>18</v>
      </c>
      <c r="D2195" s="4">
        <v>45449</v>
      </c>
      <c r="E2195" s="5" t="str">
        <f>TEXT(D2195,"dd/mm/yyyy")</f>
        <v>06/06/2024</v>
      </c>
      <c r="F2195" s="4"/>
      <c r="G2195" s="5" t="str">
        <f>TEXT(E2195,"mm")</f>
        <v>06</v>
      </c>
      <c r="H2195" s="6">
        <v>6429.35</v>
      </c>
      <c r="I2195">
        <v>40</v>
      </c>
      <c r="L2195" t="str">
        <f t="shared" si="34"/>
        <v>Above Average</v>
      </c>
      <c r="M2195">
        <f>RANK(H2195,H:H,0)</f>
        <v>1325</v>
      </c>
    </row>
    <row r="2196" spans="1:13">
      <c r="A2196" t="s">
        <v>19</v>
      </c>
      <c r="B2196" t="s">
        <v>7</v>
      </c>
      <c r="C2196" t="s">
        <v>20</v>
      </c>
      <c r="D2196" s="3" t="s">
        <v>267</v>
      </c>
      <c r="E2196" s="5" t="str">
        <f>TEXT(D2196,"dd/mm/yyyy")</f>
        <v>25/01/2024</v>
      </c>
      <c r="G2196" s="5" t="str">
        <f>TEXT(E2196,"mm")</f>
        <v>25/01/2024</v>
      </c>
      <c r="H2196" s="6">
        <v>15900.6</v>
      </c>
      <c r="I2196">
        <v>188</v>
      </c>
      <c r="L2196" t="str">
        <f t="shared" si="34"/>
        <v>Above Average</v>
      </c>
      <c r="M2196">
        <f>RANK(H2196,H:H,0)</f>
        <v>104</v>
      </c>
    </row>
    <row r="2197" spans="1:13">
      <c r="A2197" t="s">
        <v>22</v>
      </c>
      <c r="B2197" t="s">
        <v>15</v>
      </c>
      <c r="C2197" t="s">
        <v>23</v>
      </c>
      <c r="D2197" s="3" t="s">
        <v>268</v>
      </c>
      <c r="E2197" s="5" t="str">
        <f>TEXT(D2197,"dd/mm/yyyy")</f>
        <v>24/03/2024</v>
      </c>
      <c r="G2197" s="5" t="str">
        <f>TEXT(E2197,"mm")</f>
        <v>24/03/2024</v>
      </c>
      <c r="H2197" s="6">
        <v>3400.26</v>
      </c>
      <c r="I2197">
        <v>77</v>
      </c>
      <c r="L2197" t="str">
        <f t="shared" si="34"/>
        <v>Below Average</v>
      </c>
      <c r="M2197">
        <f>RANK(H2197,H:H,0)</f>
        <v>2174</v>
      </c>
    </row>
    <row r="2198" spans="1:13">
      <c r="A2198" t="s">
        <v>6</v>
      </c>
      <c r="B2198" t="s">
        <v>25</v>
      </c>
      <c r="C2198" t="s">
        <v>26</v>
      </c>
      <c r="D2198" s="3" t="s">
        <v>269</v>
      </c>
      <c r="E2198" s="5" t="str">
        <f>TEXT(D2198,"dd/mm/yyyy")</f>
        <v>20/04/2024</v>
      </c>
      <c r="G2198" s="5" t="str">
        <f>TEXT(E2198,"mm")</f>
        <v>20/04/2024</v>
      </c>
      <c r="H2198" s="6">
        <v>4357.76</v>
      </c>
      <c r="I2198">
        <v>63</v>
      </c>
      <c r="L2198" t="str">
        <f t="shared" si="34"/>
        <v>Below Average</v>
      </c>
      <c r="M2198">
        <f>RANK(H2198,H:H,0)</f>
        <v>1891</v>
      </c>
    </row>
    <row r="2199" spans="1:13">
      <c r="A2199" t="s">
        <v>28</v>
      </c>
      <c r="B2199" t="s">
        <v>15</v>
      </c>
      <c r="C2199" t="s">
        <v>20</v>
      </c>
      <c r="D2199" s="4">
        <v>45389</v>
      </c>
      <c r="E2199" s="5" t="str">
        <f>TEXT(D2199,"dd/mm/yyyy")</f>
        <v>07/04/2024</v>
      </c>
      <c r="F2199" s="4"/>
      <c r="G2199" s="5" t="str">
        <f>TEXT(E2199,"mm")</f>
        <v>07</v>
      </c>
      <c r="H2199" s="6">
        <v>3356.17</v>
      </c>
      <c r="I2199">
        <v>111</v>
      </c>
      <c r="L2199" t="str">
        <f t="shared" si="34"/>
        <v>Below Average</v>
      </c>
      <c r="M2199">
        <f>RANK(H2199,H:H,0)</f>
        <v>2199</v>
      </c>
    </row>
    <row r="2200" spans="1:13">
      <c r="A2200" t="s">
        <v>29</v>
      </c>
      <c r="B2200" t="s">
        <v>7</v>
      </c>
      <c r="C2200" t="s">
        <v>18</v>
      </c>
      <c r="D2200" s="3" t="s">
        <v>270</v>
      </c>
      <c r="E2200" s="5" t="str">
        <f>TEXT(D2200,"dd/mm/yyyy")</f>
        <v>13/01/2024</v>
      </c>
      <c r="G2200" s="5" t="str">
        <f>TEXT(E2200,"mm")</f>
        <v>13/01/2024</v>
      </c>
      <c r="H2200" s="6">
        <v>5287.86</v>
      </c>
      <c r="I2200">
        <v>67</v>
      </c>
      <c r="L2200" t="str">
        <f t="shared" si="34"/>
        <v>Below Average</v>
      </c>
      <c r="M2200">
        <f>RANK(H2200,H:H,0)</f>
        <v>1623</v>
      </c>
    </row>
    <row r="2201" spans="1:13">
      <c r="A2201" t="s">
        <v>31</v>
      </c>
      <c r="B2201" t="s">
        <v>32</v>
      </c>
      <c r="C2201" t="s">
        <v>33</v>
      </c>
      <c r="D2201" s="4">
        <v>45568</v>
      </c>
      <c r="E2201" s="5" t="str">
        <f>TEXT(D2201,"dd/mm/yyyy")</f>
        <v>03/10/2024</v>
      </c>
      <c r="F2201" s="4"/>
      <c r="G2201" s="5" t="str">
        <f>TEXT(E2201,"mm")</f>
        <v>03</v>
      </c>
      <c r="H2201" s="6">
        <v>4244.3599999999997</v>
      </c>
      <c r="I2201">
        <v>11</v>
      </c>
      <c r="L2201" t="str">
        <f t="shared" si="34"/>
        <v>Below Average</v>
      </c>
      <c r="M2201">
        <f>RANK(H2201,H:H,0)</f>
        <v>1919</v>
      </c>
    </row>
    <row r="2202" spans="1:13">
      <c r="A2202" t="s">
        <v>34</v>
      </c>
      <c r="B2202" t="s">
        <v>35</v>
      </c>
      <c r="C2202" t="s">
        <v>36</v>
      </c>
      <c r="D2202" s="3" t="s">
        <v>270</v>
      </c>
      <c r="E2202" s="5" t="str">
        <f>TEXT(D2202,"dd/mm/yyyy")</f>
        <v>13/01/2024</v>
      </c>
      <c r="G2202" s="5" t="str">
        <f>TEXT(E2202,"mm")</f>
        <v>13/01/2024</v>
      </c>
      <c r="H2202" s="6">
        <v>1671.64</v>
      </c>
      <c r="I2202">
        <v>277</v>
      </c>
      <c r="L2202" t="str">
        <f t="shared" si="34"/>
        <v>Below Average</v>
      </c>
      <c r="M2202">
        <f>RANK(H2202,H:H,0)</f>
        <v>2743</v>
      </c>
    </row>
    <row r="2203" spans="1:13">
      <c r="A2203" t="s">
        <v>37</v>
      </c>
      <c r="B2203" t="s">
        <v>25</v>
      </c>
      <c r="C2203" t="s">
        <v>38</v>
      </c>
      <c r="D2203" s="3" t="s">
        <v>271</v>
      </c>
      <c r="E2203" s="5" t="str">
        <f>TEXT(D2203,"dd/mm/yyyy")</f>
        <v>28/07/2024</v>
      </c>
      <c r="G2203" s="5" t="str">
        <f>TEXT(E2203,"mm")</f>
        <v>28/07/2024</v>
      </c>
      <c r="H2203" s="6">
        <v>181.84</v>
      </c>
      <c r="I2203">
        <v>167</v>
      </c>
      <c r="L2203" t="str">
        <f t="shared" si="34"/>
        <v>Below Average</v>
      </c>
      <c r="M2203">
        <f>RANK(H2203,H:H,0)</f>
        <v>3220</v>
      </c>
    </row>
    <row r="2204" spans="1:13">
      <c r="A2204" t="s">
        <v>40</v>
      </c>
      <c r="B2204" t="s">
        <v>25</v>
      </c>
      <c r="C2204" t="s">
        <v>13</v>
      </c>
      <c r="D2204" s="4">
        <v>45359</v>
      </c>
      <c r="E2204" s="5" t="str">
        <f>TEXT(D2204,"dd/mm/yyyy")</f>
        <v>08/03/2024</v>
      </c>
      <c r="F2204" s="4"/>
      <c r="G2204" s="5" t="str">
        <f>TEXT(E2204,"mm")</f>
        <v>08</v>
      </c>
      <c r="H2204" s="6">
        <v>8950.59</v>
      </c>
      <c r="I2204">
        <v>189</v>
      </c>
      <c r="L2204" t="str">
        <f t="shared" si="34"/>
        <v>Above Average</v>
      </c>
      <c r="M2204">
        <f>RANK(H2204,H:H,0)</f>
        <v>747</v>
      </c>
    </row>
    <row r="2205" spans="1:13">
      <c r="A2205" t="s">
        <v>41</v>
      </c>
      <c r="B2205" t="s">
        <v>15</v>
      </c>
      <c r="C2205" t="s">
        <v>42</v>
      </c>
      <c r="D2205" s="3" t="s">
        <v>272</v>
      </c>
      <c r="E2205" s="5" t="str">
        <f>TEXT(D2205,"dd/mm/yyyy")</f>
        <v>26/01/2024</v>
      </c>
      <c r="G2205" s="5" t="str">
        <f>TEXT(E2205,"mm")</f>
        <v>26/01/2024</v>
      </c>
      <c r="H2205" s="6">
        <v>7271.76</v>
      </c>
      <c r="I2205">
        <v>385</v>
      </c>
      <c r="L2205" t="str">
        <f t="shared" si="34"/>
        <v>Above Average</v>
      </c>
      <c r="M2205">
        <f>RANK(H2205,H:H,0)</f>
        <v>1115</v>
      </c>
    </row>
    <row r="2206" spans="1:13">
      <c r="A2206" t="s">
        <v>9</v>
      </c>
      <c r="B2206" t="s">
        <v>35</v>
      </c>
      <c r="C2206" t="s">
        <v>42</v>
      </c>
      <c r="D2206" s="3" t="s">
        <v>273</v>
      </c>
      <c r="E2206" s="5" t="str">
        <f>TEXT(D2206,"dd/mm/yyyy")</f>
        <v>14/02/2024</v>
      </c>
      <c r="G2206" s="5" t="str">
        <f>TEXT(E2206,"mm")</f>
        <v>14/02/2024</v>
      </c>
      <c r="H2206" s="6">
        <v>4864.83</v>
      </c>
      <c r="I2206">
        <v>42</v>
      </c>
      <c r="L2206" t="str">
        <f t="shared" si="34"/>
        <v>Below Average</v>
      </c>
      <c r="M2206">
        <f>RANK(H2206,H:H,0)</f>
        <v>1747</v>
      </c>
    </row>
    <row r="2207" spans="1:13">
      <c r="A2207" t="s">
        <v>45</v>
      </c>
      <c r="B2207" t="s">
        <v>32</v>
      </c>
      <c r="C2207" t="s">
        <v>18</v>
      </c>
      <c r="D2207" s="4">
        <v>45416</v>
      </c>
      <c r="E2207" s="5" t="str">
        <f>TEXT(D2207,"dd/mm/yyyy")</f>
        <v>04/05/2024</v>
      </c>
      <c r="F2207" s="4"/>
      <c r="G2207" s="5" t="str">
        <f>TEXT(E2207,"mm")</f>
        <v>04</v>
      </c>
      <c r="H2207" s="6">
        <v>3175.11</v>
      </c>
      <c r="I2207">
        <v>149</v>
      </c>
      <c r="L2207" t="str">
        <f t="shared" si="34"/>
        <v>Below Average</v>
      </c>
      <c r="M2207">
        <f>RANK(H2207,H:H,0)</f>
        <v>2241</v>
      </c>
    </row>
    <row r="2208" spans="1:13">
      <c r="A2208" t="s">
        <v>41</v>
      </c>
      <c r="B2208" t="s">
        <v>35</v>
      </c>
      <c r="C2208" t="s">
        <v>46</v>
      </c>
      <c r="D2208" s="3" t="s">
        <v>274</v>
      </c>
      <c r="E2208" s="5" t="str">
        <f>TEXT(D2208,"dd/mm/yyyy")</f>
        <v>16/02/2024</v>
      </c>
      <c r="G2208" s="5" t="str">
        <f>TEXT(E2208,"mm")</f>
        <v>16/02/2024</v>
      </c>
      <c r="H2208" s="6">
        <v>10137.790000000001</v>
      </c>
      <c r="I2208">
        <v>250</v>
      </c>
      <c r="L2208" t="str">
        <f t="shared" si="34"/>
        <v>Above Average</v>
      </c>
      <c r="M2208">
        <f>RANK(H2208,H:H,0)</f>
        <v>562</v>
      </c>
    </row>
    <row r="2209" spans="1:13">
      <c r="A2209" t="s">
        <v>48</v>
      </c>
      <c r="B2209" t="s">
        <v>7</v>
      </c>
      <c r="C2209" t="s">
        <v>11</v>
      </c>
      <c r="D2209" s="4">
        <v>45510</v>
      </c>
      <c r="E2209" s="5" t="str">
        <f>TEXT(D2209,"dd/mm/yyyy")</f>
        <v>06/08/2024</v>
      </c>
      <c r="F2209" s="4"/>
      <c r="G2209" s="5" t="str">
        <f>TEXT(E2209,"mm")</f>
        <v>06</v>
      </c>
      <c r="H2209" s="6">
        <v>1206.95</v>
      </c>
      <c r="I2209">
        <v>174</v>
      </c>
      <c r="L2209" t="str">
        <f t="shared" si="34"/>
        <v>Below Average</v>
      </c>
      <c r="M2209">
        <f>RANK(H2209,H:H,0)</f>
        <v>2905</v>
      </c>
    </row>
    <row r="2210" spans="1:13">
      <c r="A2210" t="s">
        <v>28</v>
      </c>
      <c r="B2210" t="s">
        <v>15</v>
      </c>
      <c r="C2210" t="s">
        <v>36</v>
      </c>
      <c r="D2210" s="3" t="s">
        <v>275</v>
      </c>
      <c r="E2210" s="5" t="str">
        <f>TEXT(D2210,"dd/mm/yyyy")</f>
        <v>27/06/2024</v>
      </c>
      <c r="G2210" s="5" t="str">
        <f>TEXT(E2210,"mm")</f>
        <v>27/06/2024</v>
      </c>
      <c r="H2210" s="6">
        <v>8222.65</v>
      </c>
      <c r="I2210">
        <v>92</v>
      </c>
      <c r="L2210" t="str">
        <f t="shared" si="34"/>
        <v>Above Average</v>
      </c>
      <c r="M2210">
        <f>RANK(H2210,H:H,0)</f>
        <v>888</v>
      </c>
    </row>
    <row r="2211" spans="1:13">
      <c r="A2211" t="s">
        <v>22</v>
      </c>
      <c r="B2211" t="s">
        <v>32</v>
      </c>
      <c r="C2211" t="s">
        <v>50</v>
      </c>
      <c r="D2211" s="3" t="s">
        <v>276</v>
      </c>
      <c r="E2211" s="5" t="str">
        <f>TEXT(D2211,"dd/mm/yyyy")</f>
        <v>17/02/2024</v>
      </c>
      <c r="G2211" s="5" t="str">
        <f>TEXT(E2211,"mm")</f>
        <v>17/02/2024</v>
      </c>
      <c r="H2211" s="6">
        <v>1440.85</v>
      </c>
      <c r="I2211">
        <v>152</v>
      </c>
      <c r="L2211" t="str">
        <f t="shared" si="34"/>
        <v>Below Average</v>
      </c>
      <c r="M2211">
        <f>RANK(H2211,H:H,0)</f>
        <v>2824</v>
      </c>
    </row>
    <row r="2212" spans="1:13">
      <c r="A2212" t="s">
        <v>40</v>
      </c>
      <c r="B2212" t="s">
        <v>32</v>
      </c>
      <c r="C2212" t="s">
        <v>23</v>
      </c>
      <c r="D2212" s="3" t="s">
        <v>277</v>
      </c>
      <c r="E2212" s="5" t="str">
        <f>TEXT(D2212,"dd/mm/yyyy")</f>
        <v>30/05/2024</v>
      </c>
      <c r="G2212" s="5" t="str">
        <f>TEXT(E2212,"mm")</f>
        <v>30/05/2024</v>
      </c>
      <c r="H2212" s="6">
        <v>5611.65</v>
      </c>
      <c r="I2212">
        <v>159</v>
      </c>
      <c r="L2212" t="str">
        <f t="shared" si="34"/>
        <v>Below Average</v>
      </c>
      <c r="M2212">
        <f>RANK(H2212,H:H,0)</f>
        <v>1539</v>
      </c>
    </row>
    <row r="2213" spans="1:13">
      <c r="A2213" t="s">
        <v>53</v>
      </c>
      <c r="B2213" t="s">
        <v>7</v>
      </c>
      <c r="C2213" t="s">
        <v>38</v>
      </c>
      <c r="D2213" s="3" t="s">
        <v>278</v>
      </c>
      <c r="E2213" s="5" t="str">
        <f>TEXT(D2213,"dd/mm/yyyy")</f>
        <v>14/03/2024</v>
      </c>
      <c r="G2213" s="5" t="str">
        <f>TEXT(E2213,"mm")</f>
        <v>14/03/2024</v>
      </c>
      <c r="H2213" s="6">
        <v>3562.44</v>
      </c>
      <c r="I2213">
        <v>111</v>
      </c>
      <c r="L2213" t="str">
        <f t="shared" si="34"/>
        <v>Below Average</v>
      </c>
      <c r="M2213">
        <f>RANK(H2213,H:H,0)</f>
        <v>2122</v>
      </c>
    </row>
    <row r="2214" spans="1:13">
      <c r="A2214" t="s">
        <v>55</v>
      </c>
      <c r="B2214" t="s">
        <v>15</v>
      </c>
      <c r="C2214" t="s">
        <v>36</v>
      </c>
      <c r="D2214" s="3" t="s">
        <v>279</v>
      </c>
      <c r="E2214" s="5" t="str">
        <f>TEXT(D2214,"dd/mm/yyyy")</f>
        <v>28/02/2024</v>
      </c>
      <c r="G2214" s="5" t="str">
        <f>TEXT(E2214,"mm")</f>
        <v>28/02/2024</v>
      </c>
      <c r="H2214" s="6">
        <v>8385.26</v>
      </c>
      <c r="I2214">
        <v>122</v>
      </c>
      <c r="L2214" t="str">
        <f t="shared" si="34"/>
        <v>Above Average</v>
      </c>
      <c r="M2214">
        <f>RANK(H2214,H:H,0)</f>
        <v>856</v>
      </c>
    </row>
    <row r="2215" spans="1:13">
      <c r="A2215" t="s">
        <v>37</v>
      </c>
      <c r="B2215" t="s">
        <v>10</v>
      </c>
      <c r="C2215" t="s">
        <v>57</v>
      </c>
      <c r="D2215" s="3" t="s">
        <v>272</v>
      </c>
      <c r="E2215" s="5" t="str">
        <f>TEXT(D2215,"dd/mm/yyyy")</f>
        <v>26/01/2024</v>
      </c>
      <c r="G2215" s="5" t="str">
        <f>TEXT(E2215,"mm")</f>
        <v>26/01/2024</v>
      </c>
      <c r="H2215" s="6">
        <v>181.31</v>
      </c>
      <c r="I2215">
        <v>330</v>
      </c>
      <c r="L2215" t="str">
        <f t="shared" si="34"/>
        <v>Below Average</v>
      </c>
      <c r="M2215">
        <f>RANK(H2215,H:H,0)</f>
        <v>3221</v>
      </c>
    </row>
    <row r="2216" spans="1:13">
      <c r="A2216" t="s">
        <v>45</v>
      </c>
      <c r="B2216" t="s">
        <v>35</v>
      </c>
      <c r="C2216" t="s">
        <v>50</v>
      </c>
      <c r="D2216" s="4">
        <v>45537</v>
      </c>
      <c r="E2216" s="5" t="str">
        <f>TEXT(D2216,"dd/mm/yyyy")</f>
        <v>02/09/2024</v>
      </c>
      <c r="F2216" s="4"/>
      <c r="G2216" s="5" t="str">
        <f>TEXT(E2216,"mm")</f>
        <v>02</v>
      </c>
      <c r="H2216" s="6">
        <v>1800.27</v>
      </c>
      <c r="I2216">
        <v>191</v>
      </c>
      <c r="L2216" t="str">
        <f t="shared" si="34"/>
        <v>Below Average</v>
      </c>
      <c r="M2216">
        <f>RANK(H2216,H:H,0)</f>
        <v>2700</v>
      </c>
    </row>
    <row r="2217" spans="1:13">
      <c r="A2217" t="s">
        <v>53</v>
      </c>
      <c r="B2217" t="s">
        <v>32</v>
      </c>
      <c r="C2217" t="s">
        <v>36</v>
      </c>
      <c r="D2217" s="4">
        <v>45480</v>
      </c>
      <c r="E2217" s="5" t="str">
        <f>TEXT(D2217,"dd/mm/yyyy")</f>
        <v>07/07/2024</v>
      </c>
      <c r="F2217" s="4"/>
      <c r="G2217" s="5" t="str">
        <f>TEXT(E2217,"mm")</f>
        <v>07</v>
      </c>
      <c r="H2217" s="6">
        <v>4449.37</v>
      </c>
      <c r="I2217">
        <v>113</v>
      </c>
      <c r="L2217" t="str">
        <f t="shared" si="34"/>
        <v>Below Average</v>
      </c>
      <c r="M2217">
        <f>RANK(H2217,H:H,0)</f>
        <v>1865</v>
      </c>
    </row>
    <row r="2218" spans="1:13">
      <c r="A2218" t="s">
        <v>58</v>
      </c>
      <c r="B2218" t="s">
        <v>25</v>
      </c>
      <c r="C2218" t="s">
        <v>59</v>
      </c>
      <c r="D2218" s="4">
        <v>45419</v>
      </c>
      <c r="E2218" s="5" t="str">
        <f>TEXT(D2218,"dd/mm/yyyy")</f>
        <v>07/05/2024</v>
      </c>
      <c r="F2218" s="4"/>
      <c r="G2218" s="5" t="str">
        <f>TEXT(E2218,"mm")</f>
        <v>07</v>
      </c>
      <c r="H2218" s="6">
        <v>10113.4</v>
      </c>
      <c r="I2218">
        <v>155</v>
      </c>
      <c r="L2218" t="str">
        <f t="shared" si="34"/>
        <v>Above Average</v>
      </c>
      <c r="M2218">
        <f>RANK(H2218,H:H,0)</f>
        <v>565</v>
      </c>
    </row>
    <row r="2219" spans="1:13">
      <c r="A2219" t="s">
        <v>58</v>
      </c>
      <c r="B2219" t="s">
        <v>25</v>
      </c>
      <c r="C2219" t="s">
        <v>60</v>
      </c>
      <c r="D2219" s="3" t="s">
        <v>280</v>
      </c>
      <c r="E2219" s="5" t="str">
        <f>TEXT(D2219,"dd/mm/yyyy")</f>
        <v>15/06/2024</v>
      </c>
      <c r="G2219" s="5" t="str">
        <f>TEXT(E2219,"mm")</f>
        <v>15/06/2024</v>
      </c>
      <c r="H2219" s="6">
        <v>5932.84</v>
      </c>
      <c r="I2219">
        <v>303</v>
      </c>
      <c r="L2219" t="str">
        <f t="shared" si="34"/>
        <v>Below Average</v>
      </c>
      <c r="M2219">
        <f>RANK(H2219,H:H,0)</f>
        <v>1446</v>
      </c>
    </row>
    <row r="2220" spans="1:13">
      <c r="A2220" t="s">
        <v>9</v>
      </c>
      <c r="B2220" t="s">
        <v>25</v>
      </c>
      <c r="C2220" t="s">
        <v>11</v>
      </c>
      <c r="D2220" s="3" t="s">
        <v>281</v>
      </c>
      <c r="E2220" s="5" t="str">
        <f>TEXT(D2220,"dd/mm/yyyy")</f>
        <v>24/05/2024</v>
      </c>
      <c r="G2220" s="5" t="str">
        <f>TEXT(E2220,"mm")</f>
        <v>24/05/2024</v>
      </c>
      <c r="H2220" s="6">
        <v>2006.71</v>
      </c>
      <c r="I2220">
        <v>124</v>
      </c>
      <c r="L2220" t="str">
        <f t="shared" si="34"/>
        <v>Below Average</v>
      </c>
      <c r="M2220">
        <f>RANK(H2220,H:H,0)</f>
        <v>2633</v>
      </c>
    </row>
    <row r="2221" spans="1:13">
      <c r="A2221" t="s">
        <v>29</v>
      </c>
      <c r="B2221" t="s">
        <v>7</v>
      </c>
      <c r="C2221" t="s">
        <v>20</v>
      </c>
      <c r="D2221" s="3" t="s">
        <v>282</v>
      </c>
      <c r="E2221" s="5" t="str">
        <f>TEXT(D2221,"dd/mm/yyyy")</f>
        <v>29/06/2024</v>
      </c>
      <c r="G2221" s="5" t="str">
        <f>TEXT(E2221,"mm")</f>
        <v>29/06/2024</v>
      </c>
      <c r="H2221" s="6">
        <v>14086.69</v>
      </c>
      <c r="I2221">
        <v>157</v>
      </c>
      <c r="L2221" t="str">
        <f t="shared" si="34"/>
        <v>Above Average</v>
      </c>
      <c r="M2221">
        <f>RANK(H2221,H:H,0)</f>
        <v>205</v>
      </c>
    </row>
    <row r="2222" spans="1:13">
      <c r="A2222" t="s">
        <v>64</v>
      </c>
      <c r="B2222" t="s">
        <v>15</v>
      </c>
      <c r="C2222" t="s">
        <v>60</v>
      </c>
      <c r="D2222" s="4">
        <v>45601</v>
      </c>
      <c r="E2222" s="5" t="str">
        <f>TEXT(D2222,"dd/mm/yyyy")</f>
        <v>05/11/2024</v>
      </c>
      <c r="F2222" s="4"/>
      <c r="G2222" s="5" t="str">
        <f>TEXT(E2222,"mm")</f>
        <v>05</v>
      </c>
      <c r="H2222" s="6">
        <v>4799.54</v>
      </c>
      <c r="I2222">
        <v>90</v>
      </c>
      <c r="L2222" t="str">
        <f t="shared" si="34"/>
        <v>Below Average</v>
      </c>
      <c r="M2222">
        <f>RANK(H2222,H:H,0)</f>
        <v>1767</v>
      </c>
    </row>
    <row r="2223" spans="1:13">
      <c r="A2223" t="s">
        <v>37</v>
      </c>
      <c r="B2223" t="s">
        <v>7</v>
      </c>
      <c r="C2223" t="s">
        <v>65</v>
      </c>
      <c r="D2223" s="3" t="s">
        <v>283</v>
      </c>
      <c r="E2223" s="5" t="str">
        <f>TEXT(D2223,"dd/mm/yyyy")</f>
        <v>30/06/2024</v>
      </c>
      <c r="G2223" s="5" t="str">
        <f>TEXT(E2223,"mm")</f>
        <v>30/06/2024</v>
      </c>
      <c r="H2223" s="6">
        <v>8101.98</v>
      </c>
      <c r="I2223">
        <v>138</v>
      </c>
      <c r="L2223" t="str">
        <f t="shared" si="34"/>
        <v>Above Average</v>
      </c>
      <c r="M2223">
        <f>RANK(H2223,H:H,0)</f>
        <v>917</v>
      </c>
    </row>
    <row r="2224" spans="1:13">
      <c r="A2224" t="s">
        <v>67</v>
      </c>
      <c r="B2224" t="s">
        <v>35</v>
      </c>
      <c r="C2224" t="s">
        <v>23</v>
      </c>
      <c r="D2224" s="4">
        <v>45601</v>
      </c>
      <c r="E2224" s="5" t="str">
        <f>TEXT(D2224,"dd/mm/yyyy")</f>
        <v>05/11/2024</v>
      </c>
      <c r="F2224" s="4"/>
      <c r="G2224" s="5" t="str">
        <f>TEXT(E2224,"mm")</f>
        <v>05</v>
      </c>
      <c r="H2224" s="6">
        <v>2321.9699999999998</v>
      </c>
      <c r="I2224">
        <v>71</v>
      </c>
      <c r="L2224" t="str">
        <f t="shared" si="34"/>
        <v>Below Average</v>
      </c>
      <c r="M2224">
        <f>RANK(H2224,H:H,0)</f>
        <v>2539</v>
      </c>
    </row>
    <row r="2225" spans="1:13">
      <c r="A2225" t="s">
        <v>45</v>
      </c>
      <c r="B2225" t="s">
        <v>32</v>
      </c>
      <c r="C2225" t="s">
        <v>60</v>
      </c>
      <c r="D2225" s="3" t="s">
        <v>284</v>
      </c>
      <c r="E2225" s="5" t="str">
        <f>TEXT(D2225,"dd/mm/yyyy")</f>
        <v>22/07/2024</v>
      </c>
      <c r="G2225" s="5" t="str">
        <f>TEXT(E2225,"mm")</f>
        <v>22/07/2024</v>
      </c>
      <c r="H2225" s="6">
        <v>10245</v>
      </c>
      <c r="I2225">
        <v>329</v>
      </c>
      <c r="L2225" t="str">
        <f t="shared" si="34"/>
        <v>Above Average</v>
      </c>
      <c r="M2225">
        <f>RANK(H2225,H:H,0)</f>
        <v>544</v>
      </c>
    </row>
    <row r="2226" spans="1:13">
      <c r="A2226" t="s">
        <v>67</v>
      </c>
      <c r="B2226" t="s">
        <v>7</v>
      </c>
      <c r="C2226" t="s">
        <v>26</v>
      </c>
      <c r="D2226" s="3" t="s">
        <v>285</v>
      </c>
      <c r="E2226" s="5" t="str">
        <f>TEXT(D2226,"dd/mm/yyyy")</f>
        <v>24/08/2024</v>
      </c>
      <c r="G2226" s="5" t="str">
        <f>TEXT(E2226,"mm")</f>
        <v>24/08/2024</v>
      </c>
      <c r="H2226" s="6">
        <v>2930.4</v>
      </c>
      <c r="I2226">
        <v>344</v>
      </c>
      <c r="L2226" t="str">
        <f t="shared" si="34"/>
        <v>Below Average</v>
      </c>
      <c r="M2226">
        <f>RANK(H2226,H:H,0)</f>
        <v>2334</v>
      </c>
    </row>
    <row r="2227" spans="1:13">
      <c r="A2227" t="s">
        <v>70</v>
      </c>
      <c r="B2227" t="s">
        <v>25</v>
      </c>
      <c r="C2227" t="s">
        <v>23</v>
      </c>
      <c r="D2227" s="4">
        <v>45480</v>
      </c>
      <c r="E2227" s="5" t="str">
        <f>TEXT(D2227,"dd/mm/yyyy")</f>
        <v>07/07/2024</v>
      </c>
      <c r="F2227" s="4"/>
      <c r="G2227" s="5" t="str">
        <f>TEXT(E2227,"mm")</f>
        <v>07</v>
      </c>
      <c r="H2227" s="6">
        <v>170.24</v>
      </c>
      <c r="I2227">
        <v>75</v>
      </c>
      <c r="L2227" t="str">
        <f t="shared" si="34"/>
        <v>Below Average</v>
      </c>
      <c r="M2227">
        <f>RANK(H2227,H:H,0)</f>
        <v>3224</v>
      </c>
    </row>
    <row r="2228" spans="1:13">
      <c r="A2228" t="s">
        <v>71</v>
      </c>
      <c r="B2228" t="s">
        <v>15</v>
      </c>
      <c r="C2228" t="s">
        <v>11</v>
      </c>
      <c r="D2228" s="3" t="s">
        <v>286</v>
      </c>
      <c r="E2228" s="5" t="str">
        <f>TEXT(D2228,"dd/mm/yyyy")</f>
        <v>19/05/2024</v>
      </c>
      <c r="G2228" s="5" t="str">
        <f>TEXT(E2228,"mm")</f>
        <v>19/05/2024</v>
      </c>
      <c r="H2228" s="6">
        <v>4247.49</v>
      </c>
      <c r="I2228">
        <v>14</v>
      </c>
      <c r="L2228" t="str">
        <f t="shared" si="34"/>
        <v>Below Average</v>
      </c>
      <c r="M2228">
        <f>RANK(H2228,H:H,0)</f>
        <v>1918</v>
      </c>
    </row>
    <row r="2229" spans="1:13">
      <c r="A2229" t="s">
        <v>37</v>
      </c>
      <c r="B2229" t="s">
        <v>10</v>
      </c>
      <c r="C2229" t="s">
        <v>60</v>
      </c>
      <c r="D2229" s="4">
        <v>45389</v>
      </c>
      <c r="E2229" s="5" t="str">
        <f>TEXT(D2229,"dd/mm/yyyy")</f>
        <v>07/04/2024</v>
      </c>
      <c r="F2229" s="4"/>
      <c r="G2229" s="5" t="str">
        <f>TEXT(E2229,"mm")</f>
        <v>07</v>
      </c>
      <c r="H2229" s="6">
        <v>2696.1</v>
      </c>
      <c r="I2229">
        <v>605</v>
      </c>
      <c r="L2229" t="str">
        <f t="shared" si="34"/>
        <v>Below Average</v>
      </c>
      <c r="M2229">
        <f>RANK(H2229,H:H,0)</f>
        <v>2406</v>
      </c>
    </row>
    <row r="2230" spans="1:13">
      <c r="A2230" t="s">
        <v>70</v>
      </c>
      <c r="B2230" t="s">
        <v>32</v>
      </c>
      <c r="C2230" t="s">
        <v>23</v>
      </c>
      <c r="D2230" s="4">
        <v>45328</v>
      </c>
      <c r="E2230" s="5" t="str">
        <f>TEXT(D2230,"dd/mm/yyyy")</f>
        <v>06/02/2024</v>
      </c>
      <c r="F2230" s="4"/>
      <c r="G2230" s="5" t="str">
        <f>TEXT(E2230,"mm")</f>
        <v>06</v>
      </c>
      <c r="H2230" s="6">
        <v>1083.76</v>
      </c>
      <c r="I2230">
        <v>16</v>
      </c>
      <c r="L2230" t="str">
        <f t="shared" si="34"/>
        <v>Below Average</v>
      </c>
      <c r="M2230">
        <f>RANK(H2230,H:H,0)</f>
        <v>2947</v>
      </c>
    </row>
    <row r="2231" spans="1:13">
      <c r="A2231" t="s">
        <v>37</v>
      </c>
      <c r="B2231" t="s">
        <v>32</v>
      </c>
      <c r="C2231" t="s">
        <v>73</v>
      </c>
      <c r="D2231" s="3" t="s">
        <v>287</v>
      </c>
      <c r="E2231" s="5" t="str">
        <f>TEXT(D2231,"dd/mm/yyyy")</f>
        <v>15/04/2024</v>
      </c>
      <c r="G2231" s="5" t="str">
        <f>TEXT(E2231,"mm")</f>
        <v>15/04/2024</v>
      </c>
      <c r="H2231" s="6">
        <v>17037.09</v>
      </c>
      <c r="I2231">
        <v>347</v>
      </c>
      <c r="L2231" t="str">
        <f t="shared" si="34"/>
        <v>Above Average</v>
      </c>
      <c r="M2231">
        <f>RANK(H2231,H:H,0)</f>
        <v>68</v>
      </c>
    </row>
    <row r="2232" spans="1:13">
      <c r="A2232" t="s">
        <v>34</v>
      </c>
      <c r="B2232" t="s">
        <v>35</v>
      </c>
      <c r="C2232" t="s">
        <v>75</v>
      </c>
      <c r="D2232" s="4">
        <v>45603</v>
      </c>
      <c r="E2232" s="5" t="str">
        <f>TEXT(D2232,"dd/mm/yyyy")</f>
        <v>07/11/2024</v>
      </c>
      <c r="F2232" s="4"/>
      <c r="G2232" s="5" t="str">
        <f>TEXT(E2232,"mm")</f>
        <v>07</v>
      </c>
      <c r="H2232" s="6">
        <v>5706.43</v>
      </c>
      <c r="I2232">
        <v>247</v>
      </c>
      <c r="L2232" t="str">
        <f t="shared" si="34"/>
        <v>Below Average</v>
      </c>
      <c r="M2232">
        <f>RANK(H2232,H:H,0)</f>
        <v>1513</v>
      </c>
    </row>
    <row r="2233" spans="1:13">
      <c r="A2233" t="s">
        <v>67</v>
      </c>
      <c r="B2233" t="s">
        <v>10</v>
      </c>
      <c r="C2233" t="s">
        <v>50</v>
      </c>
      <c r="D2233" s="3" t="s">
        <v>288</v>
      </c>
      <c r="E2233" s="5" t="str">
        <f>TEXT(D2233,"dd/mm/yyyy")</f>
        <v>23/02/2024</v>
      </c>
      <c r="G2233" s="5" t="str">
        <f>TEXT(E2233,"mm")</f>
        <v>23/02/2024</v>
      </c>
      <c r="H2233" s="6">
        <v>6682.34</v>
      </c>
      <c r="I2233">
        <v>139</v>
      </c>
      <c r="L2233" t="str">
        <f t="shared" si="34"/>
        <v>Above Average</v>
      </c>
      <c r="M2233">
        <f>RANK(H2233,H:H,0)</f>
        <v>1263</v>
      </c>
    </row>
    <row r="2234" spans="1:13">
      <c r="A2234" t="s">
        <v>77</v>
      </c>
      <c r="B2234" t="s">
        <v>35</v>
      </c>
      <c r="C2234" t="s">
        <v>65</v>
      </c>
      <c r="D2234" s="3" t="s">
        <v>289</v>
      </c>
      <c r="E2234" s="5" t="str">
        <f>TEXT(D2234,"dd/mm/yyyy")</f>
        <v>22/08/2024</v>
      </c>
      <c r="G2234" s="5" t="str">
        <f>TEXT(E2234,"mm")</f>
        <v>22/08/2024</v>
      </c>
      <c r="H2234" s="6">
        <v>8192.6</v>
      </c>
      <c r="I2234">
        <v>100</v>
      </c>
      <c r="L2234" t="str">
        <f t="shared" si="34"/>
        <v>Above Average</v>
      </c>
      <c r="M2234">
        <f>RANK(H2234,H:H,0)</f>
        <v>895</v>
      </c>
    </row>
    <row r="2235" spans="1:13">
      <c r="A2235" t="s">
        <v>55</v>
      </c>
      <c r="B2235" t="s">
        <v>32</v>
      </c>
      <c r="C2235" t="s">
        <v>13</v>
      </c>
      <c r="D2235" s="3" t="s">
        <v>274</v>
      </c>
      <c r="E2235" s="5" t="str">
        <f>TEXT(D2235,"dd/mm/yyyy")</f>
        <v>16/02/2024</v>
      </c>
      <c r="G2235" s="5" t="str">
        <f>TEXT(E2235,"mm")</f>
        <v>16/02/2024</v>
      </c>
      <c r="H2235" s="6">
        <v>7568.16</v>
      </c>
      <c r="I2235">
        <v>206</v>
      </c>
      <c r="L2235" t="str">
        <f t="shared" si="34"/>
        <v>Above Average</v>
      </c>
      <c r="M2235">
        <f>RANK(H2235,H:H,0)</f>
        <v>1051</v>
      </c>
    </row>
    <row r="2236" spans="1:13">
      <c r="A2236" t="s">
        <v>9</v>
      </c>
      <c r="B2236" t="s">
        <v>32</v>
      </c>
      <c r="C2236" t="s">
        <v>26</v>
      </c>
      <c r="D2236" s="3" t="s">
        <v>270</v>
      </c>
      <c r="E2236" s="5" t="str">
        <f>TEXT(D2236,"dd/mm/yyyy")</f>
        <v>13/01/2024</v>
      </c>
      <c r="G2236" s="5" t="str">
        <f>TEXT(E2236,"mm")</f>
        <v>13/01/2024</v>
      </c>
      <c r="H2236" s="6">
        <v>10772.33</v>
      </c>
      <c r="I2236">
        <v>156</v>
      </c>
      <c r="L2236" t="str">
        <f t="shared" si="34"/>
        <v>Above Average</v>
      </c>
      <c r="M2236">
        <f>RANK(H2236,H:H,0)</f>
        <v>479</v>
      </c>
    </row>
    <row r="2237" spans="1:13">
      <c r="A2237" t="s">
        <v>48</v>
      </c>
      <c r="B2237" t="s">
        <v>15</v>
      </c>
      <c r="C2237" t="s">
        <v>46</v>
      </c>
      <c r="D2237" s="3" t="s">
        <v>273</v>
      </c>
      <c r="E2237" s="5" t="str">
        <f>TEXT(D2237,"dd/mm/yyyy")</f>
        <v>14/02/2024</v>
      </c>
      <c r="G2237" s="5" t="str">
        <f>TEXT(E2237,"mm")</f>
        <v>14/02/2024</v>
      </c>
      <c r="H2237" s="6">
        <v>7467.12</v>
      </c>
      <c r="I2237">
        <v>18</v>
      </c>
      <c r="L2237" t="str">
        <f t="shared" si="34"/>
        <v>Above Average</v>
      </c>
      <c r="M2237">
        <f>RANK(H2237,H:H,0)</f>
        <v>1074</v>
      </c>
    </row>
    <row r="2238" spans="1:13">
      <c r="A2238" t="s">
        <v>45</v>
      </c>
      <c r="B2238" t="s">
        <v>10</v>
      </c>
      <c r="C2238" t="s">
        <v>36</v>
      </c>
      <c r="D2238" s="4">
        <v>45571</v>
      </c>
      <c r="E2238" s="5" t="str">
        <f>TEXT(D2238,"dd/mm/yyyy")</f>
        <v>06/10/2024</v>
      </c>
      <c r="F2238" s="4"/>
      <c r="G2238" s="5" t="str">
        <f>TEXT(E2238,"mm")</f>
        <v>06</v>
      </c>
      <c r="H2238" s="6">
        <v>4985.8999999999996</v>
      </c>
      <c r="I2238">
        <v>311</v>
      </c>
      <c r="L2238" t="str">
        <f t="shared" si="34"/>
        <v>Below Average</v>
      </c>
      <c r="M2238">
        <f>RANK(H2238,H:H,0)</f>
        <v>1710</v>
      </c>
    </row>
    <row r="2239" spans="1:13">
      <c r="A2239" t="s">
        <v>48</v>
      </c>
      <c r="B2239" t="s">
        <v>10</v>
      </c>
      <c r="C2239" t="s">
        <v>57</v>
      </c>
      <c r="D2239" s="4">
        <v>45480</v>
      </c>
      <c r="E2239" s="5" t="str">
        <f>TEXT(D2239,"dd/mm/yyyy")</f>
        <v>07/07/2024</v>
      </c>
      <c r="F2239" s="4"/>
      <c r="G2239" s="5" t="str">
        <f>TEXT(E2239,"mm")</f>
        <v>07</v>
      </c>
      <c r="H2239" s="6">
        <v>5693.6</v>
      </c>
      <c r="I2239">
        <v>177</v>
      </c>
      <c r="L2239" t="str">
        <f t="shared" si="34"/>
        <v>Below Average</v>
      </c>
      <c r="M2239">
        <f>RANK(H2239,H:H,0)</f>
        <v>1517</v>
      </c>
    </row>
    <row r="2240" spans="1:13">
      <c r="A2240" t="s">
        <v>48</v>
      </c>
      <c r="B2240" t="s">
        <v>35</v>
      </c>
      <c r="C2240" t="s">
        <v>65</v>
      </c>
      <c r="D2240" s="3" t="s">
        <v>268</v>
      </c>
      <c r="E2240" s="5" t="str">
        <f>TEXT(D2240,"dd/mm/yyyy")</f>
        <v>24/03/2024</v>
      </c>
      <c r="G2240" s="5" t="str">
        <f>TEXT(E2240,"mm")</f>
        <v>24/03/2024</v>
      </c>
      <c r="H2240" s="6">
        <v>5879.1</v>
      </c>
      <c r="I2240">
        <v>75</v>
      </c>
      <c r="L2240" t="str">
        <f t="shared" si="34"/>
        <v>Below Average</v>
      </c>
      <c r="M2240">
        <f>RANK(H2240,H:H,0)</f>
        <v>1465</v>
      </c>
    </row>
    <row r="2241" spans="1:13">
      <c r="A2241" t="s">
        <v>28</v>
      </c>
      <c r="B2241" t="s">
        <v>15</v>
      </c>
      <c r="C2241" t="s">
        <v>57</v>
      </c>
      <c r="D2241" s="4">
        <v>45449</v>
      </c>
      <c r="E2241" s="5" t="str">
        <f>TEXT(D2241,"dd/mm/yyyy")</f>
        <v>06/06/2024</v>
      </c>
      <c r="F2241" s="4"/>
      <c r="G2241" s="5" t="str">
        <f>TEXT(E2241,"mm")</f>
        <v>06</v>
      </c>
      <c r="H2241" s="6">
        <v>9771.93</v>
      </c>
      <c r="I2241">
        <v>22</v>
      </c>
      <c r="L2241" t="str">
        <f t="shared" si="34"/>
        <v>Above Average</v>
      </c>
      <c r="M2241">
        <f>RANK(H2241,H:H,0)</f>
        <v>617</v>
      </c>
    </row>
    <row r="2242" spans="1:13">
      <c r="A2242" t="s">
        <v>79</v>
      </c>
      <c r="B2242" t="s">
        <v>15</v>
      </c>
      <c r="C2242" t="s">
        <v>38</v>
      </c>
      <c r="D2242" s="3" t="s">
        <v>290</v>
      </c>
      <c r="E2242" s="5" t="str">
        <f>TEXT(D2242,"dd/mm/yyyy")</f>
        <v>19/07/2024</v>
      </c>
      <c r="G2242" s="5" t="str">
        <f>TEXT(E2242,"mm")</f>
        <v>19/07/2024</v>
      </c>
      <c r="H2242" s="6">
        <v>105.06</v>
      </c>
      <c r="I2242">
        <v>140</v>
      </c>
      <c r="L2242" t="str">
        <f t="shared" si="34"/>
        <v>Below Average</v>
      </c>
      <c r="M2242">
        <f>RANK(H2242,H:H,0)</f>
        <v>3243</v>
      </c>
    </row>
    <row r="2243" spans="1:13">
      <c r="A2243" t="s">
        <v>41</v>
      </c>
      <c r="B2243" t="s">
        <v>32</v>
      </c>
      <c r="C2243" t="s">
        <v>73</v>
      </c>
      <c r="D2243" s="3" t="s">
        <v>291</v>
      </c>
      <c r="E2243" s="5" t="str">
        <f>TEXT(D2243,"dd/mm/yyyy")</f>
        <v>19/04/2024</v>
      </c>
      <c r="G2243" s="5" t="str">
        <f>TEXT(E2243,"mm")</f>
        <v>19/04/2024</v>
      </c>
      <c r="H2243" s="6">
        <v>16414.689999999999</v>
      </c>
      <c r="I2243">
        <v>80</v>
      </c>
      <c r="L2243" t="str">
        <f t="shared" ref="L2243:L2306" si="35">IF(H2243&gt;6030.34,"Above Average","Below Average")</f>
        <v>Above Average</v>
      </c>
      <c r="M2243">
        <f>RANK(H2243,H:H,0)</f>
        <v>88</v>
      </c>
    </row>
    <row r="2244" spans="1:13">
      <c r="A2244" t="s">
        <v>40</v>
      </c>
      <c r="B2244" t="s">
        <v>10</v>
      </c>
      <c r="C2244" t="s">
        <v>11</v>
      </c>
      <c r="D2244" s="3" t="s">
        <v>290</v>
      </c>
      <c r="E2244" s="5" t="str">
        <f>TEXT(D2244,"dd/mm/yyyy")</f>
        <v>19/07/2024</v>
      </c>
      <c r="G2244" s="5" t="str">
        <f>TEXT(E2244,"mm")</f>
        <v>19/07/2024</v>
      </c>
      <c r="H2244" s="6">
        <v>2553.41</v>
      </c>
      <c r="I2244">
        <v>183</v>
      </c>
      <c r="L2244" t="str">
        <f t="shared" si="35"/>
        <v>Below Average</v>
      </c>
      <c r="M2244">
        <f>RANK(H2244,H:H,0)</f>
        <v>2453</v>
      </c>
    </row>
    <row r="2245" spans="1:13">
      <c r="A2245" t="s">
        <v>6</v>
      </c>
      <c r="B2245" t="s">
        <v>35</v>
      </c>
      <c r="C2245" t="s">
        <v>38</v>
      </c>
      <c r="D2245" s="3" t="s">
        <v>292</v>
      </c>
      <c r="E2245" s="5" t="str">
        <f>TEXT(D2245,"dd/mm/yyyy")</f>
        <v>15/07/2024</v>
      </c>
      <c r="G2245" s="5" t="str">
        <f>TEXT(E2245,"mm")</f>
        <v>15/07/2024</v>
      </c>
      <c r="H2245" s="6">
        <v>473.99</v>
      </c>
      <c r="I2245">
        <v>25</v>
      </c>
      <c r="L2245" t="str">
        <f t="shared" si="35"/>
        <v>Below Average</v>
      </c>
      <c r="M2245">
        <f>RANK(H2245,H:H,0)</f>
        <v>3142</v>
      </c>
    </row>
    <row r="2246" spans="1:13">
      <c r="A2246" t="s">
        <v>83</v>
      </c>
      <c r="B2246" t="s">
        <v>25</v>
      </c>
      <c r="C2246" t="s">
        <v>50</v>
      </c>
      <c r="D2246" s="3" t="s">
        <v>273</v>
      </c>
      <c r="E2246" s="5" t="str">
        <f>TEXT(D2246,"dd/mm/yyyy")</f>
        <v>14/02/2024</v>
      </c>
      <c r="G2246" s="5" t="str">
        <f>TEXT(E2246,"mm")</f>
        <v>14/02/2024</v>
      </c>
      <c r="H2246" s="6">
        <v>3873.98</v>
      </c>
      <c r="I2246">
        <v>19</v>
      </c>
      <c r="L2246" t="str">
        <f t="shared" si="35"/>
        <v>Below Average</v>
      </c>
      <c r="M2246">
        <f>RANK(H2246,H:H,0)</f>
        <v>2018</v>
      </c>
    </row>
    <row r="2247" spans="1:13">
      <c r="A2247" t="s">
        <v>28</v>
      </c>
      <c r="B2247" t="s">
        <v>35</v>
      </c>
      <c r="C2247" t="s">
        <v>20</v>
      </c>
      <c r="D2247" s="3" t="s">
        <v>293</v>
      </c>
      <c r="E2247" s="5" t="str">
        <f>TEXT(D2247,"dd/mm/yyyy")</f>
        <v>18/05/2024</v>
      </c>
      <c r="G2247" s="5" t="str">
        <f>TEXT(E2247,"mm")</f>
        <v>18/05/2024</v>
      </c>
      <c r="H2247" s="6">
        <v>17718.25</v>
      </c>
      <c r="I2247">
        <v>430</v>
      </c>
      <c r="L2247" t="str">
        <f t="shared" si="35"/>
        <v>Above Average</v>
      </c>
      <c r="M2247">
        <f>RANK(H2247,H:H,0)</f>
        <v>46</v>
      </c>
    </row>
    <row r="2248" spans="1:13">
      <c r="A2248" t="s">
        <v>31</v>
      </c>
      <c r="B2248" t="s">
        <v>15</v>
      </c>
      <c r="C2248" t="s">
        <v>57</v>
      </c>
      <c r="D2248" s="3" t="s">
        <v>283</v>
      </c>
      <c r="E2248" s="5" t="str">
        <f>TEXT(D2248,"dd/mm/yyyy")</f>
        <v>30/06/2024</v>
      </c>
      <c r="G2248" s="5" t="str">
        <f>TEXT(E2248,"mm")</f>
        <v>30/06/2024</v>
      </c>
      <c r="H2248" s="6">
        <v>16572.07</v>
      </c>
      <c r="I2248">
        <v>57</v>
      </c>
      <c r="L2248" t="str">
        <f t="shared" si="35"/>
        <v>Above Average</v>
      </c>
      <c r="M2248">
        <f>RANK(H2248,H:H,0)</f>
        <v>80</v>
      </c>
    </row>
    <row r="2249" spans="1:13">
      <c r="A2249" t="s">
        <v>67</v>
      </c>
      <c r="B2249" t="s">
        <v>15</v>
      </c>
      <c r="C2249" t="s">
        <v>26</v>
      </c>
      <c r="D2249" s="4">
        <v>45328</v>
      </c>
      <c r="E2249" s="5" t="str">
        <f>TEXT(D2249,"dd/mm/yyyy")</f>
        <v>06/02/2024</v>
      </c>
      <c r="F2249" s="4"/>
      <c r="G2249" s="5" t="str">
        <f>TEXT(E2249,"mm")</f>
        <v>06</v>
      </c>
      <c r="H2249" s="6">
        <v>5220.1899999999996</v>
      </c>
      <c r="I2249">
        <v>216</v>
      </c>
      <c r="L2249" t="str">
        <f t="shared" si="35"/>
        <v>Below Average</v>
      </c>
      <c r="M2249">
        <f>RANK(H2249,H:H,0)</f>
        <v>1645</v>
      </c>
    </row>
    <row r="2250" spans="1:13">
      <c r="A2250" t="s">
        <v>67</v>
      </c>
      <c r="B2250" t="s">
        <v>15</v>
      </c>
      <c r="C2250" t="s">
        <v>38</v>
      </c>
      <c r="D2250" s="3" t="s">
        <v>294</v>
      </c>
      <c r="E2250" s="5" t="str">
        <f>TEXT(D2250,"dd/mm/yyyy")</f>
        <v>28/06/2024</v>
      </c>
      <c r="G2250" s="5" t="str">
        <f>TEXT(E2250,"mm")</f>
        <v>28/06/2024</v>
      </c>
      <c r="H2250" s="6">
        <v>1797.26</v>
      </c>
      <c r="I2250">
        <v>49</v>
      </c>
      <c r="L2250" t="str">
        <f t="shared" si="35"/>
        <v>Below Average</v>
      </c>
      <c r="M2250">
        <f>RANK(H2250,H:H,0)</f>
        <v>2702</v>
      </c>
    </row>
    <row r="2251" spans="1:13">
      <c r="A2251" t="s">
        <v>40</v>
      </c>
      <c r="B2251" t="s">
        <v>15</v>
      </c>
      <c r="C2251" t="s">
        <v>42</v>
      </c>
      <c r="D2251" s="3" t="s">
        <v>295</v>
      </c>
      <c r="E2251" s="5" t="str">
        <f>TEXT(D2251,"dd/mm/yyyy")</f>
        <v>16/05/2024</v>
      </c>
      <c r="G2251" s="5" t="str">
        <f>TEXT(E2251,"mm")</f>
        <v>16/05/2024</v>
      </c>
      <c r="H2251" s="6">
        <v>295.62</v>
      </c>
      <c r="I2251">
        <v>182</v>
      </c>
      <c r="L2251" t="str">
        <f t="shared" si="35"/>
        <v>Below Average</v>
      </c>
      <c r="M2251">
        <f>RANK(H2251,H:H,0)</f>
        <v>3197</v>
      </c>
    </row>
    <row r="2252" spans="1:13">
      <c r="A2252" t="s">
        <v>70</v>
      </c>
      <c r="B2252" t="s">
        <v>35</v>
      </c>
      <c r="C2252" t="s">
        <v>87</v>
      </c>
      <c r="D2252" s="3" t="s">
        <v>296</v>
      </c>
      <c r="E2252" s="5" t="str">
        <f>TEXT(D2252,"dd/mm/yyyy")</f>
        <v>26/05/2024</v>
      </c>
      <c r="G2252" s="5" t="str">
        <f>TEXT(E2252,"mm")</f>
        <v>26/05/2024</v>
      </c>
      <c r="H2252" s="6">
        <v>3597.37</v>
      </c>
      <c r="I2252">
        <v>288</v>
      </c>
      <c r="L2252" t="str">
        <f t="shared" si="35"/>
        <v>Below Average</v>
      </c>
      <c r="M2252">
        <f>RANK(H2252,H:H,0)</f>
        <v>2107</v>
      </c>
    </row>
    <row r="2253" spans="1:13">
      <c r="A2253" t="s">
        <v>37</v>
      </c>
      <c r="B2253" t="s">
        <v>10</v>
      </c>
      <c r="C2253" t="s">
        <v>65</v>
      </c>
      <c r="D2253" s="4">
        <v>45450</v>
      </c>
      <c r="E2253" s="5" t="str">
        <f>TEXT(D2253,"dd/mm/yyyy")</f>
        <v>07/06/2024</v>
      </c>
      <c r="F2253" s="4"/>
      <c r="G2253" s="5" t="str">
        <f>TEXT(E2253,"mm")</f>
        <v>07</v>
      </c>
      <c r="H2253" s="6">
        <v>6580.43</v>
      </c>
      <c r="I2253">
        <v>147</v>
      </c>
      <c r="L2253" t="str">
        <f t="shared" si="35"/>
        <v>Above Average</v>
      </c>
      <c r="M2253">
        <f>RANK(H2253,H:H,0)</f>
        <v>1285</v>
      </c>
    </row>
    <row r="2254" spans="1:13">
      <c r="A2254" t="s">
        <v>19</v>
      </c>
      <c r="B2254" t="s">
        <v>10</v>
      </c>
      <c r="C2254" t="s">
        <v>20</v>
      </c>
      <c r="D2254" s="3" t="s">
        <v>297</v>
      </c>
      <c r="E2254" s="5" t="str">
        <f>TEXT(D2254,"dd/mm/yyyy")</f>
        <v>27/05/2024</v>
      </c>
      <c r="G2254" s="5" t="str">
        <f>TEXT(E2254,"mm")</f>
        <v>27/05/2024</v>
      </c>
      <c r="H2254" s="6">
        <v>12232.97</v>
      </c>
      <c r="I2254">
        <v>11</v>
      </c>
      <c r="L2254" t="str">
        <f t="shared" si="35"/>
        <v>Above Average</v>
      </c>
      <c r="M2254">
        <f>RANK(H2254,H:H,0)</f>
        <v>325</v>
      </c>
    </row>
    <row r="2255" spans="1:13">
      <c r="A2255" t="s">
        <v>64</v>
      </c>
      <c r="B2255" t="s">
        <v>15</v>
      </c>
      <c r="C2255" t="s">
        <v>90</v>
      </c>
      <c r="D2255" s="3" t="s">
        <v>298</v>
      </c>
      <c r="E2255" s="5" t="str">
        <f>TEXT(D2255,"dd/mm/yyyy")</f>
        <v>14/04/2024</v>
      </c>
      <c r="G2255" s="5" t="str">
        <f>TEXT(E2255,"mm")</f>
        <v>14/04/2024</v>
      </c>
      <c r="H2255" s="6">
        <v>2243.44</v>
      </c>
      <c r="I2255">
        <v>11</v>
      </c>
      <c r="L2255" t="str">
        <f t="shared" si="35"/>
        <v>Below Average</v>
      </c>
      <c r="M2255">
        <f>RANK(H2255,H:H,0)</f>
        <v>2568</v>
      </c>
    </row>
    <row r="2256" spans="1:13">
      <c r="A2256" t="s">
        <v>9</v>
      </c>
      <c r="B2256" t="s">
        <v>15</v>
      </c>
      <c r="C2256" t="s">
        <v>42</v>
      </c>
      <c r="D2256" s="4">
        <v>45573</v>
      </c>
      <c r="E2256" s="5" t="str">
        <f>TEXT(D2256,"dd/mm/yyyy")</f>
        <v>08/10/2024</v>
      </c>
      <c r="F2256" s="4"/>
      <c r="G2256" s="5" t="str">
        <f>TEXT(E2256,"mm")</f>
        <v>08</v>
      </c>
      <c r="H2256" s="6">
        <v>22943.37</v>
      </c>
      <c r="I2256">
        <v>14</v>
      </c>
      <c r="L2256" t="str">
        <f t="shared" si="35"/>
        <v>Above Average</v>
      </c>
      <c r="M2256">
        <f>RANK(H2256,H:H,0)</f>
        <v>3</v>
      </c>
    </row>
    <row r="2257" spans="1:13">
      <c r="A2257" t="s">
        <v>71</v>
      </c>
      <c r="B2257" t="s">
        <v>10</v>
      </c>
      <c r="C2257" t="s">
        <v>26</v>
      </c>
      <c r="D2257" s="4">
        <v>45389</v>
      </c>
      <c r="E2257" s="5" t="str">
        <f>TEXT(D2257,"dd/mm/yyyy")</f>
        <v>07/04/2024</v>
      </c>
      <c r="F2257" s="4"/>
      <c r="G2257" s="5" t="str">
        <f>TEXT(E2257,"mm")</f>
        <v>07</v>
      </c>
      <c r="H2257" s="6">
        <v>10590.61</v>
      </c>
      <c r="I2257">
        <v>430</v>
      </c>
      <c r="L2257" t="str">
        <f t="shared" si="35"/>
        <v>Above Average</v>
      </c>
      <c r="M2257">
        <f>RANK(H2257,H:H,0)</f>
        <v>501</v>
      </c>
    </row>
    <row r="2258" spans="1:13">
      <c r="A2258" t="s">
        <v>19</v>
      </c>
      <c r="B2258" t="s">
        <v>10</v>
      </c>
      <c r="C2258" t="s">
        <v>42</v>
      </c>
      <c r="D2258" s="4">
        <v>45511</v>
      </c>
      <c r="E2258" s="5" t="str">
        <f>TEXT(D2258,"dd/mm/yyyy")</f>
        <v>07/08/2024</v>
      </c>
      <c r="F2258" s="4"/>
      <c r="G2258" s="5" t="str">
        <f>TEXT(E2258,"mm")</f>
        <v>07</v>
      </c>
      <c r="H2258" s="6">
        <v>6468.82</v>
      </c>
      <c r="I2258">
        <v>59</v>
      </c>
      <c r="L2258" t="str">
        <f t="shared" si="35"/>
        <v>Above Average</v>
      </c>
      <c r="M2258">
        <f>RANK(H2258,H:H,0)</f>
        <v>1313</v>
      </c>
    </row>
    <row r="2259" spans="1:13">
      <c r="A2259" t="s">
        <v>14</v>
      </c>
      <c r="B2259" t="s">
        <v>32</v>
      </c>
      <c r="C2259" t="s">
        <v>13</v>
      </c>
      <c r="D2259" s="3" t="s">
        <v>284</v>
      </c>
      <c r="E2259" s="5" t="str">
        <f>TEXT(D2259,"dd/mm/yyyy")</f>
        <v>22/07/2024</v>
      </c>
      <c r="G2259" s="5" t="str">
        <f>TEXT(E2259,"mm")</f>
        <v>22/07/2024</v>
      </c>
      <c r="H2259" s="6">
        <v>10463.57</v>
      </c>
      <c r="I2259">
        <v>109</v>
      </c>
      <c r="L2259" t="str">
        <f t="shared" si="35"/>
        <v>Above Average</v>
      </c>
      <c r="M2259">
        <f>RANK(H2259,H:H,0)</f>
        <v>514</v>
      </c>
    </row>
    <row r="2260" spans="1:13">
      <c r="A2260" t="s">
        <v>12</v>
      </c>
      <c r="B2260" t="s">
        <v>32</v>
      </c>
      <c r="C2260" t="s">
        <v>75</v>
      </c>
      <c r="D2260" s="4">
        <v>45325</v>
      </c>
      <c r="E2260" s="5" t="str">
        <f>TEXT(D2260,"dd/mm/yyyy")</f>
        <v>03/02/2024</v>
      </c>
      <c r="F2260" s="4"/>
      <c r="G2260" s="5" t="str">
        <f>TEXT(E2260,"mm")</f>
        <v>03</v>
      </c>
      <c r="H2260" s="6">
        <v>14154.35</v>
      </c>
      <c r="I2260">
        <v>105</v>
      </c>
      <c r="L2260" t="str">
        <f t="shared" si="35"/>
        <v>Above Average</v>
      </c>
      <c r="M2260">
        <f>RANK(H2260,H:H,0)</f>
        <v>200</v>
      </c>
    </row>
    <row r="2261" spans="1:13">
      <c r="A2261" t="s">
        <v>12</v>
      </c>
      <c r="B2261" t="s">
        <v>7</v>
      </c>
      <c r="C2261" t="s">
        <v>65</v>
      </c>
      <c r="D2261" s="4">
        <v>45566</v>
      </c>
      <c r="E2261" s="5" t="str">
        <f>TEXT(D2261,"dd/mm/yyyy")</f>
        <v>01/10/2024</v>
      </c>
      <c r="F2261" s="4"/>
      <c r="G2261" s="5" t="str">
        <f>TEXT(E2261,"mm")</f>
        <v>01</v>
      </c>
      <c r="H2261" s="6">
        <v>6031.14</v>
      </c>
      <c r="I2261">
        <v>9</v>
      </c>
      <c r="L2261" t="str">
        <f t="shared" si="35"/>
        <v>Above Average</v>
      </c>
      <c r="M2261">
        <f>RANK(H2261,H:H,0)</f>
        <v>1427</v>
      </c>
    </row>
    <row r="2262" spans="1:13">
      <c r="A2262" t="s">
        <v>6</v>
      </c>
      <c r="B2262" t="s">
        <v>25</v>
      </c>
      <c r="C2262" t="s">
        <v>59</v>
      </c>
      <c r="D2262" s="4">
        <v>45599</v>
      </c>
      <c r="E2262" s="5" t="str">
        <f>TEXT(D2262,"dd/mm/yyyy")</f>
        <v>03/11/2024</v>
      </c>
      <c r="F2262" s="4"/>
      <c r="G2262" s="5" t="str">
        <f>TEXT(E2262,"mm")</f>
        <v>03</v>
      </c>
      <c r="H2262" s="6">
        <v>3308.4</v>
      </c>
      <c r="I2262">
        <v>258</v>
      </c>
      <c r="L2262" t="str">
        <f t="shared" si="35"/>
        <v>Below Average</v>
      </c>
      <c r="M2262">
        <f>RANK(H2262,H:H,0)</f>
        <v>2209</v>
      </c>
    </row>
    <row r="2263" spans="1:13">
      <c r="A2263" t="s">
        <v>67</v>
      </c>
      <c r="B2263" t="s">
        <v>25</v>
      </c>
      <c r="C2263" t="s">
        <v>13</v>
      </c>
      <c r="D2263" s="3" t="s">
        <v>299</v>
      </c>
      <c r="E2263" s="5" t="str">
        <f>TEXT(D2263,"dd/mm/yyyy")</f>
        <v>20/06/2024</v>
      </c>
      <c r="G2263" s="5" t="str">
        <f>TEXT(E2263,"mm")</f>
        <v>20/06/2024</v>
      </c>
      <c r="H2263" s="6">
        <v>1119.94</v>
      </c>
      <c r="I2263">
        <v>283</v>
      </c>
      <c r="L2263" t="str">
        <f t="shared" si="35"/>
        <v>Below Average</v>
      </c>
      <c r="M2263">
        <f>RANK(H2263,H:H,0)</f>
        <v>2933</v>
      </c>
    </row>
    <row r="2264" spans="1:13">
      <c r="A2264" t="s">
        <v>9</v>
      </c>
      <c r="B2264" t="s">
        <v>7</v>
      </c>
      <c r="C2264" t="s">
        <v>42</v>
      </c>
      <c r="D2264" s="3" t="s">
        <v>300</v>
      </c>
      <c r="E2264" s="5" t="str">
        <f>TEXT(D2264,"dd/mm/yyyy")</f>
        <v>26/08/2024</v>
      </c>
      <c r="G2264" s="5" t="str">
        <f>TEXT(E2264,"mm")</f>
        <v>26/08/2024</v>
      </c>
      <c r="H2264" s="6">
        <v>2303.39</v>
      </c>
      <c r="I2264">
        <v>222</v>
      </c>
      <c r="L2264" t="str">
        <f t="shared" si="35"/>
        <v>Below Average</v>
      </c>
      <c r="M2264">
        <f>RANK(H2264,H:H,0)</f>
        <v>2548</v>
      </c>
    </row>
    <row r="2265" spans="1:13">
      <c r="A2265" t="s">
        <v>45</v>
      </c>
      <c r="B2265" t="s">
        <v>35</v>
      </c>
      <c r="C2265" t="s">
        <v>46</v>
      </c>
      <c r="D2265" s="3" t="s">
        <v>301</v>
      </c>
      <c r="E2265" s="5" t="str">
        <f>TEXT(D2265,"dd/mm/yyyy")</f>
        <v>13/07/2024</v>
      </c>
      <c r="G2265" s="5" t="str">
        <f>TEXT(E2265,"mm")</f>
        <v>13/07/2024</v>
      </c>
      <c r="H2265" s="6">
        <v>723.37</v>
      </c>
      <c r="I2265">
        <v>33</v>
      </c>
      <c r="L2265" t="str">
        <f t="shared" si="35"/>
        <v>Below Average</v>
      </c>
      <c r="M2265">
        <f>RANK(H2265,H:H,0)</f>
        <v>3055</v>
      </c>
    </row>
    <row r="2266" spans="1:13">
      <c r="A2266" t="s">
        <v>71</v>
      </c>
      <c r="B2266" t="s">
        <v>32</v>
      </c>
      <c r="C2266" t="s">
        <v>50</v>
      </c>
      <c r="D2266" s="4">
        <v>45598</v>
      </c>
      <c r="E2266" s="5" t="str">
        <f>TEXT(D2266,"dd/mm/yyyy")</f>
        <v>02/11/2024</v>
      </c>
      <c r="F2266" s="4"/>
      <c r="G2266" s="5" t="str">
        <f>TEXT(E2266,"mm")</f>
        <v>02</v>
      </c>
      <c r="H2266" s="6">
        <v>1413.64</v>
      </c>
      <c r="I2266">
        <v>261</v>
      </c>
      <c r="L2266" t="str">
        <f t="shared" si="35"/>
        <v>Below Average</v>
      </c>
      <c r="M2266">
        <f>RANK(H2266,H:H,0)</f>
        <v>2835</v>
      </c>
    </row>
    <row r="2267" spans="1:13">
      <c r="A2267" t="s">
        <v>40</v>
      </c>
      <c r="B2267" t="s">
        <v>32</v>
      </c>
      <c r="C2267" t="s">
        <v>33</v>
      </c>
      <c r="D2267" s="3" t="s">
        <v>302</v>
      </c>
      <c r="E2267" s="5" t="str">
        <f>TEXT(D2267,"dd/mm/yyyy")</f>
        <v>27/01/2024</v>
      </c>
      <c r="G2267" s="5" t="str">
        <f>TEXT(E2267,"mm")</f>
        <v>27/01/2024</v>
      </c>
      <c r="H2267" s="6">
        <v>9001.89</v>
      </c>
      <c r="I2267">
        <v>193</v>
      </c>
      <c r="L2267" t="str">
        <f t="shared" si="35"/>
        <v>Above Average</v>
      </c>
      <c r="M2267">
        <f>RANK(H2267,H:H,0)</f>
        <v>738</v>
      </c>
    </row>
    <row r="2268" spans="1:13">
      <c r="A2268" t="s">
        <v>9</v>
      </c>
      <c r="B2268" t="s">
        <v>7</v>
      </c>
      <c r="C2268" t="s">
        <v>20</v>
      </c>
      <c r="D2268" s="3" t="s">
        <v>303</v>
      </c>
      <c r="E2268" s="5" t="str">
        <f>TEXT(D2268,"dd/mm/yyyy")</f>
        <v>31/01/2024</v>
      </c>
      <c r="G2268" s="5" t="str">
        <f>TEXT(E2268,"mm")</f>
        <v>31/01/2024</v>
      </c>
      <c r="H2268" s="6">
        <v>5283.91</v>
      </c>
      <c r="I2268">
        <v>136</v>
      </c>
      <c r="L2268" t="str">
        <f t="shared" si="35"/>
        <v>Below Average</v>
      </c>
      <c r="M2268">
        <f>RANK(H2268,H:H,0)</f>
        <v>1624</v>
      </c>
    </row>
    <row r="2269" spans="1:13">
      <c r="A2269" t="s">
        <v>71</v>
      </c>
      <c r="B2269" t="s">
        <v>32</v>
      </c>
      <c r="C2269" t="s">
        <v>59</v>
      </c>
      <c r="D2269" s="3" t="s">
        <v>304</v>
      </c>
      <c r="E2269" s="5" t="str">
        <f>TEXT(D2269,"dd/mm/yyyy")</f>
        <v>18/08/2024</v>
      </c>
      <c r="G2269" s="5" t="str">
        <f>TEXT(E2269,"mm")</f>
        <v>18/08/2024</v>
      </c>
      <c r="H2269" s="6">
        <v>10958.51</v>
      </c>
      <c r="I2269">
        <v>23</v>
      </c>
      <c r="L2269" t="str">
        <f t="shared" si="35"/>
        <v>Above Average</v>
      </c>
      <c r="M2269">
        <f>RANK(H2269,H:H,0)</f>
        <v>448</v>
      </c>
    </row>
    <row r="2270" spans="1:13">
      <c r="A2270" t="s">
        <v>67</v>
      </c>
      <c r="B2270" t="s">
        <v>32</v>
      </c>
      <c r="C2270" t="s">
        <v>73</v>
      </c>
      <c r="D2270" s="3" t="s">
        <v>283</v>
      </c>
      <c r="E2270" s="5" t="str">
        <f>TEXT(D2270,"dd/mm/yyyy")</f>
        <v>30/06/2024</v>
      </c>
      <c r="G2270" s="5" t="str">
        <f>TEXT(E2270,"mm")</f>
        <v>30/06/2024</v>
      </c>
      <c r="H2270" s="6">
        <v>15531.78</v>
      </c>
      <c r="I2270">
        <v>22</v>
      </c>
      <c r="L2270" t="str">
        <f t="shared" si="35"/>
        <v>Above Average</v>
      </c>
      <c r="M2270">
        <f>RANK(H2270,H:H,0)</f>
        <v>124</v>
      </c>
    </row>
    <row r="2271" spans="1:13">
      <c r="A2271" t="s">
        <v>79</v>
      </c>
      <c r="B2271" t="s">
        <v>15</v>
      </c>
      <c r="C2271" t="s">
        <v>57</v>
      </c>
      <c r="D2271" s="3" t="s">
        <v>305</v>
      </c>
      <c r="E2271" s="5" t="str">
        <f>TEXT(D2271,"dd/mm/yyyy")</f>
        <v>23/08/2024</v>
      </c>
      <c r="G2271" s="5" t="str">
        <f>TEXT(E2271,"mm")</f>
        <v>23/08/2024</v>
      </c>
      <c r="H2271" s="6">
        <v>317.36</v>
      </c>
      <c r="I2271">
        <v>337</v>
      </c>
      <c r="L2271" t="str">
        <f t="shared" si="35"/>
        <v>Below Average</v>
      </c>
      <c r="M2271">
        <f>RANK(H2271,H:H,0)</f>
        <v>3184</v>
      </c>
    </row>
    <row r="2272" spans="1:13">
      <c r="A2272" t="s">
        <v>28</v>
      </c>
      <c r="B2272" t="s">
        <v>25</v>
      </c>
      <c r="C2272" t="s">
        <v>8</v>
      </c>
      <c r="D2272" s="4">
        <v>45299</v>
      </c>
      <c r="E2272" s="5" t="str">
        <f>TEXT(D2272,"dd/mm/yyyy")</f>
        <v>08/01/2024</v>
      </c>
      <c r="F2272" s="4"/>
      <c r="G2272" s="5" t="str">
        <f>TEXT(E2272,"mm")</f>
        <v>08</v>
      </c>
      <c r="H2272" s="6">
        <v>71.41</v>
      </c>
      <c r="I2272">
        <v>188</v>
      </c>
      <c r="L2272" t="str">
        <f t="shared" si="35"/>
        <v>Below Average</v>
      </c>
      <c r="M2272">
        <f>RANK(H2272,H:H,0)</f>
        <v>3257</v>
      </c>
    </row>
    <row r="2273" spans="1:13">
      <c r="A2273" t="s">
        <v>45</v>
      </c>
      <c r="B2273" t="s">
        <v>25</v>
      </c>
      <c r="C2273" t="s">
        <v>23</v>
      </c>
      <c r="D2273" s="3" t="s">
        <v>306</v>
      </c>
      <c r="E2273" s="5" t="str">
        <f>TEXT(D2273,"dd/mm/yyyy")</f>
        <v>25/05/2024</v>
      </c>
      <c r="G2273" s="5" t="str">
        <f>TEXT(E2273,"mm")</f>
        <v>25/05/2024</v>
      </c>
      <c r="H2273" s="6">
        <v>9317.33</v>
      </c>
      <c r="I2273">
        <v>11</v>
      </c>
      <c r="L2273" t="str">
        <f t="shared" si="35"/>
        <v>Above Average</v>
      </c>
      <c r="M2273">
        <f>RANK(H2273,H:H,0)</f>
        <v>687</v>
      </c>
    </row>
    <row r="2274" spans="1:13">
      <c r="A2274" t="s">
        <v>45</v>
      </c>
      <c r="B2274" t="s">
        <v>35</v>
      </c>
      <c r="C2274" t="s">
        <v>42</v>
      </c>
      <c r="D2274" s="4">
        <v>45566</v>
      </c>
      <c r="E2274" s="5" t="str">
        <f>TEXT(D2274,"dd/mm/yyyy")</f>
        <v>01/10/2024</v>
      </c>
      <c r="F2274" s="4"/>
      <c r="G2274" s="5" t="str">
        <f>TEXT(E2274,"mm")</f>
        <v>01</v>
      </c>
      <c r="H2274" s="6">
        <v>4790.71</v>
      </c>
      <c r="I2274">
        <v>86</v>
      </c>
      <c r="L2274" t="str">
        <f t="shared" si="35"/>
        <v>Below Average</v>
      </c>
      <c r="M2274">
        <f>RANK(H2274,H:H,0)</f>
        <v>1770</v>
      </c>
    </row>
    <row r="2275" spans="1:13">
      <c r="A2275" t="s">
        <v>58</v>
      </c>
      <c r="B2275" t="s">
        <v>15</v>
      </c>
      <c r="C2275" t="s">
        <v>100</v>
      </c>
      <c r="D2275" s="4">
        <v>45475</v>
      </c>
      <c r="E2275" s="5" t="str">
        <f>TEXT(D2275,"dd/mm/yyyy")</f>
        <v>02/07/2024</v>
      </c>
      <c r="F2275" s="4"/>
      <c r="G2275" s="5" t="str">
        <f>TEXT(E2275,"mm")</f>
        <v>02</v>
      </c>
      <c r="H2275" s="6">
        <v>6166.8</v>
      </c>
      <c r="I2275">
        <v>114</v>
      </c>
      <c r="L2275" t="str">
        <f t="shared" si="35"/>
        <v>Above Average</v>
      </c>
      <c r="M2275">
        <f>RANK(H2275,H:H,0)</f>
        <v>1391</v>
      </c>
    </row>
    <row r="2276" spans="1:13">
      <c r="A2276" t="s">
        <v>37</v>
      </c>
      <c r="B2276" t="s">
        <v>32</v>
      </c>
      <c r="C2276" t="s">
        <v>33</v>
      </c>
      <c r="D2276" s="4">
        <v>45631</v>
      </c>
      <c r="E2276" s="5" t="str">
        <f>TEXT(D2276,"dd/mm/yyyy")</f>
        <v>05/12/2024</v>
      </c>
      <c r="F2276" s="4"/>
      <c r="G2276" s="5" t="str">
        <f>TEXT(E2276,"mm")</f>
        <v>05</v>
      </c>
      <c r="H2276" s="6">
        <v>11741.46</v>
      </c>
      <c r="I2276">
        <v>433</v>
      </c>
      <c r="L2276" t="str">
        <f t="shared" si="35"/>
        <v>Above Average</v>
      </c>
      <c r="M2276">
        <f>RANK(H2276,H:H,0)</f>
        <v>367</v>
      </c>
    </row>
    <row r="2277" spans="1:13">
      <c r="A2277" t="s">
        <v>77</v>
      </c>
      <c r="B2277" t="s">
        <v>15</v>
      </c>
      <c r="C2277" t="s">
        <v>50</v>
      </c>
      <c r="D2277" s="4">
        <v>45476</v>
      </c>
      <c r="E2277" s="5" t="str">
        <f>TEXT(D2277,"dd/mm/yyyy")</f>
        <v>03/07/2024</v>
      </c>
      <c r="F2277" s="4"/>
      <c r="G2277" s="5" t="str">
        <f>TEXT(E2277,"mm")</f>
        <v>03</v>
      </c>
      <c r="H2277" s="6">
        <v>8519.77</v>
      </c>
      <c r="I2277">
        <v>443</v>
      </c>
      <c r="L2277" t="str">
        <f t="shared" si="35"/>
        <v>Above Average</v>
      </c>
      <c r="M2277">
        <f>RANK(H2277,H:H,0)</f>
        <v>829</v>
      </c>
    </row>
    <row r="2278" spans="1:13">
      <c r="A2278" t="s">
        <v>58</v>
      </c>
      <c r="B2278" t="s">
        <v>15</v>
      </c>
      <c r="C2278" t="s">
        <v>11</v>
      </c>
      <c r="D2278" s="4">
        <v>45416</v>
      </c>
      <c r="E2278" s="5" t="str">
        <f>TEXT(D2278,"dd/mm/yyyy")</f>
        <v>04/05/2024</v>
      </c>
      <c r="F2278" s="4"/>
      <c r="G2278" s="5" t="str">
        <f>TEXT(E2278,"mm")</f>
        <v>04</v>
      </c>
      <c r="H2278" s="6">
        <v>8278.86</v>
      </c>
      <c r="I2278">
        <v>453</v>
      </c>
      <c r="L2278" t="str">
        <f t="shared" si="35"/>
        <v>Above Average</v>
      </c>
      <c r="M2278">
        <f>RANK(H2278,H:H,0)</f>
        <v>876</v>
      </c>
    </row>
    <row r="2279" spans="1:13">
      <c r="A2279" t="s">
        <v>67</v>
      </c>
      <c r="B2279" t="s">
        <v>35</v>
      </c>
      <c r="C2279" t="s">
        <v>90</v>
      </c>
      <c r="D2279" s="4">
        <v>45352</v>
      </c>
      <c r="E2279" s="5" t="str">
        <f>TEXT(D2279,"dd/mm/yyyy")</f>
        <v>01/03/2024</v>
      </c>
      <c r="F2279" s="4"/>
      <c r="G2279" s="5" t="str">
        <f>TEXT(E2279,"mm")</f>
        <v>01</v>
      </c>
      <c r="H2279" s="6">
        <v>7560.62</v>
      </c>
      <c r="I2279">
        <v>336</v>
      </c>
      <c r="L2279" t="str">
        <f t="shared" si="35"/>
        <v>Above Average</v>
      </c>
      <c r="M2279">
        <f>RANK(H2279,H:H,0)</f>
        <v>1052</v>
      </c>
    </row>
    <row r="2280" spans="1:13">
      <c r="A2280" t="s">
        <v>58</v>
      </c>
      <c r="B2280" t="s">
        <v>7</v>
      </c>
      <c r="C2280" t="s">
        <v>36</v>
      </c>
      <c r="D2280" s="3" t="s">
        <v>268</v>
      </c>
      <c r="E2280" s="5" t="str">
        <f>TEXT(D2280,"dd/mm/yyyy")</f>
        <v>24/03/2024</v>
      </c>
      <c r="G2280" s="5" t="str">
        <f>TEXT(E2280,"mm")</f>
        <v>24/03/2024</v>
      </c>
      <c r="H2280" s="6">
        <v>6702.11</v>
      </c>
      <c r="I2280">
        <v>285</v>
      </c>
      <c r="L2280" t="str">
        <f t="shared" si="35"/>
        <v>Above Average</v>
      </c>
      <c r="M2280">
        <f>RANK(H2280,H:H,0)</f>
        <v>1262</v>
      </c>
    </row>
    <row r="2281" spans="1:13">
      <c r="A2281" t="s">
        <v>77</v>
      </c>
      <c r="B2281" t="s">
        <v>10</v>
      </c>
      <c r="C2281" t="s">
        <v>73</v>
      </c>
      <c r="D2281" s="4">
        <v>45480</v>
      </c>
      <c r="E2281" s="5" t="str">
        <f>TEXT(D2281,"dd/mm/yyyy")</f>
        <v>07/07/2024</v>
      </c>
      <c r="F2281" s="4"/>
      <c r="G2281" s="5" t="str">
        <f>TEXT(E2281,"mm")</f>
        <v>07</v>
      </c>
      <c r="H2281" s="6">
        <v>4758.6899999999996</v>
      </c>
      <c r="I2281">
        <v>10</v>
      </c>
      <c r="L2281" t="str">
        <f t="shared" si="35"/>
        <v>Below Average</v>
      </c>
      <c r="M2281">
        <f>RANK(H2281,H:H,0)</f>
        <v>1781</v>
      </c>
    </row>
    <row r="2282" spans="1:13">
      <c r="A2282" t="s">
        <v>9</v>
      </c>
      <c r="B2282" t="s">
        <v>32</v>
      </c>
      <c r="C2282" t="s">
        <v>23</v>
      </c>
      <c r="D2282" s="3" t="s">
        <v>307</v>
      </c>
      <c r="E2282" s="5" t="str">
        <f>TEXT(D2282,"dd/mm/yyyy")</f>
        <v>26/07/2024</v>
      </c>
      <c r="G2282" s="5" t="str">
        <f>TEXT(E2282,"mm")</f>
        <v>26/07/2024</v>
      </c>
      <c r="H2282" s="6">
        <v>709.25</v>
      </c>
      <c r="I2282">
        <v>263</v>
      </c>
      <c r="L2282" t="str">
        <f t="shared" si="35"/>
        <v>Below Average</v>
      </c>
      <c r="M2282">
        <f>RANK(H2282,H:H,0)</f>
        <v>3062</v>
      </c>
    </row>
    <row r="2283" spans="1:13">
      <c r="A2283" t="s">
        <v>64</v>
      </c>
      <c r="B2283" t="s">
        <v>15</v>
      </c>
      <c r="C2283" t="s">
        <v>42</v>
      </c>
      <c r="D2283" s="4">
        <v>45480</v>
      </c>
      <c r="E2283" s="5" t="str">
        <f>TEXT(D2283,"dd/mm/yyyy")</f>
        <v>07/07/2024</v>
      </c>
      <c r="F2283" s="4"/>
      <c r="G2283" s="5" t="str">
        <f>TEXT(E2283,"mm")</f>
        <v>07</v>
      </c>
      <c r="H2283" s="6">
        <v>2003.05</v>
      </c>
      <c r="I2283">
        <v>110</v>
      </c>
      <c r="L2283" t="str">
        <f t="shared" si="35"/>
        <v>Below Average</v>
      </c>
      <c r="M2283">
        <f>RANK(H2283,H:H,0)</f>
        <v>2634</v>
      </c>
    </row>
    <row r="2284" spans="1:13">
      <c r="A2284" t="s">
        <v>37</v>
      </c>
      <c r="B2284" t="s">
        <v>35</v>
      </c>
      <c r="C2284" t="s">
        <v>26</v>
      </c>
      <c r="D2284" s="3" t="s">
        <v>292</v>
      </c>
      <c r="E2284" s="5" t="str">
        <f>TEXT(D2284,"dd/mm/yyyy")</f>
        <v>15/07/2024</v>
      </c>
      <c r="G2284" s="5" t="str">
        <f>TEXT(E2284,"mm")</f>
        <v>15/07/2024</v>
      </c>
      <c r="H2284" s="6">
        <v>3248</v>
      </c>
      <c r="I2284">
        <v>64</v>
      </c>
      <c r="L2284" t="str">
        <f t="shared" si="35"/>
        <v>Below Average</v>
      </c>
      <c r="M2284">
        <f>RANK(H2284,H:H,0)</f>
        <v>2225</v>
      </c>
    </row>
    <row r="2285" spans="1:13">
      <c r="A2285" t="s">
        <v>45</v>
      </c>
      <c r="B2285" t="s">
        <v>25</v>
      </c>
      <c r="C2285" t="s">
        <v>33</v>
      </c>
      <c r="D2285" s="4">
        <v>45295</v>
      </c>
      <c r="E2285" s="5" t="str">
        <f>TEXT(D2285,"dd/mm/yyyy")</f>
        <v>04/01/2024</v>
      </c>
      <c r="F2285" s="4"/>
      <c r="G2285" s="5" t="str">
        <f>TEXT(E2285,"mm")</f>
        <v>04</v>
      </c>
      <c r="H2285" s="6">
        <v>51.98</v>
      </c>
      <c r="I2285">
        <v>95</v>
      </c>
      <c r="L2285" t="str">
        <f t="shared" si="35"/>
        <v>Below Average</v>
      </c>
      <c r="M2285">
        <f>RANK(H2285,H:H,0)</f>
        <v>3270</v>
      </c>
    </row>
    <row r="2286" spans="1:13">
      <c r="A2286" t="s">
        <v>41</v>
      </c>
      <c r="B2286" t="s">
        <v>15</v>
      </c>
      <c r="C2286" t="s">
        <v>36</v>
      </c>
      <c r="D2286" s="3" t="s">
        <v>299</v>
      </c>
      <c r="E2286" s="5" t="str">
        <f>TEXT(D2286,"dd/mm/yyyy")</f>
        <v>20/06/2024</v>
      </c>
      <c r="G2286" s="5" t="str">
        <f>TEXT(E2286,"mm")</f>
        <v>20/06/2024</v>
      </c>
      <c r="H2286" s="6">
        <v>2134.65</v>
      </c>
      <c r="I2286">
        <v>6</v>
      </c>
      <c r="L2286" t="str">
        <f t="shared" si="35"/>
        <v>Below Average</v>
      </c>
      <c r="M2286">
        <f>RANK(H2286,H:H,0)</f>
        <v>2594</v>
      </c>
    </row>
    <row r="2287" spans="1:13">
      <c r="A2287" t="s">
        <v>70</v>
      </c>
      <c r="B2287" t="s">
        <v>7</v>
      </c>
      <c r="C2287" t="s">
        <v>57</v>
      </c>
      <c r="D2287" s="3" t="s">
        <v>282</v>
      </c>
      <c r="E2287" s="5" t="str">
        <f>TEXT(D2287,"dd/mm/yyyy")</f>
        <v>29/06/2024</v>
      </c>
      <c r="G2287" s="5" t="str">
        <f>TEXT(E2287,"mm")</f>
        <v>29/06/2024</v>
      </c>
      <c r="H2287" s="6">
        <v>15540.41</v>
      </c>
      <c r="I2287">
        <v>520</v>
      </c>
      <c r="L2287" t="str">
        <f t="shared" si="35"/>
        <v>Above Average</v>
      </c>
      <c r="M2287">
        <f>RANK(H2287,H:H,0)</f>
        <v>123</v>
      </c>
    </row>
    <row r="2288" spans="1:13">
      <c r="A2288" t="s">
        <v>40</v>
      </c>
      <c r="B2288" t="s">
        <v>32</v>
      </c>
      <c r="C2288" t="s">
        <v>26</v>
      </c>
      <c r="D2288" s="3" t="s">
        <v>280</v>
      </c>
      <c r="E2288" s="5" t="str">
        <f>TEXT(D2288,"dd/mm/yyyy")</f>
        <v>15/06/2024</v>
      </c>
      <c r="G2288" s="5" t="str">
        <f>TEXT(E2288,"mm")</f>
        <v>15/06/2024</v>
      </c>
      <c r="H2288" s="6">
        <v>1117.77</v>
      </c>
      <c r="I2288">
        <v>114</v>
      </c>
      <c r="L2288" t="str">
        <f t="shared" si="35"/>
        <v>Below Average</v>
      </c>
      <c r="M2288">
        <f>RANK(H2288,H:H,0)</f>
        <v>2934</v>
      </c>
    </row>
    <row r="2289" spans="1:13">
      <c r="A2289" t="s">
        <v>53</v>
      </c>
      <c r="B2289" t="s">
        <v>32</v>
      </c>
      <c r="C2289" t="s">
        <v>23</v>
      </c>
      <c r="D2289" s="4">
        <v>45508</v>
      </c>
      <c r="E2289" s="5" t="str">
        <f>TEXT(D2289,"dd/mm/yyyy")</f>
        <v>04/08/2024</v>
      </c>
      <c r="F2289" s="4"/>
      <c r="G2289" s="5" t="str">
        <f>TEXT(E2289,"mm")</f>
        <v>04</v>
      </c>
      <c r="H2289" s="6">
        <v>13999.05</v>
      </c>
      <c r="I2289">
        <v>179</v>
      </c>
      <c r="L2289" t="str">
        <f t="shared" si="35"/>
        <v>Above Average</v>
      </c>
      <c r="M2289">
        <f>RANK(H2289,H:H,0)</f>
        <v>209</v>
      </c>
    </row>
    <row r="2290" spans="1:13">
      <c r="A2290" t="s">
        <v>58</v>
      </c>
      <c r="B2290" t="s">
        <v>15</v>
      </c>
      <c r="C2290" t="s">
        <v>73</v>
      </c>
      <c r="D2290" s="3" t="s">
        <v>278</v>
      </c>
      <c r="E2290" s="5" t="str">
        <f>TEXT(D2290,"dd/mm/yyyy")</f>
        <v>14/03/2024</v>
      </c>
      <c r="G2290" s="5" t="str">
        <f>TEXT(E2290,"mm")</f>
        <v>14/03/2024</v>
      </c>
      <c r="H2290" s="6">
        <v>6265.59</v>
      </c>
      <c r="I2290">
        <v>31</v>
      </c>
      <c r="L2290" t="str">
        <f t="shared" si="35"/>
        <v>Above Average</v>
      </c>
      <c r="M2290">
        <f>RANK(H2290,H:H,0)</f>
        <v>1367</v>
      </c>
    </row>
    <row r="2291" spans="1:13">
      <c r="A2291" t="s">
        <v>67</v>
      </c>
      <c r="B2291" t="s">
        <v>32</v>
      </c>
      <c r="C2291" t="s">
        <v>57</v>
      </c>
      <c r="D2291" s="3" t="s">
        <v>292</v>
      </c>
      <c r="E2291" s="5" t="str">
        <f>TEXT(D2291,"dd/mm/yyyy")</f>
        <v>15/07/2024</v>
      </c>
      <c r="G2291" s="5" t="str">
        <f>TEXT(E2291,"mm")</f>
        <v>15/07/2024</v>
      </c>
      <c r="H2291" s="6">
        <v>1536.82</v>
      </c>
      <c r="I2291">
        <v>386</v>
      </c>
      <c r="L2291" t="str">
        <f t="shared" si="35"/>
        <v>Below Average</v>
      </c>
      <c r="M2291">
        <f>RANK(H2291,H:H,0)</f>
        <v>2796</v>
      </c>
    </row>
    <row r="2292" spans="1:13">
      <c r="A2292" t="s">
        <v>70</v>
      </c>
      <c r="B2292" t="s">
        <v>10</v>
      </c>
      <c r="C2292" t="s">
        <v>36</v>
      </c>
      <c r="D2292" s="3" t="s">
        <v>291</v>
      </c>
      <c r="E2292" s="5" t="str">
        <f>TEXT(D2292,"dd/mm/yyyy")</f>
        <v>19/04/2024</v>
      </c>
      <c r="G2292" s="5" t="str">
        <f>TEXT(E2292,"mm")</f>
        <v>19/04/2024</v>
      </c>
      <c r="H2292" s="6">
        <v>6069.93</v>
      </c>
      <c r="I2292">
        <v>80</v>
      </c>
      <c r="L2292" t="str">
        <f t="shared" si="35"/>
        <v>Above Average</v>
      </c>
      <c r="M2292">
        <f>RANK(H2292,H:H,0)</f>
        <v>1410</v>
      </c>
    </row>
    <row r="2293" spans="1:13">
      <c r="A2293" t="s">
        <v>40</v>
      </c>
      <c r="B2293" t="s">
        <v>32</v>
      </c>
      <c r="C2293" t="s">
        <v>20</v>
      </c>
      <c r="D2293" s="3" t="s">
        <v>308</v>
      </c>
      <c r="E2293" s="5" t="str">
        <f>TEXT(D2293,"dd/mm/yyyy")</f>
        <v>28/03/2024</v>
      </c>
      <c r="G2293" s="5" t="str">
        <f>TEXT(E2293,"mm")</f>
        <v>28/03/2024</v>
      </c>
      <c r="H2293" s="6">
        <v>4861.33</v>
      </c>
      <c r="I2293">
        <v>286</v>
      </c>
      <c r="L2293" t="str">
        <f t="shared" si="35"/>
        <v>Below Average</v>
      </c>
      <c r="M2293">
        <f>RANK(H2293,H:H,0)</f>
        <v>1748</v>
      </c>
    </row>
    <row r="2294" spans="1:13">
      <c r="A2294" t="s">
        <v>28</v>
      </c>
      <c r="B2294" t="s">
        <v>35</v>
      </c>
      <c r="C2294" t="s">
        <v>50</v>
      </c>
      <c r="D2294" s="4">
        <v>45385</v>
      </c>
      <c r="E2294" s="5" t="str">
        <f>TEXT(D2294,"dd/mm/yyyy")</f>
        <v>03/04/2024</v>
      </c>
      <c r="F2294" s="4"/>
      <c r="G2294" s="5" t="str">
        <f>TEXT(E2294,"mm")</f>
        <v>03</v>
      </c>
      <c r="H2294" s="6">
        <v>8993.24</v>
      </c>
      <c r="I2294">
        <v>97</v>
      </c>
      <c r="L2294" t="str">
        <f t="shared" si="35"/>
        <v>Above Average</v>
      </c>
      <c r="M2294">
        <f>RANK(H2294,H:H,0)</f>
        <v>740</v>
      </c>
    </row>
    <row r="2295" spans="1:13">
      <c r="A2295" t="s">
        <v>37</v>
      </c>
      <c r="B2295" t="s">
        <v>25</v>
      </c>
      <c r="C2295" t="s">
        <v>100</v>
      </c>
      <c r="D2295" s="4">
        <v>45330</v>
      </c>
      <c r="E2295" s="5" t="str">
        <f>TEXT(D2295,"dd/mm/yyyy")</f>
        <v>08/02/2024</v>
      </c>
      <c r="F2295" s="4"/>
      <c r="G2295" s="5" t="str">
        <f>TEXT(E2295,"mm")</f>
        <v>08</v>
      </c>
      <c r="H2295" s="6">
        <v>150.41999999999999</v>
      </c>
      <c r="I2295">
        <v>40</v>
      </c>
      <c r="L2295" t="str">
        <f t="shared" si="35"/>
        <v>Below Average</v>
      </c>
      <c r="M2295">
        <f>RANK(H2295,H:H,0)</f>
        <v>3230</v>
      </c>
    </row>
    <row r="2296" spans="1:13">
      <c r="A2296" t="s">
        <v>53</v>
      </c>
      <c r="B2296" t="s">
        <v>7</v>
      </c>
      <c r="C2296" t="s">
        <v>50</v>
      </c>
      <c r="D2296" s="3" t="s">
        <v>309</v>
      </c>
      <c r="E2296" s="5" t="str">
        <f>TEXT(D2296,"dd/mm/yyyy")</f>
        <v>25/08/2024</v>
      </c>
      <c r="G2296" s="5" t="str">
        <f>TEXT(E2296,"mm")</f>
        <v>25/08/2024</v>
      </c>
      <c r="H2296" s="6">
        <v>5593.68</v>
      </c>
      <c r="I2296">
        <v>41</v>
      </c>
      <c r="L2296" t="str">
        <f t="shared" si="35"/>
        <v>Below Average</v>
      </c>
      <c r="M2296">
        <f>RANK(H2296,H:H,0)</f>
        <v>1546</v>
      </c>
    </row>
    <row r="2297" spans="1:13">
      <c r="A2297" t="s">
        <v>40</v>
      </c>
      <c r="B2297" t="s">
        <v>32</v>
      </c>
      <c r="C2297" t="s">
        <v>65</v>
      </c>
      <c r="D2297" s="3" t="s">
        <v>310</v>
      </c>
      <c r="E2297" s="5" t="str">
        <f>TEXT(D2297,"dd/mm/yyyy")</f>
        <v>25/02/2024</v>
      </c>
      <c r="G2297" s="5" t="str">
        <f>TEXT(E2297,"mm")</f>
        <v>25/02/2024</v>
      </c>
      <c r="H2297" s="6">
        <v>9376.61</v>
      </c>
      <c r="I2297">
        <v>167</v>
      </c>
      <c r="L2297" t="str">
        <f t="shared" si="35"/>
        <v>Above Average</v>
      </c>
      <c r="M2297">
        <f>RANK(H2297,H:H,0)</f>
        <v>677</v>
      </c>
    </row>
    <row r="2298" spans="1:13">
      <c r="A2298" t="s">
        <v>70</v>
      </c>
      <c r="B2298" t="s">
        <v>10</v>
      </c>
      <c r="C2298" t="s">
        <v>33</v>
      </c>
      <c r="D2298" s="4">
        <v>45479</v>
      </c>
      <c r="E2298" s="5" t="str">
        <f>TEXT(D2298,"dd/mm/yyyy")</f>
        <v>06/07/2024</v>
      </c>
      <c r="F2298" s="4"/>
      <c r="G2298" s="5" t="str">
        <f>TEXT(E2298,"mm")</f>
        <v>06</v>
      </c>
      <c r="H2298" s="6">
        <v>11315.16</v>
      </c>
      <c r="I2298">
        <v>134</v>
      </c>
      <c r="L2298" t="str">
        <f t="shared" si="35"/>
        <v>Above Average</v>
      </c>
      <c r="M2298">
        <f>RANK(H2298,H:H,0)</f>
        <v>413</v>
      </c>
    </row>
    <row r="2299" spans="1:13">
      <c r="A2299" t="s">
        <v>14</v>
      </c>
      <c r="B2299" t="s">
        <v>10</v>
      </c>
      <c r="C2299" t="s">
        <v>50</v>
      </c>
      <c r="D2299" s="4">
        <v>45630</v>
      </c>
      <c r="E2299" s="5" t="str">
        <f>TEXT(D2299,"dd/mm/yyyy")</f>
        <v>04/12/2024</v>
      </c>
      <c r="F2299" s="4"/>
      <c r="G2299" s="5" t="str">
        <f>TEXT(E2299,"mm")</f>
        <v>04</v>
      </c>
      <c r="H2299" s="6">
        <v>2048.34</v>
      </c>
      <c r="I2299">
        <v>506</v>
      </c>
      <c r="L2299" t="str">
        <f t="shared" si="35"/>
        <v>Below Average</v>
      </c>
      <c r="M2299">
        <f>RANK(H2299,H:H,0)</f>
        <v>2619</v>
      </c>
    </row>
    <row r="2300" spans="1:13">
      <c r="A2300" t="s">
        <v>83</v>
      </c>
      <c r="B2300" t="s">
        <v>10</v>
      </c>
      <c r="C2300" t="s">
        <v>50</v>
      </c>
      <c r="D2300" s="4">
        <v>45450</v>
      </c>
      <c r="E2300" s="5" t="str">
        <f>TEXT(D2300,"dd/mm/yyyy")</f>
        <v>07/06/2024</v>
      </c>
      <c r="F2300" s="4"/>
      <c r="G2300" s="5" t="str">
        <f>TEXT(E2300,"mm")</f>
        <v>07</v>
      </c>
      <c r="H2300" s="6">
        <v>12562.81</v>
      </c>
      <c r="I2300">
        <v>101</v>
      </c>
      <c r="L2300" t="str">
        <f t="shared" si="35"/>
        <v>Above Average</v>
      </c>
      <c r="M2300">
        <f>RANK(H2300,H:H,0)</f>
        <v>295</v>
      </c>
    </row>
    <row r="2301" spans="1:13">
      <c r="A2301" t="s">
        <v>70</v>
      </c>
      <c r="B2301" t="s">
        <v>7</v>
      </c>
      <c r="C2301" t="s">
        <v>18</v>
      </c>
      <c r="D2301" s="3" t="s">
        <v>311</v>
      </c>
      <c r="E2301" s="5" t="str">
        <f>TEXT(D2301,"dd/mm/yyyy")</f>
        <v>19/01/2024</v>
      </c>
      <c r="G2301" s="5" t="str">
        <f>TEXT(E2301,"mm")</f>
        <v>19/01/2024</v>
      </c>
      <c r="H2301" s="6">
        <v>6883.75</v>
      </c>
      <c r="I2301">
        <v>182</v>
      </c>
      <c r="L2301" t="str">
        <f t="shared" si="35"/>
        <v>Above Average</v>
      </c>
      <c r="M2301">
        <f>RANK(H2301,H:H,0)</f>
        <v>1210</v>
      </c>
    </row>
    <row r="2302" spans="1:13">
      <c r="A2302" t="s">
        <v>77</v>
      </c>
      <c r="B2302" t="s">
        <v>15</v>
      </c>
      <c r="C2302" t="s">
        <v>57</v>
      </c>
      <c r="D2302" s="4">
        <v>45413</v>
      </c>
      <c r="E2302" s="5" t="str">
        <f>TEXT(D2302,"dd/mm/yyyy")</f>
        <v>01/05/2024</v>
      </c>
      <c r="F2302" s="4"/>
      <c r="G2302" s="5" t="str">
        <f>TEXT(E2302,"mm")</f>
        <v>01</v>
      </c>
      <c r="H2302" s="6">
        <v>6105.6</v>
      </c>
      <c r="I2302">
        <v>90</v>
      </c>
      <c r="L2302" t="str">
        <f t="shared" si="35"/>
        <v>Above Average</v>
      </c>
      <c r="M2302">
        <f>RANK(H2302,H:H,0)</f>
        <v>1400</v>
      </c>
    </row>
    <row r="2303" spans="1:13">
      <c r="A2303" t="s">
        <v>77</v>
      </c>
      <c r="B2303" t="s">
        <v>35</v>
      </c>
      <c r="C2303" t="s">
        <v>100</v>
      </c>
      <c r="D2303" s="3" t="s">
        <v>312</v>
      </c>
      <c r="E2303" s="5" t="str">
        <f>TEXT(D2303,"dd/mm/yyyy")</f>
        <v>24/01/2024</v>
      </c>
      <c r="G2303" s="5" t="str">
        <f>TEXT(E2303,"mm")</f>
        <v>24/01/2024</v>
      </c>
      <c r="H2303" s="6">
        <v>12634.72</v>
      </c>
      <c r="I2303">
        <v>145</v>
      </c>
      <c r="L2303" t="str">
        <f t="shared" si="35"/>
        <v>Above Average</v>
      </c>
      <c r="M2303">
        <f>RANK(H2303,H:H,0)</f>
        <v>288</v>
      </c>
    </row>
    <row r="2304" spans="1:13">
      <c r="A2304" t="s">
        <v>64</v>
      </c>
      <c r="B2304" t="s">
        <v>15</v>
      </c>
      <c r="C2304" t="s">
        <v>38</v>
      </c>
      <c r="D2304" s="4">
        <v>45447</v>
      </c>
      <c r="E2304" s="5" t="str">
        <f>TEXT(D2304,"dd/mm/yyyy")</f>
        <v>04/06/2024</v>
      </c>
      <c r="F2304" s="4"/>
      <c r="G2304" s="5" t="str">
        <f>TEXT(E2304,"mm")</f>
        <v>04</v>
      </c>
      <c r="H2304" s="6">
        <v>663.74</v>
      </c>
      <c r="I2304">
        <v>285</v>
      </c>
      <c r="L2304" t="str">
        <f t="shared" si="35"/>
        <v>Below Average</v>
      </c>
      <c r="M2304">
        <f>RANK(H2304,H:H,0)</f>
        <v>3079</v>
      </c>
    </row>
    <row r="2305" spans="1:13">
      <c r="A2305" t="s">
        <v>22</v>
      </c>
      <c r="B2305" t="s">
        <v>15</v>
      </c>
      <c r="C2305" t="s">
        <v>57</v>
      </c>
      <c r="D2305" s="3" t="s">
        <v>280</v>
      </c>
      <c r="E2305" s="5" t="str">
        <f>TEXT(D2305,"dd/mm/yyyy")</f>
        <v>15/06/2024</v>
      </c>
      <c r="G2305" s="5" t="str">
        <f>TEXT(E2305,"mm")</f>
        <v>15/06/2024</v>
      </c>
      <c r="H2305" s="6">
        <v>7044.68</v>
      </c>
      <c r="I2305">
        <v>21</v>
      </c>
      <c r="L2305" t="str">
        <f t="shared" si="35"/>
        <v>Above Average</v>
      </c>
      <c r="M2305">
        <f>RANK(H2305,H:H,0)</f>
        <v>1167</v>
      </c>
    </row>
    <row r="2306" spans="1:13">
      <c r="A2306" t="s">
        <v>12</v>
      </c>
      <c r="B2306" t="s">
        <v>35</v>
      </c>
      <c r="C2306" t="s">
        <v>87</v>
      </c>
      <c r="D2306" s="3" t="s">
        <v>313</v>
      </c>
      <c r="E2306" s="5" t="str">
        <f>TEXT(D2306,"dd/mm/yyyy")</f>
        <v>28/01/2024</v>
      </c>
      <c r="G2306" s="5" t="str">
        <f>TEXT(E2306,"mm")</f>
        <v>28/01/2024</v>
      </c>
      <c r="H2306" s="6">
        <v>1804.9</v>
      </c>
      <c r="I2306">
        <v>47</v>
      </c>
      <c r="L2306" t="str">
        <f t="shared" si="35"/>
        <v>Below Average</v>
      </c>
      <c r="M2306">
        <f>RANK(H2306,H:H,0)</f>
        <v>2699</v>
      </c>
    </row>
    <row r="2307" spans="1:13">
      <c r="A2307" t="s">
        <v>70</v>
      </c>
      <c r="B2307" t="s">
        <v>10</v>
      </c>
      <c r="C2307" t="s">
        <v>90</v>
      </c>
      <c r="D2307" s="3" t="s">
        <v>314</v>
      </c>
      <c r="E2307" s="5" t="str">
        <f>TEXT(D2307,"dd/mm/yyyy")</f>
        <v>16/03/2024</v>
      </c>
      <c r="G2307" s="5" t="str">
        <f>TEXT(E2307,"mm")</f>
        <v>16/03/2024</v>
      </c>
      <c r="H2307" s="6">
        <v>513.42999999999995</v>
      </c>
      <c r="I2307">
        <v>131</v>
      </c>
      <c r="L2307" t="str">
        <f t="shared" ref="L2307:L2370" si="36">IF(H2307&gt;6030.34,"Above Average","Below Average")</f>
        <v>Below Average</v>
      </c>
      <c r="M2307">
        <f>RANK(H2307,H:H,0)</f>
        <v>3121</v>
      </c>
    </row>
    <row r="2308" spans="1:13">
      <c r="A2308" t="s">
        <v>29</v>
      </c>
      <c r="B2308" t="s">
        <v>15</v>
      </c>
      <c r="C2308" t="s">
        <v>38</v>
      </c>
      <c r="D2308" s="3" t="s">
        <v>315</v>
      </c>
      <c r="E2308" s="5" t="str">
        <f>TEXT(D2308,"dd/mm/yyyy")</f>
        <v>21/02/2024</v>
      </c>
      <c r="G2308" s="5" t="str">
        <f>TEXT(E2308,"mm")</f>
        <v>21/02/2024</v>
      </c>
      <c r="H2308" s="6">
        <v>13699.76</v>
      </c>
      <c r="I2308">
        <v>389</v>
      </c>
      <c r="L2308" t="str">
        <f t="shared" si="36"/>
        <v>Above Average</v>
      </c>
      <c r="M2308">
        <f>RANK(H2308,H:H,0)</f>
        <v>222</v>
      </c>
    </row>
    <row r="2309" spans="1:13">
      <c r="A2309" t="s">
        <v>70</v>
      </c>
      <c r="B2309" t="s">
        <v>32</v>
      </c>
      <c r="C2309" t="s">
        <v>60</v>
      </c>
      <c r="D2309" s="3" t="s">
        <v>274</v>
      </c>
      <c r="E2309" s="5" t="str">
        <f>TEXT(D2309,"dd/mm/yyyy")</f>
        <v>16/02/2024</v>
      </c>
      <c r="G2309" s="5" t="str">
        <f>TEXT(E2309,"mm")</f>
        <v>16/02/2024</v>
      </c>
      <c r="H2309" s="6">
        <v>19995.68</v>
      </c>
      <c r="I2309">
        <v>94</v>
      </c>
      <c r="L2309" t="str">
        <f t="shared" si="36"/>
        <v>Above Average</v>
      </c>
      <c r="M2309">
        <f>RANK(H2309,H:H,0)</f>
        <v>18</v>
      </c>
    </row>
    <row r="2310" spans="1:13">
      <c r="A2310" t="s">
        <v>6</v>
      </c>
      <c r="B2310" t="s">
        <v>35</v>
      </c>
      <c r="C2310" t="s">
        <v>50</v>
      </c>
      <c r="D2310" s="3" t="s">
        <v>270</v>
      </c>
      <c r="E2310" s="5" t="str">
        <f>TEXT(D2310,"dd/mm/yyyy")</f>
        <v>13/01/2024</v>
      </c>
      <c r="G2310" s="5" t="str">
        <f>TEXT(E2310,"mm")</f>
        <v>13/01/2024</v>
      </c>
      <c r="H2310" s="6">
        <v>2189.6999999999998</v>
      </c>
      <c r="I2310">
        <v>29</v>
      </c>
      <c r="L2310" t="str">
        <f t="shared" si="36"/>
        <v>Below Average</v>
      </c>
      <c r="M2310">
        <f>RANK(H2310,H:H,0)</f>
        <v>2583</v>
      </c>
    </row>
    <row r="2311" spans="1:13">
      <c r="A2311" t="s">
        <v>70</v>
      </c>
      <c r="B2311" t="s">
        <v>15</v>
      </c>
      <c r="C2311" t="s">
        <v>36</v>
      </c>
      <c r="D2311" s="3" t="s">
        <v>316</v>
      </c>
      <c r="E2311" s="5" t="str">
        <f>TEXT(D2311,"dd/mm/yyyy")</f>
        <v>23/03/2024</v>
      </c>
      <c r="G2311" s="5" t="str">
        <f>TEXT(E2311,"mm")</f>
        <v>23/03/2024</v>
      </c>
      <c r="H2311" s="6">
        <v>8727.09</v>
      </c>
      <c r="I2311">
        <v>523</v>
      </c>
      <c r="L2311" t="str">
        <f t="shared" si="36"/>
        <v>Above Average</v>
      </c>
      <c r="M2311">
        <f>RANK(H2311,H:H,0)</f>
        <v>793</v>
      </c>
    </row>
    <row r="2312" spans="1:13">
      <c r="A2312" t="s">
        <v>48</v>
      </c>
      <c r="B2312" t="s">
        <v>35</v>
      </c>
      <c r="C2312" t="s">
        <v>50</v>
      </c>
      <c r="D2312" s="3" t="s">
        <v>317</v>
      </c>
      <c r="E2312" s="5" t="str">
        <f>TEXT(D2312,"dd/mm/yyyy")</f>
        <v>16/06/2024</v>
      </c>
      <c r="G2312" s="5" t="str">
        <f>TEXT(E2312,"mm")</f>
        <v>16/06/2024</v>
      </c>
      <c r="H2312" s="6">
        <v>911.46</v>
      </c>
      <c r="I2312">
        <v>126</v>
      </c>
      <c r="L2312" t="str">
        <f t="shared" si="36"/>
        <v>Below Average</v>
      </c>
      <c r="M2312">
        <f>RANK(H2312,H:H,0)</f>
        <v>2998</v>
      </c>
    </row>
    <row r="2313" spans="1:13">
      <c r="A2313" t="s">
        <v>19</v>
      </c>
      <c r="B2313" t="s">
        <v>10</v>
      </c>
      <c r="C2313" t="s">
        <v>73</v>
      </c>
      <c r="D2313" s="3" t="s">
        <v>298</v>
      </c>
      <c r="E2313" s="5" t="str">
        <f>TEXT(D2313,"dd/mm/yyyy")</f>
        <v>14/04/2024</v>
      </c>
      <c r="G2313" s="5" t="str">
        <f>TEXT(E2313,"mm")</f>
        <v>14/04/2024</v>
      </c>
      <c r="H2313" s="6">
        <v>7620.86</v>
      </c>
      <c r="I2313">
        <v>46</v>
      </c>
      <c r="L2313" t="str">
        <f t="shared" si="36"/>
        <v>Above Average</v>
      </c>
      <c r="M2313">
        <f>RANK(H2313,H:H,0)</f>
        <v>1038</v>
      </c>
    </row>
    <row r="2314" spans="1:13">
      <c r="A2314" t="s">
        <v>70</v>
      </c>
      <c r="B2314" t="s">
        <v>7</v>
      </c>
      <c r="C2314" t="s">
        <v>36</v>
      </c>
      <c r="D2314" s="3" t="s">
        <v>267</v>
      </c>
      <c r="E2314" s="5" t="str">
        <f>TEXT(D2314,"dd/mm/yyyy")</f>
        <v>25/01/2024</v>
      </c>
      <c r="G2314" s="5" t="str">
        <f>TEXT(E2314,"mm")</f>
        <v>25/01/2024</v>
      </c>
      <c r="H2314" s="6">
        <v>5054.5600000000004</v>
      </c>
      <c r="I2314">
        <v>60</v>
      </c>
      <c r="L2314" t="str">
        <f t="shared" si="36"/>
        <v>Below Average</v>
      </c>
      <c r="M2314">
        <f>RANK(H2314,H:H,0)</f>
        <v>1691</v>
      </c>
    </row>
    <row r="2315" spans="1:13">
      <c r="A2315" t="s">
        <v>14</v>
      </c>
      <c r="B2315" t="s">
        <v>10</v>
      </c>
      <c r="C2315" t="s">
        <v>65</v>
      </c>
      <c r="D2315" s="4">
        <v>45599</v>
      </c>
      <c r="E2315" s="5" t="str">
        <f>TEXT(D2315,"dd/mm/yyyy")</f>
        <v>03/11/2024</v>
      </c>
      <c r="F2315" s="4"/>
      <c r="G2315" s="5" t="str">
        <f>TEXT(E2315,"mm")</f>
        <v>03</v>
      </c>
      <c r="H2315" s="6">
        <v>5230.5</v>
      </c>
      <c r="I2315">
        <v>23</v>
      </c>
      <c r="L2315" t="str">
        <f t="shared" si="36"/>
        <v>Below Average</v>
      </c>
      <c r="M2315">
        <f>RANK(H2315,H:H,0)</f>
        <v>1639</v>
      </c>
    </row>
    <row r="2316" spans="1:13">
      <c r="A2316" t="s">
        <v>79</v>
      </c>
      <c r="B2316" t="s">
        <v>7</v>
      </c>
      <c r="C2316" t="s">
        <v>65</v>
      </c>
      <c r="D2316" s="3" t="s">
        <v>271</v>
      </c>
      <c r="E2316" s="5" t="str">
        <f>TEXT(D2316,"dd/mm/yyyy")</f>
        <v>28/07/2024</v>
      </c>
      <c r="G2316" s="5" t="str">
        <f>TEXT(E2316,"mm")</f>
        <v>28/07/2024</v>
      </c>
      <c r="H2316" s="6">
        <v>17104.04</v>
      </c>
      <c r="I2316">
        <v>103</v>
      </c>
      <c r="L2316" t="str">
        <f t="shared" si="36"/>
        <v>Above Average</v>
      </c>
      <c r="M2316">
        <f>RANK(H2316,H:H,0)</f>
        <v>63</v>
      </c>
    </row>
    <row r="2317" spans="1:13">
      <c r="A2317" t="s">
        <v>40</v>
      </c>
      <c r="B2317" t="s">
        <v>25</v>
      </c>
      <c r="C2317" t="s">
        <v>23</v>
      </c>
      <c r="D2317" s="4">
        <v>45538</v>
      </c>
      <c r="E2317" s="5" t="str">
        <f>TEXT(D2317,"dd/mm/yyyy")</f>
        <v>03/09/2024</v>
      </c>
      <c r="F2317" s="4"/>
      <c r="G2317" s="5" t="str">
        <f>TEXT(E2317,"mm")</f>
        <v>03</v>
      </c>
      <c r="H2317" s="6">
        <v>1642.32</v>
      </c>
      <c r="I2317">
        <v>43</v>
      </c>
      <c r="L2317" t="str">
        <f t="shared" si="36"/>
        <v>Below Average</v>
      </c>
      <c r="M2317">
        <f>RANK(H2317,H:H,0)</f>
        <v>2755</v>
      </c>
    </row>
    <row r="2318" spans="1:13">
      <c r="A2318" t="s">
        <v>53</v>
      </c>
      <c r="B2318" t="s">
        <v>15</v>
      </c>
      <c r="C2318" t="s">
        <v>33</v>
      </c>
      <c r="D2318" s="3" t="s">
        <v>294</v>
      </c>
      <c r="E2318" s="5" t="str">
        <f>TEXT(D2318,"dd/mm/yyyy")</f>
        <v>28/06/2024</v>
      </c>
      <c r="G2318" s="5" t="str">
        <f>TEXT(E2318,"mm")</f>
        <v>28/06/2024</v>
      </c>
      <c r="H2318" s="6">
        <v>10322.19</v>
      </c>
      <c r="I2318">
        <v>182</v>
      </c>
      <c r="L2318" t="str">
        <f t="shared" si="36"/>
        <v>Above Average</v>
      </c>
      <c r="M2318">
        <f>RANK(H2318,H:H,0)</f>
        <v>532</v>
      </c>
    </row>
    <row r="2319" spans="1:13">
      <c r="A2319" t="s">
        <v>40</v>
      </c>
      <c r="B2319" t="s">
        <v>15</v>
      </c>
      <c r="C2319" t="s">
        <v>46</v>
      </c>
      <c r="D2319" s="3" t="s">
        <v>271</v>
      </c>
      <c r="E2319" s="5" t="str">
        <f>TEXT(D2319,"dd/mm/yyyy")</f>
        <v>28/07/2024</v>
      </c>
      <c r="G2319" s="5" t="str">
        <f>TEXT(E2319,"mm")</f>
        <v>28/07/2024</v>
      </c>
      <c r="H2319" s="6">
        <v>2715.92</v>
      </c>
      <c r="I2319">
        <v>423</v>
      </c>
      <c r="L2319" t="str">
        <f t="shared" si="36"/>
        <v>Below Average</v>
      </c>
      <c r="M2319">
        <f>RANK(H2319,H:H,0)</f>
        <v>2399</v>
      </c>
    </row>
    <row r="2320" spans="1:13">
      <c r="A2320" t="s">
        <v>70</v>
      </c>
      <c r="B2320" t="s">
        <v>35</v>
      </c>
      <c r="C2320" t="s">
        <v>20</v>
      </c>
      <c r="D2320" s="3" t="s">
        <v>318</v>
      </c>
      <c r="E2320" s="5" t="str">
        <f>TEXT(D2320,"dd/mm/yyyy")</f>
        <v>15/08/2024</v>
      </c>
      <c r="G2320" s="5" t="str">
        <f>TEXT(E2320,"mm")</f>
        <v>15/08/2024</v>
      </c>
      <c r="H2320" s="6">
        <v>5598.05</v>
      </c>
      <c r="I2320">
        <v>51</v>
      </c>
      <c r="L2320" t="str">
        <f t="shared" si="36"/>
        <v>Below Average</v>
      </c>
      <c r="M2320">
        <f>RANK(H2320,H:H,0)</f>
        <v>1543</v>
      </c>
    </row>
    <row r="2321" spans="1:13">
      <c r="A2321" t="s">
        <v>55</v>
      </c>
      <c r="B2321" t="s">
        <v>15</v>
      </c>
      <c r="C2321" t="s">
        <v>60</v>
      </c>
      <c r="D2321" s="4">
        <v>45627</v>
      </c>
      <c r="E2321" s="5" t="str">
        <f>TEXT(D2321,"dd/mm/yyyy")</f>
        <v>01/12/2024</v>
      </c>
      <c r="F2321" s="4"/>
      <c r="G2321" s="5" t="str">
        <f>TEXT(E2321,"mm")</f>
        <v>01</v>
      </c>
      <c r="H2321" s="6">
        <v>2996.99</v>
      </c>
      <c r="I2321">
        <v>280</v>
      </c>
      <c r="L2321" t="str">
        <f t="shared" si="36"/>
        <v>Below Average</v>
      </c>
      <c r="M2321">
        <f>RANK(H2321,H:H,0)</f>
        <v>2308</v>
      </c>
    </row>
    <row r="2322" spans="1:13">
      <c r="A2322" t="s">
        <v>41</v>
      </c>
      <c r="B2322" t="s">
        <v>25</v>
      </c>
      <c r="C2322" t="s">
        <v>59</v>
      </c>
      <c r="D2322" s="3" t="s">
        <v>268</v>
      </c>
      <c r="E2322" s="5" t="str">
        <f>TEXT(D2322,"dd/mm/yyyy")</f>
        <v>24/03/2024</v>
      </c>
      <c r="G2322" s="5" t="str">
        <f>TEXT(E2322,"mm")</f>
        <v>24/03/2024</v>
      </c>
      <c r="H2322" s="6">
        <v>7946.49</v>
      </c>
      <c r="I2322">
        <v>7</v>
      </c>
      <c r="L2322" t="str">
        <f t="shared" si="36"/>
        <v>Above Average</v>
      </c>
      <c r="M2322">
        <f>RANK(H2322,H:H,0)</f>
        <v>951</v>
      </c>
    </row>
    <row r="2323" spans="1:13">
      <c r="A2323" t="s">
        <v>9</v>
      </c>
      <c r="B2323" t="s">
        <v>7</v>
      </c>
      <c r="C2323" t="s">
        <v>46</v>
      </c>
      <c r="D2323" s="3" t="s">
        <v>319</v>
      </c>
      <c r="E2323" s="5" t="str">
        <f>TEXT(D2323,"dd/mm/yyyy")</f>
        <v>25/07/2024</v>
      </c>
      <c r="G2323" s="5" t="str">
        <f>TEXT(E2323,"mm")</f>
        <v>25/07/2024</v>
      </c>
      <c r="H2323" s="6">
        <v>4991.22</v>
      </c>
      <c r="I2323">
        <v>92</v>
      </c>
      <c r="L2323" t="str">
        <f t="shared" si="36"/>
        <v>Below Average</v>
      </c>
      <c r="M2323">
        <f>RANK(H2323,H:H,0)</f>
        <v>1708</v>
      </c>
    </row>
    <row r="2324" spans="1:13">
      <c r="A2324" t="s">
        <v>19</v>
      </c>
      <c r="B2324" t="s">
        <v>35</v>
      </c>
      <c r="C2324" t="s">
        <v>20</v>
      </c>
      <c r="D2324" s="4">
        <v>45299</v>
      </c>
      <c r="E2324" s="5" t="str">
        <f>TEXT(D2324,"dd/mm/yyyy")</f>
        <v>08/01/2024</v>
      </c>
      <c r="F2324" s="4"/>
      <c r="G2324" s="5" t="str">
        <f>TEXT(E2324,"mm")</f>
        <v>08</v>
      </c>
      <c r="H2324" s="6">
        <v>4151.7</v>
      </c>
      <c r="I2324">
        <v>424</v>
      </c>
      <c r="L2324" t="str">
        <f t="shared" si="36"/>
        <v>Below Average</v>
      </c>
      <c r="M2324">
        <f>RANK(H2324,H:H,0)</f>
        <v>1945</v>
      </c>
    </row>
    <row r="2325" spans="1:13">
      <c r="A2325" t="s">
        <v>9</v>
      </c>
      <c r="B2325" t="s">
        <v>10</v>
      </c>
      <c r="C2325" t="s">
        <v>42</v>
      </c>
      <c r="D2325" s="3" t="s">
        <v>295</v>
      </c>
      <c r="E2325" s="5" t="str">
        <f>TEXT(D2325,"dd/mm/yyyy")</f>
        <v>16/05/2024</v>
      </c>
      <c r="G2325" s="5" t="str">
        <f>TEXT(E2325,"mm")</f>
        <v>16/05/2024</v>
      </c>
      <c r="H2325" s="6">
        <v>22701.85</v>
      </c>
      <c r="I2325">
        <v>168</v>
      </c>
      <c r="L2325" t="str">
        <f t="shared" si="36"/>
        <v>Above Average</v>
      </c>
      <c r="M2325">
        <f>RANK(H2325,H:H,0)</f>
        <v>6</v>
      </c>
    </row>
    <row r="2326" spans="1:13">
      <c r="A2326" t="s">
        <v>45</v>
      </c>
      <c r="B2326" t="s">
        <v>10</v>
      </c>
      <c r="C2326" t="s">
        <v>18</v>
      </c>
      <c r="D2326" s="4">
        <v>45573</v>
      </c>
      <c r="E2326" s="5" t="str">
        <f>TEXT(D2326,"dd/mm/yyyy")</f>
        <v>08/10/2024</v>
      </c>
      <c r="F2326" s="4"/>
      <c r="G2326" s="5" t="str">
        <f>TEXT(E2326,"mm")</f>
        <v>08</v>
      </c>
      <c r="H2326" s="6">
        <v>6014.3</v>
      </c>
      <c r="I2326">
        <v>141</v>
      </c>
      <c r="L2326" t="str">
        <f t="shared" si="36"/>
        <v>Below Average</v>
      </c>
      <c r="M2326">
        <f>RANK(H2326,H:H,0)</f>
        <v>1434</v>
      </c>
    </row>
    <row r="2327" spans="1:13">
      <c r="A2327" t="s">
        <v>14</v>
      </c>
      <c r="B2327" t="s">
        <v>10</v>
      </c>
      <c r="C2327" t="s">
        <v>36</v>
      </c>
      <c r="D2327" s="4">
        <v>45413</v>
      </c>
      <c r="E2327" s="5" t="str">
        <f>TEXT(D2327,"dd/mm/yyyy")</f>
        <v>01/05/2024</v>
      </c>
      <c r="F2327" s="4"/>
      <c r="G2327" s="5" t="str">
        <f>TEXT(E2327,"mm")</f>
        <v>01</v>
      </c>
      <c r="H2327" s="6">
        <v>2788.6</v>
      </c>
      <c r="I2327">
        <v>27</v>
      </c>
      <c r="L2327" t="str">
        <f t="shared" si="36"/>
        <v>Below Average</v>
      </c>
      <c r="M2327">
        <f>RANK(H2327,H:H,0)</f>
        <v>2378</v>
      </c>
    </row>
    <row r="2328" spans="1:13">
      <c r="A2328" t="s">
        <v>83</v>
      </c>
      <c r="B2328" t="s">
        <v>7</v>
      </c>
      <c r="C2328" t="s">
        <v>18</v>
      </c>
      <c r="D2328" s="4">
        <v>45603</v>
      </c>
      <c r="E2328" s="5" t="str">
        <f>TEXT(D2328,"dd/mm/yyyy")</f>
        <v>07/11/2024</v>
      </c>
      <c r="F2328" s="4"/>
      <c r="G2328" s="5" t="str">
        <f>TEXT(E2328,"mm")</f>
        <v>07</v>
      </c>
      <c r="H2328" s="6">
        <v>6503.75</v>
      </c>
      <c r="I2328">
        <v>116</v>
      </c>
      <c r="L2328" t="str">
        <f t="shared" si="36"/>
        <v>Above Average</v>
      </c>
      <c r="M2328">
        <f>RANK(H2328,H:H,0)</f>
        <v>1307</v>
      </c>
    </row>
    <row r="2329" spans="1:13">
      <c r="A2329" t="s">
        <v>64</v>
      </c>
      <c r="B2329" t="s">
        <v>32</v>
      </c>
      <c r="C2329" t="s">
        <v>23</v>
      </c>
      <c r="D2329" s="3" t="s">
        <v>320</v>
      </c>
      <c r="E2329" s="5" t="str">
        <f>TEXT(D2329,"dd/mm/yyyy")</f>
        <v>25/04/2024</v>
      </c>
      <c r="G2329" s="5" t="str">
        <f>TEXT(E2329,"mm")</f>
        <v>25/04/2024</v>
      </c>
      <c r="H2329" s="6">
        <v>433.92</v>
      </c>
      <c r="I2329">
        <v>31</v>
      </c>
      <c r="L2329" t="str">
        <f t="shared" si="36"/>
        <v>Below Average</v>
      </c>
      <c r="M2329">
        <f>RANK(H2329,H:H,0)</f>
        <v>3156</v>
      </c>
    </row>
    <row r="2330" spans="1:13">
      <c r="A2330" t="s">
        <v>12</v>
      </c>
      <c r="B2330" t="s">
        <v>25</v>
      </c>
      <c r="C2330" t="s">
        <v>57</v>
      </c>
      <c r="D2330" s="4">
        <v>45386</v>
      </c>
      <c r="E2330" s="5" t="str">
        <f>TEXT(D2330,"dd/mm/yyyy")</f>
        <v>04/04/2024</v>
      </c>
      <c r="F2330" s="4"/>
      <c r="G2330" s="5" t="str">
        <f>TEXT(E2330,"mm")</f>
        <v>04</v>
      </c>
      <c r="H2330" s="6">
        <v>12314.13</v>
      </c>
      <c r="I2330">
        <v>129</v>
      </c>
      <c r="L2330" t="str">
        <f t="shared" si="36"/>
        <v>Above Average</v>
      </c>
      <c r="M2330">
        <f>RANK(H2330,H:H,0)</f>
        <v>317</v>
      </c>
    </row>
    <row r="2331" spans="1:13">
      <c r="A2331" t="s">
        <v>31</v>
      </c>
      <c r="B2331" t="s">
        <v>32</v>
      </c>
      <c r="C2331" t="s">
        <v>73</v>
      </c>
      <c r="D2331" s="4">
        <v>45630</v>
      </c>
      <c r="E2331" s="5" t="str">
        <f>TEXT(D2331,"dd/mm/yyyy")</f>
        <v>04/12/2024</v>
      </c>
      <c r="F2331" s="4"/>
      <c r="G2331" s="5" t="str">
        <f>TEXT(E2331,"mm")</f>
        <v>04</v>
      </c>
      <c r="H2331" s="6">
        <v>9876.86</v>
      </c>
      <c r="I2331">
        <v>106</v>
      </c>
      <c r="L2331" t="str">
        <f t="shared" si="36"/>
        <v>Above Average</v>
      </c>
      <c r="M2331">
        <f>RANK(H2331,H:H,0)</f>
        <v>599</v>
      </c>
    </row>
    <row r="2332" spans="1:13">
      <c r="A2332" t="s">
        <v>64</v>
      </c>
      <c r="B2332" t="s">
        <v>25</v>
      </c>
      <c r="C2332" t="s">
        <v>11</v>
      </c>
      <c r="D2332" s="4">
        <v>45330</v>
      </c>
      <c r="E2332" s="5" t="str">
        <f>TEXT(D2332,"dd/mm/yyyy")</f>
        <v>08/02/2024</v>
      </c>
      <c r="F2332" s="4"/>
      <c r="G2332" s="5" t="str">
        <f>TEXT(E2332,"mm")</f>
        <v>08</v>
      </c>
      <c r="H2332" s="6">
        <v>2043.06</v>
      </c>
      <c r="I2332">
        <v>121</v>
      </c>
      <c r="L2332" t="str">
        <f t="shared" si="36"/>
        <v>Below Average</v>
      </c>
      <c r="M2332">
        <f>RANK(H2332,H:H,0)</f>
        <v>2625</v>
      </c>
    </row>
    <row r="2333" spans="1:13">
      <c r="A2333" t="s">
        <v>12</v>
      </c>
      <c r="B2333" t="s">
        <v>25</v>
      </c>
      <c r="C2333" t="s">
        <v>60</v>
      </c>
      <c r="D2333" s="3" t="s">
        <v>294</v>
      </c>
      <c r="E2333" s="5" t="str">
        <f>TEXT(D2333,"dd/mm/yyyy")</f>
        <v>28/06/2024</v>
      </c>
      <c r="G2333" s="5" t="str">
        <f>TEXT(E2333,"mm")</f>
        <v>28/06/2024</v>
      </c>
      <c r="H2333" s="6">
        <v>8728.7999999999993</v>
      </c>
      <c r="I2333">
        <v>272</v>
      </c>
      <c r="L2333" t="str">
        <f t="shared" si="36"/>
        <v>Above Average</v>
      </c>
      <c r="M2333">
        <f>RANK(H2333,H:H,0)</f>
        <v>792</v>
      </c>
    </row>
    <row r="2334" spans="1:13">
      <c r="A2334" t="s">
        <v>83</v>
      </c>
      <c r="B2334" t="s">
        <v>15</v>
      </c>
      <c r="C2334" t="s">
        <v>36</v>
      </c>
      <c r="D2334" s="4">
        <v>45419</v>
      </c>
      <c r="E2334" s="5" t="str">
        <f>TEXT(D2334,"dd/mm/yyyy")</f>
        <v>07/05/2024</v>
      </c>
      <c r="F2334" s="4"/>
      <c r="G2334" s="5" t="str">
        <f>TEXT(E2334,"mm")</f>
        <v>07</v>
      </c>
      <c r="H2334" s="6">
        <v>4906.57</v>
      </c>
      <c r="I2334">
        <v>128</v>
      </c>
      <c r="L2334" t="str">
        <f t="shared" si="36"/>
        <v>Below Average</v>
      </c>
      <c r="M2334">
        <f>RANK(H2334,H:H,0)</f>
        <v>1729</v>
      </c>
    </row>
    <row r="2335" spans="1:13">
      <c r="A2335" t="s">
        <v>29</v>
      </c>
      <c r="B2335" t="s">
        <v>25</v>
      </c>
      <c r="C2335" t="s">
        <v>75</v>
      </c>
      <c r="D2335" s="4">
        <v>45479</v>
      </c>
      <c r="E2335" s="5" t="str">
        <f>TEXT(D2335,"dd/mm/yyyy")</f>
        <v>06/07/2024</v>
      </c>
      <c r="F2335" s="4"/>
      <c r="G2335" s="5" t="str">
        <f>TEXT(E2335,"mm")</f>
        <v>06</v>
      </c>
      <c r="H2335" s="6">
        <v>2278.06</v>
      </c>
      <c r="I2335">
        <v>49</v>
      </c>
      <c r="L2335" t="str">
        <f t="shared" si="36"/>
        <v>Below Average</v>
      </c>
      <c r="M2335">
        <f>RANK(H2335,H:H,0)</f>
        <v>2559</v>
      </c>
    </row>
    <row r="2336" spans="1:13">
      <c r="A2336" t="s">
        <v>28</v>
      </c>
      <c r="B2336" t="s">
        <v>25</v>
      </c>
      <c r="C2336" t="s">
        <v>18</v>
      </c>
      <c r="D2336" s="3" t="s">
        <v>321</v>
      </c>
      <c r="E2336" s="5" t="str">
        <f>TEXT(D2336,"dd/mm/yyyy")</f>
        <v>18/01/2024</v>
      </c>
      <c r="G2336" s="5" t="str">
        <f>TEXT(E2336,"mm")</f>
        <v>18/01/2024</v>
      </c>
      <c r="H2336" s="6">
        <v>1108.18</v>
      </c>
      <c r="I2336">
        <v>27</v>
      </c>
      <c r="L2336" t="str">
        <f t="shared" si="36"/>
        <v>Below Average</v>
      </c>
      <c r="M2336">
        <f>RANK(H2336,H:H,0)</f>
        <v>2938</v>
      </c>
    </row>
    <row r="2337" spans="1:13">
      <c r="A2337" t="s">
        <v>28</v>
      </c>
      <c r="B2337" t="s">
        <v>15</v>
      </c>
      <c r="C2337" t="s">
        <v>87</v>
      </c>
      <c r="D2337" s="4">
        <v>45383</v>
      </c>
      <c r="E2337" s="5" t="str">
        <f>TEXT(D2337,"dd/mm/yyyy")</f>
        <v>01/04/2024</v>
      </c>
      <c r="F2337" s="4"/>
      <c r="G2337" s="5" t="str">
        <f>TEXT(E2337,"mm")</f>
        <v>01</v>
      </c>
      <c r="H2337" s="6">
        <v>14957.65</v>
      </c>
      <c r="I2337">
        <v>206</v>
      </c>
      <c r="L2337" t="str">
        <f t="shared" si="36"/>
        <v>Above Average</v>
      </c>
      <c r="M2337">
        <f>RANK(H2337,H:H,0)</f>
        <v>148</v>
      </c>
    </row>
    <row r="2338" spans="1:13">
      <c r="A2338" t="s">
        <v>58</v>
      </c>
      <c r="B2338" t="s">
        <v>15</v>
      </c>
      <c r="C2338" t="s">
        <v>20</v>
      </c>
      <c r="D2338" s="3" t="s">
        <v>303</v>
      </c>
      <c r="E2338" s="5" t="str">
        <f>TEXT(D2338,"dd/mm/yyyy")</f>
        <v>31/01/2024</v>
      </c>
      <c r="G2338" s="5" t="str">
        <f>TEXT(E2338,"mm")</f>
        <v>31/01/2024</v>
      </c>
      <c r="H2338" s="6">
        <v>3020.67</v>
      </c>
      <c r="I2338">
        <v>19</v>
      </c>
      <c r="L2338" t="str">
        <f t="shared" si="36"/>
        <v>Below Average</v>
      </c>
      <c r="M2338">
        <f>RANK(H2338,H:H,0)</f>
        <v>2296</v>
      </c>
    </row>
    <row r="2339" spans="1:13">
      <c r="A2339" t="s">
        <v>70</v>
      </c>
      <c r="B2339" t="s">
        <v>10</v>
      </c>
      <c r="C2339" t="s">
        <v>65</v>
      </c>
      <c r="D2339" s="3" t="s">
        <v>278</v>
      </c>
      <c r="E2339" s="5" t="str">
        <f>TEXT(D2339,"dd/mm/yyyy")</f>
        <v>14/03/2024</v>
      </c>
      <c r="G2339" s="5" t="str">
        <f>TEXT(E2339,"mm")</f>
        <v>14/03/2024</v>
      </c>
      <c r="H2339" s="6">
        <v>3677.47</v>
      </c>
      <c r="I2339">
        <v>152</v>
      </c>
      <c r="L2339" t="str">
        <f t="shared" si="36"/>
        <v>Below Average</v>
      </c>
      <c r="M2339">
        <f>RANK(H2339,H:H,0)</f>
        <v>2079</v>
      </c>
    </row>
    <row r="2340" spans="1:13">
      <c r="A2340" t="s">
        <v>71</v>
      </c>
      <c r="B2340" t="s">
        <v>15</v>
      </c>
      <c r="C2340" t="s">
        <v>100</v>
      </c>
      <c r="D2340" s="3" t="s">
        <v>322</v>
      </c>
      <c r="E2340" s="5" t="str">
        <f>TEXT(D2340,"dd/mm/yyyy")</f>
        <v>29/04/2024</v>
      </c>
      <c r="G2340" s="5" t="str">
        <f>TEXT(E2340,"mm")</f>
        <v>29/04/2024</v>
      </c>
      <c r="H2340" s="6">
        <v>6999.62</v>
      </c>
      <c r="I2340">
        <v>500</v>
      </c>
      <c r="L2340" t="str">
        <f t="shared" si="36"/>
        <v>Above Average</v>
      </c>
      <c r="M2340">
        <f>RANK(H2340,H:H,0)</f>
        <v>1179</v>
      </c>
    </row>
    <row r="2341" spans="1:13">
      <c r="A2341" t="s">
        <v>19</v>
      </c>
      <c r="B2341" t="s">
        <v>10</v>
      </c>
      <c r="C2341" t="s">
        <v>18</v>
      </c>
      <c r="D2341" s="4">
        <v>45475</v>
      </c>
      <c r="E2341" s="5" t="str">
        <f>TEXT(D2341,"dd/mm/yyyy")</f>
        <v>02/07/2024</v>
      </c>
      <c r="F2341" s="4"/>
      <c r="G2341" s="5" t="str">
        <f>TEXT(E2341,"mm")</f>
        <v>02</v>
      </c>
      <c r="H2341" s="6">
        <v>10901.65</v>
      </c>
      <c r="I2341">
        <v>116</v>
      </c>
      <c r="L2341" t="str">
        <f t="shared" si="36"/>
        <v>Above Average</v>
      </c>
      <c r="M2341">
        <f>RANK(H2341,H:H,0)</f>
        <v>456</v>
      </c>
    </row>
    <row r="2342" spans="1:13">
      <c r="A2342" t="s">
        <v>55</v>
      </c>
      <c r="B2342" t="s">
        <v>7</v>
      </c>
      <c r="C2342" t="s">
        <v>42</v>
      </c>
      <c r="D2342" s="3" t="s">
        <v>323</v>
      </c>
      <c r="E2342" s="5" t="str">
        <f>TEXT(D2342,"dd/mm/yyyy")</f>
        <v>31/03/2024</v>
      </c>
      <c r="G2342" s="5" t="str">
        <f>TEXT(E2342,"mm")</f>
        <v>31/03/2024</v>
      </c>
      <c r="H2342" s="6">
        <v>2586.62</v>
      </c>
      <c r="I2342">
        <v>172</v>
      </c>
      <c r="L2342" t="str">
        <f t="shared" si="36"/>
        <v>Below Average</v>
      </c>
      <c r="M2342">
        <f>RANK(H2342,H:H,0)</f>
        <v>2444</v>
      </c>
    </row>
    <row r="2343" spans="1:13">
      <c r="A2343" t="s">
        <v>40</v>
      </c>
      <c r="B2343" t="s">
        <v>10</v>
      </c>
      <c r="C2343" t="s">
        <v>90</v>
      </c>
      <c r="D2343" s="3" t="s">
        <v>314</v>
      </c>
      <c r="E2343" s="5" t="str">
        <f>TEXT(D2343,"dd/mm/yyyy")</f>
        <v>16/03/2024</v>
      </c>
      <c r="G2343" s="5" t="str">
        <f>TEXT(E2343,"mm")</f>
        <v>16/03/2024</v>
      </c>
      <c r="H2343" s="6">
        <v>5077.5</v>
      </c>
      <c r="I2343">
        <v>81</v>
      </c>
      <c r="L2343" t="str">
        <f t="shared" si="36"/>
        <v>Below Average</v>
      </c>
      <c r="M2343">
        <f>RANK(H2343,H:H,0)</f>
        <v>1680</v>
      </c>
    </row>
    <row r="2344" spans="1:13">
      <c r="A2344" t="s">
        <v>37</v>
      </c>
      <c r="B2344" t="s">
        <v>7</v>
      </c>
      <c r="C2344" t="s">
        <v>36</v>
      </c>
      <c r="D2344" s="3" t="s">
        <v>267</v>
      </c>
      <c r="E2344" s="5" t="str">
        <f>TEXT(D2344,"dd/mm/yyyy")</f>
        <v>25/01/2024</v>
      </c>
      <c r="G2344" s="5" t="str">
        <f>TEXT(E2344,"mm")</f>
        <v>25/01/2024</v>
      </c>
      <c r="H2344" s="6">
        <v>8360.11</v>
      </c>
      <c r="I2344">
        <v>203</v>
      </c>
      <c r="L2344" t="str">
        <f t="shared" si="36"/>
        <v>Above Average</v>
      </c>
      <c r="M2344">
        <f>RANK(H2344,H:H,0)</f>
        <v>862</v>
      </c>
    </row>
    <row r="2345" spans="1:13">
      <c r="A2345" t="s">
        <v>9</v>
      </c>
      <c r="B2345" t="s">
        <v>10</v>
      </c>
      <c r="C2345" t="s">
        <v>87</v>
      </c>
      <c r="D2345" s="3" t="s">
        <v>299</v>
      </c>
      <c r="E2345" s="5" t="str">
        <f>TEXT(D2345,"dd/mm/yyyy")</f>
        <v>20/06/2024</v>
      </c>
      <c r="G2345" s="5" t="str">
        <f>TEXT(E2345,"mm")</f>
        <v>20/06/2024</v>
      </c>
      <c r="H2345" s="6">
        <v>3566.77</v>
      </c>
      <c r="I2345">
        <v>426</v>
      </c>
      <c r="L2345" t="str">
        <f t="shared" si="36"/>
        <v>Below Average</v>
      </c>
      <c r="M2345">
        <f>RANK(H2345,H:H,0)</f>
        <v>2118</v>
      </c>
    </row>
    <row r="2346" spans="1:13">
      <c r="A2346" t="s">
        <v>12</v>
      </c>
      <c r="B2346" t="s">
        <v>7</v>
      </c>
      <c r="C2346" t="s">
        <v>23</v>
      </c>
      <c r="D2346" s="3" t="s">
        <v>324</v>
      </c>
      <c r="E2346" s="5" t="str">
        <f>TEXT(D2346,"dd/mm/yyyy")</f>
        <v>29/03/2024</v>
      </c>
      <c r="G2346" s="5" t="str">
        <f>TEXT(E2346,"mm")</f>
        <v>29/03/2024</v>
      </c>
      <c r="H2346" s="6">
        <v>9186.69</v>
      </c>
      <c r="I2346">
        <v>173</v>
      </c>
      <c r="L2346" t="str">
        <f t="shared" si="36"/>
        <v>Above Average</v>
      </c>
      <c r="M2346">
        <f>RANK(H2346,H:H,0)</f>
        <v>706</v>
      </c>
    </row>
    <row r="2347" spans="1:13">
      <c r="A2347" t="s">
        <v>48</v>
      </c>
      <c r="B2347" t="s">
        <v>15</v>
      </c>
      <c r="C2347" t="s">
        <v>33</v>
      </c>
      <c r="D2347" s="4">
        <v>45633</v>
      </c>
      <c r="E2347" s="5" t="str">
        <f>TEXT(D2347,"dd/mm/yyyy")</f>
        <v>07/12/2024</v>
      </c>
      <c r="F2347" s="4"/>
      <c r="G2347" s="5" t="str">
        <f>TEXT(E2347,"mm")</f>
        <v>07</v>
      </c>
      <c r="H2347" s="6">
        <v>917.35</v>
      </c>
      <c r="I2347">
        <v>140</v>
      </c>
      <c r="L2347" t="str">
        <f t="shared" si="36"/>
        <v>Below Average</v>
      </c>
      <c r="M2347">
        <f>RANK(H2347,H:H,0)</f>
        <v>2997</v>
      </c>
    </row>
    <row r="2348" spans="1:13">
      <c r="A2348" t="s">
        <v>6</v>
      </c>
      <c r="B2348" t="s">
        <v>35</v>
      </c>
      <c r="C2348" t="s">
        <v>18</v>
      </c>
      <c r="D2348" s="4">
        <v>45603</v>
      </c>
      <c r="E2348" s="5" t="str">
        <f>TEXT(D2348,"dd/mm/yyyy")</f>
        <v>07/11/2024</v>
      </c>
      <c r="F2348" s="4"/>
      <c r="G2348" s="5" t="str">
        <f>TEXT(E2348,"mm")</f>
        <v>07</v>
      </c>
      <c r="H2348" s="6">
        <v>6199.12</v>
      </c>
      <c r="I2348">
        <v>132</v>
      </c>
      <c r="L2348" t="str">
        <f t="shared" si="36"/>
        <v>Above Average</v>
      </c>
      <c r="M2348">
        <f>RANK(H2348,H:H,0)</f>
        <v>1379</v>
      </c>
    </row>
    <row r="2349" spans="1:13">
      <c r="A2349" t="s">
        <v>37</v>
      </c>
      <c r="B2349" t="s">
        <v>35</v>
      </c>
      <c r="C2349" t="s">
        <v>18</v>
      </c>
      <c r="D2349" s="3" t="s">
        <v>311</v>
      </c>
      <c r="E2349" s="5" t="str">
        <f>TEXT(D2349,"dd/mm/yyyy")</f>
        <v>19/01/2024</v>
      </c>
      <c r="G2349" s="5" t="str">
        <f>TEXT(E2349,"mm")</f>
        <v>19/01/2024</v>
      </c>
      <c r="H2349" s="6">
        <v>3368.63</v>
      </c>
      <c r="I2349">
        <v>180</v>
      </c>
      <c r="L2349" t="str">
        <f t="shared" si="36"/>
        <v>Below Average</v>
      </c>
      <c r="M2349">
        <f>RANK(H2349,H:H,0)</f>
        <v>2191</v>
      </c>
    </row>
    <row r="2350" spans="1:13">
      <c r="A2350" t="s">
        <v>67</v>
      </c>
      <c r="B2350" t="s">
        <v>32</v>
      </c>
      <c r="C2350" t="s">
        <v>11</v>
      </c>
      <c r="D2350" s="4">
        <v>45416</v>
      </c>
      <c r="E2350" s="5" t="str">
        <f>TEXT(D2350,"dd/mm/yyyy")</f>
        <v>04/05/2024</v>
      </c>
      <c r="F2350" s="4"/>
      <c r="G2350" s="5" t="str">
        <f>TEXT(E2350,"mm")</f>
        <v>04</v>
      </c>
      <c r="H2350" s="6">
        <v>10527.23</v>
      </c>
      <c r="I2350">
        <v>82</v>
      </c>
      <c r="L2350" t="str">
        <f t="shared" si="36"/>
        <v>Above Average</v>
      </c>
      <c r="M2350">
        <f>RANK(H2350,H:H,0)</f>
        <v>508</v>
      </c>
    </row>
    <row r="2351" spans="1:13">
      <c r="A2351" t="s">
        <v>6</v>
      </c>
      <c r="B2351" t="s">
        <v>35</v>
      </c>
      <c r="C2351" t="s">
        <v>46</v>
      </c>
      <c r="D2351" s="3" t="s">
        <v>315</v>
      </c>
      <c r="E2351" s="5" t="str">
        <f>TEXT(D2351,"dd/mm/yyyy")</f>
        <v>21/02/2024</v>
      </c>
      <c r="G2351" s="5" t="str">
        <f>TEXT(E2351,"mm")</f>
        <v>21/02/2024</v>
      </c>
      <c r="H2351" s="6">
        <v>7927.57</v>
      </c>
      <c r="I2351">
        <v>12</v>
      </c>
      <c r="L2351" t="str">
        <f t="shared" si="36"/>
        <v>Above Average</v>
      </c>
      <c r="M2351">
        <f>RANK(H2351,H:H,0)</f>
        <v>956</v>
      </c>
    </row>
    <row r="2352" spans="1:13">
      <c r="A2352" t="s">
        <v>29</v>
      </c>
      <c r="B2352" t="s">
        <v>25</v>
      </c>
      <c r="C2352" t="s">
        <v>90</v>
      </c>
      <c r="D2352" s="3" t="s">
        <v>325</v>
      </c>
      <c r="E2352" s="5" t="str">
        <f>TEXT(D2352,"dd/mm/yyyy")</f>
        <v>20/05/2024</v>
      </c>
      <c r="G2352" s="5" t="str">
        <f>TEXT(E2352,"mm")</f>
        <v>20/05/2024</v>
      </c>
      <c r="H2352" s="6">
        <v>14493.5</v>
      </c>
      <c r="I2352">
        <v>15</v>
      </c>
      <c r="L2352" t="str">
        <f t="shared" si="36"/>
        <v>Above Average</v>
      </c>
      <c r="M2352">
        <f>RANK(H2352,H:H,0)</f>
        <v>182</v>
      </c>
    </row>
    <row r="2353" spans="1:13">
      <c r="A2353" t="s">
        <v>34</v>
      </c>
      <c r="B2353" t="s">
        <v>15</v>
      </c>
      <c r="C2353" t="s">
        <v>46</v>
      </c>
      <c r="D2353" s="3" t="s">
        <v>326</v>
      </c>
      <c r="E2353" s="5" t="str">
        <f>TEXT(D2353,"dd/mm/yyyy")</f>
        <v>29/07/2024</v>
      </c>
      <c r="G2353" s="5" t="str">
        <f>TEXT(E2353,"mm")</f>
        <v>29/07/2024</v>
      </c>
      <c r="H2353" s="6">
        <v>3112.2</v>
      </c>
      <c r="I2353">
        <v>107</v>
      </c>
      <c r="L2353" t="str">
        <f t="shared" si="36"/>
        <v>Below Average</v>
      </c>
      <c r="M2353">
        <f>RANK(H2353,H:H,0)</f>
        <v>2265</v>
      </c>
    </row>
    <row r="2354" spans="1:13">
      <c r="A2354" t="s">
        <v>31</v>
      </c>
      <c r="B2354" t="s">
        <v>32</v>
      </c>
      <c r="C2354" t="s">
        <v>57</v>
      </c>
      <c r="D2354" s="3" t="s">
        <v>313</v>
      </c>
      <c r="E2354" s="5" t="str">
        <f>TEXT(D2354,"dd/mm/yyyy")</f>
        <v>28/01/2024</v>
      </c>
      <c r="G2354" s="5" t="str">
        <f>TEXT(E2354,"mm")</f>
        <v>28/01/2024</v>
      </c>
      <c r="H2354" s="6">
        <v>9617.64</v>
      </c>
      <c r="I2354">
        <v>44</v>
      </c>
      <c r="L2354" t="str">
        <f t="shared" si="36"/>
        <v>Above Average</v>
      </c>
      <c r="M2354">
        <f>RANK(H2354,H:H,0)</f>
        <v>641</v>
      </c>
    </row>
    <row r="2355" spans="1:13">
      <c r="A2355" t="s">
        <v>40</v>
      </c>
      <c r="B2355" t="s">
        <v>7</v>
      </c>
      <c r="C2355" t="s">
        <v>90</v>
      </c>
      <c r="D2355" s="3" t="s">
        <v>290</v>
      </c>
      <c r="E2355" s="5" t="str">
        <f>TEXT(D2355,"dd/mm/yyyy")</f>
        <v>19/07/2024</v>
      </c>
      <c r="G2355" s="5" t="str">
        <f>TEXT(E2355,"mm")</f>
        <v>19/07/2024</v>
      </c>
      <c r="H2355" s="6">
        <v>4198.08</v>
      </c>
      <c r="I2355">
        <v>107</v>
      </c>
      <c r="L2355" t="str">
        <f t="shared" si="36"/>
        <v>Below Average</v>
      </c>
      <c r="M2355">
        <f>RANK(H2355,H:H,0)</f>
        <v>1928</v>
      </c>
    </row>
    <row r="2356" spans="1:13">
      <c r="A2356" t="s">
        <v>34</v>
      </c>
      <c r="B2356" t="s">
        <v>25</v>
      </c>
      <c r="C2356" t="s">
        <v>60</v>
      </c>
      <c r="D2356" s="3" t="s">
        <v>327</v>
      </c>
      <c r="E2356" s="5" t="str">
        <f>TEXT(D2356,"dd/mm/yyyy")</f>
        <v>13/04/2024</v>
      </c>
      <c r="G2356" s="5" t="str">
        <f>TEXT(E2356,"mm")</f>
        <v>13/04/2024</v>
      </c>
      <c r="H2356" s="6">
        <v>10927.22</v>
      </c>
      <c r="I2356">
        <v>11</v>
      </c>
      <c r="L2356" t="str">
        <f t="shared" si="36"/>
        <v>Above Average</v>
      </c>
      <c r="M2356">
        <f>RANK(H2356,H:H,0)</f>
        <v>449</v>
      </c>
    </row>
    <row r="2357" spans="1:13">
      <c r="A2357" t="s">
        <v>45</v>
      </c>
      <c r="B2357" t="s">
        <v>10</v>
      </c>
      <c r="C2357" t="s">
        <v>13</v>
      </c>
      <c r="D2357" s="4">
        <v>45598</v>
      </c>
      <c r="E2357" s="5" t="str">
        <f>TEXT(D2357,"dd/mm/yyyy")</f>
        <v>02/11/2024</v>
      </c>
      <c r="F2357" s="4"/>
      <c r="G2357" s="5" t="str">
        <f>TEXT(E2357,"mm")</f>
        <v>02</v>
      </c>
      <c r="H2357" s="6">
        <v>10759.18</v>
      </c>
      <c r="I2357">
        <v>20</v>
      </c>
      <c r="L2357" t="str">
        <f t="shared" si="36"/>
        <v>Above Average</v>
      </c>
      <c r="M2357">
        <f>RANK(H2357,H:H,0)</f>
        <v>483</v>
      </c>
    </row>
    <row r="2358" spans="1:13">
      <c r="A2358" t="s">
        <v>45</v>
      </c>
      <c r="B2358" t="s">
        <v>25</v>
      </c>
      <c r="C2358" t="s">
        <v>46</v>
      </c>
      <c r="D2358" s="4">
        <v>45325</v>
      </c>
      <c r="E2358" s="5" t="str">
        <f>TEXT(D2358,"dd/mm/yyyy")</f>
        <v>03/02/2024</v>
      </c>
      <c r="F2358" s="4"/>
      <c r="G2358" s="5" t="str">
        <f>TEXT(E2358,"mm")</f>
        <v>03</v>
      </c>
      <c r="H2358" s="6">
        <v>6250.42</v>
      </c>
      <c r="I2358">
        <v>111</v>
      </c>
      <c r="L2358" t="str">
        <f t="shared" si="36"/>
        <v>Above Average</v>
      </c>
      <c r="M2358">
        <f>RANK(H2358,H:H,0)</f>
        <v>1368</v>
      </c>
    </row>
    <row r="2359" spans="1:13">
      <c r="A2359" t="s">
        <v>83</v>
      </c>
      <c r="B2359" t="s">
        <v>15</v>
      </c>
      <c r="C2359" t="s">
        <v>59</v>
      </c>
      <c r="D2359" s="4">
        <v>45325</v>
      </c>
      <c r="E2359" s="5" t="str">
        <f>TEXT(D2359,"dd/mm/yyyy")</f>
        <v>03/02/2024</v>
      </c>
      <c r="F2359" s="4"/>
      <c r="G2359" s="5" t="str">
        <f>TEXT(E2359,"mm")</f>
        <v>03</v>
      </c>
      <c r="H2359" s="6">
        <v>1103.54</v>
      </c>
      <c r="I2359">
        <v>195</v>
      </c>
      <c r="L2359" t="str">
        <f t="shared" si="36"/>
        <v>Below Average</v>
      </c>
      <c r="M2359">
        <f>RANK(H2359,H:H,0)</f>
        <v>2940</v>
      </c>
    </row>
    <row r="2360" spans="1:13">
      <c r="A2360" t="s">
        <v>9</v>
      </c>
      <c r="B2360" t="s">
        <v>32</v>
      </c>
      <c r="C2360" t="s">
        <v>20</v>
      </c>
      <c r="D2360" s="3" t="s">
        <v>271</v>
      </c>
      <c r="E2360" s="5" t="str">
        <f>TEXT(D2360,"dd/mm/yyyy")</f>
        <v>28/07/2024</v>
      </c>
      <c r="G2360" s="5" t="str">
        <f>TEXT(E2360,"mm")</f>
        <v>28/07/2024</v>
      </c>
      <c r="H2360" s="6">
        <v>13435.98</v>
      </c>
      <c r="I2360">
        <v>6</v>
      </c>
      <c r="L2360" t="str">
        <f t="shared" si="36"/>
        <v>Above Average</v>
      </c>
      <c r="M2360">
        <f>RANK(H2360,H:H,0)</f>
        <v>240</v>
      </c>
    </row>
    <row r="2361" spans="1:13">
      <c r="A2361" t="s">
        <v>70</v>
      </c>
      <c r="B2361" t="s">
        <v>10</v>
      </c>
      <c r="C2361" t="s">
        <v>23</v>
      </c>
      <c r="D2361" s="4">
        <v>45474</v>
      </c>
      <c r="E2361" s="5" t="str">
        <f>TEXT(D2361,"dd/mm/yyyy")</f>
        <v>01/07/2024</v>
      </c>
      <c r="F2361" s="4"/>
      <c r="G2361" s="5" t="str">
        <f>TEXT(E2361,"mm")</f>
        <v>01</v>
      </c>
      <c r="H2361" s="6">
        <v>1855.03</v>
      </c>
      <c r="I2361">
        <v>563</v>
      </c>
      <c r="L2361" t="str">
        <f t="shared" si="36"/>
        <v>Below Average</v>
      </c>
      <c r="M2361">
        <f>RANK(H2361,H:H,0)</f>
        <v>2683</v>
      </c>
    </row>
    <row r="2362" spans="1:13">
      <c r="A2362" t="s">
        <v>28</v>
      </c>
      <c r="B2362" t="s">
        <v>7</v>
      </c>
      <c r="C2362" t="s">
        <v>59</v>
      </c>
      <c r="D2362" s="4">
        <v>45630</v>
      </c>
      <c r="E2362" s="5" t="str">
        <f>TEXT(D2362,"dd/mm/yyyy")</f>
        <v>04/12/2024</v>
      </c>
      <c r="F2362" s="4"/>
      <c r="G2362" s="5" t="str">
        <f>TEXT(E2362,"mm")</f>
        <v>04</v>
      </c>
      <c r="H2362" s="6">
        <v>5799.09</v>
      </c>
      <c r="I2362">
        <v>169</v>
      </c>
      <c r="L2362" t="str">
        <f t="shared" si="36"/>
        <v>Below Average</v>
      </c>
      <c r="M2362">
        <f>RANK(H2362,H:H,0)</f>
        <v>1488</v>
      </c>
    </row>
    <row r="2363" spans="1:13">
      <c r="A2363" t="s">
        <v>9</v>
      </c>
      <c r="B2363" t="s">
        <v>35</v>
      </c>
      <c r="C2363" t="s">
        <v>65</v>
      </c>
      <c r="D2363" s="3" t="s">
        <v>275</v>
      </c>
      <c r="E2363" s="5" t="str">
        <f>TEXT(D2363,"dd/mm/yyyy")</f>
        <v>27/06/2024</v>
      </c>
      <c r="G2363" s="5" t="str">
        <f>TEXT(E2363,"mm")</f>
        <v>27/06/2024</v>
      </c>
      <c r="H2363" s="6">
        <v>3631.78</v>
      </c>
      <c r="I2363">
        <v>71</v>
      </c>
      <c r="L2363" t="str">
        <f t="shared" si="36"/>
        <v>Below Average</v>
      </c>
      <c r="M2363">
        <f>RANK(H2363,H:H,0)</f>
        <v>2096</v>
      </c>
    </row>
    <row r="2364" spans="1:13">
      <c r="A2364" t="s">
        <v>6</v>
      </c>
      <c r="B2364" t="s">
        <v>15</v>
      </c>
      <c r="C2364" t="s">
        <v>26</v>
      </c>
      <c r="D2364" s="3" t="s">
        <v>328</v>
      </c>
      <c r="E2364" s="5" t="str">
        <f>TEXT(D2364,"dd/mm/yyyy")</f>
        <v>14/01/2024</v>
      </c>
      <c r="G2364" s="5" t="str">
        <f>TEXT(E2364,"mm")</f>
        <v>14/01/2024</v>
      </c>
      <c r="H2364" s="6">
        <v>5461.43</v>
      </c>
      <c r="I2364">
        <v>456</v>
      </c>
      <c r="L2364" t="str">
        <f t="shared" si="36"/>
        <v>Below Average</v>
      </c>
      <c r="M2364">
        <f>RANK(H2364,H:H,0)</f>
        <v>1578</v>
      </c>
    </row>
    <row r="2365" spans="1:13">
      <c r="A2365" t="s">
        <v>37</v>
      </c>
      <c r="B2365" t="s">
        <v>7</v>
      </c>
      <c r="C2365" t="s">
        <v>87</v>
      </c>
      <c r="D2365" s="4">
        <v>45475</v>
      </c>
      <c r="E2365" s="5" t="str">
        <f>TEXT(D2365,"dd/mm/yyyy")</f>
        <v>02/07/2024</v>
      </c>
      <c r="F2365" s="4"/>
      <c r="G2365" s="5" t="str">
        <f>TEXT(E2365,"mm")</f>
        <v>02</v>
      </c>
      <c r="H2365" s="6">
        <v>5315.95</v>
      </c>
      <c r="I2365">
        <v>389</v>
      </c>
      <c r="L2365" t="str">
        <f t="shared" si="36"/>
        <v>Below Average</v>
      </c>
      <c r="M2365">
        <f>RANK(H2365,H:H,0)</f>
        <v>1611</v>
      </c>
    </row>
    <row r="2366" spans="1:13">
      <c r="A2366" t="s">
        <v>6</v>
      </c>
      <c r="B2366" t="s">
        <v>15</v>
      </c>
      <c r="C2366" t="s">
        <v>33</v>
      </c>
      <c r="D2366" s="3" t="s">
        <v>316</v>
      </c>
      <c r="E2366" s="5" t="str">
        <f>TEXT(D2366,"dd/mm/yyyy")</f>
        <v>23/03/2024</v>
      </c>
      <c r="G2366" s="5" t="str">
        <f>TEXT(E2366,"mm")</f>
        <v>23/03/2024</v>
      </c>
      <c r="H2366" s="6">
        <v>16059.94</v>
      </c>
      <c r="I2366">
        <v>28</v>
      </c>
      <c r="L2366" t="str">
        <f t="shared" si="36"/>
        <v>Above Average</v>
      </c>
      <c r="M2366">
        <f>RANK(H2366,H:H,0)</f>
        <v>99</v>
      </c>
    </row>
    <row r="2367" spans="1:13">
      <c r="A2367" t="s">
        <v>40</v>
      </c>
      <c r="B2367" t="s">
        <v>10</v>
      </c>
      <c r="C2367" t="s">
        <v>13</v>
      </c>
      <c r="D2367" s="4">
        <v>45566</v>
      </c>
      <c r="E2367" s="5" t="str">
        <f>TEXT(D2367,"dd/mm/yyyy")</f>
        <v>01/10/2024</v>
      </c>
      <c r="F2367" s="4"/>
      <c r="G2367" s="5" t="str">
        <f>TEXT(E2367,"mm")</f>
        <v>01</v>
      </c>
      <c r="H2367" s="6">
        <v>7803.84</v>
      </c>
      <c r="I2367">
        <v>157</v>
      </c>
      <c r="L2367" t="str">
        <f t="shared" si="36"/>
        <v>Above Average</v>
      </c>
      <c r="M2367">
        <f>RANK(H2367,H:H,0)</f>
        <v>987</v>
      </c>
    </row>
    <row r="2368" spans="1:13">
      <c r="A2368" t="s">
        <v>19</v>
      </c>
      <c r="B2368" t="s">
        <v>7</v>
      </c>
      <c r="C2368" t="s">
        <v>75</v>
      </c>
      <c r="D2368" s="3" t="s">
        <v>329</v>
      </c>
      <c r="E2368" s="5" t="str">
        <f>TEXT(D2368,"dd/mm/yyyy")</f>
        <v>17/03/2024</v>
      </c>
      <c r="G2368" s="5" t="str">
        <f>TEXT(E2368,"mm")</f>
        <v>17/03/2024</v>
      </c>
      <c r="H2368" s="6">
        <v>10751.19</v>
      </c>
      <c r="I2368">
        <v>44</v>
      </c>
      <c r="L2368" t="str">
        <f t="shared" si="36"/>
        <v>Above Average</v>
      </c>
      <c r="M2368">
        <f>RANK(H2368,H:H,0)</f>
        <v>484</v>
      </c>
    </row>
    <row r="2369" spans="1:13">
      <c r="A2369" t="s">
        <v>12</v>
      </c>
      <c r="B2369" t="s">
        <v>32</v>
      </c>
      <c r="C2369" t="s">
        <v>50</v>
      </c>
      <c r="D2369" s="3" t="s">
        <v>330</v>
      </c>
      <c r="E2369" s="5" t="str">
        <f>TEXT(D2369,"dd/mm/yyyy")</f>
        <v>21/01/2024</v>
      </c>
      <c r="G2369" s="5" t="str">
        <f>TEXT(E2369,"mm")</f>
        <v>21/01/2024</v>
      </c>
      <c r="H2369" s="6">
        <v>12156.54</v>
      </c>
      <c r="I2369">
        <v>54</v>
      </c>
      <c r="L2369" t="str">
        <f t="shared" si="36"/>
        <v>Above Average</v>
      </c>
      <c r="M2369">
        <f>RANK(H2369,H:H,0)</f>
        <v>333</v>
      </c>
    </row>
    <row r="2370" spans="1:13">
      <c r="A2370" t="s">
        <v>31</v>
      </c>
      <c r="B2370" t="s">
        <v>15</v>
      </c>
      <c r="C2370" t="s">
        <v>59</v>
      </c>
      <c r="D2370" s="4">
        <v>45389</v>
      </c>
      <c r="E2370" s="5" t="str">
        <f>TEXT(D2370,"dd/mm/yyyy")</f>
        <v>07/04/2024</v>
      </c>
      <c r="F2370" s="4"/>
      <c r="G2370" s="5" t="str">
        <f>TEXT(E2370,"mm")</f>
        <v>07</v>
      </c>
      <c r="H2370" s="6">
        <v>9402.26</v>
      </c>
      <c r="I2370">
        <v>401</v>
      </c>
      <c r="L2370" t="str">
        <f t="shared" si="36"/>
        <v>Above Average</v>
      </c>
      <c r="M2370">
        <f>RANK(H2370,H:H,0)</f>
        <v>675</v>
      </c>
    </row>
    <row r="2371" spans="1:13">
      <c r="A2371" t="s">
        <v>55</v>
      </c>
      <c r="B2371" t="s">
        <v>35</v>
      </c>
      <c r="C2371" t="s">
        <v>13</v>
      </c>
      <c r="D2371" s="4">
        <v>45389</v>
      </c>
      <c r="E2371" s="5" t="str">
        <f>TEXT(D2371,"dd/mm/yyyy")</f>
        <v>07/04/2024</v>
      </c>
      <c r="F2371" s="4"/>
      <c r="G2371" s="5" t="str">
        <f>TEXT(E2371,"mm")</f>
        <v>07</v>
      </c>
      <c r="H2371" s="6">
        <v>3653.39</v>
      </c>
      <c r="I2371">
        <v>185</v>
      </c>
      <c r="L2371" t="str">
        <f t="shared" ref="L2371:L2434" si="37">IF(H2371&gt;6030.34,"Above Average","Below Average")</f>
        <v>Below Average</v>
      </c>
      <c r="M2371">
        <f>RANK(H2371,H:H,0)</f>
        <v>2086</v>
      </c>
    </row>
    <row r="2372" spans="1:13">
      <c r="A2372" t="s">
        <v>79</v>
      </c>
      <c r="B2372" t="s">
        <v>32</v>
      </c>
      <c r="C2372" t="s">
        <v>60</v>
      </c>
      <c r="D2372" s="4">
        <v>45573</v>
      </c>
      <c r="E2372" s="5" t="str">
        <f>TEXT(D2372,"dd/mm/yyyy")</f>
        <v>08/10/2024</v>
      </c>
      <c r="F2372" s="4"/>
      <c r="G2372" s="5" t="str">
        <f>TEXT(E2372,"mm")</f>
        <v>08</v>
      </c>
      <c r="H2372" s="6">
        <v>320.11</v>
      </c>
      <c r="I2372">
        <v>201</v>
      </c>
      <c r="L2372" t="str">
        <f t="shared" si="37"/>
        <v>Below Average</v>
      </c>
      <c r="M2372">
        <f>RANK(H2372,H:H,0)</f>
        <v>3182</v>
      </c>
    </row>
    <row r="2373" spans="1:13">
      <c r="A2373" t="s">
        <v>58</v>
      </c>
      <c r="B2373" t="s">
        <v>15</v>
      </c>
      <c r="C2373" t="s">
        <v>26</v>
      </c>
      <c r="D2373" s="4">
        <v>45295</v>
      </c>
      <c r="E2373" s="5" t="str">
        <f>TEXT(D2373,"dd/mm/yyyy")</f>
        <v>04/01/2024</v>
      </c>
      <c r="F2373" s="4"/>
      <c r="G2373" s="5" t="str">
        <f>TEXT(E2373,"mm")</f>
        <v>04</v>
      </c>
      <c r="H2373" s="6">
        <v>7618.91</v>
      </c>
      <c r="I2373">
        <v>12</v>
      </c>
      <c r="L2373" t="str">
        <f t="shared" si="37"/>
        <v>Above Average</v>
      </c>
      <c r="M2373">
        <f>RANK(H2373,H:H,0)</f>
        <v>1039</v>
      </c>
    </row>
    <row r="2374" spans="1:13">
      <c r="A2374" t="s">
        <v>12</v>
      </c>
      <c r="B2374" t="s">
        <v>10</v>
      </c>
      <c r="C2374" t="s">
        <v>73</v>
      </c>
      <c r="D2374" s="3" t="s">
        <v>331</v>
      </c>
      <c r="E2374" s="5" t="str">
        <f>TEXT(D2374,"dd/mm/yyyy")</f>
        <v>22/02/2024</v>
      </c>
      <c r="G2374" s="5" t="str">
        <f>TEXT(E2374,"mm")</f>
        <v>22/02/2024</v>
      </c>
      <c r="H2374" s="6">
        <v>2843.9</v>
      </c>
      <c r="I2374">
        <v>158</v>
      </c>
      <c r="L2374" t="str">
        <f t="shared" si="37"/>
        <v>Below Average</v>
      </c>
      <c r="M2374">
        <f>RANK(H2374,H:H,0)</f>
        <v>2356</v>
      </c>
    </row>
    <row r="2375" spans="1:13">
      <c r="A2375" t="s">
        <v>71</v>
      </c>
      <c r="B2375" t="s">
        <v>7</v>
      </c>
      <c r="C2375" t="s">
        <v>59</v>
      </c>
      <c r="D2375" s="4">
        <v>45352</v>
      </c>
      <c r="E2375" s="5" t="str">
        <f>TEXT(D2375,"dd/mm/yyyy")</f>
        <v>01/03/2024</v>
      </c>
      <c r="F2375" s="4"/>
      <c r="G2375" s="5" t="str">
        <f>TEXT(E2375,"mm")</f>
        <v>01</v>
      </c>
      <c r="H2375" s="6">
        <v>11946.4</v>
      </c>
      <c r="I2375">
        <v>192</v>
      </c>
      <c r="L2375" t="str">
        <f t="shared" si="37"/>
        <v>Above Average</v>
      </c>
      <c r="M2375">
        <f>RANK(H2375,H:H,0)</f>
        <v>350</v>
      </c>
    </row>
    <row r="2376" spans="1:13">
      <c r="A2376" t="s">
        <v>37</v>
      </c>
      <c r="B2376" t="s">
        <v>10</v>
      </c>
      <c r="C2376" t="s">
        <v>38</v>
      </c>
      <c r="D2376" s="3" t="s">
        <v>332</v>
      </c>
      <c r="E2376" s="5" t="str">
        <f>TEXT(D2376,"dd/mm/yyyy")</f>
        <v>31/05/2024</v>
      </c>
      <c r="G2376" s="5" t="str">
        <f>TEXT(E2376,"mm")</f>
        <v>31/05/2024</v>
      </c>
      <c r="H2376" s="6">
        <v>5055.05</v>
      </c>
      <c r="I2376">
        <v>241</v>
      </c>
      <c r="L2376" t="str">
        <f t="shared" si="37"/>
        <v>Below Average</v>
      </c>
      <c r="M2376">
        <f>RANK(H2376,H:H,0)</f>
        <v>1690</v>
      </c>
    </row>
    <row r="2377" spans="1:13">
      <c r="A2377" t="s">
        <v>79</v>
      </c>
      <c r="B2377" t="s">
        <v>7</v>
      </c>
      <c r="C2377" t="s">
        <v>20</v>
      </c>
      <c r="D2377" s="4">
        <v>45352</v>
      </c>
      <c r="E2377" s="5" t="str">
        <f>TEXT(D2377,"dd/mm/yyyy")</f>
        <v>01/03/2024</v>
      </c>
      <c r="F2377" s="4"/>
      <c r="G2377" s="5" t="str">
        <f>TEXT(E2377,"mm")</f>
        <v>01</v>
      </c>
      <c r="H2377" s="6">
        <v>10378.36</v>
      </c>
      <c r="I2377">
        <v>301</v>
      </c>
      <c r="L2377" t="str">
        <f t="shared" si="37"/>
        <v>Above Average</v>
      </c>
      <c r="M2377">
        <f>RANK(H2377,H:H,0)</f>
        <v>523</v>
      </c>
    </row>
    <row r="2378" spans="1:13">
      <c r="A2378" t="s">
        <v>53</v>
      </c>
      <c r="B2378" t="s">
        <v>25</v>
      </c>
      <c r="C2378" t="s">
        <v>90</v>
      </c>
      <c r="D2378" s="3" t="s">
        <v>302</v>
      </c>
      <c r="E2378" s="5" t="str">
        <f>TEXT(D2378,"dd/mm/yyyy")</f>
        <v>27/01/2024</v>
      </c>
      <c r="G2378" s="5" t="str">
        <f>TEXT(E2378,"mm")</f>
        <v>27/01/2024</v>
      </c>
      <c r="H2378" s="6">
        <v>595.16</v>
      </c>
      <c r="I2378">
        <v>461</v>
      </c>
      <c r="L2378" t="str">
        <f t="shared" si="37"/>
        <v>Below Average</v>
      </c>
      <c r="M2378">
        <f>RANK(H2378,H:H,0)</f>
        <v>3100</v>
      </c>
    </row>
    <row r="2379" spans="1:13">
      <c r="A2379" t="s">
        <v>31</v>
      </c>
      <c r="B2379" t="s">
        <v>7</v>
      </c>
      <c r="C2379" t="s">
        <v>26</v>
      </c>
      <c r="D2379" s="3" t="s">
        <v>313</v>
      </c>
      <c r="E2379" s="5" t="str">
        <f>TEXT(D2379,"dd/mm/yyyy")</f>
        <v>28/01/2024</v>
      </c>
      <c r="G2379" s="5" t="str">
        <f>TEXT(E2379,"mm")</f>
        <v>28/01/2024</v>
      </c>
      <c r="H2379" s="6">
        <v>639.95000000000005</v>
      </c>
      <c r="I2379">
        <v>71</v>
      </c>
      <c r="L2379" t="str">
        <f t="shared" si="37"/>
        <v>Below Average</v>
      </c>
      <c r="M2379">
        <f>RANK(H2379,H:H,0)</f>
        <v>3086</v>
      </c>
    </row>
    <row r="2380" spans="1:13">
      <c r="A2380" t="s">
        <v>48</v>
      </c>
      <c r="B2380" t="s">
        <v>15</v>
      </c>
      <c r="C2380" t="s">
        <v>42</v>
      </c>
      <c r="D2380" s="3" t="s">
        <v>294</v>
      </c>
      <c r="E2380" s="5" t="str">
        <f>TEXT(D2380,"dd/mm/yyyy")</f>
        <v>28/06/2024</v>
      </c>
      <c r="G2380" s="5" t="str">
        <f>TEXT(E2380,"mm")</f>
        <v>28/06/2024</v>
      </c>
      <c r="H2380" s="6">
        <v>3717.35</v>
      </c>
      <c r="I2380">
        <v>322</v>
      </c>
      <c r="L2380" t="str">
        <f t="shared" si="37"/>
        <v>Below Average</v>
      </c>
      <c r="M2380">
        <f>RANK(H2380,H:H,0)</f>
        <v>2067</v>
      </c>
    </row>
    <row r="2381" spans="1:13">
      <c r="A2381" t="s">
        <v>53</v>
      </c>
      <c r="B2381" t="s">
        <v>7</v>
      </c>
      <c r="C2381" t="s">
        <v>75</v>
      </c>
      <c r="D2381" s="4">
        <v>45325</v>
      </c>
      <c r="E2381" s="5" t="str">
        <f>TEXT(D2381,"dd/mm/yyyy")</f>
        <v>03/02/2024</v>
      </c>
      <c r="F2381" s="4"/>
      <c r="G2381" s="5" t="str">
        <f>TEXT(E2381,"mm")</f>
        <v>03</v>
      </c>
      <c r="H2381" s="6">
        <v>5057.1000000000004</v>
      </c>
      <c r="I2381">
        <v>41</v>
      </c>
      <c r="L2381" t="str">
        <f t="shared" si="37"/>
        <v>Below Average</v>
      </c>
      <c r="M2381">
        <f>RANK(H2381,H:H,0)</f>
        <v>1689</v>
      </c>
    </row>
    <row r="2382" spans="1:13">
      <c r="A2382" t="s">
        <v>64</v>
      </c>
      <c r="B2382" t="s">
        <v>15</v>
      </c>
      <c r="C2382" t="s">
        <v>23</v>
      </c>
      <c r="D2382" s="3" t="s">
        <v>297</v>
      </c>
      <c r="E2382" s="5" t="str">
        <f>TEXT(D2382,"dd/mm/yyyy")</f>
        <v>27/05/2024</v>
      </c>
      <c r="G2382" s="5" t="str">
        <f>TEXT(E2382,"mm")</f>
        <v>27/05/2024</v>
      </c>
      <c r="H2382" s="6">
        <v>3729.83</v>
      </c>
      <c r="I2382">
        <v>27</v>
      </c>
      <c r="L2382" t="str">
        <f t="shared" si="37"/>
        <v>Below Average</v>
      </c>
      <c r="M2382">
        <f>RANK(H2382,H:H,0)</f>
        <v>2063</v>
      </c>
    </row>
    <row r="2383" spans="1:13">
      <c r="A2383" t="s">
        <v>58</v>
      </c>
      <c r="B2383" t="s">
        <v>32</v>
      </c>
      <c r="C2383" t="s">
        <v>65</v>
      </c>
      <c r="D2383" s="3" t="s">
        <v>283</v>
      </c>
      <c r="E2383" s="5" t="str">
        <f>TEXT(D2383,"dd/mm/yyyy")</f>
        <v>30/06/2024</v>
      </c>
      <c r="G2383" s="5" t="str">
        <f>TEXT(E2383,"mm")</f>
        <v>30/06/2024</v>
      </c>
      <c r="H2383" s="6">
        <v>13786.87</v>
      </c>
      <c r="I2383">
        <v>85</v>
      </c>
      <c r="L2383" t="str">
        <f t="shared" si="37"/>
        <v>Above Average</v>
      </c>
      <c r="M2383">
        <f>RANK(H2383,H:H,0)</f>
        <v>217</v>
      </c>
    </row>
    <row r="2384" spans="1:13">
      <c r="A2384" t="s">
        <v>31</v>
      </c>
      <c r="B2384" t="s">
        <v>35</v>
      </c>
      <c r="C2384" t="s">
        <v>13</v>
      </c>
      <c r="D2384" s="4">
        <v>45479</v>
      </c>
      <c r="E2384" s="5" t="str">
        <f>TEXT(D2384,"dd/mm/yyyy")</f>
        <v>06/07/2024</v>
      </c>
      <c r="F2384" s="4"/>
      <c r="G2384" s="5" t="str">
        <f>TEXT(E2384,"mm")</f>
        <v>06</v>
      </c>
      <c r="H2384" s="6">
        <v>2206.2800000000002</v>
      </c>
      <c r="I2384">
        <v>79</v>
      </c>
      <c r="L2384" t="str">
        <f t="shared" si="37"/>
        <v>Below Average</v>
      </c>
      <c r="M2384">
        <f>RANK(H2384,H:H,0)</f>
        <v>2577</v>
      </c>
    </row>
    <row r="2385" spans="1:13">
      <c r="A2385" t="s">
        <v>55</v>
      </c>
      <c r="B2385" t="s">
        <v>32</v>
      </c>
      <c r="C2385" t="s">
        <v>100</v>
      </c>
      <c r="D2385" s="4">
        <v>45631</v>
      </c>
      <c r="E2385" s="5" t="str">
        <f>TEXT(D2385,"dd/mm/yyyy")</f>
        <v>05/12/2024</v>
      </c>
      <c r="F2385" s="4"/>
      <c r="G2385" s="5" t="str">
        <f>TEXT(E2385,"mm")</f>
        <v>05</v>
      </c>
      <c r="H2385" s="6">
        <v>4672.25</v>
      </c>
      <c r="I2385">
        <v>103</v>
      </c>
      <c r="L2385" t="str">
        <f t="shared" si="37"/>
        <v>Below Average</v>
      </c>
      <c r="M2385">
        <f>RANK(H2385,H:H,0)</f>
        <v>1807</v>
      </c>
    </row>
    <row r="2386" spans="1:13">
      <c r="A2386" t="s">
        <v>31</v>
      </c>
      <c r="B2386" t="s">
        <v>25</v>
      </c>
      <c r="C2386" t="s">
        <v>73</v>
      </c>
      <c r="D2386" s="3" t="s">
        <v>326</v>
      </c>
      <c r="E2386" s="5" t="str">
        <f>TEXT(D2386,"dd/mm/yyyy")</f>
        <v>29/07/2024</v>
      </c>
      <c r="G2386" s="5" t="str">
        <f>TEXT(E2386,"mm")</f>
        <v>29/07/2024</v>
      </c>
      <c r="H2386" s="6">
        <v>7667.99</v>
      </c>
      <c r="I2386">
        <v>69</v>
      </c>
      <c r="L2386" t="str">
        <f t="shared" si="37"/>
        <v>Above Average</v>
      </c>
      <c r="M2386">
        <f>RANK(H2386,H:H,0)</f>
        <v>1025</v>
      </c>
    </row>
    <row r="2387" spans="1:13">
      <c r="A2387" t="s">
        <v>58</v>
      </c>
      <c r="B2387" t="s">
        <v>7</v>
      </c>
      <c r="C2387" t="s">
        <v>59</v>
      </c>
      <c r="D2387" s="4">
        <v>45359</v>
      </c>
      <c r="E2387" s="5" t="str">
        <f>TEXT(D2387,"dd/mm/yyyy")</f>
        <v>08/03/2024</v>
      </c>
      <c r="F2387" s="4"/>
      <c r="G2387" s="5" t="str">
        <f>TEXT(E2387,"mm")</f>
        <v>08</v>
      </c>
      <c r="H2387" s="6">
        <v>8338.51</v>
      </c>
      <c r="I2387">
        <v>270</v>
      </c>
      <c r="L2387" t="str">
        <f t="shared" si="37"/>
        <v>Above Average</v>
      </c>
      <c r="M2387">
        <f>RANK(H2387,H:H,0)</f>
        <v>864</v>
      </c>
    </row>
    <row r="2388" spans="1:13">
      <c r="A2388" t="s">
        <v>31</v>
      </c>
      <c r="B2388" t="s">
        <v>10</v>
      </c>
      <c r="C2388" t="s">
        <v>87</v>
      </c>
      <c r="D2388" s="3" t="s">
        <v>304</v>
      </c>
      <c r="E2388" s="5" t="str">
        <f>TEXT(D2388,"dd/mm/yyyy")</f>
        <v>18/08/2024</v>
      </c>
      <c r="G2388" s="5" t="str">
        <f>TEXT(E2388,"mm")</f>
        <v>18/08/2024</v>
      </c>
      <c r="H2388" s="6">
        <v>7548.62</v>
      </c>
      <c r="I2388">
        <v>153</v>
      </c>
      <c r="L2388" t="str">
        <f t="shared" si="37"/>
        <v>Above Average</v>
      </c>
      <c r="M2388">
        <f>RANK(H2388,H:H,0)</f>
        <v>1055</v>
      </c>
    </row>
    <row r="2389" spans="1:13">
      <c r="A2389" t="s">
        <v>9</v>
      </c>
      <c r="B2389" t="s">
        <v>25</v>
      </c>
      <c r="C2389" t="s">
        <v>18</v>
      </c>
      <c r="D2389" s="3" t="s">
        <v>333</v>
      </c>
      <c r="E2389" s="5" t="str">
        <f>TEXT(D2389,"dd/mm/yyyy")</f>
        <v>14/06/2024</v>
      </c>
      <c r="G2389" s="5" t="str">
        <f>TEXT(E2389,"mm")</f>
        <v>14/06/2024</v>
      </c>
      <c r="H2389" s="6">
        <v>3608.83</v>
      </c>
      <c r="I2389">
        <v>46</v>
      </c>
      <c r="L2389" t="str">
        <f t="shared" si="37"/>
        <v>Below Average</v>
      </c>
      <c r="M2389">
        <f>RANK(H2389,H:H,0)</f>
        <v>2104</v>
      </c>
    </row>
    <row r="2390" spans="1:13">
      <c r="A2390" t="s">
        <v>41</v>
      </c>
      <c r="B2390" t="s">
        <v>7</v>
      </c>
      <c r="C2390" t="s">
        <v>59</v>
      </c>
      <c r="D2390" s="3" t="s">
        <v>283</v>
      </c>
      <c r="E2390" s="5" t="str">
        <f>TEXT(D2390,"dd/mm/yyyy")</f>
        <v>30/06/2024</v>
      </c>
      <c r="G2390" s="5" t="str">
        <f>TEXT(E2390,"mm")</f>
        <v>30/06/2024</v>
      </c>
      <c r="H2390" s="6">
        <v>7108.96</v>
      </c>
      <c r="I2390">
        <v>80</v>
      </c>
      <c r="L2390" t="str">
        <f t="shared" si="37"/>
        <v>Above Average</v>
      </c>
      <c r="M2390">
        <f>RANK(H2390,H:H,0)</f>
        <v>1156</v>
      </c>
    </row>
    <row r="2391" spans="1:13">
      <c r="A2391" t="s">
        <v>71</v>
      </c>
      <c r="B2391" t="s">
        <v>25</v>
      </c>
      <c r="C2391" t="s">
        <v>8</v>
      </c>
      <c r="D2391" s="3" t="s">
        <v>334</v>
      </c>
      <c r="E2391" s="5" t="str">
        <f>TEXT(D2391,"dd/mm/yyyy")</f>
        <v>13/06/2024</v>
      </c>
      <c r="G2391" s="5" t="str">
        <f>TEXT(E2391,"mm")</f>
        <v>13/06/2024</v>
      </c>
      <c r="H2391" s="6">
        <v>1293.02</v>
      </c>
      <c r="I2391">
        <v>201</v>
      </c>
      <c r="L2391" t="str">
        <f t="shared" si="37"/>
        <v>Below Average</v>
      </c>
      <c r="M2391">
        <f>RANK(H2391,H:H,0)</f>
        <v>2876</v>
      </c>
    </row>
    <row r="2392" spans="1:13">
      <c r="A2392" t="s">
        <v>83</v>
      </c>
      <c r="B2392" t="s">
        <v>7</v>
      </c>
      <c r="C2392" t="s">
        <v>33</v>
      </c>
      <c r="D2392" s="3" t="s">
        <v>265</v>
      </c>
      <c r="E2392" s="5" t="str">
        <f>TEXT(D2392,"dd/mm/yyyy")</f>
        <v>27/04/2024</v>
      </c>
      <c r="G2392" s="5" t="str">
        <f>TEXT(E2392,"mm")</f>
        <v>27/04/2024</v>
      </c>
      <c r="H2392" s="6">
        <v>15365.78</v>
      </c>
      <c r="I2392">
        <v>57</v>
      </c>
      <c r="L2392" t="str">
        <f t="shared" si="37"/>
        <v>Above Average</v>
      </c>
      <c r="M2392">
        <f>RANK(H2392,H:H,0)</f>
        <v>134</v>
      </c>
    </row>
    <row r="2393" spans="1:13">
      <c r="A2393" t="s">
        <v>14</v>
      </c>
      <c r="B2393" t="s">
        <v>15</v>
      </c>
      <c r="C2393" t="s">
        <v>59</v>
      </c>
      <c r="D2393" s="3" t="s">
        <v>335</v>
      </c>
      <c r="E2393" s="5" t="str">
        <f>TEXT(D2393,"dd/mm/yyyy")</f>
        <v>27/07/2024</v>
      </c>
      <c r="G2393" s="5" t="str">
        <f>TEXT(E2393,"mm")</f>
        <v>27/07/2024</v>
      </c>
      <c r="H2393" s="6">
        <v>3766.49</v>
      </c>
      <c r="I2393">
        <v>33</v>
      </c>
      <c r="L2393" t="str">
        <f t="shared" si="37"/>
        <v>Below Average</v>
      </c>
      <c r="M2393">
        <f>RANK(H2393,H:H,0)</f>
        <v>2048</v>
      </c>
    </row>
    <row r="2394" spans="1:13">
      <c r="A2394" t="s">
        <v>34</v>
      </c>
      <c r="B2394" t="s">
        <v>35</v>
      </c>
      <c r="C2394" t="s">
        <v>11</v>
      </c>
      <c r="D2394" s="3" t="s">
        <v>269</v>
      </c>
      <c r="E2394" s="5" t="str">
        <f>TEXT(D2394,"dd/mm/yyyy")</f>
        <v>20/04/2024</v>
      </c>
      <c r="G2394" s="5" t="str">
        <f>TEXT(E2394,"mm")</f>
        <v>20/04/2024</v>
      </c>
      <c r="H2394" s="6">
        <v>1664.68</v>
      </c>
      <c r="I2394">
        <v>465</v>
      </c>
      <c r="L2394" t="str">
        <f t="shared" si="37"/>
        <v>Below Average</v>
      </c>
      <c r="M2394">
        <f>RANK(H2394,H:H,0)</f>
        <v>2746</v>
      </c>
    </row>
    <row r="2395" spans="1:13">
      <c r="A2395" t="s">
        <v>29</v>
      </c>
      <c r="B2395" t="s">
        <v>10</v>
      </c>
      <c r="C2395" t="s">
        <v>50</v>
      </c>
      <c r="D2395" s="4">
        <v>45383</v>
      </c>
      <c r="E2395" s="5" t="str">
        <f>TEXT(D2395,"dd/mm/yyyy")</f>
        <v>01/04/2024</v>
      </c>
      <c r="F2395" s="4"/>
      <c r="G2395" s="5" t="str">
        <f>TEXT(E2395,"mm")</f>
        <v>01</v>
      </c>
      <c r="H2395" s="6">
        <v>8972.7900000000009</v>
      </c>
      <c r="I2395">
        <v>134</v>
      </c>
      <c r="L2395" t="str">
        <f t="shared" si="37"/>
        <v>Above Average</v>
      </c>
      <c r="M2395">
        <f>RANK(H2395,H:H,0)</f>
        <v>744</v>
      </c>
    </row>
    <row r="2396" spans="1:13">
      <c r="A2396" t="s">
        <v>83</v>
      </c>
      <c r="B2396" t="s">
        <v>15</v>
      </c>
      <c r="C2396" t="s">
        <v>8</v>
      </c>
      <c r="D2396" s="3" t="s">
        <v>315</v>
      </c>
      <c r="E2396" s="5" t="str">
        <f>TEXT(D2396,"dd/mm/yyyy")</f>
        <v>21/02/2024</v>
      </c>
      <c r="G2396" s="5" t="str">
        <f>TEXT(E2396,"mm")</f>
        <v>21/02/2024</v>
      </c>
      <c r="H2396" s="6">
        <v>10576.55</v>
      </c>
      <c r="I2396">
        <v>96</v>
      </c>
      <c r="L2396" t="str">
        <f t="shared" si="37"/>
        <v>Above Average</v>
      </c>
      <c r="M2396">
        <f>RANK(H2396,H:H,0)</f>
        <v>504</v>
      </c>
    </row>
    <row r="2397" spans="1:13">
      <c r="A2397" t="s">
        <v>37</v>
      </c>
      <c r="B2397" t="s">
        <v>15</v>
      </c>
      <c r="C2397" t="s">
        <v>59</v>
      </c>
      <c r="D2397" s="4">
        <v>45413</v>
      </c>
      <c r="E2397" s="5" t="str">
        <f>TEXT(D2397,"dd/mm/yyyy")</f>
        <v>01/05/2024</v>
      </c>
      <c r="F2397" s="4"/>
      <c r="G2397" s="5" t="str">
        <f>TEXT(E2397,"mm")</f>
        <v>01</v>
      </c>
      <c r="H2397" s="6">
        <v>8857.15</v>
      </c>
      <c r="I2397">
        <v>50</v>
      </c>
      <c r="L2397" t="str">
        <f t="shared" si="37"/>
        <v>Above Average</v>
      </c>
      <c r="M2397">
        <f>RANK(H2397,H:H,0)</f>
        <v>768</v>
      </c>
    </row>
    <row r="2398" spans="1:13">
      <c r="A2398" t="s">
        <v>41</v>
      </c>
      <c r="B2398" t="s">
        <v>10</v>
      </c>
      <c r="C2398" t="s">
        <v>38</v>
      </c>
      <c r="D2398" s="3" t="s">
        <v>292</v>
      </c>
      <c r="E2398" s="5" t="str">
        <f>TEXT(D2398,"dd/mm/yyyy")</f>
        <v>15/07/2024</v>
      </c>
      <c r="G2398" s="5" t="str">
        <f>TEXT(E2398,"mm")</f>
        <v>15/07/2024</v>
      </c>
      <c r="H2398" s="6">
        <v>6756.17</v>
      </c>
      <c r="I2398">
        <v>45</v>
      </c>
      <c r="L2398" t="str">
        <f t="shared" si="37"/>
        <v>Above Average</v>
      </c>
      <c r="M2398">
        <f>RANK(H2398,H:H,0)</f>
        <v>1254</v>
      </c>
    </row>
    <row r="2399" spans="1:13">
      <c r="A2399" t="s">
        <v>28</v>
      </c>
      <c r="B2399" t="s">
        <v>15</v>
      </c>
      <c r="C2399" t="s">
        <v>75</v>
      </c>
      <c r="D2399" s="3" t="s">
        <v>306</v>
      </c>
      <c r="E2399" s="5" t="str">
        <f>TEXT(D2399,"dd/mm/yyyy")</f>
        <v>25/05/2024</v>
      </c>
      <c r="G2399" s="5" t="str">
        <f>TEXT(E2399,"mm")</f>
        <v>25/05/2024</v>
      </c>
      <c r="H2399" s="6">
        <v>5532.85</v>
      </c>
      <c r="I2399">
        <v>63</v>
      </c>
      <c r="L2399" t="str">
        <f t="shared" si="37"/>
        <v>Below Average</v>
      </c>
      <c r="M2399">
        <f>RANK(H2399,H:H,0)</f>
        <v>1559</v>
      </c>
    </row>
    <row r="2400" spans="1:13">
      <c r="A2400" t="s">
        <v>37</v>
      </c>
      <c r="B2400" t="s">
        <v>35</v>
      </c>
      <c r="C2400" t="s">
        <v>36</v>
      </c>
      <c r="D2400" s="3" t="s">
        <v>269</v>
      </c>
      <c r="E2400" s="5" t="str">
        <f>TEXT(D2400,"dd/mm/yyyy")</f>
        <v>20/04/2024</v>
      </c>
      <c r="G2400" s="5" t="str">
        <f>TEXT(E2400,"mm")</f>
        <v>20/04/2024</v>
      </c>
      <c r="H2400" s="6">
        <v>3713.66</v>
      </c>
      <c r="I2400">
        <v>352</v>
      </c>
      <c r="L2400" t="str">
        <f t="shared" si="37"/>
        <v>Below Average</v>
      </c>
      <c r="M2400">
        <f>RANK(H2400,H:H,0)</f>
        <v>2069</v>
      </c>
    </row>
    <row r="2401" spans="1:13">
      <c r="A2401" t="s">
        <v>12</v>
      </c>
      <c r="B2401" t="s">
        <v>32</v>
      </c>
      <c r="C2401" t="s">
        <v>20</v>
      </c>
      <c r="D2401" s="4">
        <v>45328</v>
      </c>
      <c r="E2401" s="5" t="str">
        <f>TEXT(D2401,"dd/mm/yyyy")</f>
        <v>06/02/2024</v>
      </c>
      <c r="F2401" s="4"/>
      <c r="G2401" s="5" t="str">
        <f>TEXT(E2401,"mm")</f>
        <v>06</v>
      </c>
      <c r="H2401" s="6">
        <v>906.85</v>
      </c>
      <c r="I2401">
        <v>246</v>
      </c>
      <c r="L2401" t="str">
        <f t="shared" si="37"/>
        <v>Below Average</v>
      </c>
      <c r="M2401">
        <f>RANK(H2401,H:H,0)</f>
        <v>3002</v>
      </c>
    </row>
    <row r="2402" spans="1:13">
      <c r="A2402" t="s">
        <v>40</v>
      </c>
      <c r="B2402" t="s">
        <v>7</v>
      </c>
      <c r="C2402" t="s">
        <v>18</v>
      </c>
      <c r="D2402" s="3" t="s">
        <v>336</v>
      </c>
      <c r="E2402" s="5" t="str">
        <f>TEXT(D2402,"dd/mm/yyyy")</f>
        <v>13/05/2024</v>
      </c>
      <c r="G2402" s="5" t="str">
        <f>TEXT(E2402,"mm")</f>
        <v>13/05/2024</v>
      </c>
      <c r="H2402" s="6">
        <v>22558.880000000001</v>
      </c>
      <c r="I2402">
        <v>84</v>
      </c>
      <c r="L2402" t="str">
        <f t="shared" si="37"/>
        <v>Above Average</v>
      </c>
      <c r="M2402">
        <f>RANK(H2402,H:H,0)</f>
        <v>7</v>
      </c>
    </row>
    <row r="2403" spans="1:13">
      <c r="A2403" t="s">
        <v>41</v>
      </c>
      <c r="B2403" t="s">
        <v>25</v>
      </c>
      <c r="C2403" t="s">
        <v>87</v>
      </c>
      <c r="D2403" s="4">
        <v>45359</v>
      </c>
      <c r="E2403" s="5" t="str">
        <f>TEXT(D2403,"dd/mm/yyyy")</f>
        <v>08/03/2024</v>
      </c>
      <c r="F2403" s="4"/>
      <c r="G2403" s="5" t="str">
        <f>TEXT(E2403,"mm")</f>
        <v>08</v>
      </c>
      <c r="H2403" s="6">
        <v>1517.05</v>
      </c>
      <c r="I2403">
        <v>147</v>
      </c>
      <c r="L2403" t="str">
        <f t="shared" si="37"/>
        <v>Below Average</v>
      </c>
      <c r="M2403">
        <f>RANK(H2403,H:H,0)</f>
        <v>2800</v>
      </c>
    </row>
    <row r="2404" spans="1:13">
      <c r="A2404" t="s">
        <v>41</v>
      </c>
      <c r="B2404" t="s">
        <v>15</v>
      </c>
      <c r="C2404" t="s">
        <v>46</v>
      </c>
      <c r="D2404" s="3" t="s">
        <v>306</v>
      </c>
      <c r="E2404" s="5" t="str">
        <f>TEXT(D2404,"dd/mm/yyyy")</f>
        <v>25/05/2024</v>
      </c>
      <c r="G2404" s="5" t="str">
        <f>TEXT(E2404,"mm")</f>
        <v>25/05/2024</v>
      </c>
      <c r="H2404" s="6">
        <v>770.45</v>
      </c>
      <c r="I2404">
        <v>389</v>
      </c>
      <c r="L2404" t="str">
        <f t="shared" si="37"/>
        <v>Below Average</v>
      </c>
      <c r="M2404">
        <f>RANK(H2404,H:H,0)</f>
        <v>3041</v>
      </c>
    </row>
    <row r="2405" spans="1:13">
      <c r="A2405" t="s">
        <v>9</v>
      </c>
      <c r="B2405" t="s">
        <v>7</v>
      </c>
      <c r="C2405" t="s">
        <v>73</v>
      </c>
      <c r="D2405" s="3" t="s">
        <v>314</v>
      </c>
      <c r="E2405" s="5" t="str">
        <f>TEXT(D2405,"dd/mm/yyyy")</f>
        <v>16/03/2024</v>
      </c>
      <c r="G2405" s="5" t="str">
        <f>TEXT(E2405,"mm")</f>
        <v>16/03/2024</v>
      </c>
      <c r="H2405" s="6">
        <v>7623.35</v>
      </c>
      <c r="I2405">
        <v>80</v>
      </c>
      <c r="L2405" t="str">
        <f t="shared" si="37"/>
        <v>Above Average</v>
      </c>
      <c r="M2405">
        <f>RANK(H2405,H:H,0)</f>
        <v>1035</v>
      </c>
    </row>
    <row r="2406" spans="1:13">
      <c r="A2406" t="s">
        <v>14</v>
      </c>
      <c r="B2406" t="s">
        <v>15</v>
      </c>
      <c r="C2406" t="s">
        <v>33</v>
      </c>
      <c r="D2406" s="4">
        <v>45389</v>
      </c>
      <c r="E2406" s="5" t="str">
        <f>TEXT(D2406,"dd/mm/yyyy")</f>
        <v>07/04/2024</v>
      </c>
      <c r="F2406" s="4"/>
      <c r="G2406" s="5" t="str">
        <f>TEXT(E2406,"mm")</f>
        <v>07</v>
      </c>
      <c r="H2406" s="6">
        <v>3418.05</v>
      </c>
      <c r="I2406">
        <v>117</v>
      </c>
      <c r="L2406" t="str">
        <f t="shared" si="37"/>
        <v>Below Average</v>
      </c>
      <c r="M2406">
        <f>RANK(H2406,H:H,0)</f>
        <v>2168</v>
      </c>
    </row>
    <row r="2407" spans="1:13">
      <c r="A2407" t="s">
        <v>6</v>
      </c>
      <c r="B2407" t="s">
        <v>10</v>
      </c>
      <c r="C2407" t="s">
        <v>26</v>
      </c>
      <c r="D2407" s="4">
        <v>45419</v>
      </c>
      <c r="E2407" s="5" t="str">
        <f>TEXT(D2407,"dd/mm/yyyy")</f>
        <v>07/05/2024</v>
      </c>
      <c r="F2407" s="4"/>
      <c r="G2407" s="5" t="str">
        <f>TEXT(E2407,"mm")</f>
        <v>07</v>
      </c>
      <c r="H2407" s="6">
        <v>4055.71</v>
      </c>
      <c r="I2407">
        <v>137</v>
      </c>
      <c r="L2407" t="str">
        <f t="shared" si="37"/>
        <v>Below Average</v>
      </c>
      <c r="M2407">
        <f>RANK(H2407,H:H,0)</f>
        <v>1967</v>
      </c>
    </row>
    <row r="2408" spans="1:13">
      <c r="A2408" t="s">
        <v>77</v>
      </c>
      <c r="B2408" t="s">
        <v>32</v>
      </c>
      <c r="C2408" t="s">
        <v>23</v>
      </c>
      <c r="D2408" s="3" t="s">
        <v>337</v>
      </c>
      <c r="E2408" s="5" t="str">
        <f>TEXT(D2408,"dd/mm/yyyy")</f>
        <v>15/03/2024</v>
      </c>
      <c r="G2408" s="5" t="str">
        <f>TEXT(E2408,"mm")</f>
        <v>15/03/2024</v>
      </c>
      <c r="H2408" s="6">
        <v>5432.84</v>
      </c>
      <c r="I2408">
        <v>450</v>
      </c>
      <c r="L2408" t="str">
        <f t="shared" si="37"/>
        <v>Below Average</v>
      </c>
      <c r="M2408">
        <f>RANK(H2408,H:H,0)</f>
        <v>1586</v>
      </c>
    </row>
    <row r="2409" spans="1:13">
      <c r="A2409" t="s">
        <v>31</v>
      </c>
      <c r="B2409" t="s">
        <v>7</v>
      </c>
      <c r="C2409" t="s">
        <v>73</v>
      </c>
      <c r="D2409" s="3" t="s">
        <v>289</v>
      </c>
      <c r="E2409" s="5" t="str">
        <f>TEXT(D2409,"dd/mm/yyyy")</f>
        <v>22/08/2024</v>
      </c>
      <c r="G2409" s="5" t="str">
        <f>TEXT(E2409,"mm")</f>
        <v>22/08/2024</v>
      </c>
      <c r="H2409" s="6">
        <v>6016.8</v>
      </c>
      <c r="I2409">
        <v>71</v>
      </c>
      <c r="L2409" t="str">
        <f t="shared" si="37"/>
        <v>Below Average</v>
      </c>
      <c r="M2409">
        <f>RANK(H2409,H:H,0)</f>
        <v>1431</v>
      </c>
    </row>
    <row r="2410" spans="1:13">
      <c r="A2410" t="s">
        <v>83</v>
      </c>
      <c r="B2410" t="s">
        <v>15</v>
      </c>
      <c r="C2410" t="s">
        <v>100</v>
      </c>
      <c r="D2410" s="4">
        <v>45627</v>
      </c>
      <c r="E2410" s="5" t="str">
        <f>TEXT(D2410,"dd/mm/yyyy")</f>
        <v>01/12/2024</v>
      </c>
      <c r="F2410" s="4"/>
      <c r="G2410" s="5" t="str">
        <f>TEXT(E2410,"mm")</f>
        <v>01</v>
      </c>
      <c r="H2410" s="6">
        <v>3609.76</v>
      </c>
      <c r="I2410">
        <v>122</v>
      </c>
      <c r="L2410" t="str">
        <f t="shared" si="37"/>
        <v>Below Average</v>
      </c>
      <c r="M2410">
        <f>RANK(H2410,H:H,0)</f>
        <v>2103</v>
      </c>
    </row>
    <row r="2411" spans="1:13">
      <c r="A2411" t="s">
        <v>40</v>
      </c>
      <c r="B2411" t="s">
        <v>7</v>
      </c>
      <c r="C2411" t="s">
        <v>87</v>
      </c>
      <c r="D2411" s="4">
        <v>45571</v>
      </c>
      <c r="E2411" s="5" t="str">
        <f>TEXT(D2411,"dd/mm/yyyy")</f>
        <v>06/10/2024</v>
      </c>
      <c r="F2411" s="4"/>
      <c r="G2411" s="5" t="str">
        <f>TEXT(E2411,"mm")</f>
        <v>06</v>
      </c>
      <c r="H2411" s="6">
        <v>302.25</v>
      </c>
      <c r="I2411">
        <v>154</v>
      </c>
      <c r="L2411" t="str">
        <f t="shared" si="37"/>
        <v>Below Average</v>
      </c>
      <c r="M2411">
        <f>RANK(H2411,H:H,0)</f>
        <v>3190</v>
      </c>
    </row>
    <row r="2412" spans="1:13">
      <c r="A2412" t="s">
        <v>55</v>
      </c>
      <c r="B2412" t="s">
        <v>15</v>
      </c>
      <c r="C2412" t="s">
        <v>13</v>
      </c>
      <c r="D2412" s="3" t="s">
        <v>338</v>
      </c>
      <c r="E2412" s="5" t="str">
        <f>TEXT(D2412,"dd/mm/yyyy")</f>
        <v>25/03/2024</v>
      </c>
      <c r="G2412" s="5" t="str">
        <f>TEXT(E2412,"mm")</f>
        <v>25/03/2024</v>
      </c>
      <c r="H2412" s="6">
        <v>6062.87</v>
      </c>
      <c r="I2412">
        <v>290</v>
      </c>
      <c r="L2412" t="str">
        <f t="shared" si="37"/>
        <v>Above Average</v>
      </c>
      <c r="M2412">
        <f>RANK(H2412,H:H,0)</f>
        <v>1416</v>
      </c>
    </row>
    <row r="2413" spans="1:13">
      <c r="A2413" t="s">
        <v>29</v>
      </c>
      <c r="B2413" t="s">
        <v>10</v>
      </c>
      <c r="C2413" t="s">
        <v>65</v>
      </c>
      <c r="D2413" s="3" t="s">
        <v>335</v>
      </c>
      <c r="E2413" s="5" t="str">
        <f>TEXT(D2413,"dd/mm/yyyy")</f>
        <v>27/07/2024</v>
      </c>
      <c r="G2413" s="5" t="str">
        <f>TEXT(E2413,"mm")</f>
        <v>27/07/2024</v>
      </c>
      <c r="H2413" s="6">
        <v>3589.91</v>
      </c>
      <c r="I2413">
        <v>106</v>
      </c>
      <c r="L2413" t="str">
        <f t="shared" si="37"/>
        <v>Below Average</v>
      </c>
      <c r="M2413">
        <f>RANK(H2413,H:H,0)</f>
        <v>2109</v>
      </c>
    </row>
    <row r="2414" spans="1:13">
      <c r="A2414" t="s">
        <v>53</v>
      </c>
      <c r="B2414" t="s">
        <v>7</v>
      </c>
      <c r="C2414" t="s">
        <v>90</v>
      </c>
      <c r="D2414" s="3" t="s">
        <v>287</v>
      </c>
      <c r="E2414" s="5" t="str">
        <f>TEXT(D2414,"dd/mm/yyyy")</f>
        <v>15/04/2024</v>
      </c>
      <c r="G2414" s="5" t="str">
        <f>TEXT(E2414,"mm")</f>
        <v>15/04/2024</v>
      </c>
      <c r="H2414" s="6">
        <v>16457.28</v>
      </c>
      <c r="I2414">
        <v>442</v>
      </c>
      <c r="L2414" t="str">
        <f t="shared" si="37"/>
        <v>Above Average</v>
      </c>
      <c r="M2414">
        <f>RANK(H2414,H:H,0)</f>
        <v>86</v>
      </c>
    </row>
    <row r="2415" spans="1:13">
      <c r="A2415" t="s">
        <v>45</v>
      </c>
      <c r="B2415" t="s">
        <v>10</v>
      </c>
      <c r="C2415" t="s">
        <v>33</v>
      </c>
      <c r="D2415" s="3" t="s">
        <v>275</v>
      </c>
      <c r="E2415" s="5" t="str">
        <f>TEXT(D2415,"dd/mm/yyyy")</f>
        <v>27/06/2024</v>
      </c>
      <c r="G2415" s="5" t="str">
        <f>TEXT(E2415,"mm")</f>
        <v>27/06/2024</v>
      </c>
      <c r="H2415" s="6">
        <v>4813.53</v>
      </c>
      <c r="I2415">
        <v>19</v>
      </c>
      <c r="L2415" t="str">
        <f t="shared" si="37"/>
        <v>Below Average</v>
      </c>
      <c r="M2415">
        <f>RANK(H2415,H:H,0)</f>
        <v>1762</v>
      </c>
    </row>
    <row r="2416" spans="1:13">
      <c r="A2416" t="s">
        <v>6</v>
      </c>
      <c r="B2416" t="s">
        <v>7</v>
      </c>
      <c r="C2416" t="s">
        <v>100</v>
      </c>
      <c r="D2416" s="3" t="s">
        <v>298</v>
      </c>
      <c r="E2416" s="5" t="str">
        <f>TEXT(D2416,"dd/mm/yyyy")</f>
        <v>14/04/2024</v>
      </c>
      <c r="G2416" s="5" t="str">
        <f>TEXT(E2416,"mm")</f>
        <v>14/04/2024</v>
      </c>
      <c r="H2416" s="6">
        <v>5819.17</v>
      </c>
      <c r="I2416">
        <v>270</v>
      </c>
      <c r="L2416" t="str">
        <f t="shared" si="37"/>
        <v>Below Average</v>
      </c>
      <c r="M2416">
        <f>RANK(H2416,H:H,0)</f>
        <v>1481</v>
      </c>
    </row>
    <row r="2417" spans="1:13">
      <c r="A2417" t="s">
        <v>53</v>
      </c>
      <c r="B2417" t="s">
        <v>15</v>
      </c>
      <c r="C2417" t="s">
        <v>60</v>
      </c>
      <c r="D2417" s="3" t="s">
        <v>337</v>
      </c>
      <c r="E2417" s="5" t="str">
        <f>TEXT(D2417,"dd/mm/yyyy")</f>
        <v>15/03/2024</v>
      </c>
      <c r="G2417" s="5" t="str">
        <f>TEXT(E2417,"mm")</f>
        <v>15/03/2024</v>
      </c>
      <c r="H2417" s="6">
        <v>7824.91</v>
      </c>
      <c r="I2417">
        <v>100</v>
      </c>
      <c r="L2417" t="str">
        <f t="shared" si="37"/>
        <v>Above Average</v>
      </c>
      <c r="M2417">
        <f>RANK(H2417,H:H,0)</f>
        <v>983</v>
      </c>
    </row>
    <row r="2418" spans="1:13">
      <c r="A2418" t="s">
        <v>77</v>
      </c>
      <c r="B2418" t="s">
        <v>32</v>
      </c>
      <c r="C2418" t="s">
        <v>36</v>
      </c>
      <c r="D2418" s="3" t="s">
        <v>339</v>
      </c>
      <c r="E2418" s="5" t="str">
        <f>TEXT(D2418,"dd/mm/yyyy")</f>
        <v>18/03/2024</v>
      </c>
      <c r="G2418" s="5" t="str">
        <f>TEXT(E2418,"mm")</f>
        <v>18/03/2024</v>
      </c>
      <c r="H2418" s="6">
        <v>9446.67</v>
      </c>
      <c r="I2418">
        <v>193</v>
      </c>
      <c r="L2418" t="str">
        <f t="shared" si="37"/>
        <v>Above Average</v>
      </c>
      <c r="M2418">
        <f>RANK(H2418,H:H,0)</f>
        <v>666</v>
      </c>
    </row>
    <row r="2419" spans="1:13">
      <c r="A2419" t="s">
        <v>28</v>
      </c>
      <c r="B2419" t="s">
        <v>10</v>
      </c>
      <c r="C2419" t="s">
        <v>36</v>
      </c>
      <c r="D2419" s="3" t="s">
        <v>322</v>
      </c>
      <c r="E2419" s="5" t="str">
        <f>TEXT(D2419,"dd/mm/yyyy")</f>
        <v>29/04/2024</v>
      </c>
      <c r="G2419" s="5" t="str">
        <f>TEXT(E2419,"mm")</f>
        <v>29/04/2024</v>
      </c>
      <c r="H2419" s="6">
        <v>1447.58</v>
      </c>
      <c r="I2419">
        <v>67</v>
      </c>
      <c r="L2419" t="str">
        <f t="shared" si="37"/>
        <v>Below Average</v>
      </c>
      <c r="M2419">
        <f>RANK(H2419,H:H,0)</f>
        <v>2821</v>
      </c>
    </row>
    <row r="2420" spans="1:13">
      <c r="A2420" t="s">
        <v>34</v>
      </c>
      <c r="B2420" t="s">
        <v>25</v>
      </c>
      <c r="C2420" t="s">
        <v>59</v>
      </c>
      <c r="D2420" s="3" t="s">
        <v>310</v>
      </c>
      <c r="E2420" s="5" t="str">
        <f>TEXT(D2420,"dd/mm/yyyy")</f>
        <v>25/02/2024</v>
      </c>
      <c r="G2420" s="5" t="str">
        <f>TEXT(E2420,"mm")</f>
        <v>25/02/2024</v>
      </c>
      <c r="H2420" s="6">
        <v>3356.27</v>
      </c>
      <c r="I2420">
        <v>238</v>
      </c>
      <c r="L2420" t="str">
        <f t="shared" si="37"/>
        <v>Below Average</v>
      </c>
      <c r="M2420">
        <f>RANK(H2420,H:H,0)</f>
        <v>2198</v>
      </c>
    </row>
    <row r="2421" spans="1:13">
      <c r="A2421" t="s">
        <v>53</v>
      </c>
      <c r="B2421" t="s">
        <v>32</v>
      </c>
      <c r="C2421" t="s">
        <v>46</v>
      </c>
      <c r="D2421" s="4">
        <v>45325</v>
      </c>
      <c r="E2421" s="5" t="str">
        <f>TEXT(D2421,"dd/mm/yyyy")</f>
        <v>03/02/2024</v>
      </c>
      <c r="F2421" s="4"/>
      <c r="G2421" s="5" t="str">
        <f>TEXT(E2421,"mm")</f>
        <v>03</v>
      </c>
      <c r="H2421" s="6">
        <v>1031.25</v>
      </c>
      <c r="I2421">
        <v>55</v>
      </c>
      <c r="L2421" t="str">
        <f t="shared" si="37"/>
        <v>Below Average</v>
      </c>
      <c r="M2421">
        <f>RANK(H2421,H:H,0)</f>
        <v>2963</v>
      </c>
    </row>
    <row r="2422" spans="1:13">
      <c r="A2422" t="s">
        <v>9</v>
      </c>
      <c r="B2422" t="s">
        <v>15</v>
      </c>
      <c r="C2422" t="s">
        <v>46</v>
      </c>
      <c r="D2422" s="3" t="s">
        <v>299</v>
      </c>
      <c r="E2422" s="5" t="str">
        <f>TEXT(D2422,"dd/mm/yyyy")</f>
        <v>20/06/2024</v>
      </c>
      <c r="G2422" s="5" t="str">
        <f>TEXT(E2422,"mm")</f>
        <v>20/06/2024</v>
      </c>
      <c r="H2422" s="6">
        <v>9471.51</v>
      </c>
      <c r="I2422">
        <v>95</v>
      </c>
      <c r="L2422" t="str">
        <f t="shared" si="37"/>
        <v>Above Average</v>
      </c>
      <c r="M2422">
        <f>RANK(H2422,H:H,0)</f>
        <v>661</v>
      </c>
    </row>
    <row r="2423" spans="1:13">
      <c r="A2423" t="s">
        <v>41</v>
      </c>
      <c r="B2423" t="s">
        <v>35</v>
      </c>
      <c r="C2423" t="s">
        <v>59</v>
      </c>
      <c r="D2423" s="3" t="s">
        <v>292</v>
      </c>
      <c r="E2423" s="5" t="str">
        <f>TEXT(D2423,"dd/mm/yyyy")</f>
        <v>15/07/2024</v>
      </c>
      <c r="G2423" s="5" t="str">
        <f>TEXT(E2423,"mm")</f>
        <v>15/07/2024</v>
      </c>
      <c r="H2423" s="6">
        <v>10573.29</v>
      </c>
      <c r="I2423">
        <v>179</v>
      </c>
      <c r="L2423" t="str">
        <f t="shared" si="37"/>
        <v>Above Average</v>
      </c>
      <c r="M2423">
        <f>RANK(H2423,H:H,0)</f>
        <v>506</v>
      </c>
    </row>
    <row r="2424" spans="1:13">
      <c r="A2424" t="s">
        <v>79</v>
      </c>
      <c r="B2424" t="s">
        <v>15</v>
      </c>
      <c r="C2424" t="s">
        <v>26</v>
      </c>
      <c r="D2424" s="4">
        <v>45631</v>
      </c>
      <c r="E2424" s="5" t="str">
        <f>TEXT(D2424,"dd/mm/yyyy")</f>
        <v>05/12/2024</v>
      </c>
      <c r="F2424" s="4"/>
      <c r="G2424" s="5" t="str">
        <f>TEXT(E2424,"mm")</f>
        <v>05</v>
      </c>
      <c r="H2424" s="6">
        <v>3321.9</v>
      </c>
      <c r="I2424">
        <v>247</v>
      </c>
      <c r="L2424" t="str">
        <f t="shared" si="37"/>
        <v>Below Average</v>
      </c>
      <c r="M2424">
        <f>RANK(H2424,H:H,0)</f>
        <v>2205</v>
      </c>
    </row>
    <row r="2425" spans="1:13">
      <c r="A2425" t="s">
        <v>34</v>
      </c>
      <c r="B2425" t="s">
        <v>25</v>
      </c>
      <c r="C2425" t="s">
        <v>42</v>
      </c>
      <c r="D2425" s="4">
        <v>45298</v>
      </c>
      <c r="E2425" s="5" t="str">
        <f>TEXT(D2425,"dd/mm/yyyy")</f>
        <v>07/01/2024</v>
      </c>
      <c r="F2425" s="4"/>
      <c r="G2425" s="5" t="str">
        <f>TEXT(E2425,"mm")</f>
        <v>07</v>
      </c>
      <c r="H2425" s="6">
        <v>5318</v>
      </c>
      <c r="I2425">
        <v>281</v>
      </c>
      <c r="L2425" t="str">
        <f t="shared" si="37"/>
        <v>Below Average</v>
      </c>
      <c r="M2425">
        <f>RANK(H2425,H:H,0)</f>
        <v>1610</v>
      </c>
    </row>
    <row r="2426" spans="1:13">
      <c r="A2426" t="s">
        <v>53</v>
      </c>
      <c r="B2426" t="s">
        <v>32</v>
      </c>
      <c r="C2426" t="s">
        <v>11</v>
      </c>
      <c r="D2426" s="4">
        <v>45512</v>
      </c>
      <c r="E2426" s="5" t="str">
        <f>TEXT(D2426,"dd/mm/yyyy")</f>
        <v>08/08/2024</v>
      </c>
      <c r="F2426" s="4"/>
      <c r="G2426" s="5" t="str">
        <f>TEXT(E2426,"mm")</f>
        <v>08</v>
      </c>
      <c r="H2426" s="6">
        <v>415.67</v>
      </c>
      <c r="I2426">
        <v>59</v>
      </c>
      <c r="L2426" t="str">
        <f t="shared" si="37"/>
        <v>Below Average</v>
      </c>
      <c r="M2426">
        <f>RANK(H2426,H:H,0)</f>
        <v>3161</v>
      </c>
    </row>
    <row r="2427" spans="1:13">
      <c r="A2427" t="s">
        <v>77</v>
      </c>
      <c r="B2427" t="s">
        <v>15</v>
      </c>
      <c r="C2427" t="s">
        <v>26</v>
      </c>
      <c r="D2427" s="3" t="s">
        <v>319</v>
      </c>
      <c r="E2427" s="5" t="str">
        <f>TEXT(D2427,"dd/mm/yyyy")</f>
        <v>25/07/2024</v>
      </c>
      <c r="G2427" s="5" t="str">
        <f>TEXT(E2427,"mm")</f>
        <v>25/07/2024</v>
      </c>
      <c r="H2427" s="6">
        <v>8295.8799999999992</v>
      </c>
      <c r="I2427">
        <v>6</v>
      </c>
      <c r="L2427" t="str">
        <f t="shared" si="37"/>
        <v>Above Average</v>
      </c>
      <c r="M2427">
        <f>RANK(H2427,H:H,0)</f>
        <v>872</v>
      </c>
    </row>
    <row r="2428" spans="1:13">
      <c r="A2428" t="s">
        <v>64</v>
      </c>
      <c r="B2428" t="s">
        <v>7</v>
      </c>
      <c r="C2428" t="s">
        <v>38</v>
      </c>
      <c r="D2428" s="3" t="s">
        <v>293</v>
      </c>
      <c r="E2428" s="5" t="str">
        <f>TEXT(D2428,"dd/mm/yyyy")</f>
        <v>18/05/2024</v>
      </c>
      <c r="G2428" s="5" t="str">
        <f>TEXT(E2428,"mm")</f>
        <v>18/05/2024</v>
      </c>
      <c r="H2428" s="6">
        <v>3857.25</v>
      </c>
      <c r="I2428">
        <v>54</v>
      </c>
      <c r="L2428" t="str">
        <f t="shared" si="37"/>
        <v>Below Average</v>
      </c>
      <c r="M2428">
        <f>RANK(H2428,H:H,0)</f>
        <v>2024</v>
      </c>
    </row>
    <row r="2429" spans="1:13">
      <c r="A2429" t="s">
        <v>71</v>
      </c>
      <c r="B2429" t="s">
        <v>10</v>
      </c>
      <c r="C2429" t="s">
        <v>13</v>
      </c>
      <c r="D2429" s="3" t="s">
        <v>292</v>
      </c>
      <c r="E2429" s="5" t="str">
        <f>TEXT(D2429,"dd/mm/yyyy")</f>
        <v>15/07/2024</v>
      </c>
      <c r="G2429" s="5" t="str">
        <f>TEXT(E2429,"mm")</f>
        <v>15/07/2024</v>
      </c>
      <c r="H2429" s="6">
        <v>14102.83</v>
      </c>
      <c r="I2429">
        <v>291</v>
      </c>
      <c r="L2429" t="str">
        <f t="shared" si="37"/>
        <v>Above Average</v>
      </c>
      <c r="M2429">
        <f>RANK(H2429,H:H,0)</f>
        <v>204</v>
      </c>
    </row>
    <row r="2430" spans="1:13">
      <c r="A2430" t="s">
        <v>48</v>
      </c>
      <c r="B2430" t="s">
        <v>10</v>
      </c>
      <c r="C2430" t="s">
        <v>100</v>
      </c>
      <c r="D2430" s="4">
        <v>45419</v>
      </c>
      <c r="E2430" s="5" t="str">
        <f>TEXT(D2430,"dd/mm/yyyy")</f>
        <v>07/05/2024</v>
      </c>
      <c r="F2430" s="4"/>
      <c r="G2430" s="5" t="str">
        <f>TEXT(E2430,"mm")</f>
        <v>07</v>
      </c>
      <c r="H2430" s="6">
        <v>2453.44</v>
      </c>
      <c r="I2430">
        <v>43</v>
      </c>
      <c r="L2430" t="str">
        <f t="shared" si="37"/>
        <v>Below Average</v>
      </c>
      <c r="M2430">
        <f>RANK(H2430,H:H,0)</f>
        <v>2495</v>
      </c>
    </row>
    <row r="2431" spans="1:13">
      <c r="A2431" t="s">
        <v>34</v>
      </c>
      <c r="B2431" t="s">
        <v>32</v>
      </c>
      <c r="C2431" t="s">
        <v>60</v>
      </c>
      <c r="D2431" s="4">
        <v>45389</v>
      </c>
      <c r="E2431" s="5" t="str">
        <f>TEXT(D2431,"dd/mm/yyyy")</f>
        <v>07/04/2024</v>
      </c>
      <c r="F2431" s="4"/>
      <c r="G2431" s="5" t="str">
        <f>TEXT(E2431,"mm")</f>
        <v>07</v>
      </c>
      <c r="H2431" s="6">
        <v>5910.67</v>
      </c>
      <c r="I2431">
        <v>100</v>
      </c>
      <c r="L2431" t="str">
        <f t="shared" si="37"/>
        <v>Below Average</v>
      </c>
      <c r="M2431">
        <f>RANK(H2431,H:H,0)</f>
        <v>1456</v>
      </c>
    </row>
    <row r="2432" spans="1:13">
      <c r="A2432" t="s">
        <v>79</v>
      </c>
      <c r="B2432" t="s">
        <v>7</v>
      </c>
      <c r="C2432" t="s">
        <v>100</v>
      </c>
      <c r="D2432" s="3" t="s">
        <v>299</v>
      </c>
      <c r="E2432" s="5" t="str">
        <f>TEXT(D2432,"dd/mm/yyyy")</f>
        <v>20/06/2024</v>
      </c>
      <c r="G2432" s="5" t="str">
        <f>TEXT(E2432,"mm")</f>
        <v>20/06/2024</v>
      </c>
      <c r="H2432" s="6">
        <v>1515.42</v>
      </c>
      <c r="I2432">
        <v>230</v>
      </c>
      <c r="L2432" t="str">
        <f t="shared" si="37"/>
        <v>Below Average</v>
      </c>
      <c r="M2432">
        <f>RANK(H2432,H:H,0)</f>
        <v>2803</v>
      </c>
    </row>
    <row r="2433" spans="1:13">
      <c r="A2433" t="s">
        <v>22</v>
      </c>
      <c r="B2433" t="s">
        <v>15</v>
      </c>
      <c r="C2433" t="s">
        <v>65</v>
      </c>
      <c r="D2433" s="3" t="s">
        <v>267</v>
      </c>
      <c r="E2433" s="5" t="str">
        <f>TEXT(D2433,"dd/mm/yyyy")</f>
        <v>25/01/2024</v>
      </c>
      <c r="G2433" s="5" t="str">
        <f>TEXT(E2433,"mm")</f>
        <v>25/01/2024</v>
      </c>
      <c r="H2433" s="6">
        <v>4498.05</v>
      </c>
      <c r="I2433">
        <v>464</v>
      </c>
      <c r="L2433" t="str">
        <f t="shared" si="37"/>
        <v>Below Average</v>
      </c>
      <c r="M2433">
        <f>RANK(H2433,H:H,0)</f>
        <v>1850</v>
      </c>
    </row>
    <row r="2434" spans="1:13">
      <c r="A2434" t="s">
        <v>55</v>
      </c>
      <c r="B2434" t="s">
        <v>25</v>
      </c>
      <c r="C2434" t="s">
        <v>50</v>
      </c>
      <c r="D2434" s="4">
        <v>45298</v>
      </c>
      <c r="E2434" s="5" t="str">
        <f>TEXT(D2434,"dd/mm/yyyy")</f>
        <v>07/01/2024</v>
      </c>
      <c r="F2434" s="4"/>
      <c r="G2434" s="5" t="str">
        <f>TEXT(E2434,"mm")</f>
        <v>07</v>
      </c>
      <c r="H2434" s="6">
        <v>8755.31</v>
      </c>
      <c r="I2434">
        <v>38</v>
      </c>
      <c r="L2434" t="str">
        <f t="shared" si="37"/>
        <v>Above Average</v>
      </c>
      <c r="M2434">
        <f>RANK(H2434,H:H,0)</f>
        <v>789</v>
      </c>
    </row>
    <row r="2435" spans="1:13">
      <c r="A2435" t="s">
        <v>12</v>
      </c>
      <c r="B2435" t="s">
        <v>32</v>
      </c>
      <c r="C2435" t="s">
        <v>26</v>
      </c>
      <c r="D2435" s="3" t="s">
        <v>327</v>
      </c>
      <c r="E2435" s="5" t="str">
        <f>TEXT(D2435,"dd/mm/yyyy")</f>
        <v>13/04/2024</v>
      </c>
      <c r="G2435" s="5" t="str">
        <f>TEXT(E2435,"mm")</f>
        <v>13/04/2024</v>
      </c>
      <c r="H2435" s="6">
        <v>2651.48</v>
      </c>
      <c r="I2435">
        <v>60</v>
      </c>
      <c r="L2435" t="str">
        <f t="shared" ref="L2435:L2498" si="38">IF(H2435&gt;6030.34,"Above Average","Below Average")</f>
        <v>Below Average</v>
      </c>
      <c r="M2435">
        <f>RANK(H2435,H:H,0)</f>
        <v>2421</v>
      </c>
    </row>
    <row r="2436" spans="1:13">
      <c r="A2436" t="s">
        <v>41</v>
      </c>
      <c r="B2436" t="s">
        <v>7</v>
      </c>
      <c r="C2436" t="s">
        <v>18</v>
      </c>
      <c r="D2436" s="4">
        <v>45387</v>
      </c>
      <c r="E2436" s="5" t="str">
        <f>TEXT(D2436,"dd/mm/yyyy")</f>
        <v>05/04/2024</v>
      </c>
      <c r="F2436" s="4"/>
      <c r="G2436" s="5" t="str">
        <f>TEXT(E2436,"mm")</f>
        <v>05</v>
      </c>
      <c r="H2436" s="6">
        <v>5119.3500000000004</v>
      </c>
      <c r="I2436">
        <v>77</v>
      </c>
      <c r="L2436" t="str">
        <f t="shared" si="38"/>
        <v>Below Average</v>
      </c>
      <c r="M2436">
        <f>RANK(H2436,H:H,0)</f>
        <v>1666</v>
      </c>
    </row>
    <row r="2437" spans="1:13">
      <c r="A2437" t="s">
        <v>41</v>
      </c>
      <c r="B2437" t="s">
        <v>15</v>
      </c>
      <c r="C2437" t="s">
        <v>87</v>
      </c>
      <c r="D2437" s="4">
        <v>45390</v>
      </c>
      <c r="E2437" s="5" t="str">
        <f>TEXT(D2437,"dd/mm/yyyy")</f>
        <v>08/04/2024</v>
      </c>
      <c r="F2437" s="4"/>
      <c r="G2437" s="5" t="str">
        <f>TEXT(E2437,"mm")</f>
        <v>08</v>
      </c>
      <c r="H2437" s="6">
        <v>3360.74</v>
      </c>
      <c r="I2437">
        <v>119</v>
      </c>
      <c r="L2437" t="str">
        <f t="shared" si="38"/>
        <v>Below Average</v>
      </c>
      <c r="M2437">
        <f>RANK(H2437,H:H,0)</f>
        <v>2194</v>
      </c>
    </row>
    <row r="2438" spans="1:13">
      <c r="A2438" t="s">
        <v>41</v>
      </c>
      <c r="B2438" t="s">
        <v>10</v>
      </c>
      <c r="C2438" t="s">
        <v>100</v>
      </c>
      <c r="D2438" s="4">
        <v>45297</v>
      </c>
      <c r="E2438" s="5" t="str">
        <f>TEXT(D2438,"dd/mm/yyyy")</f>
        <v>06/01/2024</v>
      </c>
      <c r="F2438" s="4"/>
      <c r="G2438" s="5" t="str">
        <f>TEXT(E2438,"mm")</f>
        <v>06</v>
      </c>
      <c r="H2438" s="6">
        <v>495.65</v>
      </c>
      <c r="I2438">
        <v>146</v>
      </c>
      <c r="L2438" t="str">
        <f t="shared" si="38"/>
        <v>Below Average</v>
      </c>
      <c r="M2438">
        <f>RANK(H2438,H:H,0)</f>
        <v>3129</v>
      </c>
    </row>
    <row r="2439" spans="1:13">
      <c r="A2439" t="s">
        <v>6</v>
      </c>
      <c r="B2439" t="s">
        <v>7</v>
      </c>
      <c r="C2439" t="s">
        <v>75</v>
      </c>
      <c r="D2439" s="3" t="s">
        <v>340</v>
      </c>
      <c r="E2439" s="5" t="str">
        <f>TEXT(D2439,"dd/mm/yyyy")</f>
        <v>22/04/2024</v>
      </c>
      <c r="G2439" s="5" t="str">
        <f>TEXT(E2439,"mm")</f>
        <v>22/04/2024</v>
      </c>
      <c r="H2439" s="6">
        <v>5108.8500000000004</v>
      </c>
      <c r="I2439">
        <v>187</v>
      </c>
      <c r="L2439" t="str">
        <f t="shared" si="38"/>
        <v>Below Average</v>
      </c>
      <c r="M2439">
        <f>RANK(H2439,H:H,0)</f>
        <v>1668</v>
      </c>
    </row>
    <row r="2440" spans="1:13">
      <c r="A2440" t="s">
        <v>55</v>
      </c>
      <c r="B2440" t="s">
        <v>32</v>
      </c>
      <c r="C2440" t="s">
        <v>26</v>
      </c>
      <c r="D2440" s="4">
        <v>45359</v>
      </c>
      <c r="E2440" s="5" t="str">
        <f>TEXT(D2440,"dd/mm/yyyy")</f>
        <v>08/03/2024</v>
      </c>
      <c r="F2440" s="4"/>
      <c r="G2440" s="5" t="str">
        <f>TEXT(E2440,"mm")</f>
        <v>08</v>
      </c>
      <c r="H2440" s="6">
        <v>77.099999999999994</v>
      </c>
      <c r="I2440">
        <v>26</v>
      </c>
      <c r="L2440" t="str">
        <f t="shared" si="38"/>
        <v>Below Average</v>
      </c>
      <c r="M2440">
        <f>RANK(H2440,H:H,0)</f>
        <v>3253</v>
      </c>
    </row>
    <row r="2441" spans="1:13">
      <c r="A2441" t="s">
        <v>83</v>
      </c>
      <c r="B2441" t="s">
        <v>32</v>
      </c>
      <c r="C2441" t="s">
        <v>33</v>
      </c>
      <c r="D2441" s="4">
        <v>45571</v>
      </c>
      <c r="E2441" s="5" t="str">
        <f>TEXT(D2441,"dd/mm/yyyy")</f>
        <v>06/10/2024</v>
      </c>
      <c r="F2441" s="4"/>
      <c r="G2441" s="5" t="str">
        <f>TEXT(E2441,"mm")</f>
        <v>06</v>
      </c>
      <c r="H2441" s="6">
        <v>1860.29</v>
      </c>
      <c r="I2441">
        <v>71</v>
      </c>
      <c r="L2441" t="str">
        <f t="shared" si="38"/>
        <v>Below Average</v>
      </c>
      <c r="M2441">
        <f>RANK(H2441,H:H,0)</f>
        <v>2680</v>
      </c>
    </row>
    <row r="2442" spans="1:13">
      <c r="A2442" t="s">
        <v>22</v>
      </c>
      <c r="B2442" t="s">
        <v>7</v>
      </c>
      <c r="C2442" t="s">
        <v>60</v>
      </c>
      <c r="D2442" s="3" t="s">
        <v>275</v>
      </c>
      <c r="E2442" s="5" t="str">
        <f>TEXT(D2442,"dd/mm/yyyy")</f>
        <v>27/06/2024</v>
      </c>
      <c r="G2442" s="5" t="str">
        <f>TEXT(E2442,"mm")</f>
        <v>27/06/2024</v>
      </c>
      <c r="H2442" s="6">
        <v>7917.76</v>
      </c>
      <c r="I2442">
        <v>50</v>
      </c>
      <c r="L2442" t="str">
        <f t="shared" si="38"/>
        <v>Above Average</v>
      </c>
      <c r="M2442">
        <f>RANK(H2442,H:H,0)</f>
        <v>959</v>
      </c>
    </row>
    <row r="2443" spans="1:13">
      <c r="A2443" t="s">
        <v>40</v>
      </c>
      <c r="B2443" t="s">
        <v>15</v>
      </c>
      <c r="C2443" t="s">
        <v>18</v>
      </c>
      <c r="D2443" s="4">
        <v>45352</v>
      </c>
      <c r="E2443" s="5" t="str">
        <f>TEXT(D2443,"dd/mm/yyyy")</f>
        <v>01/03/2024</v>
      </c>
      <c r="F2443" s="4"/>
      <c r="G2443" s="5" t="str">
        <f>TEXT(E2443,"mm")</f>
        <v>01</v>
      </c>
      <c r="H2443" s="6">
        <v>4059.92</v>
      </c>
      <c r="I2443">
        <v>179</v>
      </c>
      <c r="L2443" t="str">
        <f t="shared" si="38"/>
        <v>Below Average</v>
      </c>
      <c r="M2443">
        <f>RANK(H2443,H:H,0)</f>
        <v>1965</v>
      </c>
    </row>
    <row r="2444" spans="1:13">
      <c r="A2444" t="s">
        <v>40</v>
      </c>
      <c r="B2444" t="s">
        <v>10</v>
      </c>
      <c r="C2444" t="s">
        <v>23</v>
      </c>
      <c r="D2444" s="4">
        <v>45603</v>
      </c>
      <c r="E2444" s="5" t="str">
        <f>TEXT(D2444,"dd/mm/yyyy")</f>
        <v>07/11/2024</v>
      </c>
      <c r="F2444" s="4"/>
      <c r="G2444" s="5" t="str">
        <f>TEXT(E2444,"mm")</f>
        <v>07</v>
      </c>
      <c r="H2444" s="6">
        <v>2816.85</v>
      </c>
      <c r="I2444">
        <v>188</v>
      </c>
      <c r="L2444" t="str">
        <f t="shared" si="38"/>
        <v>Below Average</v>
      </c>
      <c r="M2444">
        <f>RANK(H2444,H:H,0)</f>
        <v>2367</v>
      </c>
    </row>
    <row r="2445" spans="1:13">
      <c r="A2445" t="s">
        <v>83</v>
      </c>
      <c r="B2445" t="s">
        <v>25</v>
      </c>
      <c r="C2445" t="s">
        <v>46</v>
      </c>
      <c r="D2445" s="3" t="s">
        <v>341</v>
      </c>
      <c r="E2445" s="5" t="str">
        <f>TEXT(D2445,"dd/mm/yyyy")</f>
        <v>17/08/2024</v>
      </c>
      <c r="G2445" s="5" t="str">
        <f>TEXT(E2445,"mm")</f>
        <v>17/08/2024</v>
      </c>
      <c r="H2445" s="6">
        <v>5306.48</v>
      </c>
      <c r="I2445">
        <v>128</v>
      </c>
      <c r="L2445" t="str">
        <f t="shared" si="38"/>
        <v>Below Average</v>
      </c>
      <c r="M2445">
        <f>RANK(H2445,H:H,0)</f>
        <v>1614</v>
      </c>
    </row>
    <row r="2446" spans="1:13">
      <c r="A2446" t="s">
        <v>29</v>
      </c>
      <c r="B2446" t="s">
        <v>32</v>
      </c>
      <c r="C2446" t="s">
        <v>57</v>
      </c>
      <c r="D2446" s="3" t="s">
        <v>321</v>
      </c>
      <c r="E2446" s="5" t="str">
        <f>TEXT(D2446,"dd/mm/yyyy")</f>
        <v>18/01/2024</v>
      </c>
      <c r="G2446" s="5" t="str">
        <f>TEXT(E2446,"mm")</f>
        <v>18/01/2024</v>
      </c>
      <c r="H2446" s="6">
        <v>2756.63</v>
      </c>
      <c r="I2446">
        <v>66</v>
      </c>
      <c r="L2446" t="str">
        <f t="shared" si="38"/>
        <v>Below Average</v>
      </c>
      <c r="M2446">
        <f>RANK(H2446,H:H,0)</f>
        <v>2390</v>
      </c>
    </row>
    <row r="2447" spans="1:13">
      <c r="A2447" t="s">
        <v>83</v>
      </c>
      <c r="B2447" t="s">
        <v>10</v>
      </c>
      <c r="C2447" t="s">
        <v>42</v>
      </c>
      <c r="D2447" s="4">
        <v>45507</v>
      </c>
      <c r="E2447" s="5" t="str">
        <f>TEXT(D2447,"dd/mm/yyyy")</f>
        <v>03/08/2024</v>
      </c>
      <c r="F2447" s="4"/>
      <c r="G2447" s="5" t="str">
        <f>TEXT(E2447,"mm")</f>
        <v>03</v>
      </c>
      <c r="H2447" s="6">
        <v>17903.7</v>
      </c>
      <c r="I2447">
        <v>107</v>
      </c>
      <c r="L2447" t="str">
        <f t="shared" si="38"/>
        <v>Above Average</v>
      </c>
      <c r="M2447">
        <f>RANK(H2447,H:H,0)</f>
        <v>42</v>
      </c>
    </row>
    <row r="2448" spans="1:13">
      <c r="A2448" t="s">
        <v>34</v>
      </c>
      <c r="B2448" t="s">
        <v>15</v>
      </c>
      <c r="C2448" t="s">
        <v>33</v>
      </c>
      <c r="D2448" s="4">
        <v>45476</v>
      </c>
      <c r="E2448" s="5" t="str">
        <f>TEXT(D2448,"dd/mm/yyyy")</f>
        <v>03/07/2024</v>
      </c>
      <c r="F2448" s="4"/>
      <c r="G2448" s="5" t="str">
        <f>TEXT(E2448,"mm")</f>
        <v>03</v>
      </c>
      <c r="H2448" s="6">
        <v>15825.08</v>
      </c>
      <c r="I2448">
        <v>284</v>
      </c>
      <c r="L2448" t="str">
        <f t="shared" si="38"/>
        <v>Above Average</v>
      </c>
      <c r="M2448">
        <f>RANK(H2448,H:H,0)</f>
        <v>109</v>
      </c>
    </row>
    <row r="2449" spans="1:13">
      <c r="A2449" t="s">
        <v>53</v>
      </c>
      <c r="B2449" t="s">
        <v>10</v>
      </c>
      <c r="C2449" t="s">
        <v>100</v>
      </c>
      <c r="D2449" s="4">
        <v>45540</v>
      </c>
      <c r="E2449" s="5" t="str">
        <f>TEXT(D2449,"dd/mm/yyyy")</f>
        <v>05/09/2024</v>
      </c>
      <c r="F2449" s="4"/>
      <c r="G2449" s="5" t="str">
        <f>TEXT(E2449,"mm")</f>
        <v>05</v>
      </c>
      <c r="H2449" s="6">
        <v>7745.33</v>
      </c>
      <c r="I2449">
        <v>164</v>
      </c>
      <c r="L2449" t="str">
        <f t="shared" si="38"/>
        <v>Above Average</v>
      </c>
      <c r="M2449">
        <f>RANK(H2449,H:H,0)</f>
        <v>999</v>
      </c>
    </row>
    <row r="2450" spans="1:13">
      <c r="A2450" t="s">
        <v>31</v>
      </c>
      <c r="B2450" t="s">
        <v>25</v>
      </c>
      <c r="C2450" t="s">
        <v>11</v>
      </c>
      <c r="D2450" s="3" t="s">
        <v>342</v>
      </c>
      <c r="E2450" s="5" t="str">
        <f>TEXT(D2450,"dd/mm/yyyy")</f>
        <v>23/05/2024</v>
      </c>
      <c r="G2450" s="5" t="str">
        <f>TEXT(E2450,"mm")</f>
        <v>23/05/2024</v>
      </c>
      <c r="H2450" s="6">
        <v>2214.91</v>
      </c>
      <c r="I2450">
        <v>161</v>
      </c>
      <c r="L2450" t="str">
        <f t="shared" si="38"/>
        <v>Below Average</v>
      </c>
      <c r="M2450">
        <f>RANK(H2450,H:H,0)</f>
        <v>2575</v>
      </c>
    </row>
    <row r="2451" spans="1:13">
      <c r="A2451" t="s">
        <v>77</v>
      </c>
      <c r="B2451" t="s">
        <v>7</v>
      </c>
      <c r="C2451" t="s">
        <v>90</v>
      </c>
      <c r="D2451" s="3" t="s">
        <v>287</v>
      </c>
      <c r="E2451" s="5" t="str">
        <f>TEXT(D2451,"dd/mm/yyyy")</f>
        <v>15/04/2024</v>
      </c>
      <c r="G2451" s="5" t="str">
        <f>TEXT(E2451,"mm")</f>
        <v>15/04/2024</v>
      </c>
      <c r="H2451" s="6">
        <v>190.24</v>
      </c>
      <c r="I2451">
        <v>156</v>
      </c>
      <c r="L2451" t="str">
        <f t="shared" si="38"/>
        <v>Below Average</v>
      </c>
      <c r="M2451">
        <f>RANK(H2451,H:H,0)</f>
        <v>3217</v>
      </c>
    </row>
    <row r="2452" spans="1:13">
      <c r="A2452" t="s">
        <v>12</v>
      </c>
      <c r="B2452" t="s">
        <v>15</v>
      </c>
      <c r="C2452" t="s">
        <v>38</v>
      </c>
      <c r="D2452" s="3" t="s">
        <v>335</v>
      </c>
      <c r="E2452" s="5" t="str">
        <f>TEXT(D2452,"dd/mm/yyyy")</f>
        <v>27/07/2024</v>
      </c>
      <c r="G2452" s="5" t="str">
        <f>TEXT(E2452,"mm")</f>
        <v>27/07/2024</v>
      </c>
      <c r="H2452" s="6">
        <v>2960</v>
      </c>
      <c r="I2452">
        <v>141</v>
      </c>
      <c r="L2452" t="str">
        <f t="shared" si="38"/>
        <v>Below Average</v>
      </c>
      <c r="M2452">
        <f>RANK(H2452,H:H,0)</f>
        <v>2324</v>
      </c>
    </row>
    <row r="2453" spans="1:13">
      <c r="A2453" t="s">
        <v>40</v>
      </c>
      <c r="B2453" t="s">
        <v>35</v>
      </c>
      <c r="C2453" t="s">
        <v>75</v>
      </c>
      <c r="D2453" s="3" t="s">
        <v>289</v>
      </c>
      <c r="E2453" s="5" t="str">
        <f>TEXT(D2453,"dd/mm/yyyy")</f>
        <v>22/08/2024</v>
      </c>
      <c r="G2453" s="5" t="str">
        <f>TEXT(E2453,"mm")</f>
        <v>22/08/2024</v>
      </c>
      <c r="H2453" s="6">
        <v>2937.62</v>
      </c>
      <c r="I2453">
        <v>389</v>
      </c>
      <c r="L2453" t="str">
        <f t="shared" si="38"/>
        <v>Below Average</v>
      </c>
      <c r="M2453">
        <f>RANK(H2453,H:H,0)</f>
        <v>2328</v>
      </c>
    </row>
    <row r="2454" spans="1:13">
      <c r="A2454" t="s">
        <v>83</v>
      </c>
      <c r="B2454" t="s">
        <v>32</v>
      </c>
      <c r="C2454" t="s">
        <v>100</v>
      </c>
      <c r="D2454" s="4">
        <v>45601</v>
      </c>
      <c r="E2454" s="5" t="str">
        <f>TEXT(D2454,"dd/mm/yyyy")</f>
        <v>05/11/2024</v>
      </c>
      <c r="F2454" s="4"/>
      <c r="G2454" s="5" t="str">
        <f>TEXT(E2454,"mm")</f>
        <v>05</v>
      </c>
      <c r="H2454" s="6">
        <v>4778.3599999999997</v>
      </c>
      <c r="I2454">
        <v>124</v>
      </c>
      <c r="L2454" t="str">
        <f t="shared" si="38"/>
        <v>Below Average</v>
      </c>
      <c r="M2454">
        <f>RANK(H2454,H:H,0)</f>
        <v>1776</v>
      </c>
    </row>
    <row r="2455" spans="1:13">
      <c r="A2455" t="s">
        <v>77</v>
      </c>
      <c r="B2455" t="s">
        <v>10</v>
      </c>
      <c r="C2455" t="s">
        <v>42</v>
      </c>
      <c r="D2455" s="3" t="s">
        <v>272</v>
      </c>
      <c r="E2455" s="5" t="str">
        <f>TEXT(D2455,"dd/mm/yyyy")</f>
        <v>26/01/2024</v>
      </c>
      <c r="G2455" s="5" t="str">
        <f>TEXT(E2455,"mm")</f>
        <v>26/01/2024</v>
      </c>
      <c r="H2455" s="6">
        <v>5401.01</v>
      </c>
      <c r="I2455">
        <v>41</v>
      </c>
      <c r="L2455" t="str">
        <f t="shared" si="38"/>
        <v>Below Average</v>
      </c>
      <c r="M2455">
        <f>RANK(H2455,H:H,0)</f>
        <v>1593</v>
      </c>
    </row>
    <row r="2456" spans="1:13">
      <c r="A2456" t="s">
        <v>31</v>
      </c>
      <c r="B2456" t="s">
        <v>32</v>
      </c>
      <c r="C2456" t="s">
        <v>26</v>
      </c>
      <c r="D2456" s="3" t="s">
        <v>298</v>
      </c>
      <c r="E2456" s="5" t="str">
        <f>TEXT(D2456,"dd/mm/yyyy")</f>
        <v>14/04/2024</v>
      </c>
      <c r="G2456" s="5" t="str">
        <f>TEXT(E2456,"mm")</f>
        <v>14/04/2024</v>
      </c>
      <c r="H2456" s="6">
        <v>15372.94</v>
      </c>
      <c r="I2456">
        <v>124</v>
      </c>
      <c r="L2456" t="str">
        <f t="shared" si="38"/>
        <v>Above Average</v>
      </c>
      <c r="M2456">
        <f>RANK(H2456,H:H,0)</f>
        <v>131</v>
      </c>
    </row>
    <row r="2457" spans="1:13">
      <c r="A2457" t="s">
        <v>58</v>
      </c>
      <c r="B2457" t="s">
        <v>25</v>
      </c>
      <c r="C2457" t="s">
        <v>8</v>
      </c>
      <c r="D2457" s="4">
        <v>45416</v>
      </c>
      <c r="E2457" s="5" t="str">
        <f>TEXT(D2457,"dd/mm/yyyy")</f>
        <v>04/05/2024</v>
      </c>
      <c r="F2457" s="4"/>
      <c r="G2457" s="5" t="str">
        <f>TEXT(E2457,"mm")</f>
        <v>04</v>
      </c>
      <c r="H2457" s="6">
        <v>7121.02</v>
      </c>
      <c r="I2457">
        <v>433</v>
      </c>
      <c r="L2457" t="str">
        <f t="shared" si="38"/>
        <v>Above Average</v>
      </c>
      <c r="M2457">
        <f>RANK(H2457,H:H,0)</f>
        <v>1153</v>
      </c>
    </row>
    <row r="2458" spans="1:13">
      <c r="A2458" t="s">
        <v>40</v>
      </c>
      <c r="B2458" t="s">
        <v>25</v>
      </c>
      <c r="C2458" t="s">
        <v>18</v>
      </c>
      <c r="D2458" s="3" t="s">
        <v>333</v>
      </c>
      <c r="E2458" s="5" t="str">
        <f>TEXT(D2458,"dd/mm/yyyy")</f>
        <v>14/06/2024</v>
      </c>
      <c r="G2458" s="5" t="str">
        <f>TEXT(E2458,"mm")</f>
        <v>14/06/2024</v>
      </c>
      <c r="H2458" s="6">
        <v>9057.64</v>
      </c>
      <c r="I2458">
        <v>56</v>
      </c>
      <c r="L2458" t="str">
        <f t="shared" si="38"/>
        <v>Above Average</v>
      </c>
      <c r="M2458">
        <f>RANK(H2458,H:H,0)</f>
        <v>727</v>
      </c>
    </row>
    <row r="2459" spans="1:13">
      <c r="A2459" t="s">
        <v>28</v>
      </c>
      <c r="B2459" t="s">
        <v>35</v>
      </c>
      <c r="C2459" t="s">
        <v>65</v>
      </c>
      <c r="D2459" s="3" t="s">
        <v>327</v>
      </c>
      <c r="E2459" s="5" t="str">
        <f>TEXT(D2459,"dd/mm/yyyy")</f>
        <v>13/04/2024</v>
      </c>
      <c r="G2459" s="5" t="str">
        <f>TEXT(E2459,"mm")</f>
        <v>13/04/2024</v>
      </c>
      <c r="H2459" s="6">
        <v>5439.43</v>
      </c>
      <c r="I2459">
        <v>125</v>
      </c>
      <c r="L2459" t="str">
        <f t="shared" si="38"/>
        <v>Below Average</v>
      </c>
      <c r="M2459">
        <f>RANK(H2459,H:H,0)</f>
        <v>1584</v>
      </c>
    </row>
    <row r="2460" spans="1:13">
      <c r="A2460" t="s">
        <v>41</v>
      </c>
      <c r="B2460" t="s">
        <v>15</v>
      </c>
      <c r="C2460" t="s">
        <v>59</v>
      </c>
      <c r="D2460" s="3" t="s">
        <v>275</v>
      </c>
      <c r="E2460" s="5" t="str">
        <f>TEXT(D2460,"dd/mm/yyyy")</f>
        <v>27/06/2024</v>
      </c>
      <c r="G2460" s="5" t="str">
        <f>TEXT(E2460,"mm")</f>
        <v>27/06/2024</v>
      </c>
      <c r="H2460" s="6">
        <v>2659.78</v>
      </c>
      <c r="I2460">
        <v>178</v>
      </c>
      <c r="L2460" t="str">
        <f t="shared" si="38"/>
        <v>Below Average</v>
      </c>
      <c r="M2460">
        <f>RANK(H2460,H:H,0)</f>
        <v>2419</v>
      </c>
    </row>
    <row r="2461" spans="1:13">
      <c r="A2461" t="s">
        <v>79</v>
      </c>
      <c r="B2461" t="s">
        <v>15</v>
      </c>
      <c r="C2461" t="s">
        <v>36</v>
      </c>
      <c r="D2461" s="3" t="s">
        <v>272</v>
      </c>
      <c r="E2461" s="5" t="str">
        <f>TEXT(D2461,"dd/mm/yyyy")</f>
        <v>26/01/2024</v>
      </c>
      <c r="G2461" s="5" t="str">
        <f>TEXT(E2461,"mm")</f>
        <v>26/01/2024</v>
      </c>
      <c r="H2461" s="6">
        <v>7897.59</v>
      </c>
      <c r="I2461">
        <v>3</v>
      </c>
      <c r="L2461" t="str">
        <f t="shared" si="38"/>
        <v>Above Average</v>
      </c>
      <c r="M2461">
        <f>RANK(H2461,H:H,0)</f>
        <v>972</v>
      </c>
    </row>
    <row r="2462" spans="1:13">
      <c r="A2462" t="s">
        <v>31</v>
      </c>
      <c r="B2462" t="s">
        <v>7</v>
      </c>
      <c r="C2462" t="s">
        <v>59</v>
      </c>
      <c r="D2462" s="4">
        <v>45419</v>
      </c>
      <c r="E2462" s="5" t="str">
        <f>TEXT(D2462,"dd/mm/yyyy")</f>
        <v>07/05/2024</v>
      </c>
      <c r="F2462" s="4"/>
      <c r="G2462" s="5" t="str">
        <f>TEXT(E2462,"mm")</f>
        <v>07</v>
      </c>
      <c r="H2462" s="6">
        <v>1959.22</v>
      </c>
      <c r="I2462">
        <v>70</v>
      </c>
      <c r="L2462" t="str">
        <f t="shared" si="38"/>
        <v>Below Average</v>
      </c>
      <c r="M2462">
        <f>RANK(H2462,H:H,0)</f>
        <v>2646</v>
      </c>
    </row>
    <row r="2463" spans="1:13">
      <c r="A2463" t="s">
        <v>41</v>
      </c>
      <c r="B2463" t="s">
        <v>35</v>
      </c>
      <c r="C2463" t="s">
        <v>87</v>
      </c>
      <c r="D2463" s="4">
        <v>45597</v>
      </c>
      <c r="E2463" s="5" t="str">
        <f>TEXT(D2463,"dd/mm/yyyy")</f>
        <v>01/11/2024</v>
      </c>
      <c r="F2463" s="4"/>
      <c r="G2463" s="5" t="str">
        <f>TEXT(E2463,"mm")</f>
        <v>01</v>
      </c>
      <c r="H2463" s="6">
        <v>15305.32</v>
      </c>
      <c r="I2463">
        <v>91</v>
      </c>
      <c r="L2463" t="str">
        <f t="shared" si="38"/>
        <v>Above Average</v>
      </c>
      <c r="M2463">
        <f>RANK(H2463,H:H,0)</f>
        <v>138</v>
      </c>
    </row>
    <row r="2464" spans="1:13">
      <c r="A2464" t="s">
        <v>70</v>
      </c>
      <c r="B2464" t="s">
        <v>32</v>
      </c>
      <c r="C2464" t="s">
        <v>59</v>
      </c>
      <c r="D2464" s="4">
        <v>45476</v>
      </c>
      <c r="E2464" s="5" t="str">
        <f>TEXT(D2464,"dd/mm/yyyy")</f>
        <v>03/07/2024</v>
      </c>
      <c r="F2464" s="4"/>
      <c r="G2464" s="5" t="str">
        <f>TEXT(E2464,"mm")</f>
        <v>03</v>
      </c>
      <c r="H2464" s="6">
        <v>11257.11</v>
      </c>
      <c r="I2464">
        <v>21</v>
      </c>
      <c r="L2464" t="str">
        <f t="shared" si="38"/>
        <v>Above Average</v>
      </c>
      <c r="M2464">
        <f>RANK(H2464,H:H,0)</f>
        <v>421</v>
      </c>
    </row>
    <row r="2465" spans="1:13">
      <c r="A2465" t="s">
        <v>55</v>
      </c>
      <c r="B2465" t="s">
        <v>35</v>
      </c>
      <c r="C2465" t="s">
        <v>26</v>
      </c>
      <c r="D2465" s="4">
        <v>45385</v>
      </c>
      <c r="E2465" s="5" t="str">
        <f>TEXT(D2465,"dd/mm/yyyy")</f>
        <v>03/04/2024</v>
      </c>
      <c r="F2465" s="4"/>
      <c r="G2465" s="5" t="str">
        <f>TEXT(E2465,"mm")</f>
        <v>03</v>
      </c>
      <c r="H2465" s="6">
        <v>9207.09</v>
      </c>
      <c r="I2465">
        <v>109</v>
      </c>
      <c r="L2465" t="str">
        <f t="shared" si="38"/>
        <v>Above Average</v>
      </c>
      <c r="M2465">
        <f>RANK(H2465,H:H,0)</f>
        <v>701</v>
      </c>
    </row>
    <row r="2466" spans="1:13">
      <c r="A2466" t="s">
        <v>37</v>
      </c>
      <c r="B2466" t="s">
        <v>35</v>
      </c>
      <c r="C2466" t="s">
        <v>42</v>
      </c>
      <c r="D2466" s="3" t="s">
        <v>292</v>
      </c>
      <c r="E2466" s="5" t="str">
        <f>TEXT(D2466,"dd/mm/yyyy")</f>
        <v>15/07/2024</v>
      </c>
      <c r="G2466" s="5" t="str">
        <f>TEXT(E2466,"mm")</f>
        <v>15/07/2024</v>
      </c>
      <c r="H2466" s="6">
        <v>2769.94</v>
      </c>
      <c r="I2466">
        <v>302</v>
      </c>
      <c r="L2466" t="str">
        <f t="shared" si="38"/>
        <v>Below Average</v>
      </c>
      <c r="M2466">
        <f>RANK(H2466,H:H,0)</f>
        <v>2384</v>
      </c>
    </row>
    <row r="2467" spans="1:13">
      <c r="A2467" t="s">
        <v>55</v>
      </c>
      <c r="B2467" t="s">
        <v>7</v>
      </c>
      <c r="C2467" t="s">
        <v>13</v>
      </c>
      <c r="D2467" s="4">
        <v>45601</v>
      </c>
      <c r="E2467" s="5" t="str">
        <f>TEXT(D2467,"dd/mm/yyyy")</f>
        <v>05/11/2024</v>
      </c>
      <c r="F2467" s="4"/>
      <c r="G2467" s="5" t="str">
        <f>TEXT(E2467,"mm")</f>
        <v>05</v>
      </c>
      <c r="H2467" s="6">
        <v>7477.56</v>
      </c>
      <c r="I2467">
        <v>85</v>
      </c>
      <c r="L2467" t="str">
        <f t="shared" si="38"/>
        <v>Above Average</v>
      </c>
      <c r="M2467">
        <f>RANK(H2467,H:H,0)</f>
        <v>1071</v>
      </c>
    </row>
    <row r="2468" spans="1:13">
      <c r="A2468" t="s">
        <v>37</v>
      </c>
      <c r="B2468" t="s">
        <v>32</v>
      </c>
      <c r="C2468" t="s">
        <v>46</v>
      </c>
      <c r="D2468" s="3" t="s">
        <v>302</v>
      </c>
      <c r="E2468" s="5" t="str">
        <f>TEXT(D2468,"dd/mm/yyyy")</f>
        <v>27/01/2024</v>
      </c>
      <c r="G2468" s="5" t="str">
        <f>TEXT(E2468,"mm")</f>
        <v>27/01/2024</v>
      </c>
      <c r="H2468" s="6">
        <v>5231.54</v>
      </c>
      <c r="I2468">
        <v>8</v>
      </c>
      <c r="L2468" t="str">
        <f t="shared" si="38"/>
        <v>Below Average</v>
      </c>
      <c r="M2468">
        <f>RANK(H2468,H:H,0)</f>
        <v>1638</v>
      </c>
    </row>
    <row r="2469" spans="1:13">
      <c r="A2469" t="s">
        <v>37</v>
      </c>
      <c r="B2469" t="s">
        <v>10</v>
      </c>
      <c r="C2469" t="s">
        <v>33</v>
      </c>
      <c r="D2469" s="3" t="s">
        <v>275</v>
      </c>
      <c r="E2469" s="5" t="str">
        <f>TEXT(D2469,"dd/mm/yyyy")</f>
        <v>27/06/2024</v>
      </c>
      <c r="G2469" s="5" t="str">
        <f>TEXT(E2469,"mm")</f>
        <v>27/06/2024</v>
      </c>
      <c r="H2469" s="6">
        <v>3745.21</v>
      </c>
      <c r="I2469">
        <v>161</v>
      </c>
      <c r="L2469" t="str">
        <f t="shared" si="38"/>
        <v>Below Average</v>
      </c>
      <c r="M2469">
        <f>RANK(H2469,H:H,0)</f>
        <v>2055</v>
      </c>
    </row>
    <row r="2470" spans="1:13">
      <c r="A2470" t="s">
        <v>83</v>
      </c>
      <c r="B2470" t="s">
        <v>10</v>
      </c>
      <c r="C2470" t="s">
        <v>18</v>
      </c>
      <c r="D2470" s="4">
        <v>45359</v>
      </c>
      <c r="E2470" s="5" t="str">
        <f>TEXT(D2470,"dd/mm/yyyy")</f>
        <v>08/03/2024</v>
      </c>
      <c r="F2470" s="4"/>
      <c r="G2470" s="5" t="str">
        <f>TEXT(E2470,"mm")</f>
        <v>08</v>
      </c>
      <c r="H2470" s="6">
        <v>8503.93</v>
      </c>
      <c r="I2470">
        <v>19</v>
      </c>
      <c r="L2470" t="str">
        <f t="shared" si="38"/>
        <v>Above Average</v>
      </c>
      <c r="M2470">
        <f>RANK(H2470,H:H,0)</f>
        <v>832</v>
      </c>
    </row>
    <row r="2471" spans="1:13">
      <c r="A2471" t="s">
        <v>64</v>
      </c>
      <c r="B2471" t="s">
        <v>25</v>
      </c>
      <c r="C2471" t="s">
        <v>8</v>
      </c>
      <c r="D2471" s="3" t="s">
        <v>343</v>
      </c>
      <c r="E2471" s="5" t="str">
        <f>TEXT(D2471,"dd/mm/yyyy")</f>
        <v>19/08/2024</v>
      </c>
      <c r="G2471" s="5" t="str">
        <f>TEXT(E2471,"mm")</f>
        <v>19/08/2024</v>
      </c>
      <c r="H2471" s="6">
        <v>12524.3</v>
      </c>
      <c r="I2471">
        <v>251</v>
      </c>
      <c r="L2471" t="str">
        <f t="shared" si="38"/>
        <v>Above Average</v>
      </c>
      <c r="M2471">
        <f>RANK(H2471,H:H,0)</f>
        <v>299</v>
      </c>
    </row>
    <row r="2472" spans="1:13">
      <c r="A2472" t="s">
        <v>64</v>
      </c>
      <c r="B2472" t="s">
        <v>15</v>
      </c>
      <c r="C2472" t="s">
        <v>57</v>
      </c>
      <c r="D2472" s="3" t="s">
        <v>280</v>
      </c>
      <c r="E2472" s="5" t="str">
        <f>TEXT(D2472,"dd/mm/yyyy")</f>
        <v>15/06/2024</v>
      </c>
      <c r="G2472" s="5" t="str">
        <f>TEXT(E2472,"mm")</f>
        <v>15/06/2024</v>
      </c>
      <c r="H2472" s="6">
        <v>472.27</v>
      </c>
      <c r="I2472">
        <v>101</v>
      </c>
      <c r="L2472" t="str">
        <f t="shared" si="38"/>
        <v>Below Average</v>
      </c>
      <c r="M2472">
        <f>RANK(H2472,H:H,0)</f>
        <v>3143</v>
      </c>
    </row>
    <row r="2473" spans="1:13">
      <c r="A2473" t="s">
        <v>58</v>
      </c>
      <c r="B2473" t="s">
        <v>7</v>
      </c>
      <c r="C2473" t="s">
        <v>13</v>
      </c>
      <c r="D2473" s="4">
        <v>45475</v>
      </c>
      <c r="E2473" s="5" t="str">
        <f>TEXT(D2473,"dd/mm/yyyy")</f>
        <v>02/07/2024</v>
      </c>
      <c r="F2473" s="4"/>
      <c r="G2473" s="5" t="str">
        <f>TEXT(E2473,"mm")</f>
        <v>02</v>
      </c>
      <c r="H2473" s="6">
        <v>9771.8700000000008</v>
      </c>
      <c r="I2473">
        <v>158</v>
      </c>
      <c r="L2473" t="str">
        <f t="shared" si="38"/>
        <v>Above Average</v>
      </c>
      <c r="M2473">
        <f>RANK(H2473,H:H,0)</f>
        <v>618</v>
      </c>
    </row>
    <row r="2474" spans="1:13">
      <c r="A2474" t="s">
        <v>37</v>
      </c>
      <c r="B2474" t="s">
        <v>15</v>
      </c>
      <c r="C2474" t="s">
        <v>65</v>
      </c>
      <c r="D2474" s="4">
        <v>45511</v>
      </c>
      <c r="E2474" s="5" t="str">
        <f>TEXT(D2474,"dd/mm/yyyy")</f>
        <v>07/08/2024</v>
      </c>
      <c r="F2474" s="4"/>
      <c r="G2474" s="5" t="str">
        <f>TEXT(E2474,"mm")</f>
        <v>07</v>
      </c>
      <c r="H2474" s="6">
        <v>8130.06</v>
      </c>
      <c r="I2474">
        <v>140</v>
      </c>
      <c r="L2474" t="str">
        <f t="shared" si="38"/>
        <v>Above Average</v>
      </c>
      <c r="M2474">
        <f>RANK(H2474,H:H,0)</f>
        <v>908</v>
      </c>
    </row>
    <row r="2475" spans="1:13">
      <c r="A2475" t="s">
        <v>58</v>
      </c>
      <c r="B2475" t="s">
        <v>10</v>
      </c>
      <c r="C2475" t="s">
        <v>46</v>
      </c>
      <c r="D2475" s="3" t="s">
        <v>344</v>
      </c>
      <c r="E2475" s="5" t="str">
        <f>TEXT(D2475,"dd/mm/yyyy")</f>
        <v>21/04/2024</v>
      </c>
      <c r="G2475" s="5" t="str">
        <f>TEXT(E2475,"mm")</f>
        <v>21/04/2024</v>
      </c>
      <c r="H2475" s="6">
        <v>1624.06</v>
      </c>
      <c r="I2475">
        <v>96</v>
      </c>
      <c r="L2475" t="str">
        <f t="shared" si="38"/>
        <v>Below Average</v>
      </c>
      <c r="M2475">
        <f>RANK(H2475,H:H,0)</f>
        <v>2763</v>
      </c>
    </row>
    <row r="2476" spans="1:13">
      <c r="A2476" t="s">
        <v>83</v>
      </c>
      <c r="B2476" t="s">
        <v>7</v>
      </c>
      <c r="C2476" t="s">
        <v>8</v>
      </c>
      <c r="D2476" s="4">
        <v>45508</v>
      </c>
      <c r="E2476" s="5" t="str">
        <f>TEXT(D2476,"dd/mm/yyyy")</f>
        <v>04/08/2024</v>
      </c>
      <c r="F2476" s="4"/>
      <c r="G2476" s="5" t="str">
        <f>TEXT(E2476,"mm")</f>
        <v>04</v>
      </c>
      <c r="H2476" s="6">
        <v>2984.4</v>
      </c>
      <c r="I2476">
        <v>214</v>
      </c>
      <c r="L2476" t="str">
        <f t="shared" si="38"/>
        <v>Below Average</v>
      </c>
      <c r="M2476">
        <f>RANK(H2476,H:H,0)</f>
        <v>2316</v>
      </c>
    </row>
    <row r="2477" spans="1:13">
      <c r="A2477" t="s">
        <v>53</v>
      </c>
      <c r="B2477" t="s">
        <v>15</v>
      </c>
      <c r="C2477" t="s">
        <v>26</v>
      </c>
      <c r="D2477" s="3" t="s">
        <v>343</v>
      </c>
      <c r="E2477" s="5" t="str">
        <f>TEXT(D2477,"dd/mm/yyyy")</f>
        <v>19/08/2024</v>
      </c>
      <c r="G2477" s="5" t="str">
        <f>TEXT(E2477,"mm")</f>
        <v>19/08/2024</v>
      </c>
      <c r="H2477" s="6">
        <v>15593.5</v>
      </c>
      <c r="I2477">
        <v>56</v>
      </c>
      <c r="L2477" t="str">
        <f t="shared" si="38"/>
        <v>Above Average</v>
      </c>
      <c r="M2477">
        <f>RANK(H2477,H:H,0)</f>
        <v>118</v>
      </c>
    </row>
    <row r="2478" spans="1:13">
      <c r="A2478" t="s">
        <v>14</v>
      </c>
      <c r="B2478" t="s">
        <v>10</v>
      </c>
      <c r="C2478" t="s">
        <v>57</v>
      </c>
      <c r="D2478" s="4">
        <v>45387</v>
      </c>
      <c r="E2478" s="5" t="str">
        <f>TEXT(D2478,"dd/mm/yyyy")</f>
        <v>05/04/2024</v>
      </c>
      <c r="F2478" s="4"/>
      <c r="G2478" s="5" t="str">
        <f>TEXT(E2478,"mm")</f>
        <v>05</v>
      </c>
      <c r="H2478" s="6">
        <v>3387.76</v>
      </c>
      <c r="I2478">
        <v>60</v>
      </c>
      <c r="L2478" t="str">
        <f t="shared" si="38"/>
        <v>Below Average</v>
      </c>
      <c r="M2478">
        <f>RANK(H2478,H:H,0)</f>
        <v>2182</v>
      </c>
    </row>
    <row r="2479" spans="1:13">
      <c r="A2479" t="s">
        <v>34</v>
      </c>
      <c r="B2479" t="s">
        <v>32</v>
      </c>
      <c r="C2479" t="s">
        <v>11</v>
      </c>
      <c r="D2479" s="4">
        <v>45601</v>
      </c>
      <c r="E2479" s="5" t="str">
        <f>TEXT(D2479,"dd/mm/yyyy")</f>
        <v>05/11/2024</v>
      </c>
      <c r="F2479" s="4"/>
      <c r="G2479" s="5" t="str">
        <f>TEXT(E2479,"mm")</f>
        <v>05</v>
      </c>
      <c r="H2479" s="6">
        <v>2847.18</v>
      </c>
      <c r="I2479">
        <v>115</v>
      </c>
      <c r="L2479" t="str">
        <f t="shared" si="38"/>
        <v>Below Average</v>
      </c>
      <c r="M2479">
        <f>RANK(H2479,H:H,0)</f>
        <v>2354</v>
      </c>
    </row>
    <row r="2480" spans="1:13">
      <c r="A2480" t="s">
        <v>34</v>
      </c>
      <c r="B2480" t="s">
        <v>32</v>
      </c>
      <c r="C2480" t="s">
        <v>36</v>
      </c>
      <c r="D2480" s="3" t="s">
        <v>345</v>
      </c>
      <c r="E2480" s="5" t="str">
        <f>TEXT(D2480,"dd/mm/yyyy")</f>
        <v>22/03/2024</v>
      </c>
      <c r="G2480" s="5" t="str">
        <f>TEXT(E2480,"mm")</f>
        <v>22/03/2024</v>
      </c>
      <c r="H2480" s="6">
        <v>7511.77</v>
      </c>
      <c r="I2480">
        <v>49</v>
      </c>
      <c r="L2480" t="str">
        <f t="shared" si="38"/>
        <v>Above Average</v>
      </c>
      <c r="M2480">
        <f>RANK(H2480,H:H,0)</f>
        <v>1059</v>
      </c>
    </row>
    <row r="2481" spans="1:13">
      <c r="A2481" t="s">
        <v>58</v>
      </c>
      <c r="B2481" t="s">
        <v>35</v>
      </c>
      <c r="C2481" t="s">
        <v>50</v>
      </c>
      <c r="D2481" s="4">
        <v>45573</v>
      </c>
      <c r="E2481" s="5" t="str">
        <f>TEXT(D2481,"dd/mm/yyyy")</f>
        <v>08/10/2024</v>
      </c>
      <c r="F2481" s="4"/>
      <c r="G2481" s="5" t="str">
        <f>TEXT(E2481,"mm")</f>
        <v>08</v>
      </c>
      <c r="H2481" s="6">
        <v>2711.58</v>
      </c>
      <c r="I2481">
        <v>216</v>
      </c>
      <c r="L2481" t="str">
        <f t="shared" si="38"/>
        <v>Below Average</v>
      </c>
      <c r="M2481">
        <f>RANK(H2481,H:H,0)</f>
        <v>2401</v>
      </c>
    </row>
    <row r="2482" spans="1:13">
      <c r="A2482" t="s">
        <v>58</v>
      </c>
      <c r="B2482" t="s">
        <v>32</v>
      </c>
      <c r="C2482" t="s">
        <v>57</v>
      </c>
      <c r="D2482" s="4">
        <v>45387</v>
      </c>
      <c r="E2482" s="5" t="str">
        <f>TEXT(D2482,"dd/mm/yyyy")</f>
        <v>05/04/2024</v>
      </c>
      <c r="F2482" s="4"/>
      <c r="G2482" s="5" t="str">
        <f>TEXT(E2482,"mm")</f>
        <v>05</v>
      </c>
      <c r="H2482" s="6">
        <v>1673.44</v>
      </c>
      <c r="I2482">
        <v>314</v>
      </c>
      <c r="L2482" t="str">
        <f t="shared" si="38"/>
        <v>Below Average</v>
      </c>
      <c r="M2482">
        <f>RANK(H2482,H:H,0)</f>
        <v>2742</v>
      </c>
    </row>
    <row r="2483" spans="1:13">
      <c r="A2483" t="s">
        <v>70</v>
      </c>
      <c r="B2483" t="s">
        <v>32</v>
      </c>
      <c r="C2483" t="s">
        <v>20</v>
      </c>
      <c r="D2483" s="3" t="s">
        <v>304</v>
      </c>
      <c r="E2483" s="5" t="str">
        <f>TEXT(D2483,"dd/mm/yyyy")</f>
        <v>18/08/2024</v>
      </c>
      <c r="G2483" s="5" t="str">
        <f>TEXT(E2483,"mm")</f>
        <v>18/08/2024</v>
      </c>
      <c r="H2483" s="6">
        <v>8853.16</v>
      </c>
      <c r="I2483">
        <v>261</v>
      </c>
      <c r="L2483" t="str">
        <f t="shared" si="38"/>
        <v>Above Average</v>
      </c>
      <c r="M2483">
        <f>RANK(H2483,H:H,0)</f>
        <v>769</v>
      </c>
    </row>
    <row r="2484" spans="1:13">
      <c r="A2484" t="s">
        <v>79</v>
      </c>
      <c r="B2484" t="s">
        <v>35</v>
      </c>
      <c r="C2484" t="s">
        <v>73</v>
      </c>
      <c r="D2484" s="4">
        <v>45359</v>
      </c>
      <c r="E2484" s="5" t="str">
        <f>TEXT(D2484,"dd/mm/yyyy")</f>
        <v>08/03/2024</v>
      </c>
      <c r="F2484" s="4"/>
      <c r="G2484" s="5" t="str">
        <f>TEXT(E2484,"mm")</f>
        <v>08</v>
      </c>
      <c r="H2484" s="6">
        <v>4722.3900000000003</v>
      </c>
      <c r="I2484">
        <v>258</v>
      </c>
      <c r="L2484" t="str">
        <f t="shared" si="38"/>
        <v>Below Average</v>
      </c>
      <c r="M2484">
        <f>RANK(H2484,H:H,0)</f>
        <v>1795</v>
      </c>
    </row>
    <row r="2485" spans="1:13">
      <c r="A2485" t="s">
        <v>40</v>
      </c>
      <c r="B2485" t="s">
        <v>25</v>
      </c>
      <c r="C2485" t="s">
        <v>46</v>
      </c>
      <c r="D2485" s="3" t="s">
        <v>328</v>
      </c>
      <c r="E2485" s="5" t="str">
        <f>TEXT(D2485,"dd/mm/yyyy")</f>
        <v>14/01/2024</v>
      </c>
      <c r="G2485" s="5" t="str">
        <f>TEXT(E2485,"mm")</f>
        <v>14/01/2024</v>
      </c>
      <c r="H2485" s="6">
        <v>8408.1200000000008</v>
      </c>
      <c r="I2485">
        <v>318</v>
      </c>
      <c r="L2485" t="str">
        <f t="shared" si="38"/>
        <v>Above Average</v>
      </c>
      <c r="M2485">
        <f>RANK(H2485,H:H,0)</f>
        <v>852</v>
      </c>
    </row>
    <row r="2486" spans="1:13">
      <c r="A2486" t="s">
        <v>77</v>
      </c>
      <c r="B2486" t="s">
        <v>15</v>
      </c>
      <c r="C2486" t="s">
        <v>75</v>
      </c>
      <c r="D2486" s="4">
        <v>45508</v>
      </c>
      <c r="E2486" s="5" t="str">
        <f>TEXT(D2486,"dd/mm/yyyy")</f>
        <v>04/08/2024</v>
      </c>
      <c r="F2486" s="4"/>
      <c r="G2486" s="5" t="str">
        <f>TEXT(E2486,"mm")</f>
        <v>04</v>
      </c>
      <c r="H2486" s="6">
        <v>2442.36</v>
      </c>
      <c r="I2486">
        <v>78</v>
      </c>
      <c r="L2486" t="str">
        <f t="shared" si="38"/>
        <v>Below Average</v>
      </c>
      <c r="M2486">
        <f>RANK(H2486,H:H,0)</f>
        <v>2502</v>
      </c>
    </row>
    <row r="2487" spans="1:13">
      <c r="A2487" t="s">
        <v>70</v>
      </c>
      <c r="B2487" t="s">
        <v>7</v>
      </c>
      <c r="C2487" t="s">
        <v>33</v>
      </c>
      <c r="D2487" s="4">
        <v>45299</v>
      </c>
      <c r="E2487" s="5" t="str">
        <f>TEXT(D2487,"dd/mm/yyyy")</f>
        <v>08/01/2024</v>
      </c>
      <c r="F2487" s="4"/>
      <c r="G2487" s="5" t="str">
        <f>TEXT(E2487,"mm")</f>
        <v>08</v>
      </c>
      <c r="H2487" s="6">
        <v>4010.08</v>
      </c>
      <c r="I2487">
        <v>3</v>
      </c>
      <c r="L2487" t="str">
        <f t="shared" si="38"/>
        <v>Below Average</v>
      </c>
      <c r="M2487">
        <f>RANK(H2487,H:H,0)</f>
        <v>1984</v>
      </c>
    </row>
    <row r="2488" spans="1:13">
      <c r="A2488" t="s">
        <v>58</v>
      </c>
      <c r="B2488" t="s">
        <v>35</v>
      </c>
      <c r="C2488" t="s">
        <v>36</v>
      </c>
      <c r="D2488" s="3" t="s">
        <v>337</v>
      </c>
      <c r="E2488" s="5" t="str">
        <f>TEXT(D2488,"dd/mm/yyyy")</f>
        <v>15/03/2024</v>
      </c>
      <c r="G2488" s="5" t="str">
        <f>TEXT(E2488,"mm")</f>
        <v>15/03/2024</v>
      </c>
      <c r="H2488" s="6">
        <v>492.21</v>
      </c>
      <c r="I2488">
        <v>45</v>
      </c>
      <c r="L2488" t="str">
        <f t="shared" si="38"/>
        <v>Below Average</v>
      </c>
      <c r="M2488">
        <f>RANK(H2488,H:H,0)</f>
        <v>3131</v>
      </c>
    </row>
    <row r="2489" spans="1:13">
      <c r="A2489" t="s">
        <v>37</v>
      </c>
      <c r="B2489" t="s">
        <v>10</v>
      </c>
      <c r="C2489" t="s">
        <v>8</v>
      </c>
      <c r="D2489" s="3" t="s">
        <v>292</v>
      </c>
      <c r="E2489" s="5" t="str">
        <f>TEXT(D2489,"dd/mm/yyyy")</f>
        <v>15/07/2024</v>
      </c>
      <c r="G2489" s="5" t="str">
        <f>TEXT(E2489,"mm")</f>
        <v>15/07/2024</v>
      </c>
      <c r="H2489" s="6">
        <v>11650.88</v>
      </c>
      <c r="I2489">
        <v>192</v>
      </c>
      <c r="L2489" t="str">
        <f t="shared" si="38"/>
        <v>Above Average</v>
      </c>
      <c r="M2489">
        <f>RANK(H2489,H:H,0)</f>
        <v>381</v>
      </c>
    </row>
    <row r="2490" spans="1:13">
      <c r="A2490" t="s">
        <v>31</v>
      </c>
      <c r="B2490" t="s">
        <v>25</v>
      </c>
      <c r="C2490" t="s">
        <v>65</v>
      </c>
      <c r="D2490" s="3" t="s">
        <v>270</v>
      </c>
      <c r="E2490" s="5" t="str">
        <f>TEXT(D2490,"dd/mm/yyyy")</f>
        <v>13/01/2024</v>
      </c>
      <c r="G2490" s="5" t="str">
        <f>TEXT(E2490,"mm")</f>
        <v>13/01/2024</v>
      </c>
      <c r="H2490" s="6">
        <v>6426.04</v>
      </c>
      <c r="I2490">
        <v>132</v>
      </c>
      <c r="L2490" t="str">
        <f t="shared" si="38"/>
        <v>Above Average</v>
      </c>
      <c r="M2490">
        <f>RANK(H2490,H:H,0)</f>
        <v>1326</v>
      </c>
    </row>
    <row r="2491" spans="1:13">
      <c r="A2491" t="s">
        <v>34</v>
      </c>
      <c r="B2491" t="s">
        <v>15</v>
      </c>
      <c r="C2491" t="s">
        <v>11</v>
      </c>
      <c r="D2491" s="3" t="s">
        <v>300</v>
      </c>
      <c r="E2491" s="5" t="str">
        <f>TEXT(D2491,"dd/mm/yyyy")</f>
        <v>26/08/2024</v>
      </c>
      <c r="G2491" s="5" t="str">
        <f>TEXT(E2491,"mm")</f>
        <v>26/08/2024</v>
      </c>
      <c r="H2491" s="6">
        <v>2665.28</v>
      </c>
      <c r="I2491">
        <v>54</v>
      </c>
      <c r="L2491" t="str">
        <f t="shared" si="38"/>
        <v>Below Average</v>
      </c>
      <c r="M2491">
        <f>RANK(H2491,H:H,0)</f>
        <v>2416</v>
      </c>
    </row>
    <row r="2492" spans="1:13">
      <c r="A2492" t="s">
        <v>83</v>
      </c>
      <c r="B2492" t="s">
        <v>35</v>
      </c>
      <c r="C2492" t="s">
        <v>36</v>
      </c>
      <c r="D2492" s="4">
        <v>45566</v>
      </c>
      <c r="E2492" s="5" t="str">
        <f>TEXT(D2492,"dd/mm/yyyy")</f>
        <v>01/10/2024</v>
      </c>
      <c r="F2492" s="4"/>
      <c r="G2492" s="5" t="str">
        <f>TEXT(E2492,"mm")</f>
        <v>01</v>
      </c>
      <c r="H2492" s="6">
        <v>2048.58</v>
      </c>
      <c r="I2492">
        <v>170</v>
      </c>
      <c r="L2492" t="str">
        <f t="shared" si="38"/>
        <v>Below Average</v>
      </c>
      <c r="M2492">
        <f>RANK(H2492,H:H,0)</f>
        <v>2618</v>
      </c>
    </row>
    <row r="2493" spans="1:13">
      <c r="A2493" t="s">
        <v>12</v>
      </c>
      <c r="B2493" t="s">
        <v>15</v>
      </c>
      <c r="C2493" t="s">
        <v>59</v>
      </c>
      <c r="D2493" s="4">
        <v>45601</v>
      </c>
      <c r="E2493" s="5" t="str">
        <f>TEXT(D2493,"dd/mm/yyyy")</f>
        <v>05/11/2024</v>
      </c>
      <c r="F2493" s="4"/>
      <c r="G2493" s="5" t="str">
        <f>TEXT(E2493,"mm")</f>
        <v>05</v>
      </c>
      <c r="H2493" s="6">
        <v>6267.19</v>
      </c>
      <c r="I2493">
        <v>83</v>
      </c>
      <c r="L2493" t="str">
        <f t="shared" si="38"/>
        <v>Above Average</v>
      </c>
      <c r="M2493">
        <f>RANK(H2493,H:H,0)</f>
        <v>1366</v>
      </c>
    </row>
    <row r="2494" spans="1:13">
      <c r="A2494" t="s">
        <v>41</v>
      </c>
      <c r="B2494" t="s">
        <v>25</v>
      </c>
      <c r="C2494" t="s">
        <v>11</v>
      </c>
      <c r="D2494" s="3" t="s">
        <v>346</v>
      </c>
      <c r="E2494" s="5" t="str">
        <f>TEXT(D2494,"dd/mm/yyyy")</f>
        <v>30/08/2024</v>
      </c>
      <c r="G2494" s="5" t="str">
        <f>TEXT(E2494,"mm")</f>
        <v>30/08/2024</v>
      </c>
      <c r="H2494" s="6">
        <v>12886.26</v>
      </c>
      <c r="I2494">
        <v>21</v>
      </c>
      <c r="L2494" t="str">
        <f t="shared" si="38"/>
        <v>Above Average</v>
      </c>
      <c r="M2494">
        <f>RANK(H2494,H:H,0)</f>
        <v>274</v>
      </c>
    </row>
    <row r="2495" spans="1:13">
      <c r="A2495" t="s">
        <v>55</v>
      </c>
      <c r="B2495" t="s">
        <v>32</v>
      </c>
      <c r="C2495" t="s">
        <v>90</v>
      </c>
      <c r="D2495" s="3" t="s">
        <v>347</v>
      </c>
      <c r="E2495" s="5" t="str">
        <f>TEXT(D2495,"dd/mm/yyyy")</f>
        <v>21/07/2024</v>
      </c>
      <c r="G2495" s="5" t="str">
        <f>TEXT(E2495,"mm")</f>
        <v>21/07/2024</v>
      </c>
      <c r="H2495" s="6">
        <v>6143.64</v>
      </c>
      <c r="I2495">
        <v>117</v>
      </c>
      <c r="L2495" t="str">
        <f t="shared" si="38"/>
        <v>Above Average</v>
      </c>
      <c r="M2495">
        <f>RANK(H2495,H:H,0)</f>
        <v>1395</v>
      </c>
    </row>
    <row r="2496" spans="1:13">
      <c r="A2496" t="s">
        <v>34</v>
      </c>
      <c r="B2496" t="s">
        <v>15</v>
      </c>
      <c r="C2496" t="s">
        <v>65</v>
      </c>
      <c r="D2496" s="4">
        <v>45299</v>
      </c>
      <c r="E2496" s="5" t="str">
        <f>TEXT(D2496,"dd/mm/yyyy")</f>
        <v>08/01/2024</v>
      </c>
      <c r="F2496" s="4"/>
      <c r="G2496" s="5" t="str">
        <f>TEXT(E2496,"mm")</f>
        <v>08</v>
      </c>
      <c r="H2496" s="6">
        <v>8273.83</v>
      </c>
      <c r="I2496">
        <v>130</v>
      </c>
      <c r="L2496" t="str">
        <f t="shared" si="38"/>
        <v>Above Average</v>
      </c>
      <c r="M2496">
        <f>RANK(H2496,H:H,0)</f>
        <v>877</v>
      </c>
    </row>
    <row r="2497" spans="1:13">
      <c r="A2497" t="s">
        <v>28</v>
      </c>
      <c r="B2497" t="s">
        <v>35</v>
      </c>
      <c r="C2497" t="s">
        <v>11</v>
      </c>
      <c r="D2497" s="3" t="s">
        <v>276</v>
      </c>
      <c r="E2497" s="5" t="str">
        <f>TEXT(D2497,"dd/mm/yyyy")</f>
        <v>17/02/2024</v>
      </c>
      <c r="G2497" s="5" t="str">
        <f>TEXT(E2497,"mm")</f>
        <v>17/02/2024</v>
      </c>
      <c r="H2497" s="6">
        <v>12163.59</v>
      </c>
      <c r="I2497">
        <v>264</v>
      </c>
      <c r="L2497" t="str">
        <f t="shared" si="38"/>
        <v>Above Average</v>
      </c>
      <c r="M2497">
        <f>RANK(H2497,H:H,0)</f>
        <v>332</v>
      </c>
    </row>
    <row r="2498" spans="1:13">
      <c r="A2498" t="s">
        <v>28</v>
      </c>
      <c r="B2498" t="s">
        <v>15</v>
      </c>
      <c r="C2498" t="s">
        <v>38</v>
      </c>
      <c r="D2498" s="3" t="s">
        <v>335</v>
      </c>
      <c r="E2498" s="5" t="str">
        <f>TEXT(D2498,"dd/mm/yyyy")</f>
        <v>27/07/2024</v>
      </c>
      <c r="G2498" s="5" t="str">
        <f>TEXT(E2498,"mm")</f>
        <v>27/07/2024</v>
      </c>
      <c r="H2498" s="6">
        <v>7192.41</v>
      </c>
      <c r="I2498">
        <v>159</v>
      </c>
      <c r="L2498" t="str">
        <f t="shared" si="38"/>
        <v>Above Average</v>
      </c>
      <c r="M2498">
        <f>RANK(H2498,H:H,0)</f>
        <v>1133</v>
      </c>
    </row>
    <row r="2499" spans="1:13">
      <c r="A2499" t="s">
        <v>79</v>
      </c>
      <c r="B2499" t="s">
        <v>32</v>
      </c>
      <c r="C2499" t="s">
        <v>33</v>
      </c>
      <c r="D2499" s="3" t="s">
        <v>288</v>
      </c>
      <c r="E2499" s="5" t="str">
        <f>TEXT(D2499,"dd/mm/yyyy")</f>
        <v>23/02/2024</v>
      </c>
      <c r="G2499" s="5" t="str">
        <f>TEXT(E2499,"mm")</f>
        <v>23/02/2024</v>
      </c>
      <c r="H2499" s="6">
        <v>1452.94</v>
      </c>
      <c r="I2499">
        <v>112</v>
      </c>
      <c r="L2499" t="str">
        <f t="shared" ref="L2499:L2562" si="39">IF(H2499&gt;6030.34,"Above Average","Below Average")</f>
        <v>Below Average</v>
      </c>
      <c r="M2499">
        <f>RANK(H2499,H:H,0)</f>
        <v>2818</v>
      </c>
    </row>
    <row r="2500" spans="1:13">
      <c r="A2500" t="s">
        <v>29</v>
      </c>
      <c r="B2500" t="s">
        <v>15</v>
      </c>
      <c r="C2500" t="s">
        <v>26</v>
      </c>
      <c r="D2500" s="3" t="s">
        <v>345</v>
      </c>
      <c r="E2500" s="5" t="str">
        <f>TEXT(D2500,"dd/mm/yyyy")</f>
        <v>22/03/2024</v>
      </c>
      <c r="G2500" s="5" t="str">
        <f>TEXT(E2500,"mm")</f>
        <v>22/03/2024</v>
      </c>
      <c r="H2500" s="6">
        <v>3375.83</v>
      </c>
      <c r="I2500">
        <v>41</v>
      </c>
      <c r="L2500" t="str">
        <f t="shared" si="39"/>
        <v>Below Average</v>
      </c>
      <c r="M2500">
        <f>RANK(H2500,H:H,0)</f>
        <v>2187</v>
      </c>
    </row>
    <row r="2501" spans="1:13">
      <c r="A2501" t="s">
        <v>58</v>
      </c>
      <c r="B2501" t="s">
        <v>10</v>
      </c>
      <c r="C2501" t="s">
        <v>20</v>
      </c>
      <c r="D2501" s="3" t="s">
        <v>348</v>
      </c>
      <c r="E2501" s="5" t="str">
        <f>TEXT(D2501,"dd/mm/yyyy")</f>
        <v>23/06/2024</v>
      </c>
      <c r="G2501" s="5" t="str">
        <f>TEXT(E2501,"mm")</f>
        <v>23/06/2024</v>
      </c>
      <c r="H2501" s="6">
        <v>8328.7999999999993</v>
      </c>
      <c r="I2501">
        <v>327</v>
      </c>
      <c r="L2501" t="str">
        <f t="shared" si="39"/>
        <v>Above Average</v>
      </c>
      <c r="M2501">
        <f>RANK(H2501,H:H,0)</f>
        <v>866</v>
      </c>
    </row>
    <row r="2502" spans="1:13">
      <c r="A2502" t="s">
        <v>48</v>
      </c>
      <c r="B2502" t="s">
        <v>7</v>
      </c>
      <c r="C2502" t="s">
        <v>59</v>
      </c>
      <c r="D2502" s="4">
        <v>45293</v>
      </c>
      <c r="E2502" s="5" t="str">
        <f>TEXT(D2502,"dd/mm/yyyy")</f>
        <v>02/01/2024</v>
      </c>
      <c r="F2502" s="4"/>
      <c r="G2502" s="5" t="str">
        <f>TEXT(E2502,"mm")</f>
        <v>02</v>
      </c>
      <c r="H2502" s="6">
        <v>1634.54</v>
      </c>
      <c r="I2502">
        <v>70</v>
      </c>
      <c r="L2502" t="str">
        <f t="shared" si="39"/>
        <v>Below Average</v>
      </c>
      <c r="M2502">
        <f>RANK(H2502,H:H,0)</f>
        <v>2760</v>
      </c>
    </row>
    <row r="2503" spans="1:13">
      <c r="A2503" t="s">
        <v>70</v>
      </c>
      <c r="B2503" t="s">
        <v>15</v>
      </c>
      <c r="C2503" t="s">
        <v>23</v>
      </c>
      <c r="D2503" s="4">
        <v>45325</v>
      </c>
      <c r="E2503" s="5" t="str">
        <f>TEXT(D2503,"dd/mm/yyyy")</f>
        <v>03/02/2024</v>
      </c>
      <c r="F2503" s="4"/>
      <c r="G2503" s="5" t="str">
        <f>TEXT(E2503,"mm")</f>
        <v>03</v>
      </c>
      <c r="H2503" s="6">
        <v>8265.41</v>
      </c>
      <c r="I2503">
        <v>298</v>
      </c>
      <c r="L2503" t="str">
        <f t="shared" si="39"/>
        <v>Above Average</v>
      </c>
      <c r="M2503">
        <f>RANK(H2503,H:H,0)</f>
        <v>879</v>
      </c>
    </row>
    <row r="2504" spans="1:13">
      <c r="A2504" t="s">
        <v>12</v>
      </c>
      <c r="B2504" t="s">
        <v>7</v>
      </c>
      <c r="C2504" t="s">
        <v>57</v>
      </c>
      <c r="D2504" s="4">
        <v>45447</v>
      </c>
      <c r="E2504" s="5" t="str">
        <f>TEXT(D2504,"dd/mm/yyyy")</f>
        <v>04/06/2024</v>
      </c>
      <c r="F2504" s="4"/>
      <c r="G2504" s="5" t="str">
        <f>TEXT(E2504,"mm")</f>
        <v>04</v>
      </c>
      <c r="H2504" s="6">
        <v>1448.1</v>
      </c>
      <c r="I2504">
        <v>92</v>
      </c>
      <c r="L2504" t="str">
        <f t="shared" si="39"/>
        <v>Below Average</v>
      </c>
      <c r="M2504">
        <f>RANK(H2504,H:H,0)</f>
        <v>2820</v>
      </c>
    </row>
    <row r="2505" spans="1:13">
      <c r="A2505" t="s">
        <v>22</v>
      </c>
      <c r="B2505" t="s">
        <v>15</v>
      </c>
      <c r="C2505" t="s">
        <v>73</v>
      </c>
      <c r="D2505" s="3" t="s">
        <v>329</v>
      </c>
      <c r="E2505" s="5" t="str">
        <f>TEXT(D2505,"dd/mm/yyyy")</f>
        <v>17/03/2024</v>
      </c>
      <c r="G2505" s="5" t="str">
        <f>TEXT(E2505,"mm")</f>
        <v>17/03/2024</v>
      </c>
      <c r="H2505" s="6">
        <v>709.53</v>
      </c>
      <c r="I2505">
        <v>77</v>
      </c>
      <c r="L2505" t="str">
        <f t="shared" si="39"/>
        <v>Below Average</v>
      </c>
      <c r="M2505">
        <f>RANK(H2505,H:H,0)</f>
        <v>3061</v>
      </c>
    </row>
    <row r="2506" spans="1:13">
      <c r="A2506" t="s">
        <v>48</v>
      </c>
      <c r="B2506" t="s">
        <v>7</v>
      </c>
      <c r="C2506" t="s">
        <v>57</v>
      </c>
      <c r="D2506" s="3" t="s">
        <v>349</v>
      </c>
      <c r="E2506" s="5" t="str">
        <f>TEXT(D2506,"dd/mm/yyyy")</f>
        <v>24/06/2024</v>
      </c>
      <c r="G2506" s="5" t="str">
        <f>TEXT(E2506,"mm")</f>
        <v>24/06/2024</v>
      </c>
      <c r="H2506" s="6">
        <v>12197.19</v>
      </c>
      <c r="I2506">
        <v>135</v>
      </c>
      <c r="L2506" t="str">
        <f t="shared" si="39"/>
        <v>Above Average</v>
      </c>
      <c r="M2506">
        <f>RANK(H2506,H:H,0)</f>
        <v>327</v>
      </c>
    </row>
    <row r="2507" spans="1:13">
      <c r="A2507" t="s">
        <v>31</v>
      </c>
      <c r="B2507" t="s">
        <v>35</v>
      </c>
      <c r="C2507" t="s">
        <v>26</v>
      </c>
      <c r="D2507" s="3" t="s">
        <v>290</v>
      </c>
      <c r="E2507" s="5" t="str">
        <f>TEXT(D2507,"dd/mm/yyyy")</f>
        <v>19/07/2024</v>
      </c>
      <c r="G2507" s="5" t="str">
        <f>TEXT(E2507,"mm")</f>
        <v>19/07/2024</v>
      </c>
      <c r="H2507" s="6">
        <v>10917.59</v>
      </c>
      <c r="I2507">
        <v>302</v>
      </c>
      <c r="L2507" t="str">
        <f t="shared" si="39"/>
        <v>Above Average</v>
      </c>
      <c r="M2507">
        <f>RANK(H2507,H:H,0)</f>
        <v>453</v>
      </c>
    </row>
    <row r="2508" spans="1:13">
      <c r="A2508" t="s">
        <v>48</v>
      </c>
      <c r="B2508" t="s">
        <v>32</v>
      </c>
      <c r="C2508" t="s">
        <v>50</v>
      </c>
      <c r="D2508" s="4">
        <v>45603</v>
      </c>
      <c r="E2508" s="5" t="str">
        <f>TEXT(D2508,"dd/mm/yyyy")</f>
        <v>07/11/2024</v>
      </c>
      <c r="F2508" s="4"/>
      <c r="G2508" s="5" t="str">
        <f>TEXT(E2508,"mm")</f>
        <v>07</v>
      </c>
      <c r="H2508" s="6">
        <v>1679.89</v>
      </c>
      <c r="I2508">
        <v>287</v>
      </c>
      <c r="L2508" t="str">
        <f t="shared" si="39"/>
        <v>Below Average</v>
      </c>
      <c r="M2508">
        <f>RANK(H2508,H:H,0)</f>
        <v>2739</v>
      </c>
    </row>
    <row r="2509" spans="1:13">
      <c r="A2509" t="s">
        <v>28</v>
      </c>
      <c r="B2509" t="s">
        <v>10</v>
      </c>
      <c r="C2509" t="s">
        <v>65</v>
      </c>
      <c r="D2509" s="3" t="s">
        <v>270</v>
      </c>
      <c r="E2509" s="5" t="str">
        <f>TEXT(D2509,"dd/mm/yyyy")</f>
        <v>13/01/2024</v>
      </c>
      <c r="G2509" s="5" t="str">
        <f>TEXT(E2509,"mm")</f>
        <v>13/01/2024</v>
      </c>
      <c r="H2509" s="6">
        <v>2303.17</v>
      </c>
      <c r="I2509">
        <v>225</v>
      </c>
      <c r="L2509" t="str">
        <f t="shared" si="39"/>
        <v>Below Average</v>
      </c>
      <c r="M2509">
        <f>RANK(H2509,H:H,0)</f>
        <v>2549</v>
      </c>
    </row>
    <row r="2510" spans="1:13">
      <c r="A2510" t="s">
        <v>19</v>
      </c>
      <c r="B2510" t="s">
        <v>25</v>
      </c>
      <c r="C2510" t="s">
        <v>18</v>
      </c>
      <c r="D2510" s="4">
        <v>45480</v>
      </c>
      <c r="E2510" s="5" t="str">
        <f>TEXT(D2510,"dd/mm/yyyy")</f>
        <v>07/07/2024</v>
      </c>
      <c r="F2510" s="4"/>
      <c r="G2510" s="5" t="str">
        <f>TEXT(E2510,"mm")</f>
        <v>07</v>
      </c>
      <c r="H2510" s="6">
        <v>9261.26</v>
      </c>
      <c r="I2510">
        <v>65</v>
      </c>
      <c r="L2510" t="str">
        <f t="shared" si="39"/>
        <v>Above Average</v>
      </c>
      <c r="M2510">
        <f>RANK(H2510,H:H,0)</f>
        <v>697</v>
      </c>
    </row>
    <row r="2511" spans="1:13">
      <c r="A2511" t="s">
        <v>14</v>
      </c>
      <c r="B2511" t="s">
        <v>10</v>
      </c>
      <c r="C2511" t="s">
        <v>11</v>
      </c>
      <c r="D2511" s="3" t="s">
        <v>306</v>
      </c>
      <c r="E2511" s="5" t="str">
        <f>TEXT(D2511,"dd/mm/yyyy")</f>
        <v>25/05/2024</v>
      </c>
      <c r="G2511" s="5" t="str">
        <f>TEXT(E2511,"mm")</f>
        <v>25/05/2024</v>
      </c>
      <c r="H2511" s="6">
        <v>5252.8</v>
      </c>
      <c r="I2511">
        <v>415</v>
      </c>
      <c r="L2511" t="str">
        <f t="shared" si="39"/>
        <v>Below Average</v>
      </c>
      <c r="M2511">
        <f>RANK(H2511,H:H,0)</f>
        <v>1631</v>
      </c>
    </row>
    <row r="2512" spans="1:13">
      <c r="A2512" t="s">
        <v>40</v>
      </c>
      <c r="B2512" t="s">
        <v>10</v>
      </c>
      <c r="C2512" t="s">
        <v>57</v>
      </c>
      <c r="D2512" s="3" t="s">
        <v>327</v>
      </c>
      <c r="E2512" s="5" t="str">
        <f>TEXT(D2512,"dd/mm/yyyy")</f>
        <v>13/04/2024</v>
      </c>
      <c r="G2512" s="5" t="str">
        <f>TEXT(E2512,"mm")</f>
        <v>13/04/2024</v>
      </c>
      <c r="H2512" s="6">
        <v>5385.55</v>
      </c>
      <c r="I2512">
        <v>161</v>
      </c>
      <c r="L2512" t="str">
        <f t="shared" si="39"/>
        <v>Below Average</v>
      </c>
      <c r="M2512">
        <f>RANK(H2512,H:H,0)</f>
        <v>1595</v>
      </c>
    </row>
    <row r="2513" spans="1:13">
      <c r="A2513" t="s">
        <v>67</v>
      </c>
      <c r="B2513" t="s">
        <v>25</v>
      </c>
      <c r="C2513" t="s">
        <v>26</v>
      </c>
      <c r="D2513" s="4">
        <v>45325</v>
      </c>
      <c r="E2513" s="5" t="str">
        <f>TEXT(D2513,"dd/mm/yyyy")</f>
        <v>03/02/2024</v>
      </c>
      <c r="F2513" s="4"/>
      <c r="G2513" s="5" t="str">
        <f>TEXT(E2513,"mm")</f>
        <v>03</v>
      </c>
      <c r="H2513" s="6">
        <v>3741.19</v>
      </c>
      <c r="I2513">
        <v>222</v>
      </c>
      <c r="L2513" t="str">
        <f t="shared" si="39"/>
        <v>Below Average</v>
      </c>
      <c r="M2513">
        <f>RANK(H2513,H:H,0)</f>
        <v>2057</v>
      </c>
    </row>
    <row r="2514" spans="1:13">
      <c r="A2514" t="s">
        <v>22</v>
      </c>
      <c r="B2514" t="s">
        <v>35</v>
      </c>
      <c r="C2514" t="s">
        <v>73</v>
      </c>
      <c r="D2514" s="3" t="s">
        <v>348</v>
      </c>
      <c r="E2514" s="5" t="str">
        <f>TEXT(D2514,"dd/mm/yyyy")</f>
        <v>23/06/2024</v>
      </c>
      <c r="G2514" s="5" t="str">
        <f>TEXT(E2514,"mm")</f>
        <v>23/06/2024</v>
      </c>
      <c r="H2514" s="6">
        <v>2223.4899999999998</v>
      </c>
      <c r="I2514">
        <v>127</v>
      </c>
      <c r="L2514" t="str">
        <f t="shared" si="39"/>
        <v>Below Average</v>
      </c>
      <c r="M2514">
        <f>RANK(H2514,H:H,0)</f>
        <v>2572</v>
      </c>
    </row>
    <row r="2515" spans="1:13">
      <c r="A2515" t="s">
        <v>70</v>
      </c>
      <c r="B2515" t="s">
        <v>32</v>
      </c>
      <c r="C2515" t="s">
        <v>38</v>
      </c>
      <c r="D2515" s="3" t="s">
        <v>307</v>
      </c>
      <c r="E2515" s="5" t="str">
        <f>TEXT(D2515,"dd/mm/yyyy")</f>
        <v>26/07/2024</v>
      </c>
      <c r="G2515" s="5" t="str">
        <f>TEXT(E2515,"mm")</f>
        <v>26/07/2024</v>
      </c>
      <c r="H2515" s="6">
        <v>7720.37</v>
      </c>
      <c r="I2515">
        <v>156</v>
      </c>
      <c r="L2515" t="str">
        <f t="shared" si="39"/>
        <v>Above Average</v>
      </c>
      <c r="M2515">
        <f>RANK(H2515,H:H,0)</f>
        <v>1009</v>
      </c>
    </row>
    <row r="2516" spans="1:13">
      <c r="A2516" t="s">
        <v>9</v>
      </c>
      <c r="B2516" t="s">
        <v>35</v>
      </c>
      <c r="C2516" t="s">
        <v>59</v>
      </c>
      <c r="D2516" s="3" t="s">
        <v>345</v>
      </c>
      <c r="E2516" s="5" t="str">
        <f>TEXT(D2516,"dd/mm/yyyy")</f>
        <v>22/03/2024</v>
      </c>
      <c r="G2516" s="5" t="str">
        <f>TEXT(E2516,"mm")</f>
        <v>22/03/2024</v>
      </c>
      <c r="H2516" s="6">
        <v>468.09</v>
      </c>
      <c r="I2516">
        <v>3</v>
      </c>
      <c r="L2516" t="str">
        <f t="shared" si="39"/>
        <v>Below Average</v>
      </c>
      <c r="M2516">
        <f>RANK(H2516,H:H,0)</f>
        <v>3145</v>
      </c>
    </row>
    <row r="2517" spans="1:13">
      <c r="A2517" t="s">
        <v>29</v>
      </c>
      <c r="B2517" t="s">
        <v>32</v>
      </c>
      <c r="C2517" t="s">
        <v>87</v>
      </c>
      <c r="D2517" s="4">
        <v>45541</v>
      </c>
      <c r="E2517" s="5" t="str">
        <f>TEXT(D2517,"dd/mm/yyyy")</f>
        <v>06/09/2024</v>
      </c>
      <c r="F2517" s="4"/>
      <c r="G2517" s="5" t="str">
        <f>TEXT(E2517,"mm")</f>
        <v>06</v>
      </c>
      <c r="H2517" s="6">
        <v>3083.39</v>
      </c>
      <c r="I2517">
        <v>55</v>
      </c>
      <c r="L2517" t="str">
        <f t="shared" si="39"/>
        <v>Below Average</v>
      </c>
      <c r="M2517">
        <f>RANK(H2517,H:H,0)</f>
        <v>2276</v>
      </c>
    </row>
    <row r="2518" spans="1:13">
      <c r="A2518" t="s">
        <v>9</v>
      </c>
      <c r="B2518" t="s">
        <v>15</v>
      </c>
      <c r="C2518" t="s">
        <v>90</v>
      </c>
      <c r="D2518" s="3" t="s">
        <v>350</v>
      </c>
      <c r="E2518" s="5" t="str">
        <f>TEXT(D2518,"dd/mm/yyyy")</f>
        <v>17/05/2024</v>
      </c>
      <c r="G2518" s="5" t="str">
        <f>TEXT(E2518,"mm")</f>
        <v>17/05/2024</v>
      </c>
      <c r="H2518" s="6">
        <v>6898.94</v>
      </c>
      <c r="I2518">
        <v>58</v>
      </c>
      <c r="L2518" t="str">
        <f t="shared" si="39"/>
        <v>Above Average</v>
      </c>
      <c r="M2518">
        <f>RANK(H2518,H:H,0)</f>
        <v>1205</v>
      </c>
    </row>
    <row r="2519" spans="1:13">
      <c r="A2519" t="s">
        <v>83</v>
      </c>
      <c r="B2519" t="s">
        <v>25</v>
      </c>
      <c r="C2519" t="s">
        <v>13</v>
      </c>
      <c r="D2519" s="4">
        <v>45385</v>
      </c>
      <c r="E2519" s="5" t="str">
        <f>TEXT(D2519,"dd/mm/yyyy")</f>
        <v>03/04/2024</v>
      </c>
      <c r="F2519" s="4"/>
      <c r="G2519" s="5" t="str">
        <f>TEXT(E2519,"mm")</f>
        <v>03</v>
      </c>
      <c r="H2519" s="6">
        <v>1036.05</v>
      </c>
      <c r="I2519">
        <v>291</v>
      </c>
      <c r="L2519" t="str">
        <f t="shared" si="39"/>
        <v>Below Average</v>
      </c>
      <c r="M2519">
        <f>RANK(H2519,H:H,0)</f>
        <v>2961</v>
      </c>
    </row>
    <row r="2520" spans="1:13">
      <c r="A2520" t="s">
        <v>70</v>
      </c>
      <c r="B2520" t="s">
        <v>35</v>
      </c>
      <c r="C2520" t="s">
        <v>46</v>
      </c>
      <c r="D2520" s="4">
        <v>45480</v>
      </c>
      <c r="E2520" s="5" t="str">
        <f>TEXT(D2520,"dd/mm/yyyy")</f>
        <v>07/07/2024</v>
      </c>
      <c r="F2520" s="4"/>
      <c r="G2520" s="5" t="str">
        <f>TEXT(E2520,"mm")</f>
        <v>07</v>
      </c>
      <c r="H2520" s="6">
        <v>17518.04</v>
      </c>
      <c r="I2520">
        <v>28</v>
      </c>
      <c r="L2520" t="str">
        <f t="shared" si="39"/>
        <v>Above Average</v>
      </c>
      <c r="M2520">
        <f>RANK(H2520,H:H,0)</f>
        <v>52</v>
      </c>
    </row>
    <row r="2521" spans="1:13">
      <c r="A2521" t="s">
        <v>58</v>
      </c>
      <c r="B2521" t="s">
        <v>35</v>
      </c>
      <c r="C2521" t="s">
        <v>75</v>
      </c>
      <c r="D2521" s="3" t="s">
        <v>270</v>
      </c>
      <c r="E2521" s="5" t="str">
        <f>TEXT(D2521,"dd/mm/yyyy")</f>
        <v>13/01/2024</v>
      </c>
      <c r="G2521" s="5" t="str">
        <f>TEXT(E2521,"mm")</f>
        <v>13/01/2024</v>
      </c>
      <c r="H2521" s="6">
        <v>11691.86</v>
      </c>
      <c r="I2521">
        <v>128</v>
      </c>
      <c r="L2521" t="str">
        <f t="shared" si="39"/>
        <v>Above Average</v>
      </c>
      <c r="M2521">
        <f>RANK(H2521,H:H,0)</f>
        <v>376</v>
      </c>
    </row>
    <row r="2522" spans="1:13">
      <c r="A2522" t="s">
        <v>48</v>
      </c>
      <c r="B2522" t="s">
        <v>15</v>
      </c>
      <c r="C2522" t="s">
        <v>65</v>
      </c>
      <c r="D2522" s="3" t="s">
        <v>301</v>
      </c>
      <c r="E2522" s="5" t="str">
        <f>TEXT(D2522,"dd/mm/yyyy")</f>
        <v>13/07/2024</v>
      </c>
      <c r="G2522" s="5" t="str">
        <f>TEXT(E2522,"mm")</f>
        <v>13/07/2024</v>
      </c>
      <c r="H2522" s="6">
        <v>3136.53</v>
      </c>
      <c r="I2522">
        <v>74</v>
      </c>
      <c r="L2522" t="str">
        <f t="shared" si="39"/>
        <v>Below Average</v>
      </c>
      <c r="M2522">
        <f>RANK(H2522,H:H,0)</f>
        <v>2256</v>
      </c>
    </row>
    <row r="2523" spans="1:13">
      <c r="A2523" t="s">
        <v>77</v>
      </c>
      <c r="B2523" t="s">
        <v>15</v>
      </c>
      <c r="C2523" t="s">
        <v>11</v>
      </c>
      <c r="D2523" s="3" t="s">
        <v>317</v>
      </c>
      <c r="E2523" s="5" t="str">
        <f>TEXT(D2523,"dd/mm/yyyy")</f>
        <v>16/06/2024</v>
      </c>
      <c r="G2523" s="5" t="str">
        <f>TEXT(E2523,"mm")</f>
        <v>16/06/2024</v>
      </c>
      <c r="H2523" s="6">
        <v>1677.71</v>
      </c>
      <c r="I2523">
        <v>325</v>
      </c>
      <c r="L2523" t="str">
        <f t="shared" si="39"/>
        <v>Below Average</v>
      </c>
      <c r="M2523">
        <f>RANK(H2523,H:H,0)</f>
        <v>2740</v>
      </c>
    </row>
    <row r="2524" spans="1:13">
      <c r="A2524" t="s">
        <v>12</v>
      </c>
      <c r="B2524" t="s">
        <v>7</v>
      </c>
      <c r="C2524" t="s">
        <v>26</v>
      </c>
      <c r="D2524" s="3" t="s">
        <v>351</v>
      </c>
      <c r="E2524" s="5" t="str">
        <f>TEXT(D2524,"dd/mm/yyyy")</f>
        <v>18/07/2024</v>
      </c>
      <c r="G2524" s="5" t="str">
        <f>TEXT(E2524,"mm")</f>
        <v>18/07/2024</v>
      </c>
      <c r="H2524" s="6">
        <v>8937.3700000000008</v>
      </c>
      <c r="I2524">
        <v>66</v>
      </c>
      <c r="L2524" t="str">
        <f t="shared" si="39"/>
        <v>Above Average</v>
      </c>
      <c r="M2524">
        <f>RANK(H2524,H:H,0)</f>
        <v>749</v>
      </c>
    </row>
    <row r="2525" spans="1:13">
      <c r="A2525" t="s">
        <v>83</v>
      </c>
      <c r="B2525" t="s">
        <v>7</v>
      </c>
      <c r="C2525" t="s">
        <v>60</v>
      </c>
      <c r="D2525" s="3" t="s">
        <v>277</v>
      </c>
      <c r="E2525" s="5" t="str">
        <f>TEXT(D2525,"dd/mm/yyyy")</f>
        <v>30/05/2024</v>
      </c>
      <c r="G2525" s="5" t="str">
        <f>TEXT(E2525,"mm")</f>
        <v>30/05/2024</v>
      </c>
      <c r="H2525" s="6">
        <v>4761.38</v>
      </c>
      <c r="I2525">
        <v>406</v>
      </c>
      <c r="L2525" t="str">
        <f t="shared" si="39"/>
        <v>Below Average</v>
      </c>
      <c r="M2525">
        <f>RANK(H2525,H:H,0)</f>
        <v>1779</v>
      </c>
    </row>
    <row r="2526" spans="1:13">
      <c r="A2526" t="s">
        <v>12</v>
      </c>
      <c r="B2526" t="s">
        <v>7</v>
      </c>
      <c r="C2526" t="s">
        <v>100</v>
      </c>
      <c r="D2526" s="3" t="s">
        <v>352</v>
      </c>
      <c r="E2526" s="5" t="str">
        <f>TEXT(D2526,"dd/mm/yyyy")</f>
        <v>21/06/2024</v>
      </c>
      <c r="G2526" s="5" t="str">
        <f>TEXT(E2526,"mm")</f>
        <v>21/06/2024</v>
      </c>
      <c r="H2526" s="6">
        <v>942.02</v>
      </c>
      <c r="I2526">
        <v>84</v>
      </c>
      <c r="L2526" t="str">
        <f t="shared" si="39"/>
        <v>Below Average</v>
      </c>
      <c r="M2526">
        <f>RANK(H2526,H:H,0)</f>
        <v>2992</v>
      </c>
    </row>
    <row r="2527" spans="1:13">
      <c r="A2527" t="s">
        <v>6</v>
      </c>
      <c r="B2527" t="s">
        <v>15</v>
      </c>
      <c r="C2527" t="s">
        <v>13</v>
      </c>
      <c r="D2527" s="3" t="s">
        <v>349</v>
      </c>
      <c r="E2527" s="5" t="str">
        <f>TEXT(D2527,"dd/mm/yyyy")</f>
        <v>24/06/2024</v>
      </c>
      <c r="G2527" s="5" t="str">
        <f>TEXT(E2527,"mm")</f>
        <v>24/06/2024</v>
      </c>
      <c r="H2527" s="6">
        <v>6623.03</v>
      </c>
      <c r="I2527">
        <v>39</v>
      </c>
      <c r="L2527" t="str">
        <f t="shared" si="39"/>
        <v>Above Average</v>
      </c>
      <c r="M2527">
        <f>RANK(H2527,H:H,0)</f>
        <v>1279</v>
      </c>
    </row>
    <row r="2528" spans="1:13">
      <c r="A2528" t="s">
        <v>40</v>
      </c>
      <c r="B2528" t="s">
        <v>10</v>
      </c>
      <c r="C2528" t="s">
        <v>36</v>
      </c>
      <c r="D2528" s="3" t="s">
        <v>270</v>
      </c>
      <c r="E2528" s="5" t="str">
        <f>TEXT(D2528,"dd/mm/yyyy")</f>
        <v>13/01/2024</v>
      </c>
      <c r="G2528" s="5" t="str">
        <f>TEXT(E2528,"mm")</f>
        <v>13/01/2024</v>
      </c>
      <c r="H2528" s="6">
        <v>4067.36</v>
      </c>
      <c r="I2528">
        <v>94</v>
      </c>
      <c r="L2528" t="str">
        <f t="shared" si="39"/>
        <v>Below Average</v>
      </c>
      <c r="M2528">
        <f>RANK(H2528,H:H,0)</f>
        <v>1962</v>
      </c>
    </row>
    <row r="2529" spans="1:13">
      <c r="A2529" t="s">
        <v>48</v>
      </c>
      <c r="B2529" t="s">
        <v>35</v>
      </c>
      <c r="C2529" t="s">
        <v>57</v>
      </c>
      <c r="D2529" s="4">
        <v>45386</v>
      </c>
      <c r="E2529" s="5" t="str">
        <f>TEXT(D2529,"dd/mm/yyyy")</f>
        <v>04/04/2024</v>
      </c>
      <c r="F2529" s="4"/>
      <c r="G2529" s="5" t="str">
        <f>TEXT(E2529,"mm")</f>
        <v>04</v>
      </c>
      <c r="H2529" s="6">
        <v>4712.55</v>
      </c>
      <c r="I2529">
        <v>211</v>
      </c>
      <c r="L2529" t="str">
        <f t="shared" si="39"/>
        <v>Below Average</v>
      </c>
      <c r="M2529">
        <f>RANK(H2529,H:H,0)</f>
        <v>1797</v>
      </c>
    </row>
    <row r="2530" spans="1:13">
      <c r="A2530" t="s">
        <v>55</v>
      </c>
      <c r="B2530" t="s">
        <v>7</v>
      </c>
      <c r="C2530" t="s">
        <v>18</v>
      </c>
      <c r="D2530" s="4">
        <v>45510</v>
      </c>
      <c r="E2530" s="5" t="str">
        <f>TEXT(D2530,"dd/mm/yyyy")</f>
        <v>06/08/2024</v>
      </c>
      <c r="F2530" s="4"/>
      <c r="G2530" s="5" t="str">
        <f>TEXT(E2530,"mm")</f>
        <v>06</v>
      </c>
      <c r="H2530" s="6">
        <v>9571.2999999999993</v>
      </c>
      <c r="I2530">
        <v>594</v>
      </c>
      <c r="L2530" t="str">
        <f t="shared" si="39"/>
        <v>Above Average</v>
      </c>
      <c r="M2530">
        <f>RANK(H2530,H:H,0)</f>
        <v>646</v>
      </c>
    </row>
    <row r="2531" spans="1:13">
      <c r="A2531" t="s">
        <v>37</v>
      </c>
      <c r="B2531" t="s">
        <v>35</v>
      </c>
      <c r="C2531" t="s">
        <v>50</v>
      </c>
      <c r="D2531" s="4">
        <v>45330</v>
      </c>
      <c r="E2531" s="5" t="str">
        <f>TEXT(D2531,"dd/mm/yyyy")</f>
        <v>08/02/2024</v>
      </c>
      <c r="F2531" s="4"/>
      <c r="G2531" s="5" t="str">
        <f>TEXT(E2531,"mm")</f>
        <v>08</v>
      </c>
      <c r="H2531" s="6">
        <v>6779.99</v>
      </c>
      <c r="I2531">
        <v>46</v>
      </c>
      <c r="L2531" t="str">
        <f t="shared" si="39"/>
        <v>Above Average</v>
      </c>
      <c r="M2531">
        <f>RANK(H2531,H:H,0)</f>
        <v>1245</v>
      </c>
    </row>
    <row r="2532" spans="1:13">
      <c r="A2532" t="s">
        <v>70</v>
      </c>
      <c r="B2532" t="s">
        <v>32</v>
      </c>
      <c r="C2532" t="s">
        <v>42</v>
      </c>
      <c r="D2532" s="3" t="s">
        <v>347</v>
      </c>
      <c r="E2532" s="5" t="str">
        <f>TEXT(D2532,"dd/mm/yyyy")</f>
        <v>21/07/2024</v>
      </c>
      <c r="G2532" s="5" t="str">
        <f>TEXT(E2532,"mm")</f>
        <v>21/07/2024</v>
      </c>
      <c r="H2532" s="6">
        <v>10772.46</v>
      </c>
      <c r="I2532">
        <v>150</v>
      </c>
      <c r="L2532" t="str">
        <f t="shared" si="39"/>
        <v>Above Average</v>
      </c>
      <c r="M2532">
        <f>RANK(H2532,H:H,0)</f>
        <v>478</v>
      </c>
    </row>
    <row r="2533" spans="1:13">
      <c r="A2533" t="s">
        <v>48</v>
      </c>
      <c r="B2533" t="s">
        <v>10</v>
      </c>
      <c r="C2533" t="s">
        <v>50</v>
      </c>
      <c r="D2533" s="3" t="s">
        <v>299</v>
      </c>
      <c r="E2533" s="5" t="str">
        <f>TEXT(D2533,"dd/mm/yyyy")</f>
        <v>20/06/2024</v>
      </c>
      <c r="G2533" s="5" t="str">
        <f>TEXT(E2533,"mm")</f>
        <v>20/06/2024</v>
      </c>
      <c r="H2533" s="6">
        <v>189.34</v>
      </c>
      <c r="I2533">
        <v>140</v>
      </c>
      <c r="L2533" t="str">
        <f t="shared" si="39"/>
        <v>Below Average</v>
      </c>
      <c r="M2533">
        <f>RANK(H2533,H:H,0)</f>
        <v>3219</v>
      </c>
    </row>
    <row r="2534" spans="1:13">
      <c r="A2534" t="s">
        <v>45</v>
      </c>
      <c r="B2534" t="s">
        <v>10</v>
      </c>
      <c r="C2534" t="s">
        <v>23</v>
      </c>
      <c r="D2534" s="3" t="s">
        <v>353</v>
      </c>
      <c r="E2534" s="5" t="str">
        <f>TEXT(D2534,"dd/mm/yyyy")</f>
        <v>22/06/2024</v>
      </c>
      <c r="G2534" s="5" t="str">
        <f>TEXT(E2534,"mm")</f>
        <v>22/06/2024</v>
      </c>
      <c r="H2534" s="6">
        <v>3015.47</v>
      </c>
      <c r="I2534">
        <v>115</v>
      </c>
      <c r="L2534" t="str">
        <f t="shared" si="39"/>
        <v>Below Average</v>
      </c>
      <c r="M2534">
        <f>RANK(H2534,H:H,0)</f>
        <v>2301</v>
      </c>
    </row>
    <row r="2535" spans="1:13">
      <c r="A2535" t="s">
        <v>71</v>
      </c>
      <c r="B2535" t="s">
        <v>15</v>
      </c>
      <c r="C2535" t="s">
        <v>90</v>
      </c>
      <c r="D2535" s="4">
        <v>45327</v>
      </c>
      <c r="E2535" s="5" t="str">
        <f>TEXT(D2535,"dd/mm/yyyy")</f>
        <v>05/02/2024</v>
      </c>
      <c r="F2535" s="4"/>
      <c r="G2535" s="5" t="str">
        <f>TEXT(E2535,"mm")</f>
        <v>05</v>
      </c>
      <c r="H2535" s="6">
        <v>3538.27</v>
      </c>
      <c r="I2535">
        <v>16</v>
      </c>
      <c r="L2535" t="str">
        <f t="shared" si="39"/>
        <v>Below Average</v>
      </c>
      <c r="M2535">
        <f>RANK(H2535,H:H,0)</f>
        <v>2131</v>
      </c>
    </row>
    <row r="2536" spans="1:13">
      <c r="A2536" t="s">
        <v>48</v>
      </c>
      <c r="B2536" t="s">
        <v>15</v>
      </c>
      <c r="C2536" t="s">
        <v>20</v>
      </c>
      <c r="D2536" s="4">
        <v>45474</v>
      </c>
      <c r="E2536" s="5" t="str">
        <f>TEXT(D2536,"dd/mm/yyyy")</f>
        <v>01/07/2024</v>
      </c>
      <c r="F2536" s="4"/>
      <c r="G2536" s="5" t="str">
        <f>TEXT(E2536,"mm")</f>
        <v>01</v>
      </c>
      <c r="H2536" s="6">
        <v>5196.97</v>
      </c>
      <c r="I2536">
        <v>87</v>
      </c>
      <c r="L2536" t="str">
        <f t="shared" si="39"/>
        <v>Below Average</v>
      </c>
      <c r="M2536">
        <f>RANK(H2536,H:H,0)</f>
        <v>1647</v>
      </c>
    </row>
    <row r="2537" spans="1:13">
      <c r="A2537" t="s">
        <v>34</v>
      </c>
      <c r="B2537" t="s">
        <v>7</v>
      </c>
      <c r="C2537" t="s">
        <v>26</v>
      </c>
      <c r="D2537" s="3" t="s">
        <v>315</v>
      </c>
      <c r="E2537" s="5" t="str">
        <f>TEXT(D2537,"dd/mm/yyyy")</f>
        <v>21/02/2024</v>
      </c>
      <c r="G2537" s="5" t="str">
        <f>TEXT(E2537,"mm")</f>
        <v>21/02/2024</v>
      </c>
      <c r="H2537" s="6">
        <v>6654.14</v>
      </c>
      <c r="I2537">
        <v>102</v>
      </c>
      <c r="L2537" t="str">
        <f t="shared" si="39"/>
        <v>Above Average</v>
      </c>
      <c r="M2537">
        <f>RANK(H2537,H:H,0)</f>
        <v>1273</v>
      </c>
    </row>
    <row r="2538" spans="1:13">
      <c r="A2538" t="s">
        <v>83</v>
      </c>
      <c r="B2538" t="s">
        <v>35</v>
      </c>
      <c r="C2538" t="s">
        <v>87</v>
      </c>
      <c r="D2538" s="3" t="s">
        <v>354</v>
      </c>
      <c r="E2538" s="5" t="str">
        <f>TEXT(D2538,"dd/mm/yyyy")</f>
        <v>21/03/2024</v>
      </c>
      <c r="G2538" s="5" t="str">
        <f>TEXT(E2538,"mm")</f>
        <v>21/03/2024</v>
      </c>
      <c r="H2538" s="6">
        <v>8639.19</v>
      </c>
      <c r="I2538">
        <v>402</v>
      </c>
      <c r="L2538" t="str">
        <f t="shared" si="39"/>
        <v>Above Average</v>
      </c>
      <c r="M2538">
        <f>RANK(H2538,H:H,0)</f>
        <v>809</v>
      </c>
    </row>
    <row r="2539" spans="1:13">
      <c r="A2539" t="s">
        <v>9</v>
      </c>
      <c r="B2539" t="s">
        <v>7</v>
      </c>
      <c r="C2539" t="s">
        <v>38</v>
      </c>
      <c r="D2539" s="4">
        <v>45386</v>
      </c>
      <c r="E2539" s="5" t="str">
        <f>TEXT(D2539,"dd/mm/yyyy")</f>
        <v>04/04/2024</v>
      </c>
      <c r="F2539" s="4"/>
      <c r="G2539" s="5" t="str">
        <f>TEXT(E2539,"mm")</f>
        <v>04</v>
      </c>
      <c r="H2539" s="6">
        <v>6397.05</v>
      </c>
      <c r="I2539">
        <v>136</v>
      </c>
      <c r="L2539" t="str">
        <f t="shared" si="39"/>
        <v>Above Average</v>
      </c>
      <c r="M2539">
        <f>RANK(H2539,H:H,0)</f>
        <v>1332</v>
      </c>
    </row>
    <row r="2540" spans="1:13">
      <c r="A2540" t="s">
        <v>22</v>
      </c>
      <c r="B2540" t="s">
        <v>35</v>
      </c>
      <c r="C2540" t="s">
        <v>57</v>
      </c>
      <c r="D2540" s="3" t="s">
        <v>268</v>
      </c>
      <c r="E2540" s="5" t="str">
        <f>TEXT(D2540,"dd/mm/yyyy")</f>
        <v>24/03/2024</v>
      </c>
      <c r="G2540" s="5" t="str">
        <f>TEXT(E2540,"mm")</f>
        <v>24/03/2024</v>
      </c>
      <c r="H2540" s="6">
        <v>14596.37</v>
      </c>
      <c r="I2540">
        <v>196</v>
      </c>
      <c r="L2540" t="str">
        <f t="shared" si="39"/>
        <v>Above Average</v>
      </c>
      <c r="M2540">
        <f>RANK(H2540,H:H,0)</f>
        <v>173</v>
      </c>
    </row>
    <row r="2541" spans="1:13">
      <c r="A2541" t="s">
        <v>22</v>
      </c>
      <c r="B2541" t="s">
        <v>25</v>
      </c>
      <c r="C2541" t="s">
        <v>50</v>
      </c>
      <c r="D2541" s="3" t="s">
        <v>294</v>
      </c>
      <c r="E2541" s="5" t="str">
        <f>TEXT(D2541,"dd/mm/yyyy")</f>
        <v>28/06/2024</v>
      </c>
      <c r="G2541" s="5" t="str">
        <f>TEXT(E2541,"mm")</f>
        <v>28/06/2024</v>
      </c>
      <c r="H2541" s="6">
        <v>7712.91</v>
      </c>
      <c r="I2541">
        <v>192</v>
      </c>
      <c r="L2541" t="str">
        <f t="shared" si="39"/>
        <v>Above Average</v>
      </c>
      <c r="M2541">
        <f>RANK(H2541,H:H,0)</f>
        <v>1014</v>
      </c>
    </row>
    <row r="2542" spans="1:13">
      <c r="A2542" t="s">
        <v>22</v>
      </c>
      <c r="B2542" t="s">
        <v>15</v>
      </c>
      <c r="C2542" t="s">
        <v>38</v>
      </c>
      <c r="D2542" s="3" t="s">
        <v>328</v>
      </c>
      <c r="E2542" s="5" t="str">
        <f>TEXT(D2542,"dd/mm/yyyy")</f>
        <v>14/01/2024</v>
      </c>
      <c r="G2542" s="5" t="str">
        <f>TEXT(E2542,"mm")</f>
        <v>14/01/2024</v>
      </c>
      <c r="H2542" s="6">
        <v>2456.77</v>
      </c>
      <c r="I2542">
        <v>188</v>
      </c>
      <c r="L2542" t="str">
        <f t="shared" si="39"/>
        <v>Below Average</v>
      </c>
      <c r="M2542">
        <f>RANK(H2542,H:H,0)</f>
        <v>2491</v>
      </c>
    </row>
    <row r="2543" spans="1:13">
      <c r="A2543" t="s">
        <v>37</v>
      </c>
      <c r="B2543" t="s">
        <v>25</v>
      </c>
      <c r="C2543" t="s">
        <v>57</v>
      </c>
      <c r="D2543" s="4">
        <v>45475</v>
      </c>
      <c r="E2543" s="5" t="str">
        <f>TEXT(D2543,"dd/mm/yyyy")</f>
        <v>02/07/2024</v>
      </c>
      <c r="F2543" s="4"/>
      <c r="G2543" s="5" t="str">
        <f>TEXT(E2543,"mm")</f>
        <v>02</v>
      </c>
      <c r="H2543" s="6">
        <v>1435.27</v>
      </c>
      <c r="I2543">
        <v>138</v>
      </c>
      <c r="L2543" t="str">
        <f t="shared" si="39"/>
        <v>Below Average</v>
      </c>
      <c r="M2543">
        <f>RANK(H2543,H:H,0)</f>
        <v>2826</v>
      </c>
    </row>
    <row r="2544" spans="1:13">
      <c r="A2544" t="s">
        <v>58</v>
      </c>
      <c r="B2544" t="s">
        <v>25</v>
      </c>
      <c r="C2544" t="s">
        <v>38</v>
      </c>
      <c r="D2544" s="4">
        <v>45597</v>
      </c>
      <c r="E2544" s="5" t="str">
        <f>TEXT(D2544,"dd/mm/yyyy")</f>
        <v>01/11/2024</v>
      </c>
      <c r="F2544" s="4"/>
      <c r="G2544" s="5" t="str">
        <f>TEXT(E2544,"mm")</f>
        <v>01</v>
      </c>
      <c r="H2544" s="6">
        <v>4324.4799999999996</v>
      </c>
      <c r="I2544">
        <v>202</v>
      </c>
      <c r="L2544" t="str">
        <f t="shared" si="39"/>
        <v>Below Average</v>
      </c>
      <c r="M2544">
        <f>RANK(H2544,H:H,0)</f>
        <v>1901</v>
      </c>
    </row>
    <row r="2545" spans="1:13">
      <c r="A2545" t="s">
        <v>6</v>
      </c>
      <c r="B2545" t="s">
        <v>10</v>
      </c>
      <c r="C2545" t="s">
        <v>20</v>
      </c>
      <c r="D2545" s="3" t="s">
        <v>310</v>
      </c>
      <c r="E2545" s="5" t="str">
        <f>TEXT(D2545,"dd/mm/yyyy")</f>
        <v>25/02/2024</v>
      </c>
      <c r="G2545" s="5" t="str">
        <f>TEXT(E2545,"mm")</f>
        <v>25/02/2024</v>
      </c>
      <c r="H2545" s="6">
        <v>2207.7600000000002</v>
      </c>
      <c r="I2545">
        <v>247</v>
      </c>
      <c r="L2545" t="str">
        <f t="shared" si="39"/>
        <v>Below Average</v>
      </c>
      <c r="M2545">
        <f>RANK(H2545,H:H,0)</f>
        <v>2576</v>
      </c>
    </row>
    <row r="2546" spans="1:13">
      <c r="A2546" t="s">
        <v>79</v>
      </c>
      <c r="B2546" t="s">
        <v>15</v>
      </c>
      <c r="C2546" t="s">
        <v>8</v>
      </c>
      <c r="D2546" s="4">
        <v>45299</v>
      </c>
      <c r="E2546" s="5" t="str">
        <f>TEXT(D2546,"dd/mm/yyyy")</f>
        <v>08/01/2024</v>
      </c>
      <c r="F2546" s="4"/>
      <c r="G2546" s="5" t="str">
        <f>TEXT(E2546,"mm")</f>
        <v>08</v>
      </c>
      <c r="H2546" s="6">
        <v>7571.51</v>
      </c>
      <c r="I2546">
        <v>26</v>
      </c>
      <c r="L2546" t="str">
        <f t="shared" si="39"/>
        <v>Above Average</v>
      </c>
      <c r="M2546">
        <f>RANK(H2546,H:H,0)</f>
        <v>1050</v>
      </c>
    </row>
    <row r="2547" spans="1:13">
      <c r="A2547" t="s">
        <v>45</v>
      </c>
      <c r="B2547" t="s">
        <v>15</v>
      </c>
      <c r="C2547" t="s">
        <v>8</v>
      </c>
      <c r="D2547" s="4">
        <v>45417</v>
      </c>
      <c r="E2547" s="5" t="str">
        <f>TEXT(D2547,"dd/mm/yyyy")</f>
        <v>05/05/2024</v>
      </c>
      <c r="F2547" s="4"/>
      <c r="G2547" s="5" t="str">
        <f>TEXT(E2547,"mm")</f>
        <v>05</v>
      </c>
      <c r="H2547" s="6">
        <v>7189.76</v>
      </c>
      <c r="I2547">
        <v>262</v>
      </c>
      <c r="L2547" t="str">
        <f t="shared" si="39"/>
        <v>Above Average</v>
      </c>
      <c r="M2547">
        <f>RANK(H2547,H:H,0)</f>
        <v>1135</v>
      </c>
    </row>
    <row r="2548" spans="1:13">
      <c r="A2548" t="s">
        <v>77</v>
      </c>
      <c r="B2548" t="s">
        <v>25</v>
      </c>
      <c r="C2548" t="s">
        <v>73</v>
      </c>
      <c r="D2548" s="3" t="s">
        <v>293</v>
      </c>
      <c r="E2548" s="5" t="str">
        <f>TEXT(D2548,"dd/mm/yyyy")</f>
        <v>18/05/2024</v>
      </c>
      <c r="G2548" s="5" t="str">
        <f>TEXT(E2548,"mm")</f>
        <v>18/05/2024</v>
      </c>
      <c r="H2548" s="6">
        <v>10858.21</v>
      </c>
      <c r="I2548">
        <v>451</v>
      </c>
      <c r="L2548" t="str">
        <f t="shared" si="39"/>
        <v>Above Average</v>
      </c>
      <c r="M2548">
        <f>RANK(H2548,H:H,0)</f>
        <v>460</v>
      </c>
    </row>
    <row r="2549" spans="1:13">
      <c r="A2549" t="s">
        <v>79</v>
      </c>
      <c r="B2549" t="s">
        <v>25</v>
      </c>
      <c r="C2549" t="s">
        <v>75</v>
      </c>
      <c r="D2549" s="4">
        <v>45383</v>
      </c>
      <c r="E2549" s="5" t="str">
        <f>TEXT(D2549,"dd/mm/yyyy")</f>
        <v>01/04/2024</v>
      </c>
      <c r="F2549" s="4"/>
      <c r="G2549" s="5" t="str">
        <f>TEXT(E2549,"mm")</f>
        <v>01</v>
      </c>
      <c r="H2549" s="6">
        <v>6524.65</v>
      </c>
      <c r="I2549">
        <v>369</v>
      </c>
      <c r="L2549" t="str">
        <f t="shared" si="39"/>
        <v>Above Average</v>
      </c>
      <c r="M2549">
        <f>RANK(H2549,H:H,0)</f>
        <v>1301</v>
      </c>
    </row>
    <row r="2550" spans="1:13">
      <c r="A2550" t="s">
        <v>45</v>
      </c>
      <c r="B2550" t="s">
        <v>25</v>
      </c>
      <c r="C2550" t="s">
        <v>26</v>
      </c>
      <c r="D2550" s="4">
        <v>45540</v>
      </c>
      <c r="E2550" s="5" t="str">
        <f>TEXT(D2550,"dd/mm/yyyy")</f>
        <v>05/09/2024</v>
      </c>
      <c r="F2550" s="4"/>
      <c r="G2550" s="5" t="str">
        <f>TEXT(E2550,"mm")</f>
        <v>05</v>
      </c>
      <c r="H2550" s="6">
        <v>4624.45</v>
      </c>
      <c r="I2550">
        <v>212</v>
      </c>
      <c r="L2550" t="str">
        <f t="shared" si="39"/>
        <v>Below Average</v>
      </c>
      <c r="M2550">
        <f>RANK(H2550,H:H,0)</f>
        <v>1817</v>
      </c>
    </row>
    <row r="2551" spans="1:13">
      <c r="A2551" t="s">
        <v>29</v>
      </c>
      <c r="B2551" t="s">
        <v>10</v>
      </c>
      <c r="C2551" t="s">
        <v>18</v>
      </c>
      <c r="D2551" s="4">
        <v>45448</v>
      </c>
      <c r="E2551" s="5" t="str">
        <f>TEXT(D2551,"dd/mm/yyyy")</f>
        <v>05/06/2024</v>
      </c>
      <c r="F2551" s="4"/>
      <c r="G2551" s="5" t="str">
        <f>TEXT(E2551,"mm")</f>
        <v>05</v>
      </c>
      <c r="H2551" s="6">
        <v>1961.82</v>
      </c>
      <c r="I2551">
        <v>80</v>
      </c>
      <c r="L2551" t="str">
        <f t="shared" si="39"/>
        <v>Below Average</v>
      </c>
      <c r="M2551">
        <f>RANK(H2551,H:H,0)</f>
        <v>2643</v>
      </c>
    </row>
    <row r="2552" spans="1:13">
      <c r="A2552" t="s">
        <v>53</v>
      </c>
      <c r="B2552" t="s">
        <v>7</v>
      </c>
      <c r="C2552" t="s">
        <v>59</v>
      </c>
      <c r="D2552" s="3" t="s">
        <v>270</v>
      </c>
      <c r="E2552" s="5" t="str">
        <f>TEXT(D2552,"dd/mm/yyyy")</f>
        <v>13/01/2024</v>
      </c>
      <c r="G2552" s="5" t="str">
        <f>TEXT(E2552,"mm")</f>
        <v>13/01/2024</v>
      </c>
      <c r="H2552" s="6">
        <v>12782.63</v>
      </c>
      <c r="I2552">
        <v>158</v>
      </c>
      <c r="L2552" t="str">
        <f t="shared" si="39"/>
        <v>Above Average</v>
      </c>
      <c r="M2552">
        <f>RANK(H2552,H:H,0)</f>
        <v>278</v>
      </c>
    </row>
    <row r="2553" spans="1:13">
      <c r="A2553" t="s">
        <v>45</v>
      </c>
      <c r="B2553" t="s">
        <v>15</v>
      </c>
      <c r="C2553" t="s">
        <v>65</v>
      </c>
      <c r="D2553" s="3" t="s">
        <v>349</v>
      </c>
      <c r="E2553" s="5" t="str">
        <f>TEXT(D2553,"dd/mm/yyyy")</f>
        <v>24/06/2024</v>
      </c>
      <c r="G2553" s="5" t="str">
        <f>TEXT(E2553,"mm")</f>
        <v>24/06/2024</v>
      </c>
      <c r="H2553" s="6">
        <v>4928.3</v>
      </c>
      <c r="I2553">
        <v>71</v>
      </c>
      <c r="L2553" t="str">
        <f t="shared" si="39"/>
        <v>Below Average</v>
      </c>
      <c r="M2553">
        <f>RANK(H2553,H:H,0)</f>
        <v>1722</v>
      </c>
    </row>
    <row r="2554" spans="1:13">
      <c r="A2554" t="s">
        <v>9</v>
      </c>
      <c r="B2554" t="s">
        <v>32</v>
      </c>
      <c r="C2554" t="s">
        <v>90</v>
      </c>
      <c r="D2554" s="3" t="s">
        <v>273</v>
      </c>
      <c r="E2554" s="5" t="str">
        <f>TEXT(D2554,"dd/mm/yyyy")</f>
        <v>14/02/2024</v>
      </c>
      <c r="G2554" s="5" t="str">
        <f>TEXT(E2554,"mm")</f>
        <v>14/02/2024</v>
      </c>
      <c r="H2554" s="6">
        <v>1115.8399999999999</v>
      </c>
      <c r="I2554">
        <v>22</v>
      </c>
      <c r="L2554" t="str">
        <f t="shared" si="39"/>
        <v>Below Average</v>
      </c>
      <c r="M2554">
        <f>RANK(H2554,H:H,0)</f>
        <v>2935</v>
      </c>
    </row>
    <row r="2555" spans="1:13">
      <c r="A2555" t="s">
        <v>71</v>
      </c>
      <c r="B2555" t="s">
        <v>15</v>
      </c>
      <c r="C2555" t="s">
        <v>20</v>
      </c>
      <c r="D2555" s="3" t="s">
        <v>321</v>
      </c>
      <c r="E2555" s="5" t="str">
        <f>TEXT(D2555,"dd/mm/yyyy")</f>
        <v>18/01/2024</v>
      </c>
      <c r="G2555" s="5" t="str">
        <f>TEXT(E2555,"mm")</f>
        <v>18/01/2024</v>
      </c>
      <c r="H2555" s="6">
        <v>5346.62</v>
      </c>
      <c r="I2555">
        <v>109</v>
      </c>
      <c r="L2555" t="str">
        <f t="shared" si="39"/>
        <v>Below Average</v>
      </c>
      <c r="M2555">
        <f>RANK(H2555,H:H,0)</f>
        <v>1602</v>
      </c>
    </row>
    <row r="2556" spans="1:13">
      <c r="A2556" t="s">
        <v>55</v>
      </c>
      <c r="B2556" t="s">
        <v>10</v>
      </c>
      <c r="C2556" t="s">
        <v>46</v>
      </c>
      <c r="D2556" s="4">
        <v>45327</v>
      </c>
      <c r="E2556" s="5" t="str">
        <f>TEXT(D2556,"dd/mm/yyyy")</f>
        <v>05/02/2024</v>
      </c>
      <c r="F2556" s="4"/>
      <c r="G2556" s="5" t="str">
        <f>TEXT(E2556,"mm")</f>
        <v>05</v>
      </c>
      <c r="H2556" s="6">
        <v>3168.11</v>
      </c>
      <c r="I2556">
        <v>93</v>
      </c>
      <c r="L2556" t="str">
        <f t="shared" si="39"/>
        <v>Below Average</v>
      </c>
      <c r="M2556">
        <f>RANK(H2556,H:H,0)</f>
        <v>2248</v>
      </c>
    </row>
    <row r="2557" spans="1:13">
      <c r="A2557" t="s">
        <v>83</v>
      </c>
      <c r="B2557" t="s">
        <v>15</v>
      </c>
      <c r="C2557" t="s">
        <v>18</v>
      </c>
      <c r="D2557" s="3" t="s">
        <v>295</v>
      </c>
      <c r="E2557" s="5" t="str">
        <f>TEXT(D2557,"dd/mm/yyyy")</f>
        <v>16/05/2024</v>
      </c>
      <c r="G2557" s="5" t="str">
        <f>TEXT(E2557,"mm")</f>
        <v>16/05/2024</v>
      </c>
      <c r="H2557" s="6">
        <v>9007.92</v>
      </c>
      <c r="I2557">
        <v>52</v>
      </c>
      <c r="L2557" t="str">
        <f t="shared" si="39"/>
        <v>Above Average</v>
      </c>
      <c r="M2557">
        <f>RANK(H2557,H:H,0)</f>
        <v>736</v>
      </c>
    </row>
    <row r="2558" spans="1:13">
      <c r="A2558" t="s">
        <v>34</v>
      </c>
      <c r="B2558" t="s">
        <v>32</v>
      </c>
      <c r="C2558" t="s">
        <v>65</v>
      </c>
      <c r="D2558" s="3" t="s">
        <v>313</v>
      </c>
      <c r="E2558" s="5" t="str">
        <f>TEXT(D2558,"dd/mm/yyyy")</f>
        <v>28/01/2024</v>
      </c>
      <c r="G2558" s="5" t="str">
        <f>TEXT(E2558,"mm")</f>
        <v>28/01/2024</v>
      </c>
      <c r="H2558" s="6">
        <v>7400.07</v>
      </c>
      <c r="I2558">
        <v>383</v>
      </c>
      <c r="L2558" t="str">
        <f t="shared" si="39"/>
        <v>Above Average</v>
      </c>
      <c r="M2558">
        <f>RANK(H2558,H:H,0)</f>
        <v>1090</v>
      </c>
    </row>
    <row r="2559" spans="1:13">
      <c r="A2559" t="s">
        <v>55</v>
      </c>
      <c r="B2559" t="s">
        <v>35</v>
      </c>
      <c r="C2559" t="s">
        <v>20</v>
      </c>
      <c r="D2559" s="3" t="s">
        <v>349</v>
      </c>
      <c r="E2559" s="5" t="str">
        <f>TEXT(D2559,"dd/mm/yyyy")</f>
        <v>24/06/2024</v>
      </c>
      <c r="G2559" s="5" t="str">
        <f>TEXT(E2559,"mm")</f>
        <v>24/06/2024</v>
      </c>
      <c r="H2559" s="6">
        <v>1420.22</v>
      </c>
      <c r="I2559">
        <v>422</v>
      </c>
      <c r="L2559" t="str">
        <f t="shared" si="39"/>
        <v>Below Average</v>
      </c>
      <c r="M2559">
        <f>RANK(H2559,H:H,0)</f>
        <v>2832</v>
      </c>
    </row>
    <row r="2560" spans="1:13">
      <c r="A2560" t="s">
        <v>19</v>
      </c>
      <c r="B2560" t="s">
        <v>7</v>
      </c>
      <c r="C2560" t="s">
        <v>23</v>
      </c>
      <c r="D2560" s="3" t="s">
        <v>351</v>
      </c>
      <c r="E2560" s="5" t="str">
        <f>TEXT(D2560,"dd/mm/yyyy")</f>
        <v>18/07/2024</v>
      </c>
      <c r="G2560" s="5" t="str">
        <f>TEXT(E2560,"mm")</f>
        <v>18/07/2024</v>
      </c>
      <c r="H2560" s="6">
        <v>2555.9499999999998</v>
      </c>
      <c r="I2560">
        <v>109</v>
      </c>
      <c r="L2560" t="str">
        <f t="shared" si="39"/>
        <v>Below Average</v>
      </c>
      <c r="M2560">
        <f>RANK(H2560,H:H,0)</f>
        <v>2451</v>
      </c>
    </row>
    <row r="2561" spans="1:13">
      <c r="A2561" t="s">
        <v>22</v>
      </c>
      <c r="B2561" t="s">
        <v>7</v>
      </c>
      <c r="C2561" t="s">
        <v>36</v>
      </c>
      <c r="D2561" s="3" t="s">
        <v>327</v>
      </c>
      <c r="E2561" s="5" t="str">
        <f>TEXT(D2561,"dd/mm/yyyy")</f>
        <v>13/04/2024</v>
      </c>
      <c r="G2561" s="5" t="str">
        <f>TEXT(E2561,"mm")</f>
        <v>13/04/2024</v>
      </c>
      <c r="H2561" s="6">
        <v>4059.65</v>
      </c>
      <c r="I2561">
        <v>175</v>
      </c>
      <c r="L2561" t="str">
        <f t="shared" si="39"/>
        <v>Below Average</v>
      </c>
      <c r="M2561">
        <f>RANK(H2561,H:H,0)</f>
        <v>1966</v>
      </c>
    </row>
    <row r="2562" spans="1:13">
      <c r="A2562" t="s">
        <v>79</v>
      </c>
      <c r="B2562" t="s">
        <v>32</v>
      </c>
      <c r="C2562" t="s">
        <v>90</v>
      </c>
      <c r="D2562" s="3" t="s">
        <v>287</v>
      </c>
      <c r="E2562" s="5" t="str">
        <f>TEXT(D2562,"dd/mm/yyyy")</f>
        <v>15/04/2024</v>
      </c>
      <c r="G2562" s="5" t="str">
        <f>TEXT(E2562,"mm")</f>
        <v>15/04/2024</v>
      </c>
      <c r="H2562" s="6">
        <v>18581.37</v>
      </c>
      <c r="I2562">
        <v>83</v>
      </c>
      <c r="L2562" t="str">
        <f t="shared" si="39"/>
        <v>Above Average</v>
      </c>
      <c r="M2562">
        <f>RANK(H2562,H:H,0)</f>
        <v>33</v>
      </c>
    </row>
    <row r="2563" spans="1:13">
      <c r="A2563" t="s">
        <v>14</v>
      </c>
      <c r="B2563" t="s">
        <v>10</v>
      </c>
      <c r="C2563" t="s">
        <v>13</v>
      </c>
      <c r="D2563" s="4">
        <v>45383</v>
      </c>
      <c r="E2563" s="5" t="str">
        <f>TEXT(D2563,"dd/mm/yyyy")</f>
        <v>01/04/2024</v>
      </c>
      <c r="F2563" s="4"/>
      <c r="G2563" s="5" t="str">
        <f>TEXT(E2563,"mm")</f>
        <v>01</v>
      </c>
      <c r="H2563" s="6">
        <v>8813.58</v>
      </c>
      <c r="I2563">
        <v>182</v>
      </c>
      <c r="L2563" t="str">
        <f t="shared" ref="L2563:L2626" si="40">IF(H2563&gt;6030.34,"Above Average","Below Average")</f>
        <v>Above Average</v>
      </c>
      <c r="M2563">
        <f>RANK(H2563,H:H,0)</f>
        <v>778</v>
      </c>
    </row>
    <row r="2564" spans="1:13">
      <c r="A2564" t="s">
        <v>53</v>
      </c>
      <c r="B2564" t="s">
        <v>15</v>
      </c>
      <c r="C2564" t="s">
        <v>36</v>
      </c>
      <c r="D2564" s="4">
        <v>45389</v>
      </c>
      <c r="E2564" s="5" t="str">
        <f>TEXT(D2564,"dd/mm/yyyy")</f>
        <v>07/04/2024</v>
      </c>
      <c r="F2564" s="4"/>
      <c r="G2564" s="5" t="str">
        <f>TEXT(E2564,"mm")</f>
        <v>07</v>
      </c>
      <c r="H2564" s="6">
        <v>7914.74</v>
      </c>
      <c r="I2564">
        <v>31</v>
      </c>
      <c r="L2564" t="str">
        <f t="shared" si="40"/>
        <v>Above Average</v>
      </c>
      <c r="M2564">
        <f>RANK(H2564,H:H,0)</f>
        <v>961</v>
      </c>
    </row>
    <row r="2565" spans="1:13">
      <c r="A2565" t="s">
        <v>41</v>
      </c>
      <c r="B2565" t="s">
        <v>32</v>
      </c>
      <c r="C2565" t="s">
        <v>18</v>
      </c>
      <c r="D2565" s="3" t="s">
        <v>268</v>
      </c>
      <c r="E2565" s="5" t="str">
        <f>TEXT(D2565,"dd/mm/yyyy")</f>
        <v>24/03/2024</v>
      </c>
      <c r="G2565" s="5" t="str">
        <f>TEXT(E2565,"mm")</f>
        <v>24/03/2024</v>
      </c>
      <c r="H2565" s="6">
        <v>2787.72</v>
      </c>
      <c r="I2565">
        <v>342</v>
      </c>
      <c r="L2565" t="str">
        <f t="shared" si="40"/>
        <v>Below Average</v>
      </c>
      <c r="M2565">
        <f>RANK(H2565,H:H,0)</f>
        <v>2379</v>
      </c>
    </row>
    <row r="2566" spans="1:13">
      <c r="A2566" t="s">
        <v>71</v>
      </c>
      <c r="B2566" t="s">
        <v>15</v>
      </c>
      <c r="C2566" t="s">
        <v>60</v>
      </c>
      <c r="D2566" s="3" t="s">
        <v>329</v>
      </c>
      <c r="E2566" s="5" t="str">
        <f>TEXT(D2566,"dd/mm/yyyy")</f>
        <v>17/03/2024</v>
      </c>
      <c r="G2566" s="5" t="str">
        <f>TEXT(E2566,"mm")</f>
        <v>17/03/2024</v>
      </c>
      <c r="H2566" s="6">
        <v>681.71</v>
      </c>
      <c r="I2566">
        <v>170</v>
      </c>
      <c r="L2566" t="str">
        <f t="shared" si="40"/>
        <v>Below Average</v>
      </c>
      <c r="M2566">
        <f>RANK(H2566,H:H,0)</f>
        <v>3071</v>
      </c>
    </row>
    <row r="2567" spans="1:13">
      <c r="A2567" t="s">
        <v>19</v>
      </c>
      <c r="B2567" t="s">
        <v>15</v>
      </c>
      <c r="C2567" t="s">
        <v>65</v>
      </c>
      <c r="D2567" s="3" t="s">
        <v>355</v>
      </c>
      <c r="E2567" s="5" t="str">
        <f>TEXT(D2567,"dd/mm/yyyy")</f>
        <v>15/02/2024</v>
      </c>
      <c r="G2567" s="5" t="str">
        <f>TEXT(E2567,"mm")</f>
        <v>15/02/2024</v>
      </c>
      <c r="H2567" s="6">
        <v>6827.53</v>
      </c>
      <c r="I2567">
        <v>241</v>
      </c>
      <c r="L2567" t="str">
        <f t="shared" si="40"/>
        <v>Above Average</v>
      </c>
      <c r="M2567">
        <f>RANK(H2567,H:H,0)</f>
        <v>1230</v>
      </c>
    </row>
    <row r="2568" spans="1:13">
      <c r="A2568" t="s">
        <v>14</v>
      </c>
      <c r="B2568" t="s">
        <v>32</v>
      </c>
      <c r="C2568" t="s">
        <v>33</v>
      </c>
      <c r="D2568" s="3" t="s">
        <v>282</v>
      </c>
      <c r="E2568" s="5" t="str">
        <f>TEXT(D2568,"dd/mm/yyyy")</f>
        <v>29/06/2024</v>
      </c>
      <c r="G2568" s="5" t="str">
        <f>TEXT(E2568,"mm")</f>
        <v>29/06/2024</v>
      </c>
      <c r="H2568" s="6">
        <v>1082</v>
      </c>
      <c r="I2568">
        <v>158</v>
      </c>
      <c r="L2568" t="str">
        <f t="shared" si="40"/>
        <v>Below Average</v>
      </c>
      <c r="M2568">
        <f>RANK(H2568,H:H,0)</f>
        <v>2949</v>
      </c>
    </row>
    <row r="2569" spans="1:13">
      <c r="A2569" t="s">
        <v>12</v>
      </c>
      <c r="B2569" t="s">
        <v>32</v>
      </c>
      <c r="C2569" t="s">
        <v>57</v>
      </c>
      <c r="D2569" s="3" t="s">
        <v>281</v>
      </c>
      <c r="E2569" s="5" t="str">
        <f>TEXT(D2569,"dd/mm/yyyy")</f>
        <v>24/05/2024</v>
      </c>
      <c r="G2569" s="5" t="str">
        <f>TEXT(E2569,"mm")</f>
        <v>24/05/2024</v>
      </c>
      <c r="H2569" s="6">
        <v>2966.98</v>
      </c>
      <c r="I2569">
        <v>121</v>
      </c>
      <c r="L2569" t="str">
        <f t="shared" si="40"/>
        <v>Below Average</v>
      </c>
      <c r="M2569">
        <f>RANK(H2569,H:H,0)</f>
        <v>2319</v>
      </c>
    </row>
    <row r="2570" spans="1:13">
      <c r="A2570" t="s">
        <v>34</v>
      </c>
      <c r="B2570" t="s">
        <v>7</v>
      </c>
      <c r="C2570" t="s">
        <v>46</v>
      </c>
      <c r="D2570" s="4">
        <v>45566</v>
      </c>
      <c r="E2570" s="5" t="str">
        <f>TEXT(D2570,"dd/mm/yyyy")</f>
        <v>01/10/2024</v>
      </c>
      <c r="F2570" s="4"/>
      <c r="G2570" s="5" t="str">
        <f>TEXT(E2570,"mm")</f>
        <v>01</v>
      </c>
      <c r="H2570" s="6">
        <v>3951.74</v>
      </c>
      <c r="I2570">
        <v>287</v>
      </c>
      <c r="L2570" t="str">
        <f t="shared" si="40"/>
        <v>Below Average</v>
      </c>
      <c r="M2570">
        <f>RANK(H2570,H:H,0)</f>
        <v>1999</v>
      </c>
    </row>
    <row r="2571" spans="1:13">
      <c r="A2571" t="s">
        <v>48</v>
      </c>
      <c r="B2571" t="s">
        <v>32</v>
      </c>
      <c r="C2571" t="s">
        <v>73</v>
      </c>
      <c r="D2571" s="3" t="s">
        <v>337</v>
      </c>
      <c r="E2571" s="5" t="str">
        <f>TEXT(D2571,"dd/mm/yyyy")</f>
        <v>15/03/2024</v>
      </c>
      <c r="G2571" s="5" t="str">
        <f>TEXT(E2571,"mm")</f>
        <v>15/03/2024</v>
      </c>
      <c r="H2571" s="6">
        <v>3151.23</v>
      </c>
      <c r="I2571">
        <v>144</v>
      </c>
      <c r="L2571" t="str">
        <f t="shared" si="40"/>
        <v>Below Average</v>
      </c>
      <c r="M2571">
        <f>RANK(H2571,H:H,0)</f>
        <v>2253</v>
      </c>
    </row>
    <row r="2572" spans="1:13">
      <c r="A2572" t="s">
        <v>40</v>
      </c>
      <c r="B2572" t="s">
        <v>35</v>
      </c>
      <c r="C2572" t="s">
        <v>46</v>
      </c>
      <c r="D2572" s="4">
        <v>45506</v>
      </c>
      <c r="E2572" s="5" t="str">
        <f>TEXT(D2572,"dd/mm/yyyy")</f>
        <v>02/08/2024</v>
      </c>
      <c r="F2572" s="4"/>
      <c r="G2572" s="5" t="str">
        <f>TEXT(E2572,"mm")</f>
        <v>02</v>
      </c>
      <c r="H2572" s="6">
        <v>2672.67</v>
      </c>
      <c r="I2572">
        <v>317</v>
      </c>
      <c r="L2572" t="str">
        <f t="shared" si="40"/>
        <v>Below Average</v>
      </c>
      <c r="M2572">
        <f>RANK(H2572,H:H,0)</f>
        <v>2414</v>
      </c>
    </row>
    <row r="2573" spans="1:13">
      <c r="A2573" t="s">
        <v>28</v>
      </c>
      <c r="B2573" t="s">
        <v>10</v>
      </c>
      <c r="C2573" t="s">
        <v>90</v>
      </c>
      <c r="D2573" s="3" t="s">
        <v>310</v>
      </c>
      <c r="E2573" s="5" t="str">
        <f>TEXT(D2573,"dd/mm/yyyy")</f>
        <v>25/02/2024</v>
      </c>
      <c r="G2573" s="5" t="str">
        <f>TEXT(E2573,"mm")</f>
        <v>25/02/2024</v>
      </c>
      <c r="H2573" s="6">
        <v>1742.37</v>
      </c>
      <c r="I2573">
        <v>106</v>
      </c>
      <c r="L2573" t="str">
        <f t="shared" si="40"/>
        <v>Below Average</v>
      </c>
      <c r="M2573">
        <f>RANK(H2573,H:H,0)</f>
        <v>2718</v>
      </c>
    </row>
    <row r="2574" spans="1:13">
      <c r="A2574" t="s">
        <v>22</v>
      </c>
      <c r="B2574" t="s">
        <v>32</v>
      </c>
      <c r="C2574" t="s">
        <v>36</v>
      </c>
      <c r="D2574" s="4">
        <v>45356</v>
      </c>
      <c r="E2574" s="5" t="str">
        <f>TEXT(D2574,"dd/mm/yyyy")</f>
        <v>05/03/2024</v>
      </c>
      <c r="F2574" s="4"/>
      <c r="G2574" s="5" t="str">
        <f>TEXT(E2574,"mm")</f>
        <v>05</v>
      </c>
      <c r="H2574" s="6">
        <v>7301.31</v>
      </c>
      <c r="I2574">
        <v>42</v>
      </c>
      <c r="L2574" t="str">
        <f t="shared" si="40"/>
        <v>Above Average</v>
      </c>
      <c r="M2574">
        <f>RANK(H2574,H:H,0)</f>
        <v>1110</v>
      </c>
    </row>
    <row r="2575" spans="1:13">
      <c r="A2575" t="s">
        <v>45</v>
      </c>
      <c r="B2575" t="s">
        <v>32</v>
      </c>
      <c r="C2575" t="s">
        <v>57</v>
      </c>
      <c r="D2575" s="3" t="s">
        <v>333</v>
      </c>
      <c r="E2575" s="5" t="str">
        <f>TEXT(D2575,"dd/mm/yyyy")</f>
        <v>14/06/2024</v>
      </c>
      <c r="G2575" s="5" t="str">
        <f>TEXT(E2575,"mm")</f>
        <v>14/06/2024</v>
      </c>
      <c r="H2575" s="6">
        <v>6322.14</v>
      </c>
      <c r="I2575">
        <v>26</v>
      </c>
      <c r="L2575" t="str">
        <f t="shared" si="40"/>
        <v>Above Average</v>
      </c>
      <c r="M2575">
        <f>RANK(H2575,H:H,0)</f>
        <v>1349</v>
      </c>
    </row>
    <row r="2576" spans="1:13">
      <c r="A2576" t="s">
        <v>22</v>
      </c>
      <c r="B2576" t="s">
        <v>10</v>
      </c>
      <c r="C2576" t="s">
        <v>26</v>
      </c>
      <c r="D2576" s="4">
        <v>45543</v>
      </c>
      <c r="E2576" s="5" t="str">
        <f>TEXT(D2576,"dd/mm/yyyy")</f>
        <v>08/09/2024</v>
      </c>
      <c r="F2576" s="4"/>
      <c r="G2576" s="5" t="str">
        <f>TEXT(E2576,"mm")</f>
        <v>08</v>
      </c>
      <c r="H2576" s="6">
        <v>13731.44</v>
      </c>
      <c r="I2576">
        <v>82</v>
      </c>
      <c r="L2576" t="str">
        <f t="shared" si="40"/>
        <v>Above Average</v>
      </c>
      <c r="M2576">
        <f>RANK(H2576,H:H,0)</f>
        <v>218</v>
      </c>
    </row>
    <row r="2577" spans="1:13">
      <c r="A2577" t="s">
        <v>64</v>
      </c>
      <c r="B2577" t="s">
        <v>25</v>
      </c>
      <c r="C2577" t="s">
        <v>60</v>
      </c>
      <c r="D2577" s="4">
        <v>45603</v>
      </c>
      <c r="E2577" s="5" t="str">
        <f>TEXT(D2577,"dd/mm/yyyy")</f>
        <v>07/11/2024</v>
      </c>
      <c r="F2577" s="4"/>
      <c r="G2577" s="5" t="str">
        <f>TEXT(E2577,"mm")</f>
        <v>07</v>
      </c>
      <c r="H2577" s="6">
        <v>4051.88</v>
      </c>
      <c r="I2577">
        <v>253</v>
      </c>
      <c r="L2577" t="str">
        <f t="shared" si="40"/>
        <v>Below Average</v>
      </c>
      <c r="M2577">
        <f>RANK(H2577,H:H,0)</f>
        <v>1969</v>
      </c>
    </row>
    <row r="2578" spans="1:13">
      <c r="A2578" t="s">
        <v>55</v>
      </c>
      <c r="B2578" t="s">
        <v>7</v>
      </c>
      <c r="C2578" t="s">
        <v>60</v>
      </c>
      <c r="D2578" s="3" t="s">
        <v>328</v>
      </c>
      <c r="E2578" s="5" t="str">
        <f>TEXT(D2578,"dd/mm/yyyy")</f>
        <v>14/01/2024</v>
      </c>
      <c r="G2578" s="5" t="str">
        <f>TEXT(E2578,"mm")</f>
        <v>14/01/2024</v>
      </c>
      <c r="H2578" s="6">
        <v>8474.69</v>
      </c>
      <c r="I2578">
        <v>115</v>
      </c>
      <c r="L2578" t="str">
        <f t="shared" si="40"/>
        <v>Above Average</v>
      </c>
      <c r="M2578">
        <f>RANK(H2578,H:H,0)</f>
        <v>841</v>
      </c>
    </row>
    <row r="2579" spans="1:13">
      <c r="A2579" t="s">
        <v>9</v>
      </c>
      <c r="B2579" t="s">
        <v>35</v>
      </c>
      <c r="C2579" t="s">
        <v>60</v>
      </c>
      <c r="D2579" s="3" t="s">
        <v>266</v>
      </c>
      <c r="E2579" s="5" t="str">
        <f>TEXT(D2579,"dd/mm/yyyy")</f>
        <v>24/02/2024</v>
      </c>
      <c r="G2579" s="5" t="str">
        <f>TEXT(E2579,"mm")</f>
        <v>24/02/2024</v>
      </c>
      <c r="H2579" s="6">
        <v>9426.56</v>
      </c>
      <c r="I2579">
        <v>49</v>
      </c>
      <c r="L2579" t="str">
        <f t="shared" si="40"/>
        <v>Above Average</v>
      </c>
      <c r="M2579">
        <f>RANK(H2579,H:H,0)</f>
        <v>669</v>
      </c>
    </row>
    <row r="2580" spans="1:13">
      <c r="A2580" t="s">
        <v>64</v>
      </c>
      <c r="B2580" t="s">
        <v>25</v>
      </c>
      <c r="C2580" t="s">
        <v>65</v>
      </c>
      <c r="D2580" s="3" t="s">
        <v>337</v>
      </c>
      <c r="E2580" s="5" t="str">
        <f>TEXT(D2580,"dd/mm/yyyy")</f>
        <v>15/03/2024</v>
      </c>
      <c r="G2580" s="5" t="str">
        <f>TEXT(E2580,"mm")</f>
        <v>15/03/2024</v>
      </c>
      <c r="H2580" s="6">
        <v>9770.2800000000007</v>
      </c>
      <c r="I2580">
        <v>154</v>
      </c>
      <c r="L2580" t="str">
        <f t="shared" si="40"/>
        <v>Above Average</v>
      </c>
      <c r="M2580">
        <f>RANK(H2580,H:H,0)</f>
        <v>619</v>
      </c>
    </row>
    <row r="2581" spans="1:13">
      <c r="A2581" t="s">
        <v>19</v>
      </c>
      <c r="B2581" t="s">
        <v>25</v>
      </c>
      <c r="C2581" t="s">
        <v>87</v>
      </c>
      <c r="D2581" s="3" t="s">
        <v>320</v>
      </c>
      <c r="E2581" s="5" t="str">
        <f>TEXT(D2581,"dd/mm/yyyy")</f>
        <v>25/04/2024</v>
      </c>
      <c r="G2581" s="5" t="str">
        <f>TEXT(E2581,"mm")</f>
        <v>25/04/2024</v>
      </c>
      <c r="H2581" s="6">
        <v>14234.61</v>
      </c>
      <c r="I2581">
        <v>45</v>
      </c>
      <c r="L2581" t="str">
        <f t="shared" si="40"/>
        <v>Above Average</v>
      </c>
      <c r="M2581">
        <f>RANK(H2581,H:H,0)</f>
        <v>195</v>
      </c>
    </row>
    <row r="2582" spans="1:13">
      <c r="A2582" t="s">
        <v>58</v>
      </c>
      <c r="B2582" t="s">
        <v>15</v>
      </c>
      <c r="C2582" t="s">
        <v>42</v>
      </c>
      <c r="D2582" s="4">
        <v>45570</v>
      </c>
      <c r="E2582" s="5" t="str">
        <f>TEXT(D2582,"dd/mm/yyyy")</f>
        <v>05/10/2024</v>
      </c>
      <c r="F2582" s="4"/>
      <c r="G2582" s="5" t="str">
        <f>TEXT(E2582,"mm")</f>
        <v>05</v>
      </c>
      <c r="H2582" s="6">
        <v>6885.01</v>
      </c>
      <c r="I2582">
        <v>40</v>
      </c>
      <c r="L2582" t="str">
        <f t="shared" si="40"/>
        <v>Above Average</v>
      </c>
      <c r="M2582">
        <f>RANK(H2582,H:H,0)</f>
        <v>1209</v>
      </c>
    </row>
    <row r="2583" spans="1:13">
      <c r="A2583" t="s">
        <v>40</v>
      </c>
      <c r="B2583" t="s">
        <v>15</v>
      </c>
      <c r="C2583" t="s">
        <v>50</v>
      </c>
      <c r="D2583" s="3" t="s">
        <v>348</v>
      </c>
      <c r="E2583" s="5" t="str">
        <f>TEXT(D2583,"dd/mm/yyyy")</f>
        <v>23/06/2024</v>
      </c>
      <c r="G2583" s="5" t="str">
        <f>TEXT(E2583,"mm")</f>
        <v>23/06/2024</v>
      </c>
      <c r="H2583" s="6">
        <v>14687.62</v>
      </c>
      <c r="I2583">
        <v>293</v>
      </c>
      <c r="L2583" t="str">
        <f t="shared" si="40"/>
        <v>Above Average</v>
      </c>
      <c r="M2583">
        <f>RANK(H2583,H:H,0)</f>
        <v>165</v>
      </c>
    </row>
    <row r="2584" spans="1:13">
      <c r="A2584" t="s">
        <v>41</v>
      </c>
      <c r="B2584" t="s">
        <v>35</v>
      </c>
      <c r="C2584" t="s">
        <v>18</v>
      </c>
      <c r="D2584" s="3" t="s">
        <v>279</v>
      </c>
      <c r="E2584" s="5" t="str">
        <f>TEXT(D2584,"dd/mm/yyyy")</f>
        <v>28/02/2024</v>
      </c>
      <c r="G2584" s="5" t="str">
        <f>TEXT(E2584,"mm")</f>
        <v>28/02/2024</v>
      </c>
      <c r="H2584" s="6">
        <v>16585.43</v>
      </c>
      <c r="I2584">
        <v>388</v>
      </c>
      <c r="L2584" t="str">
        <f t="shared" si="40"/>
        <v>Above Average</v>
      </c>
      <c r="M2584">
        <f>RANK(H2584,H:H,0)</f>
        <v>79</v>
      </c>
    </row>
    <row r="2585" spans="1:13">
      <c r="A2585" t="s">
        <v>28</v>
      </c>
      <c r="B2585" t="s">
        <v>32</v>
      </c>
      <c r="C2585" t="s">
        <v>42</v>
      </c>
      <c r="D2585" s="3" t="s">
        <v>306</v>
      </c>
      <c r="E2585" s="5" t="str">
        <f>TEXT(D2585,"dd/mm/yyyy")</f>
        <v>25/05/2024</v>
      </c>
      <c r="G2585" s="5" t="str">
        <f>TEXT(E2585,"mm")</f>
        <v>25/05/2024</v>
      </c>
      <c r="H2585" s="6">
        <v>17415.669999999998</v>
      </c>
      <c r="I2585">
        <v>148</v>
      </c>
      <c r="L2585" t="str">
        <f t="shared" si="40"/>
        <v>Above Average</v>
      </c>
      <c r="M2585">
        <f>RANK(H2585,H:H,0)</f>
        <v>55</v>
      </c>
    </row>
    <row r="2586" spans="1:13">
      <c r="A2586" t="s">
        <v>45</v>
      </c>
      <c r="B2586" t="s">
        <v>25</v>
      </c>
      <c r="C2586" t="s">
        <v>87</v>
      </c>
      <c r="D2586" s="3" t="s">
        <v>331</v>
      </c>
      <c r="E2586" s="5" t="str">
        <f>TEXT(D2586,"dd/mm/yyyy")</f>
        <v>22/02/2024</v>
      </c>
      <c r="G2586" s="5" t="str">
        <f>TEXT(E2586,"mm")</f>
        <v>22/02/2024</v>
      </c>
      <c r="H2586" s="6">
        <v>5954.47</v>
      </c>
      <c r="I2586">
        <v>236</v>
      </c>
      <c r="L2586" t="str">
        <f t="shared" si="40"/>
        <v>Below Average</v>
      </c>
      <c r="M2586">
        <f>RANK(H2586,H:H,0)</f>
        <v>1443</v>
      </c>
    </row>
    <row r="2587" spans="1:13">
      <c r="A2587" t="s">
        <v>9</v>
      </c>
      <c r="B2587" t="s">
        <v>7</v>
      </c>
      <c r="C2587" t="s">
        <v>11</v>
      </c>
      <c r="D2587" s="4">
        <v>45603</v>
      </c>
      <c r="E2587" s="5" t="str">
        <f>TEXT(D2587,"dd/mm/yyyy")</f>
        <v>07/11/2024</v>
      </c>
      <c r="F2587" s="4"/>
      <c r="G2587" s="5" t="str">
        <f>TEXT(E2587,"mm")</f>
        <v>07</v>
      </c>
      <c r="H2587" s="6">
        <v>4179.91</v>
      </c>
      <c r="I2587">
        <v>140</v>
      </c>
      <c r="L2587" t="str">
        <f t="shared" si="40"/>
        <v>Below Average</v>
      </c>
      <c r="M2587">
        <f>RANK(H2587,H:H,0)</f>
        <v>1935</v>
      </c>
    </row>
    <row r="2588" spans="1:13">
      <c r="A2588" t="s">
        <v>40</v>
      </c>
      <c r="B2588" t="s">
        <v>35</v>
      </c>
      <c r="C2588" t="s">
        <v>50</v>
      </c>
      <c r="D2588" s="4">
        <v>45352</v>
      </c>
      <c r="E2588" s="5" t="str">
        <f>TEXT(D2588,"dd/mm/yyyy")</f>
        <v>01/03/2024</v>
      </c>
      <c r="F2588" s="4"/>
      <c r="G2588" s="5" t="str">
        <f>TEXT(E2588,"mm")</f>
        <v>01</v>
      </c>
      <c r="H2588" s="6">
        <v>3939.95</v>
      </c>
      <c r="I2588">
        <v>365</v>
      </c>
      <c r="L2588" t="str">
        <f t="shared" si="40"/>
        <v>Below Average</v>
      </c>
      <c r="M2588">
        <f>RANK(H2588,H:H,0)</f>
        <v>2002</v>
      </c>
    </row>
    <row r="2589" spans="1:13">
      <c r="A2589" t="s">
        <v>29</v>
      </c>
      <c r="B2589" t="s">
        <v>25</v>
      </c>
      <c r="C2589" t="s">
        <v>100</v>
      </c>
      <c r="D2589" s="3" t="s">
        <v>285</v>
      </c>
      <c r="E2589" s="5" t="str">
        <f>TEXT(D2589,"dd/mm/yyyy")</f>
        <v>24/08/2024</v>
      </c>
      <c r="G2589" s="5" t="str">
        <f>TEXT(E2589,"mm")</f>
        <v>24/08/2024</v>
      </c>
      <c r="H2589" s="6">
        <v>791.19</v>
      </c>
      <c r="I2589">
        <v>280</v>
      </c>
      <c r="L2589" t="str">
        <f t="shared" si="40"/>
        <v>Below Average</v>
      </c>
      <c r="M2589">
        <f>RANK(H2589,H:H,0)</f>
        <v>3029</v>
      </c>
    </row>
    <row r="2590" spans="1:13">
      <c r="A2590" t="s">
        <v>41</v>
      </c>
      <c r="B2590" t="s">
        <v>32</v>
      </c>
      <c r="C2590" t="s">
        <v>26</v>
      </c>
      <c r="D2590" s="3" t="s">
        <v>271</v>
      </c>
      <c r="E2590" s="5" t="str">
        <f>TEXT(D2590,"dd/mm/yyyy")</f>
        <v>28/07/2024</v>
      </c>
      <c r="G2590" s="5" t="str">
        <f>TEXT(E2590,"mm")</f>
        <v>28/07/2024</v>
      </c>
      <c r="H2590" s="6">
        <v>2941.65</v>
      </c>
      <c r="I2590">
        <v>360</v>
      </c>
      <c r="L2590" t="str">
        <f t="shared" si="40"/>
        <v>Below Average</v>
      </c>
      <c r="M2590">
        <f>RANK(H2590,H:H,0)</f>
        <v>2327</v>
      </c>
    </row>
    <row r="2591" spans="1:13">
      <c r="A2591" t="s">
        <v>28</v>
      </c>
      <c r="B2591" t="s">
        <v>32</v>
      </c>
      <c r="C2591" t="s">
        <v>8</v>
      </c>
      <c r="D2591" s="3" t="s">
        <v>306</v>
      </c>
      <c r="E2591" s="5" t="str">
        <f>TEXT(D2591,"dd/mm/yyyy")</f>
        <v>25/05/2024</v>
      </c>
      <c r="G2591" s="5" t="str">
        <f>TEXT(E2591,"mm")</f>
        <v>25/05/2024</v>
      </c>
      <c r="H2591" s="6">
        <v>12476.68</v>
      </c>
      <c r="I2591">
        <v>162</v>
      </c>
      <c r="L2591" t="str">
        <f t="shared" si="40"/>
        <v>Above Average</v>
      </c>
      <c r="M2591">
        <f>RANK(H2591,H:H,0)</f>
        <v>304</v>
      </c>
    </row>
    <row r="2592" spans="1:13">
      <c r="A2592" t="s">
        <v>37</v>
      </c>
      <c r="B2592" t="s">
        <v>25</v>
      </c>
      <c r="C2592" t="s">
        <v>36</v>
      </c>
      <c r="D2592" s="4">
        <v>45448</v>
      </c>
      <c r="E2592" s="5" t="str">
        <f>TEXT(D2592,"dd/mm/yyyy")</f>
        <v>05/06/2024</v>
      </c>
      <c r="F2592" s="4"/>
      <c r="G2592" s="5" t="str">
        <f>TEXT(E2592,"mm")</f>
        <v>05</v>
      </c>
      <c r="H2592" s="6">
        <v>2817.14</v>
      </c>
      <c r="I2592">
        <v>191</v>
      </c>
      <c r="L2592" t="str">
        <f t="shared" si="40"/>
        <v>Below Average</v>
      </c>
      <c r="M2592">
        <f>RANK(H2592,H:H,0)</f>
        <v>2366</v>
      </c>
    </row>
    <row r="2593" spans="1:13">
      <c r="A2593" t="s">
        <v>31</v>
      </c>
      <c r="B2593" t="s">
        <v>10</v>
      </c>
      <c r="C2593" t="s">
        <v>38</v>
      </c>
      <c r="D2593" s="3" t="s">
        <v>313</v>
      </c>
      <c r="E2593" s="5" t="str">
        <f>TEXT(D2593,"dd/mm/yyyy")</f>
        <v>28/01/2024</v>
      </c>
      <c r="G2593" s="5" t="str">
        <f>TEXT(E2593,"mm")</f>
        <v>28/01/2024</v>
      </c>
      <c r="H2593" s="6">
        <v>2411.52</v>
      </c>
      <c r="I2593">
        <v>144</v>
      </c>
      <c r="L2593" t="str">
        <f t="shared" si="40"/>
        <v>Below Average</v>
      </c>
      <c r="M2593">
        <f>RANK(H2593,H:H,0)</f>
        <v>2513</v>
      </c>
    </row>
    <row r="2594" spans="1:13">
      <c r="A2594" t="s">
        <v>40</v>
      </c>
      <c r="B2594" t="s">
        <v>7</v>
      </c>
      <c r="C2594" t="s">
        <v>33</v>
      </c>
      <c r="D2594" s="4">
        <v>45449</v>
      </c>
      <c r="E2594" s="5" t="str">
        <f>TEXT(D2594,"dd/mm/yyyy")</f>
        <v>06/06/2024</v>
      </c>
      <c r="F2594" s="4"/>
      <c r="G2594" s="5" t="str">
        <f>TEXT(E2594,"mm")</f>
        <v>06</v>
      </c>
      <c r="H2594" s="6">
        <v>13072.74</v>
      </c>
      <c r="I2594">
        <v>11</v>
      </c>
      <c r="L2594" t="str">
        <f t="shared" si="40"/>
        <v>Above Average</v>
      </c>
      <c r="M2594">
        <f>RANK(H2594,H:H,0)</f>
        <v>263</v>
      </c>
    </row>
    <row r="2595" spans="1:13">
      <c r="A2595" t="s">
        <v>28</v>
      </c>
      <c r="B2595" t="s">
        <v>25</v>
      </c>
      <c r="C2595" t="s">
        <v>87</v>
      </c>
      <c r="D2595" s="4">
        <v>45633</v>
      </c>
      <c r="E2595" s="5" t="str">
        <f>TEXT(D2595,"dd/mm/yyyy")</f>
        <v>07/12/2024</v>
      </c>
      <c r="F2595" s="4"/>
      <c r="G2595" s="5" t="str">
        <f>TEXT(E2595,"mm")</f>
        <v>07</v>
      </c>
      <c r="H2595" s="6">
        <v>6790.41</v>
      </c>
      <c r="I2595">
        <v>26</v>
      </c>
      <c r="L2595" t="str">
        <f t="shared" si="40"/>
        <v>Above Average</v>
      </c>
      <c r="M2595">
        <f>RANK(H2595,H:H,0)</f>
        <v>1240</v>
      </c>
    </row>
    <row r="2596" spans="1:13">
      <c r="A2596" t="s">
        <v>83</v>
      </c>
      <c r="B2596" t="s">
        <v>35</v>
      </c>
      <c r="C2596" t="s">
        <v>50</v>
      </c>
      <c r="D2596" s="4">
        <v>45420</v>
      </c>
      <c r="E2596" s="5" t="str">
        <f>TEXT(D2596,"dd/mm/yyyy")</f>
        <v>08/05/2024</v>
      </c>
      <c r="F2596" s="4"/>
      <c r="G2596" s="5" t="str">
        <f>TEXT(E2596,"mm")</f>
        <v>08</v>
      </c>
      <c r="H2596" s="6">
        <v>6092.47</v>
      </c>
      <c r="I2596">
        <v>201</v>
      </c>
      <c r="L2596" t="str">
        <f t="shared" si="40"/>
        <v>Above Average</v>
      </c>
      <c r="M2596">
        <f>RANK(H2596,H:H,0)</f>
        <v>1405</v>
      </c>
    </row>
    <row r="2597" spans="1:13">
      <c r="A2597" t="s">
        <v>28</v>
      </c>
      <c r="B2597" t="s">
        <v>32</v>
      </c>
      <c r="C2597" t="s">
        <v>33</v>
      </c>
      <c r="D2597" s="3" t="s">
        <v>313</v>
      </c>
      <c r="E2597" s="5" t="str">
        <f>TEXT(D2597,"dd/mm/yyyy")</f>
        <v>28/01/2024</v>
      </c>
      <c r="G2597" s="5" t="str">
        <f>TEXT(E2597,"mm")</f>
        <v>28/01/2024</v>
      </c>
      <c r="H2597" s="6">
        <v>7185.5</v>
      </c>
      <c r="I2597">
        <v>152</v>
      </c>
      <c r="L2597" t="str">
        <f t="shared" si="40"/>
        <v>Above Average</v>
      </c>
      <c r="M2597">
        <f>RANK(H2597,H:H,0)</f>
        <v>1137</v>
      </c>
    </row>
    <row r="2598" spans="1:13">
      <c r="A2598" t="s">
        <v>55</v>
      </c>
      <c r="B2598" t="s">
        <v>10</v>
      </c>
      <c r="C2598" t="s">
        <v>50</v>
      </c>
      <c r="D2598" s="3" t="s">
        <v>356</v>
      </c>
      <c r="E2598" s="5" t="str">
        <f>TEXT(D2598,"dd/mm/yyyy")</f>
        <v>31/08/2024</v>
      </c>
      <c r="G2598" s="5" t="str">
        <f>TEXT(E2598,"mm")</f>
        <v>31/08/2024</v>
      </c>
      <c r="H2598" s="6">
        <v>6170.8</v>
      </c>
      <c r="I2598">
        <v>138</v>
      </c>
      <c r="L2598" t="str">
        <f t="shared" si="40"/>
        <v>Above Average</v>
      </c>
      <c r="M2598">
        <f>RANK(H2598,H:H,0)</f>
        <v>1387</v>
      </c>
    </row>
    <row r="2599" spans="1:13">
      <c r="A2599" t="s">
        <v>34</v>
      </c>
      <c r="B2599" t="s">
        <v>32</v>
      </c>
      <c r="C2599" t="s">
        <v>26</v>
      </c>
      <c r="D2599" s="3" t="s">
        <v>291</v>
      </c>
      <c r="E2599" s="5" t="str">
        <f>TEXT(D2599,"dd/mm/yyyy")</f>
        <v>19/04/2024</v>
      </c>
      <c r="G2599" s="5" t="str">
        <f>TEXT(E2599,"mm")</f>
        <v>19/04/2024</v>
      </c>
      <c r="H2599" s="6">
        <v>1945.05</v>
      </c>
      <c r="I2599">
        <v>14</v>
      </c>
      <c r="L2599" t="str">
        <f t="shared" si="40"/>
        <v>Below Average</v>
      </c>
      <c r="M2599">
        <f>RANK(H2599,H:H,0)</f>
        <v>2650</v>
      </c>
    </row>
    <row r="2600" spans="1:13">
      <c r="A2600" t="s">
        <v>34</v>
      </c>
      <c r="B2600" t="s">
        <v>7</v>
      </c>
      <c r="C2600" t="s">
        <v>8</v>
      </c>
      <c r="D2600" s="3" t="s">
        <v>282</v>
      </c>
      <c r="E2600" s="5" t="str">
        <f>TEXT(D2600,"dd/mm/yyyy")</f>
        <v>29/06/2024</v>
      </c>
      <c r="G2600" s="5" t="str">
        <f>TEXT(E2600,"mm")</f>
        <v>29/06/2024</v>
      </c>
      <c r="H2600" s="6">
        <v>6767.42</v>
      </c>
      <c r="I2600">
        <v>2</v>
      </c>
      <c r="L2600" t="str">
        <f t="shared" si="40"/>
        <v>Above Average</v>
      </c>
      <c r="M2600">
        <f>RANK(H2600,H:H,0)</f>
        <v>1249</v>
      </c>
    </row>
    <row r="2601" spans="1:13">
      <c r="A2601" t="s">
        <v>41</v>
      </c>
      <c r="B2601" t="s">
        <v>10</v>
      </c>
      <c r="C2601" t="s">
        <v>75</v>
      </c>
      <c r="D2601" s="3" t="s">
        <v>266</v>
      </c>
      <c r="E2601" s="5" t="str">
        <f>TEXT(D2601,"dd/mm/yyyy")</f>
        <v>24/02/2024</v>
      </c>
      <c r="G2601" s="5" t="str">
        <f>TEXT(E2601,"mm")</f>
        <v>24/02/2024</v>
      </c>
      <c r="H2601" s="6">
        <v>3911.69</v>
      </c>
      <c r="I2601">
        <v>254</v>
      </c>
      <c r="L2601" t="str">
        <f t="shared" si="40"/>
        <v>Below Average</v>
      </c>
      <c r="M2601">
        <f>RANK(H2601,H:H,0)</f>
        <v>2010</v>
      </c>
    </row>
    <row r="2602" spans="1:13">
      <c r="A2602" t="s">
        <v>77</v>
      </c>
      <c r="B2602" t="s">
        <v>7</v>
      </c>
      <c r="C2602" t="s">
        <v>18</v>
      </c>
      <c r="D2602" s="4">
        <v>45385</v>
      </c>
      <c r="E2602" s="5" t="str">
        <f>TEXT(D2602,"dd/mm/yyyy")</f>
        <v>03/04/2024</v>
      </c>
      <c r="F2602" s="4"/>
      <c r="G2602" s="5" t="str">
        <f>TEXT(E2602,"mm")</f>
        <v>03</v>
      </c>
      <c r="H2602" s="6">
        <v>16733.759999999998</v>
      </c>
      <c r="I2602">
        <v>88</v>
      </c>
      <c r="L2602" t="str">
        <f t="shared" si="40"/>
        <v>Above Average</v>
      </c>
      <c r="M2602">
        <f>RANK(H2602,H:H,0)</f>
        <v>75</v>
      </c>
    </row>
    <row r="2603" spans="1:13">
      <c r="A2603" t="s">
        <v>12</v>
      </c>
      <c r="B2603" t="s">
        <v>10</v>
      </c>
      <c r="C2603" t="s">
        <v>36</v>
      </c>
      <c r="D2603" s="3" t="s">
        <v>352</v>
      </c>
      <c r="E2603" s="5" t="str">
        <f>TEXT(D2603,"dd/mm/yyyy")</f>
        <v>21/06/2024</v>
      </c>
      <c r="G2603" s="5" t="str">
        <f>TEXT(E2603,"mm")</f>
        <v>21/06/2024</v>
      </c>
      <c r="H2603" s="6">
        <v>3916.92</v>
      </c>
      <c r="I2603">
        <v>74</v>
      </c>
      <c r="L2603" t="str">
        <f t="shared" si="40"/>
        <v>Below Average</v>
      </c>
      <c r="M2603">
        <f>RANK(H2603,H:H,0)</f>
        <v>2008</v>
      </c>
    </row>
    <row r="2604" spans="1:13">
      <c r="A2604" t="s">
        <v>29</v>
      </c>
      <c r="B2604" t="s">
        <v>15</v>
      </c>
      <c r="C2604" t="s">
        <v>42</v>
      </c>
      <c r="D2604" s="3" t="s">
        <v>272</v>
      </c>
      <c r="E2604" s="5" t="str">
        <f>TEXT(D2604,"dd/mm/yyyy")</f>
        <v>26/01/2024</v>
      </c>
      <c r="G2604" s="5" t="str">
        <f>TEXT(E2604,"mm")</f>
        <v>26/01/2024</v>
      </c>
      <c r="H2604" s="6">
        <v>1082.69</v>
      </c>
      <c r="I2604">
        <v>106</v>
      </c>
      <c r="L2604" t="str">
        <f t="shared" si="40"/>
        <v>Below Average</v>
      </c>
      <c r="M2604">
        <f>RANK(H2604,H:H,0)</f>
        <v>2948</v>
      </c>
    </row>
    <row r="2605" spans="1:13">
      <c r="A2605" t="s">
        <v>19</v>
      </c>
      <c r="B2605" t="s">
        <v>25</v>
      </c>
      <c r="C2605" t="s">
        <v>59</v>
      </c>
      <c r="D2605" s="4">
        <v>45571</v>
      </c>
      <c r="E2605" s="5" t="str">
        <f>TEXT(D2605,"dd/mm/yyyy")</f>
        <v>06/10/2024</v>
      </c>
      <c r="F2605" s="4"/>
      <c r="G2605" s="5" t="str">
        <f>TEXT(E2605,"mm")</f>
        <v>06</v>
      </c>
      <c r="H2605" s="6">
        <v>4822.33</v>
      </c>
      <c r="I2605">
        <v>42</v>
      </c>
      <c r="L2605" t="str">
        <f t="shared" si="40"/>
        <v>Below Average</v>
      </c>
      <c r="M2605">
        <f>RANK(H2605,H:H,0)</f>
        <v>1760</v>
      </c>
    </row>
    <row r="2606" spans="1:13">
      <c r="A2606" t="s">
        <v>67</v>
      </c>
      <c r="B2606" t="s">
        <v>7</v>
      </c>
      <c r="C2606" t="s">
        <v>38</v>
      </c>
      <c r="D2606" s="3" t="s">
        <v>342</v>
      </c>
      <c r="E2606" s="5" t="str">
        <f>TEXT(D2606,"dd/mm/yyyy")</f>
        <v>23/05/2024</v>
      </c>
      <c r="G2606" s="5" t="str">
        <f>TEXT(E2606,"mm")</f>
        <v>23/05/2024</v>
      </c>
      <c r="H2606" s="6">
        <v>1827.45</v>
      </c>
      <c r="I2606">
        <v>66</v>
      </c>
      <c r="L2606" t="str">
        <f t="shared" si="40"/>
        <v>Below Average</v>
      </c>
      <c r="M2606">
        <f>RANK(H2606,H:H,0)</f>
        <v>2692</v>
      </c>
    </row>
    <row r="2607" spans="1:13">
      <c r="A2607" t="s">
        <v>70</v>
      </c>
      <c r="B2607" t="s">
        <v>10</v>
      </c>
      <c r="C2607" t="s">
        <v>46</v>
      </c>
      <c r="D2607" s="3" t="s">
        <v>287</v>
      </c>
      <c r="E2607" s="5" t="str">
        <f>TEXT(D2607,"dd/mm/yyyy")</f>
        <v>15/04/2024</v>
      </c>
      <c r="G2607" s="5" t="str">
        <f>TEXT(E2607,"mm")</f>
        <v>15/04/2024</v>
      </c>
      <c r="H2607" s="6">
        <v>1142.4100000000001</v>
      </c>
      <c r="I2607">
        <v>111</v>
      </c>
      <c r="L2607" t="str">
        <f t="shared" si="40"/>
        <v>Below Average</v>
      </c>
      <c r="M2607">
        <f>RANK(H2607,H:H,0)</f>
        <v>2921</v>
      </c>
    </row>
    <row r="2608" spans="1:13">
      <c r="A2608" t="s">
        <v>37</v>
      </c>
      <c r="B2608" t="s">
        <v>25</v>
      </c>
      <c r="C2608" t="s">
        <v>90</v>
      </c>
      <c r="D2608" s="3" t="s">
        <v>303</v>
      </c>
      <c r="E2608" s="5" t="str">
        <f>TEXT(D2608,"dd/mm/yyyy")</f>
        <v>31/01/2024</v>
      </c>
      <c r="G2608" s="5" t="str">
        <f>TEXT(E2608,"mm")</f>
        <v>31/01/2024</v>
      </c>
      <c r="H2608" s="6">
        <v>6290.89</v>
      </c>
      <c r="I2608">
        <v>232</v>
      </c>
      <c r="L2608" t="str">
        <f t="shared" si="40"/>
        <v>Above Average</v>
      </c>
      <c r="M2608">
        <f>RANK(H2608,H:H,0)</f>
        <v>1361</v>
      </c>
    </row>
    <row r="2609" spans="1:13">
      <c r="A2609" t="s">
        <v>67</v>
      </c>
      <c r="B2609" t="s">
        <v>25</v>
      </c>
      <c r="C2609" t="s">
        <v>42</v>
      </c>
      <c r="D2609" s="4">
        <v>45385</v>
      </c>
      <c r="E2609" s="5" t="str">
        <f>TEXT(D2609,"dd/mm/yyyy")</f>
        <v>03/04/2024</v>
      </c>
      <c r="F2609" s="4"/>
      <c r="G2609" s="5" t="str">
        <f>TEXT(E2609,"mm")</f>
        <v>03</v>
      </c>
      <c r="H2609" s="6">
        <v>5616.01</v>
      </c>
      <c r="I2609">
        <v>43</v>
      </c>
      <c r="L2609" t="str">
        <f t="shared" si="40"/>
        <v>Below Average</v>
      </c>
      <c r="M2609">
        <f>RANK(H2609,H:H,0)</f>
        <v>1537</v>
      </c>
    </row>
    <row r="2610" spans="1:13">
      <c r="A2610" t="s">
        <v>31</v>
      </c>
      <c r="B2610" t="s">
        <v>25</v>
      </c>
      <c r="C2610" t="s">
        <v>23</v>
      </c>
      <c r="D2610" s="3" t="s">
        <v>291</v>
      </c>
      <c r="E2610" s="5" t="str">
        <f>TEXT(D2610,"dd/mm/yyyy")</f>
        <v>19/04/2024</v>
      </c>
      <c r="G2610" s="5" t="str">
        <f>TEXT(E2610,"mm")</f>
        <v>19/04/2024</v>
      </c>
      <c r="H2610" s="6">
        <v>11250.69</v>
      </c>
      <c r="I2610">
        <v>91</v>
      </c>
      <c r="L2610" t="str">
        <f t="shared" si="40"/>
        <v>Above Average</v>
      </c>
      <c r="M2610">
        <f>RANK(H2610,H:H,0)</f>
        <v>423</v>
      </c>
    </row>
    <row r="2611" spans="1:13">
      <c r="A2611" t="s">
        <v>41</v>
      </c>
      <c r="B2611" t="s">
        <v>7</v>
      </c>
      <c r="C2611" t="s">
        <v>65</v>
      </c>
      <c r="D2611" s="3" t="s">
        <v>295</v>
      </c>
      <c r="E2611" s="5" t="str">
        <f>TEXT(D2611,"dd/mm/yyyy")</f>
        <v>16/05/2024</v>
      </c>
      <c r="G2611" s="5" t="str">
        <f>TEXT(E2611,"mm")</f>
        <v>16/05/2024</v>
      </c>
      <c r="H2611" s="6">
        <v>2799.42</v>
      </c>
      <c r="I2611">
        <v>104</v>
      </c>
      <c r="L2611" t="str">
        <f t="shared" si="40"/>
        <v>Below Average</v>
      </c>
      <c r="M2611">
        <f>RANK(H2611,H:H,0)</f>
        <v>2374</v>
      </c>
    </row>
    <row r="2612" spans="1:13">
      <c r="A2612" t="s">
        <v>19</v>
      </c>
      <c r="B2612" t="s">
        <v>15</v>
      </c>
      <c r="C2612" t="s">
        <v>73</v>
      </c>
      <c r="D2612" s="3" t="s">
        <v>276</v>
      </c>
      <c r="E2612" s="5" t="str">
        <f>TEXT(D2612,"dd/mm/yyyy")</f>
        <v>17/02/2024</v>
      </c>
      <c r="G2612" s="5" t="str">
        <f>TEXT(E2612,"mm")</f>
        <v>17/02/2024</v>
      </c>
      <c r="H2612" s="6">
        <v>1157.8800000000001</v>
      </c>
      <c r="I2612">
        <v>114</v>
      </c>
      <c r="L2612" t="str">
        <f t="shared" si="40"/>
        <v>Below Average</v>
      </c>
      <c r="M2612">
        <f>RANK(H2612,H:H,0)</f>
        <v>2917</v>
      </c>
    </row>
    <row r="2613" spans="1:13">
      <c r="A2613" t="s">
        <v>58</v>
      </c>
      <c r="B2613" t="s">
        <v>32</v>
      </c>
      <c r="C2613" t="s">
        <v>73</v>
      </c>
      <c r="D2613" s="3" t="s">
        <v>321</v>
      </c>
      <c r="E2613" s="5" t="str">
        <f>TEXT(D2613,"dd/mm/yyyy")</f>
        <v>18/01/2024</v>
      </c>
      <c r="G2613" s="5" t="str">
        <f>TEXT(E2613,"mm")</f>
        <v>18/01/2024</v>
      </c>
      <c r="H2613" s="6">
        <v>7049.32</v>
      </c>
      <c r="I2613">
        <v>273</v>
      </c>
      <c r="L2613" t="str">
        <f t="shared" si="40"/>
        <v>Above Average</v>
      </c>
      <c r="M2613">
        <f>RANK(H2613,H:H,0)</f>
        <v>1166</v>
      </c>
    </row>
    <row r="2614" spans="1:13">
      <c r="A2614" t="s">
        <v>45</v>
      </c>
      <c r="B2614" t="s">
        <v>35</v>
      </c>
      <c r="C2614" t="s">
        <v>33</v>
      </c>
      <c r="D2614" s="4">
        <v>45537</v>
      </c>
      <c r="E2614" s="5" t="str">
        <f>TEXT(D2614,"dd/mm/yyyy")</f>
        <v>02/09/2024</v>
      </c>
      <c r="F2614" s="4"/>
      <c r="G2614" s="5" t="str">
        <f>TEXT(E2614,"mm")</f>
        <v>02</v>
      </c>
      <c r="H2614" s="6">
        <v>9460.5</v>
      </c>
      <c r="I2614">
        <v>84</v>
      </c>
      <c r="L2614" t="str">
        <f t="shared" si="40"/>
        <v>Above Average</v>
      </c>
      <c r="M2614">
        <f>RANK(H2614,H:H,0)</f>
        <v>662</v>
      </c>
    </row>
    <row r="2615" spans="1:13">
      <c r="A2615" t="s">
        <v>34</v>
      </c>
      <c r="B2615" t="s">
        <v>35</v>
      </c>
      <c r="C2615" t="s">
        <v>33</v>
      </c>
      <c r="D2615" s="3" t="s">
        <v>316</v>
      </c>
      <c r="E2615" s="5" t="str">
        <f>TEXT(D2615,"dd/mm/yyyy")</f>
        <v>23/03/2024</v>
      </c>
      <c r="G2615" s="5" t="str">
        <f>TEXT(E2615,"mm")</f>
        <v>23/03/2024</v>
      </c>
      <c r="H2615" s="6">
        <v>4173.7299999999996</v>
      </c>
      <c r="I2615">
        <v>175</v>
      </c>
      <c r="L2615" t="str">
        <f t="shared" si="40"/>
        <v>Below Average</v>
      </c>
      <c r="M2615">
        <f>RANK(H2615,H:H,0)</f>
        <v>1937</v>
      </c>
    </row>
    <row r="2616" spans="1:13">
      <c r="A2616" t="s">
        <v>77</v>
      </c>
      <c r="B2616" t="s">
        <v>25</v>
      </c>
      <c r="C2616" t="s">
        <v>90</v>
      </c>
      <c r="D2616" s="4">
        <v>45293</v>
      </c>
      <c r="E2616" s="5" t="str">
        <f>TEXT(D2616,"dd/mm/yyyy")</f>
        <v>02/01/2024</v>
      </c>
      <c r="F2616" s="4"/>
      <c r="G2616" s="5" t="str">
        <f>TEXT(E2616,"mm")</f>
        <v>02</v>
      </c>
      <c r="H2616" s="6">
        <v>4005.08</v>
      </c>
      <c r="I2616">
        <v>150</v>
      </c>
      <c r="L2616" t="str">
        <f t="shared" si="40"/>
        <v>Below Average</v>
      </c>
      <c r="M2616">
        <f>RANK(H2616,H:H,0)</f>
        <v>1986</v>
      </c>
    </row>
    <row r="2617" spans="1:13">
      <c r="A2617" t="s">
        <v>34</v>
      </c>
      <c r="B2617" t="s">
        <v>10</v>
      </c>
      <c r="C2617" t="s">
        <v>38</v>
      </c>
      <c r="D2617" s="4">
        <v>45476</v>
      </c>
      <c r="E2617" s="5" t="str">
        <f>TEXT(D2617,"dd/mm/yyyy")</f>
        <v>03/07/2024</v>
      </c>
      <c r="F2617" s="4"/>
      <c r="G2617" s="5" t="str">
        <f>TEXT(E2617,"mm")</f>
        <v>03</v>
      </c>
      <c r="H2617" s="6">
        <v>4650.58</v>
      </c>
      <c r="I2617">
        <v>143</v>
      </c>
      <c r="L2617" t="str">
        <f t="shared" si="40"/>
        <v>Below Average</v>
      </c>
      <c r="M2617">
        <f>RANK(H2617,H:H,0)</f>
        <v>1811</v>
      </c>
    </row>
    <row r="2618" spans="1:13">
      <c r="A2618" t="s">
        <v>83</v>
      </c>
      <c r="B2618" t="s">
        <v>7</v>
      </c>
      <c r="C2618" t="s">
        <v>59</v>
      </c>
      <c r="D2618" s="4">
        <v>45352</v>
      </c>
      <c r="E2618" s="5" t="str">
        <f>TEXT(D2618,"dd/mm/yyyy")</f>
        <v>01/03/2024</v>
      </c>
      <c r="F2618" s="4"/>
      <c r="G2618" s="5" t="str">
        <f>TEXT(E2618,"mm")</f>
        <v>01</v>
      </c>
      <c r="H2618" s="6">
        <v>3814.56</v>
      </c>
      <c r="I2618">
        <v>220</v>
      </c>
      <c r="L2618" t="str">
        <f t="shared" si="40"/>
        <v>Below Average</v>
      </c>
      <c r="M2618">
        <f>RANK(H2618,H:H,0)</f>
        <v>2037</v>
      </c>
    </row>
    <row r="2619" spans="1:13">
      <c r="A2619" t="s">
        <v>83</v>
      </c>
      <c r="B2619" t="s">
        <v>32</v>
      </c>
      <c r="C2619" t="s">
        <v>59</v>
      </c>
      <c r="D2619" s="4">
        <v>45598</v>
      </c>
      <c r="E2619" s="5" t="str">
        <f>TEXT(D2619,"dd/mm/yyyy")</f>
        <v>02/11/2024</v>
      </c>
      <c r="F2619" s="4"/>
      <c r="G2619" s="5" t="str">
        <f>TEXT(E2619,"mm")</f>
        <v>02</v>
      </c>
      <c r="H2619" s="6">
        <v>6321.35</v>
      </c>
      <c r="I2619">
        <v>325</v>
      </c>
      <c r="L2619" t="str">
        <f t="shared" si="40"/>
        <v>Above Average</v>
      </c>
      <c r="M2619">
        <f>RANK(H2619,H:H,0)</f>
        <v>1350</v>
      </c>
    </row>
    <row r="2620" spans="1:13">
      <c r="A2620" t="s">
        <v>58</v>
      </c>
      <c r="B2620" t="s">
        <v>25</v>
      </c>
      <c r="C2620" t="s">
        <v>33</v>
      </c>
      <c r="D2620" s="3" t="s">
        <v>314</v>
      </c>
      <c r="E2620" s="5" t="str">
        <f>TEXT(D2620,"dd/mm/yyyy")</f>
        <v>16/03/2024</v>
      </c>
      <c r="G2620" s="5" t="str">
        <f>TEXT(E2620,"mm")</f>
        <v>16/03/2024</v>
      </c>
      <c r="H2620" s="6">
        <v>5245.53</v>
      </c>
      <c r="I2620">
        <v>144</v>
      </c>
      <c r="L2620" t="str">
        <f t="shared" si="40"/>
        <v>Below Average</v>
      </c>
      <c r="M2620">
        <f>RANK(H2620,H:H,0)</f>
        <v>1635</v>
      </c>
    </row>
    <row r="2621" spans="1:13">
      <c r="A2621" t="s">
        <v>79</v>
      </c>
      <c r="B2621" t="s">
        <v>10</v>
      </c>
      <c r="C2621" t="s">
        <v>59</v>
      </c>
      <c r="D2621" s="3" t="s">
        <v>318</v>
      </c>
      <c r="E2621" s="5" t="str">
        <f>TEXT(D2621,"dd/mm/yyyy")</f>
        <v>15/08/2024</v>
      </c>
      <c r="G2621" s="5" t="str">
        <f>TEXT(E2621,"mm")</f>
        <v>15/08/2024</v>
      </c>
      <c r="H2621" s="6">
        <v>12998.67</v>
      </c>
      <c r="I2621">
        <v>317</v>
      </c>
      <c r="L2621" t="str">
        <f t="shared" si="40"/>
        <v>Above Average</v>
      </c>
      <c r="M2621">
        <f>RANK(H2621,H:H,0)</f>
        <v>269</v>
      </c>
    </row>
    <row r="2622" spans="1:13">
      <c r="A2622" t="s">
        <v>12</v>
      </c>
      <c r="B2622" t="s">
        <v>10</v>
      </c>
      <c r="C2622" t="s">
        <v>60</v>
      </c>
      <c r="D2622" s="4">
        <v>45631</v>
      </c>
      <c r="E2622" s="5" t="str">
        <f>TEXT(D2622,"dd/mm/yyyy")</f>
        <v>05/12/2024</v>
      </c>
      <c r="F2622" s="4"/>
      <c r="G2622" s="5" t="str">
        <f>TEXT(E2622,"mm")</f>
        <v>05</v>
      </c>
      <c r="H2622" s="6">
        <v>5932.12</v>
      </c>
      <c r="I2622">
        <v>79</v>
      </c>
      <c r="L2622" t="str">
        <f t="shared" si="40"/>
        <v>Below Average</v>
      </c>
      <c r="M2622">
        <f>RANK(H2622,H:H,0)</f>
        <v>1447</v>
      </c>
    </row>
    <row r="2623" spans="1:13">
      <c r="A2623" t="s">
        <v>9</v>
      </c>
      <c r="B2623" t="s">
        <v>10</v>
      </c>
      <c r="C2623" t="s">
        <v>50</v>
      </c>
      <c r="D2623" s="4">
        <v>45600</v>
      </c>
      <c r="E2623" s="5" t="str">
        <f>TEXT(D2623,"dd/mm/yyyy")</f>
        <v>04/11/2024</v>
      </c>
      <c r="F2623" s="4"/>
      <c r="G2623" s="5" t="str">
        <f>TEXT(E2623,"mm")</f>
        <v>04</v>
      </c>
      <c r="H2623" s="6">
        <v>6811.55</v>
      </c>
      <c r="I2623">
        <v>4</v>
      </c>
      <c r="L2623" t="str">
        <f t="shared" si="40"/>
        <v>Above Average</v>
      </c>
      <c r="M2623">
        <f>RANK(H2623,H:H,0)</f>
        <v>1233</v>
      </c>
    </row>
    <row r="2624" spans="1:13">
      <c r="A2624" t="s">
        <v>14</v>
      </c>
      <c r="B2624" t="s">
        <v>25</v>
      </c>
      <c r="C2624" t="s">
        <v>8</v>
      </c>
      <c r="D2624" s="3" t="s">
        <v>283</v>
      </c>
      <c r="E2624" s="5" t="str">
        <f>TEXT(D2624,"dd/mm/yyyy")</f>
        <v>30/06/2024</v>
      </c>
      <c r="G2624" s="5" t="str">
        <f>TEXT(E2624,"mm")</f>
        <v>30/06/2024</v>
      </c>
      <c r="H2624" s="6">
        <v>21381.14</v>
      </c>
      <c r="I2624">
        <v>311</v>
      </c>
      <c r="L2624" t="str">
        <f t="shared" si="40"/>
        <v>Above Average</v>
      </c>
      <c r="M2624">
        <f>RANK(H2624,H:H,0)</f>
        <v>11</v>
      </c>
    </row>
    <row r="2625" spans="1:13">
      <c r="A2625" t="s">
        <v>79</v>
      </c>
      <c r="B2625" t="s">
        <v>25</v>
      </c>
      <c r="C2625" t="s">
        <v>59</v>
      </c>
      <c r="D2625" s="3" t="s">
        <v>280</v>
      </c>
      <c r="E2625" s="5" t="str">
        <f>TEXT(D2625,"dd/mm/yyyy")</f>
        <v>15/06/2024</v>
      </c>
      <c r="G2625" s="5" t="str">
        <f>TEXT(E2625,"mm")</f>
        <v>15/06/2024</v>
      </c>
      <c r="H2625" s="6">
        <v>8423.36</v>
      </c>
      <c r="I2625">
        <v>63</v>
      </c>
      <c r="L2625" t="str">
        <f t="shared" si="40"/>
        <v>Above Average</v>
      </c>
      <c r="M2625">
        <f>RANK(H2625,H:H,0)</f>
        <v>850</v>
      </c>
    </row>
    <row r="2626" spans="1:13">
      <c r="A2626" t="s">
        <v>29</v>
      </c>
      <c r="B2626" t="s">
        <v>35</v>
      </c>
      <c r="C2626" t="s">
        <v>90</v>
      </c>
      <c r="D2626" s="4">
        <v>45299</v>
      </c>
      <c r="E2626" s="5" t="str">
        <f>TEXT(D2626,"dd/mm/yyyy")</f>
        <v>08/01/2024</v>
      </c>
      <c r="F2626" s="4"/>
      <c r="G2626" s="5" t="str">
        <f>TEXT(E2626,"mm")</f>
        <v>08</v>
      </c>
      <c r="H2626" s="6">
        <v>7951.43</v>
      </c>
      <c r="I2626">
        <v>109</v>
      </c>
      <c r="L2626" t="str">
        <f t="shared" si="40"/>
        <v>Above Average</v>
      </c>
      <c r="M2626">
        <f>RANK(H2626,H:H,0)</f>
        <v>950</v>
      </c>
    </row>
    <row r="2627" spans="1:13">
      <c r="A2627" t="s">
        <v>55</v>
      </c>
      <c r="B2627" t="s">
        <v>32</v>
      </c>
      <c r="C2627" t="s">
        <v>46</v>
      </c>
      <c r="D2627" s="3" t="s">
        <v>280</v>
      </c>
      <c r="E2627" s="5" t="str">
        <f>TEXT(D2627,"dd/mm/yyyy")</f>
        <v>15/06/2024</v>
      </c>
      <c r="G2627" s="5" t="str">
        <f>TEXT(E2627,"mm")</f>
        <v>15/06/2024</v>
      </c>
      <c r="H2627" s="6">
        <v>18389.099999999999</v>
      </c>
      <c r="I2627">
        <v>62</v>
      </c>
      <c r="L2627" t="str">
        <f t="shared" ref="L2627:L2690" si="41">IF(H2627&gt;6030.34,"Above Average","Below Average")</f>
        <v>Above Average</v>
      </c>
      <c r="M2627">
        <f>RANK(H2627,H:H,0)</f>
        <v>37</v>
      </c>
    </row>
    <row r="2628" spans="1:13">
      <c r="A2628" t="s">
        <v>28</v>
      </c>
      <c r="B2628" t="s">
        <v>10</v>
      </c>
      <c r="C2628" t="s">
        <v>23</v>
      </c>
      <c r="D2628" s="3" t="s">
        <v>317</v>
      </c>
      <c r="E2628" s="5" t="str">
        <f>TEXT(D2628,"dd/mm/yyyy")</f>
        <v>16/06/2024</v>
      </c>
      <c r="G2628" s="5" t="str">
        <f>TEXT(E2628,"mm")</f>
        <v>16/06/2024</v>
      </c>
      <c r="H2628" s="6">
        <v>6555.46</v>
      </c>
      <c r="I2628">
        <v>45</v>
      </c>
      <c r="L2628" t="str">
        <f t="shared" si="41"/>
        <v>Above Average</v>
      </c>
      <c r="M2628">
        <f>RANK(H2628,H:H,0)</f>
        <v>1294</v>
      </c>
    </row>
    <row r="2629" spans="1:13">
      <c r="A2629" t="s">
        <v>19</v>
      </c>
      <c r="B2629" t="s">
        <v>25</v>
      </c>
      <c r="C2629" t="s">
        <v>73</v>
      </c>
      <c r="D2629" s="3" t="s">
        <v>336</v>
      </c>
      <c r="E2629" s="5" t="str">
        <f>TEXT(D2629,"dd/mm/yyyy")</f>
        <v>13/05/2024</v>
      </c>
      <c r="G2629" s="5" t="str">
        <f>TEXT(E2629,"mm")</f>
        <v>13/05/2024</v>
      </c>
      <c r="H2629" s="6">
        <v>5129.71</v>
      </c>
      <c r="I2629">
        <v>270</v>
      </c>
      <c r="L2629" t="str">
        <f t="shared" si="41"/>
        <v>Below Average</v>
      </c>
      <c r="M2629">
        <f>RANK(H2629,H:H,0)</f>
        <v>1664</v>
      </c>
    </row>
    <row r="2630" spans="1:13">
      <c r="A2630" t="s">
        <v>58</v>
      </c>
      <c r="B2630" t="s">
        <v>32</v>
      </c>
      <c r="C2630" t="s">
        <v>38</v>
      </c>
      <c r="D2630" s="4">
        <v>45570</v>
      </c>
      <c r="E2630" s="5" t="str">
        <f>TEXT(D2630,"dd/mm/yyyy")</f>
        <v>05/10/2024</v>
      </c>
      <c r="F2630" s="4"/>
      <c r="G2630" s="5" t="str">
        <f>TEXT(E2630,"mm")</f>
        <v>05</v>
      </c>
      <c r="H2630" s="6">
        <v>2399.02</v>
      </c>
      <c r="I2630">
        <v>149</v>
      </c>
      <c r="L2630" t="str">
        <f t="shared" si="41"/>
        <v>Below Average</v>
      </c>
      <c r="M2630">
        <f>RANK(H2630,H:H,0)</f>
        <v>2516</v>
      </c>
    </row>
    <row r="2631" spans="1:13">
      <c r="A2631" t="s">
        <v>19</v>
      </c>
      <c r="B2631" t="s">
        <v>10</v>
      </c>
      <c r="C2631" t="s">
        <v>36</v>
      </c>
      <c r="D2631" s="3" t="s">
        <v>309</v>
      </c>
      <c r="E2631" s="5" t="str">
        <f>TEXT(D2631,"dd/mm/yyyy")</f>
        <v>25/08/2024</v>
      </c>
      <c r="G2631" s="5" t="str">
        <f>TEXT(E2631,"mm")</f>
        <v>25/08/2024</v>
      </c>
      <c r="H2631" s="6">
        <v>6096.53</v>
      </c>
      <c r="I2631">
        <v>344</v>
      </c>
      <c r="L2631" t="str">
        <f t="shared" si="41"/>
        <v>Above Average</v>
      </c>
      <c r="M2631">
        <f>RANK(H2631,H:H,0)</f>
        <v>1402</v>
      </c>
    </row>
    <row r="2632" spans="1:13">
      <c r="A2632" t="s">
        <v>83</v>
      </c>
      <c r="B2632" t="s">
        <v>25</v>
      </c>
      <c r="C2632" t="s">
        <v>42</v>
      </c>
      <c r="D2632" s="3" t="s">
        <v>292</v>
      </c>
      <c r="E2632" s="5" t="str">
        <f>TEXT(D2632,"dd/mm/yyyy")</f>
        <v>15/07/2024</v>
      </c>
      <c r="G2632" s="5" t="str">
        <f>TEXT(E2632,"mm")</f>
        <v>15/07/2024</v>
      </c>
      <c r="H2632" s="6">
        <v>8134.67</v>
      </c>
      <c r="I2632">
        <v>83</v>
      </c>
      <c r="L2632" t="str">
        <f t="shared" si="41"/>
        <v>Above Average</v>
      </c>
      <c r="M2632">
        <f>RANK(H2632,H:H,0)</f>
        <v>906</v>
      </c>
    </row>
    <row r="2633" spans="1:13">
      <c r="A2633" t="s">
        <v>12</v>
      </c>
      <c r="B2633" t="s">
        <v>7</v>
      </c>
      <c r="C2633" t="s">
        <v>87</v>
      </c>
      <c r="D2633" s="3" t="s">
        <v>295</v>
      </c>
      <c r="E2633" s="5" t="str">
        <f>TEXT(D2633,"dd/mm/yyyy")</f>
        <v>16/05/2024</v>
      </c>
      <c r="G2633" s="5" t="str">
        <f>TEXT(E2633,"mm")</f>
        <v>16/05/2024</v>
      </c>
      <c r="H2633" s="6">
        <v>9969.65</v>
      </c>
      <c r="I2633">
        <v>449</v>
      </c>
      <c r="L2633" t="str">
        <f t="shared" si="41"/>
        <v>Above Average</v>
      </c>
      <c r="M2633">
        <f>RANK(H2633,H:H,0)</f>
        <v>587</v>
      </c>
    </row>
    <row r="2634" spans="1:13">
      <c r="A2634" t="s">
        <v>14</v>
      </c>
      <c r="B2634" t="s">
        <v>15</v>
      </c>
      <c r="C2634" t="s">
        <v>26</v>
      </c>
      <c r="D2634" s="3" t="s">
        <v>333</v>
      </c>
      <c r="E2634" s="5" t="str">
        <f>TEXT(D2634,"dd/mm/yyyy")</f>
        <v>14/06/2024</v>
      </c>
      <c r="G2634" s="5" t="str">
        <f>TEXT(E2634,"mm")</f>
        <v>14/06/2024</v>
      </c>
      <c r="H2634" s="6">
        <v>3894.16</v>
      </c>
      <c r="I2634">
        <v>173</v>
      </c>
      <c r="L2634" t="str">
        <f t="shared" si="41"/>
        <v>Below Average</v>
      </c>
      <c r="M2634">
        <f>RANK(H2634,H:H,0)</f>
        <v>2015</v>
      </c>
    </row>
    <row r="2635" spans="1:13">
      <c r="A2635" t="s">
        <v>41</v>
      </c>
      <c r="B2635" t="s">
        <v>15</v>
      </c>
      <c r="C2635" t="s">
        <v>18</v>
      </c>
      <c r="D2635" s="3" t="s">
        <v>267</v>
      </c>
      <c r="E2635" s="5" t="str">
        <f>TEXT(D2635,"dd/mm/yyyy")</f>
        <v>25/01/2024</v>
      </c>
      <c r="G2635" s="5" t="str">
        <f>TEXT(E2635,"mm")</f>
        <v>25/01/2024</v>
      </c>
      <c r="H2635" s="6">
        <v>11533.35</v>
      </c>
      <c r="I2635">
        <v>491</v>
      </c>
      <c r="L2635" t="str">
        <f t="shared" si="41"/>
        <v>Above Average</v>
      </c>
      <c r="M2635">
        <f>RANK(H2635,H:H,0)</f>
        <v>395</v>
      </c>
    </row>
    <row r="2636" spans="1:13">
      <c r="A2636" t="s">
        <v>83</v>
      </c>
      <c r="B2636" t="s">
        <v>32</v>
      </c>
      <c r="C2636" t="s">
        <v>42</v>
      </c>
      <c r="D2636" s="3" t="s">
        <v>271</v>
      </c>
      <c r="E2636" s="5" t="str">
        <f>TEXT(D2636,"dd/mm/yyyy")</f>
        <v>28/07/2024</v>
      </c>
      <c r="G2636" s="5" t="str">
        <f>TEXT(E2636,"mm")</f>
        <v>28/07/2024</v>
      </c>
      <c r="H2636" s="6">
        <v>8754.31</v>
      </c>
      <c r="I2636">
        <v>14</v>
      </c>
      <c r="L2636" t="str">
        <f t="shared" si="41"/>
        <v>Above Average</v>
      </c>
      <c r="M2636">
        <f>RANK(H2636,H:H,0)</f>
        <v>790</v>
      </c>
    </row>
    <row r="2637" spans="1:13">
      <c r="A2637" t="s">
        <v>28</v>
      </c>
      <c r="B2637" t="s">
        <v>35</v>
      </c>
      <c r="C2637" t="s">
        <v>8</v>
      </c>
      <c r="D2637" s="3" t="s">
        <v>313</v>
      </c>
      <c r="E2637" s="5" t="str">
        <f>TEXT(D2637,"dd/mm/yyyy")</f>
        <v>28/01/2024</v>
      </c>
      <c r="G2637" s="5" t="str">
        <f>TEXT(E2637,"mm")</f>
        <v>28/01/2024</v>
      </c>
      <c r="H2637" s="6">
        <v>5475.65</v>
      </c>
      <c r="I2637">
        <v>194</v>
      </c>
      <c r="L2637" t="str">
        <f t="shared" si="41"/>
        <v>Below Average</v>
      </c>
      <c r="M2637">
        <f>RANK(H2637,H:H,0)</f>
        <v>1574</v>
      </c>
    </row>
    <row r="2638" spans="1:13">
      <c r="A2638" t="s">
        <v>55</v>
      </c>
      <c r="B2638" t="s">
        <v>7</v>
      </c>
      <c r="C2638" t="s">
        <v>33</v>
      </c>
      <c r="D2638" s="3" t="s">
        <v>282</v>
      </c>
      <c r="E2638" s="5" t="str">
        <f>TEXT(D2638,"dd/mm/yyyy")</f>
        <v>29/06/2024</v>
      </c>
      <c r="G2638" s="5" t="str">
        <f>TEXT(E2638,"mm")</f>
        <v>29/06/2024</v>
      </c>
      <c r="H2638" s="6">
        <v>2252.94</v>
      </c>
      <c r="I2638">
        <v>196</v>
      </c>
      <c r="L2638" t="str">
        <f t="shared" si="41"/>
        <v>Below Average</v>
      </c>
      <c r="M2638">
        <f>RANK(H2638,H:H,0)</f>
        <v>2567</v>
      </c>
    </row>
    <row r="2639" spans="1:13">
      <c r="A2639" t="s">
        <v>37</v>
      </c>
      <c r="B2639" t="s">
        <v>15</v>
      </c>
      <c r="C2639" t="s">
        <v>100</v>
      </c>
      <c r="D2639" s="3" t="s">
        <v>349</v>
      </c>
      <c r="E2639" s="5" t="str">
        <f>TEXT(D2639,"dd/mm/yyyy")</f>
        <v>24/06/2024</v>
      </c>
      <c r="G2639" s="5" t="str">
        <f>TEXT(E2639,"mm")</f>
        <v>24/06/2024</v>
      </c>
      <c r="H2639" s="6">
        <v>278.77999999999997</v>
      </c>
      <c r="I2639">
        <v>332</v>
      </c>
      <c r="L2639" t="str">
        <f t="shared" si="41"/>
        <v>Below Average</v>
      </c>
      <c r="M2639">
        <f>RANK(H2639,H:H,0)</f>
        <v>3201</v>
      </c>
    </row>
    <row r="2640" spans="1:13">
      <c r="A2640" t="s">
        <v>22</v>
      </c>
      <c r="B2640" t="s">
        <v>35</v>
      </c>
      <c r="C2640" t="s">
        <v>8</v>
      </c>
      <c r="D2640" s="4">
        <v>45298</v>
      </c>
      <c r="E2640" s="5" t="str">
        <f>TEXT(D2640,"dd/mm/yyyy")</f>
        <v>07/01/2024</v>
      </c>
      <c r="F2640" s="4"/>
      <c r="G2640" s="5" t="str">
        <f>TEXT(E2640,"mm")</f>
        <v>07</v>
      </c>
      <c r="H2640" s="6">
        <v>8936.91</v>
      </c>
      <c r="I2640">
        <v>442</v>
      </c>
      <c r="L2640" t="str">
        <f t="shared" si="41"/>
        <v>Above Average</v>
      </c>
      <c r="M2640">
        <f>RANK(H2640,H:H,0)</f>
        <v>750</v>
      </c>
    </row>
    <row r="2641" spans="1:13">
      <c r="A2641" t="s">
        <v>45</v>
      </c>
      <c r="B2641" t="s">
        <v>32</v>
      </c>
      <c r="C2641" t="s">
        <v>13</v>
      </c>
      <c r="D2641" s="3" t="s">
        <v>310</v>
      </c>
      <c r="E2641" s="5" t="str">
        <f>TEXT(D2641,"dd/mm/yyyy")</f>
        <v>25/02/2024</v>
      </c>
      <c r="G2641" s="5" t="str">
        <f>TEXT(E2641,"mm")</f>
        <v>25/02/2024</v>
      </c>
      <c r="H2641" s="6">
        <v>2010.22</v>
      </c>
      <c r="I2641">
        <v>144</v>
      </c>
      <c r="L2641" t="str">
        <f t="shared" si="41"/>
        <v>Below Average</v>
      </c>
      <c r="M2641">
        <f>RANK(H2641,H:H,0)</f>
        <v>2632</v>
      </c>
    </row>
    <row r="2642" spans="1:13">
      <c r="A2642" t="s">
        <v>48</v>
      </c>
      <c r="B2642" t="s">
        <v>35</v>
      </c>
      <c r="C2642" t="s">
        <v>18</v>
      </c>
      <c r="D2642" s="4">
        <v>45299</v>
      </c>
      <c r="E2642" s="5" t="str">
        <f>TEXT(D2642,"dd/mm/yyyy")</f>
        <v>08/01/2024</v>
      </c>
      <c r="F2642" s="4"/>
      <c r="G2642" s="5" t="str">
        <f>TEXT(E2642,"mm")</f>
        <v>08</v>
      </c>
      <c r="H2642" s="6">
        <v>2901.91</v>
      </c>
      <c r="I2642">
        <v>12</v>
      </c>
      <c r="L2642" t="str">
        <f t="shared" si="41"/>
        <v>Below Average</v>
      </c>
      <c r="M2642">
        <f>RANK(H2642,H:H,0)</f>
        <v>2345</v>
      </c>
    </row>
    <row r="2643" spans="1:13">
      <c r="A2643" t="s">
        <v>19</v>
      </c>
      <c r="B2643" t="s">
        <v>15</v>
      </c>
      <c r="C2643" t="s">
        <v>46</v>
      </c>
      <c r="D2643" s="3" t="s">
        <v>352</v>
      </c>
      <c r="E2643" s="5" t="str">
        <f>TEXT(D2643,"dd/mm/yyyy")</f>
        <v>21/06/2024</v>
      </c>
      <c r="G2643" s="5" t="str">
        <f>TEXT(E2643,"mm")</f>
        <v>21/06/2024</v>
      </c>
      <c r="H2643" s="6">
        <v>9231.31</v>
      </c>
      <c r="I2643">
        <v>278</v>
      </c>
      <c r="L2643" t="str">
        <f t="shared" si="41"/>
        <v>Above Average</v>
      </c>
      <c r="M2643">
        <f>RANK(H2643,H:H,0)</f>
        <v>699</v>
      </c>
    </row>
    <row r="2644" spans="1:13">
      <c r="A2644" t="s">
        <v>71</v>
      </c>
      <c r="B2644" t="s">
        <v>25</v>
      </c>
      <c r="C2644" t="s">
        <v>50</v>
      </c>
      <c r="D2644" s="3" t="s">
        <v>267</v>
      </c>
      <c r="E2644" s="5" t="str">
        <f>TEXT(D2644,"dd/mm/yyyy")</f>
        <v>25/01/2024</v>
      </c>
      <c r="G2644" s="5" t="str">
        <f>TEXT(E2644,"mm")</f>
        <v>25/01/2024</v>
      </c>
      <c r="H2644" s="6">
        <v>12744.67</v>
      </c>
      <c r="I2644">
        <v>26</v>
      </c>
      <c r="L2644" t="str">
        <f t="shared" si="41"/>
        <v>Above Average</v>
      </c>
      <c r="M2644">
        <f>RANK(H2644,H:H,0)</f>
        <v>282</v>
      </c>
    </row>
    <row r="2645" spans="1:13">
      <c r="A2645" t="s">
        <v>12</v>
      </c>
      <c r="B2645" t="s">
        <v>7</v>
      </c>
      <c r="C2645" t="s">
        <v>46</v>
      </c>
      <c r="D2645" s="3" t="s">
        <v>350</v>
      </c>
      <c r="E2645" s="5" t="str">
        <f>TEXT(D2645,"dd/mm/yyyy")</f>
        <v>17/05/2024</v>
      </c>
      <c r="G2645" s="5" t="str">
        <f>TEXT(E2645,"mm")</f>
        <v>17/05/2024</v>
      </c>
      <c r="H2645" s="6">
        <v>1436.97</v>
      </c>
      <c r="I2645">
        <v>248</v>
      </c>
      <c r="L2645" t="str">
        <f t="shared" si="41"/>
        <v>Below Average</v>
      </c>
      <c r="M2645">
        <f>RANK(H2645,H:H,0)</f>
        <v>2825</v>
      </c>
    </row>
    <row r="2646" spans="1:13">
      <c r="A2646" t="s">
        <v>67</v>
      </c>
      <c r="B2646" t="s">
        <v>15</v>
      </c>
      <c r="C2646" t="s">
        <v>11</v>
      </c>
      <c r="D2646" s="3" t="s">
        <v>305</v>
      </c>
      <c r="E2646" s="5" t="str">
        <f>TEXT(D2646,"dd/mm/yyyy")</f>
        <v>23/08/2024</v>
      </c>
      <c r="G2646" s="5" t="str">
        <f>TEXT(E2646,"mm")</f>
        <v>23/08/2024</v>
      </c>
      <c r="H2646" s="6">
        <v>4900.32</v>
      </c>
      <c r="I2646">
        <v>254</v>
      </c>
      <c r="L2646" t="str">
        <f t="shared" si="41"/>
        <v>Below Average</v>
      </c>
      <c r="M2646">
        <f>RANK(H2646,H:H,0)</f>
        <v>1731</v>
      </c>
    </row>
    <row r="2647" spans="1:13">
      <c r="A2647" t="s">
        <v>71</v>
      </c>
      <c r="B2647" t="s">
        <v>15</v>
      </c>
      <c r="C2647" t="s">
        <v>18</v>
      </c>
      <c r="D2647" s="4">
        <v>45354</v>
      </c>
      <c r="E2647" s="5" t="str">
        <f>TEXT(D2647,"dd/mm/yyyy")</f>
        <v>03/03/2024</v>
      </c>
      <c r="F2647" s="4"/>
      <c r="G2647" s="5" t="str">
        <f>TEXT(E2647,"mm")</f>
        <v>03</v>
      </c>
      <c r="H2647" s="6">
        <v>8263.11</v>
      </c>
      <c r="I2647">
        <v>129</v>
      </c>
      <c r="L2647" t="str">
        <f t="shared" si="41"/>
        <v>Above Average</v>
      </c>
      <c r="M2647">
        <f>RANK(H2647,H:H,0)</f>
        <v>881</v>
      </c>
    </row>
    <row r="2648" spans="1:13">
      <c r="A2648" t="s">
        <v>45</v>
      </c>
      <c r="B2648" t="s">
        <v>10</v>
      </c>
      <c r="C2648" t="s">
        <v>90</v>
      </c>
      <c r="D2648" s="3" t="s">
        <v>277</v>
      </c>
      <c r="E2648" s="5" t="str">
        <f>TEXT(D2648,"dd/mm/yyyy")</f>
        <v>30/05/2024</v>
      </c>
      <c r="G2648" s="5" t="str">
        <f>TEXT(E2648,"mm")</f>
        <v>30/05/2024</v>
      </c>
      <c r="H2648" s="6">
        <v>10139.68</v>
      </c>
      <c r="I2648">
        <v>552</v>
      </c>
      <c r="L2648" t="str">
        <f t="shared" si="41"/>
        <v>Above Average</v>
      </c>
      <c r="M2648">
        <f>RANK(H2648,H:H,0)</f>
        <v>561</v>
      </c>
    </row>
    <row r="2649" spans="1:13">
      <c r="A2649" t="s">
        <v>37</v>
      </c>
      <c r="B2649" t="s">
        <v>32</v>
      </c>
      <c r="C2649" t="s">
        <v>38</v>
      </c>
      <c r="D2649" s="3" t="s">
        <v>282</v>
      </c>
      <c r="E2649" s="5" t="str">
        <f>TEXT(D2649,"dd/mm/yyyy")</f>
        <v>29/06/2024</v>
      </c>
      <c r="G2649" s="5" t="str">
        <f>TEXT(E2649,"mm")</f>
        <v>29/06/2024</v>
      </c>
      <c r="H2649" s="6">
        <v>132.68</v>
      </c>
      <c r="I2649">
        <v>243</v>
      </c>
      <c r="L2649" t="str">
        <f t="shared" si="41"/>
        <v>Below Average</v>
      </c>
      <c r="M2649">
        <f>RANK(H2649,H:H,0)</f>
        <v>3234</v>
      </c>
    </row>
    <row r="2650" spans="1:13">
      <c r="A2650" t="s">
        <v>67</v>
      </c>
      <c r="B2650" t="s">
        <v>35</v>
      </c>
      <c r="C2650" t="s">
        <v>42</v>
      </c>
      <c r="D2650" s="4">
        <v>45383</v>
      </c>
      <c r="E2650" s="5" t="str">
        <f>TEXT(D2650,"dd/mm/yyyy")</f>
        <v>01/04/2024</v>
      </c>
      <c r="F2650" s="4"/>
      <c r="G2650" s="5" t="str">
        <f>TEXT(E2650,"mm")</f>
        <v>01</v>
      </c>
      <c r="H2650" s="6">
        <v>9479.6299999999992</v>
      </c>
      <c r="I2650">
        <v>217</v>
      </c>
      <c r="L2650" t="str">
        <f t="shared" si="41"/>
        <v>Above Average</v>
      </c>
      <c r="M2650">
        <f>RANK(H2650,H:H,0)</f>
        <v>658</v>
      </c>
    </row>
    <row r="2651" spans="1:13">
      <c r="A2651" t="s">
        <v>6</v>
      </c>
      <c r="B2651" t="s">
        <v>15</v>
      </c>
      <c r="C2651" t="s">
        <v>38</v>
      </c>
      <c r="D2651" s="3" t="s">
        <v>328</v>
      </c>
      <c r="E2651" s="5" t="str">
        <f>TEXT(D2651,"dd/mm/yyyy")</f>
        <v>14/01/2024</v>
      </c>
      <c r="G2651" s="5" t="str">
        <f>TEXT(E2651,"mm")</f>
        <v>14/01/2024</v>
      </c>
      <c r="H2651" s="6">
        <v>3114.84</v>
      </c>
      <c r="I2651">
        <v>65</v>
      </c>
      <c r="L2651" t="str">
        <f t="shared" si="41"/>
        <v>Below Average</v>
      </c>
      <c r="M2651">
        <f>RANK(H2651,H:H,0)</f>
        <v>2263</v>
      </c>
    </row>
    <row r="2652" spans="1:13">
      <c r="A2652" t="s">
        <v>37</v>
      </c>
      <c r="B2652" t="s">
        <v>32</v>
      </c>
      <c r="C2652" t="s">
        <v>8</v>
      </c>
      <c r="D2652" s="3" t="s">
        <v>355</v>
      </c>
      <c r="E2652" s="5" t="str">
        <f>TEXT(D2652,"dd/mm/yyyy")</f>
        <v>15/02/2024</v>
      </c>
      <c r="G2652" s="5" t="str">
        <f>TEXT(E2652,"mm")</f>
        <v>15/02/2024</v>
      </c>
      <c r="H2652" s="6">
        <v>17866.48</v>
      </c>
      <c r="I2652">
        <v>58</v>
      </c>
      <c r="L2652" t="str">
        <f t="shared" si="41"/>
        <v>Above Average</v>
      </c>
      <c r="M2652">
        <f>RANK(H2652,H:H,0)</f>
        <v>43</v>
      </c>
    </row>
    <row r="2653" spans="1:13">
      <c r="A2653" t="s">
        <v>48</v>
      </c>
      <c r="B2653" t="s">
        <v>25</v>
      </c>
      <c r="C2653" t="s">
        <v>50</v>
      </c>
      <c r="D2653" s="4">
        <v>45566</v>
      </c>
      <c r="E2653" s="5" t="str">
        <f>TEXT(D2653,"dd/mm/yyyy")</f>
        <v>01/10/2024</v>
      </c>
      <c r="F2653" s="4"/>
      <c r="G2653" s="5" t="str">
        <f>TEXT(E2653,"mm")</f>
        <v>01</v>
      </c>
      <c r="H2653" s="6">
        <v>4651.03</v>
      </c>
      <c r="I2653">
        <v>494</v>
      </c>
      <c r="L2653" t="str">
        <f t="shared" si="41"/>
        <v>Below Average</v>
      </c>
      <c r="M2653">
        <f>RANK(H2653,H:H,0)</f>
        <v>1810</v>
      </c>
    </row>
    <row r="2654" spans="1:13">
      <c r="A2654" t="s">
        <v>77</v>
      </c>
      <c r="B2654" t="s">
        <v>32</v>
      </c>
      <c r="C2654" t="s">
        <v>59</v>
      </c>
      <c r="D2654" s="4">
        <v>45387</v>
      </c>
      <c r="E2654" s="5" t="str">
        <f>TEXT(D2654,"dd/mm/yyyy")</f>
        <v>05/04/2024</v>
      </c>
      <c r="F2654" s="4"/>
      <c r="G2654" s="5" t="str">
        <f>TEXT(E2654,"mm")</f>
        <v>05</v>
      </c>
      <c r="H2654" s="6">
        <v>14360.42</v>
      </c>
      <c r="I2654">
        <v>218</v>
      </c>
      <c r="L2654" t="str">
        <f t="shared" si="41"/>
        <v>Above Average</v>
      </c>
      <c r="M2654">
        <f>RANK(H2654,H:H,0)</f>
        <v>186</v>
      </c>
    </row>
    <row r="2655" spans="1:13">
      <c r="A2655" t="s">
        <v>67</v>
      </c>
      <c r="B2655" t="s">
        <v>32</v>
      </c>
      <c r="C2655" t="s">
        <v>50</v>
      </c>
      <c r="D2655" s="3" t="s">
        <v>342</v>
      </c>
      <c r="E2655" s="5" t="str">
        <f>TEXT(D2655,"dd/mm/yyyy")</f>
        <v>23/05/2024</v>
      </c>
      <c r="G2655" s="5" t="str">
        <f>TEXT(E2655,"mm")</f>
        <v>23/05/2024</v>
      </c>
      <c r="H2655" s="6">
        <v>2595.52</v>
      </c>
      <c r="I2655">
        <v>5</v>
      </c>
      <c r="L2655" t="str">
        <f t="shared" si="41"/>
        <v>Below Average</v>
      </c>
      <c r="M2655">
        <f>RANK(H2655,H:H,0)</f>
        <v>2441</v>
      </c>
    </row>
    <row r="2656" spans="1:13">
      <c r="A2656" t="s">
        <v>31</v>
      </c>
      <c r="B2656" t="s">
        <v>25</v>
      </c>
      <c r="C2656" t="s">
        <v>57</v>
      </c>
      <c r="D2656" s="3" t="s">
        <v>357</v>
      </c>
      <c r="E2656" s="5" t="str">
        <f>TEXT(D2656,"dd/mm/yyyy")</f>
        <v>26/04/2024</v>
      </c>
      <c r="G2656" s="5" t="str">
        <f>TEXT(E2656,"mm")</f>
        <v>26/04/2024</v>
      </c>
      <c r="H2656" s="6">
        <v>1853.03</v>
      </c>
      <c r="I2656">
        <v>153</v>
      </c>
      <c r="L2656" t="str">
        <f t="shared" si="41"/>
        <v>Below Average</v>
      </c>
      <c r="M2656">
        <f>RANK(H2656,H:H,0)</f>
        <v>2684</v>
      </c>
    </row>
    <row r="2657" spans="1:13">
      <c r="A2657" t="s">
        <v>19</v>
      </c>
      <c r="B2657" t="s">
        <v>35</v>
      </c>
      <c r="C2657" t="s">
        <v>42</v>
      </c>
      <c r="D2657" s="4">
        <v>45419</v>
      </c>
      <c r="E2657" s="5" t="str">
        <f>TEXT(D2657,"dd/mm/yyyy")</f>
        <v>07/05/2024</v>
      </c>
      <c r="F2657" s="4"/>
      <c r="G2657" s="5" t="str">
        <f>TEXT(E2657,"mm")</f>
        <v>07</v>
      </c>
      <c r="H2657" s="6">
        <v>1392.99</v>
      </c>
      <c r="I2657">
        <v>70</v>
      </c>
      <c r="L2657" t="str">
        <f t="shared" si="41"/>
        <v>Below Average</v>
      </c>
      <c r="M2657">
        <f>RANK(H2657,H:H,0)</f>
        <v>2842</v>
      </c>
    </row>
    <row r="2658" spans="1:13">
      <c r="A2658" t="s">
        <v>77</v>
      </c>
      <c r="B2658" t="s">
        <v>7</v>
      </c>
      <c r="C2658" t="s">
        <v>42</v>
      </c>
      <c r="D2658" s="3" t="s">
        <v>347</v>
      </c>
      <c r="E2658" s="5" t="str">
        <f>TEXT(D2658,"dd/mm/yyyy")</f>
        <v>21/07/2024</v>
      </c>
      <c r="G2658" s="5" t="str">
        <f>TEXT(E2658,"mm")</f>
        <v>21/07/2024</v>
      </c>
      <c r="H2658" s="6">
        <v>7943.17</v>
      </c>
      <c r="I2658">
        <v>174</v>
      </c>
      <c r="L2658" t="str">
        <f t="shared" si="41"/>
        <v>Above Average</v>
      </c>
      <c r="M2658">
        <f>RANK(H2658,H:H,0)</f>
        <v>953</v>
      </c>
    </row>
    <row r="2659" spans="1:13">
      <c r="A2659" t="s">
        <v>79</v>
      </c>
      <c r="B2659" t="s">
        <v>32</v>
      </c>
      <c r="C2659" t="s">
        <v>8</v>
      </c>
      <c r="D2659" s="3" t="s">
        <v>315</v>
      </c>
      <c r="E2659" s="5" t="str">
        <f>TEXT(D2659,"dd/mm/yyyy")</f>
        <v>21/02/2024</v>
      </c>
      <c r="G2659" s="5" t="str">
        <f>TEXT(E2659,"mm")</f>
        <v>21/02/2024</v>
      </c>
      <c r="H2659" s="6">
        <v>5552.79</v>
      </c>
      <c r="I2659">
        <v>272</v>
      </c>
      <c r="L2659" t="str">
        <f t="shared" si="41"/>
        <v>Below Average</v>
      </c>
      <c r="M2659">
        <f>RANK(H2659,H:H,0)</f>
        <v>1555</v>
      </c>
    </row>
    <row r="2660" spans="1:13">
      <c r="A2660" t="s">
        <v>70</v>
      </c>
      <c r="B2660" t="s">
        <v>32</v>
      </c>
      <c r="C2660" t="s">
        <v>33</v>
      </c>
      <c r="D2660" s="4">
        <v>45353</v>
      </c>
      <c r="E2660" s="5" t="str">
        <f>TEXT(D2660,"dd/mm/yyyy")</f>
        <v>02/03/2024</v>
      </c>
      <c r="F2660" s="4"/>
      <c r="G2660" s="5" t="str">
        <f>TEXT(E2660,"mm")</f>
        <v>02</v>
      </c>
      <c r="H2660" s="6">
        <v>1539.14</v>
      </c>
      <c r="I2660">
        <v>143</v>
      </c>
      <c r="L2660" t="str">
        <f t="shared" si="41"/>
        <v>Below Average</v>
      </c>
      <c r="M2660">
        <f>RANK(H2660,H:H,0)</f>
        <v>2795</v>
      </c>
    </row>
    <row r="2661" spans="1:13">
      <c r="A2661" t="s">
        <v>12</v>
      </c>
      <c r="B2661" t="s">
        <v>15</v>
      </c>
      <c r="C2661" t="s">
        <v>90</v>
      </c>
      <c r="D2661" s="4">
        <v>45511</v>
      </c>
      <c r="E2661" s="5" t="str">
        <f>TEXT(D2661,"dd/mm/yyyy")</f>
        <v>07/08/2024</v>
      </c>
      <c r="F2661" s="4"/>
      <c r="G2661" s="5" t="str">
        <f>TEXT(E2661,"mm")</f>
        <v>07</v>
      </c>
      <c r="H2661" s="6">
        <v>9117.77</v>
      </c>
      <c r="I2661">
        <v>154</v>
      </c>
      <c r="L2661" t="str">
        <f t="shared" si="41"/>
        <v>Above Average</v>
      </c>
      <c r="M2661">
        <f>RANK(H2661,H:H,0)</f>
        <v>715</v>
      </c>
    </row>
    <row r="2662" spans="1:13">
      <c r="A2662" t="s">
        <v>34</v>
      </c>
      <c r="B2662" t="s">
        <v>10</v>
      </c>
      <c r="C2662" t="s">
        <v>26</v>
      </c>
      <c r="D2662" s="3" t="s">
        <v>332</v>
      </c>
      <c r="E2662" s="5" t="str">
        <f>TEXT(D2662,"dd/mm/yyyy")</f>
        <v>31/05/2024</v>
      </c>
      <c r="G2662" s="5" t="str">
        <f>TEXT(E2662,"mm")</f>
        <v>31/05/2024</v>
      </c>
      <c r="H2662" s="6">
        <v>631.02</v>
      </c>
      <c r="I2662">
        <v>140</v>
      </c>
      <c r="L2662" t="str">
        <f t="shared" si="41"/>
        <v>Below Average</v>
      </c>
      <c r="M2662">
        <f>RANK(H2662,H:H,0)</f>
        <v>3089</v>
      </c>
    </row>
    <row r="2663" spans="1:13">
      <c r="A2663" t="s">
        <v>9</v>
      </c>
      <c r="B2663" t="s">
        <v>25</v>
      </c>
      <c r="C2663" t="s">
        <v>8</v>
      </c>
      <c r="D2663" s="3" t="s">
        <v>275</v>
      </c>
      <c r="E2663" s="5" t="str">
        <f>TEXT(D2663,"dd/mm/yyyy")</f>
        <v>27/06/2024</v>
      </c>
      <c r="G2663" s="5" t="str">
        <f>TEXT(E2663,"mm")</f>
        <v>27/06/2024</v>
      </c>
      <c r="H2663" s="6">
        <v>4486.37</v>
      </c>
      <c r="I2663">
        <v>104</v>
      </c>
      <c r="L2663" t="str">
        <f t="shared" si="41"/>
        <v>Below Average</v>
      </c>
      <c r="M2663">
        <f>RANK(H2663,H:H,0)</f>
        <v>1856</v>
      </c>
    </row>
    <row r="2664" spans="1:13">
      <c r="A2664" t="s">
        <v>9</v>
      </c>
      <c r="B2664" t="s">
        <v>10</v>
      </c>
      <c r="C2664" t="s">
        <v>26</v>
      </c>
      <c r="D2664" s="3" t="s">
        <v>336</v>
      </c>
      <c r="E2664" s="5" t="str">
        <f>TEXT(D2664,"dd/mm/yyyy")</f>
        <v>13/05/2024</v>
      </c>
      <c r="G2664" s="5" t="str">
        <f>TEXT(E2664,"mm")</f>
        <v>13/05/2024</v>
      </c>
      <c r="H2664" s="6">
        <v>5591.29</v>
      </c>
      <c r="I2664">
        <v>132</v>
      </c>
      <c r="L2664" t="str">
        <f t="shared" si="41"/>
        <v>Below Average</v>
      </c>
      <c r="M2664">
        <f>RANK(H2664,H:H,0)</f>
        <v>1548</v>
      </c>
    </row>
    <row r="2665" spans="1:13">
      <c r="A2665" t="s">
        <v>9</v>
      </c>
      <c r="B2665" t="s">
        <v>32</v>
      </c>
      <c r="C2665" t="s">
        <v>60</v>
      </c>
      <c r="D2665" s="3" t="s">
        <v>332</v>
      </c>
      <c r="E2665" s="5" t="str">
        <f>TEXT(D2665,"dd/mm/yyyy")</f>
        <v>31/05/2024</v>
      </c>
      <c r="G2665" s="5" t="str">
        <f>TEXT(E2665,"mm")</f>
        <v>31/05/2024</v>
      </c>
      <c r="H2665" s="6">
        <v>2662.54</v>
      </c>
      <c r="I2665">
        <v>102</v>
      </c>
      <c r="L2665" t="str">
        <f t="shared" si="41"/>
        <v>Below Average</v>
      </c>
      <c r="M2665">
        <f>RANK(H2665,H:H,0)</f>
        <v>2417</v>
      </c>
    </row>
    <row r="2666" spans="1:13">
      <c r="A2666" t="s">
        <v>64</v>
      </c>
      <c r="B2666" t="s">
        <v>32</v>
      </c>
      <c r="C2666" t="s">
        <v>33</v>
      </c>
      <c r="D2666" s="3" t="s">
        <v>279</v>
      </c>
      <c r="E2666" s="5" t="str">
        <f>TEXT(D2666,"dd/mm/yyyy")</f>
        <v>28/02/2024</v>
      </c>
      <c r="G2666" s="5" t="str">
        <f>TEXT(E2666,"mm")</f>
        <v>28/02/2024</v>
      </c>
      <c r="H2666" s="6">
        <v>7481.93</v>
      </c>
      <c r="I2666">
        <v>38</v>
      </c>
      <c r="L2666" t="str">
        <f t="shared" si="41"/>
        <v>Above Average</v>
      </c>
      <c r="M2666">
        <f>RANK(H2666,H:H,0)</f>
        <v>1070</v>
      </c>
    </row>
    <row r="2667" spans="1:13">
      <c r="A2667" t="s">
        <v>31</v>
      </c>
      <c r="B2667" t="s">
        <v>25</v>
      </c>
      <c r="C2667" t="s">
        <v>36</v>
      </c>
      <c r="D2667" s="3" t="s">
        <v>308</v>
      </c>
      <c r="E2667" s="5" t="str">
        <f>TEXT(D2667,"dd/mm/yyyy")</f>
        <v>28/03/2024</v>
      </c>
      <c r="G2667" s="5" t="str">
        <f>TEXT(E2667,"mm")</f>
        <v>28/03/2024</v>
      </c>
      <c r="H2667" s="6">
        <v>7418.41</v>
      </c>
      <c r="I2667">
        <v>31</v>
      </c>
      <c r="L2667" t="str">
        <f t="shared" si="41"/>
        <v>Above Average</v>
      </c>
      <c r="M2667">
        <f>RANK(H2667,H:H,0)</f>
        <v>1085</v>
      </c>
    </row>
    <row r="2668" spans="1:13">
      <c r="A2668" t="s">
        <v>12</v>
      </c>
      <c r="B2668" t="s">
        <v>32</v>
      </c>
      <c r="C2668" t="s">
        <v>23</v>
      </c>
      <c r="D2668" s="3" t="s">
        <v>328</v>
      </c>
      <c r="E2668" s="5" t="str">
        <f>TEXT(D2668,"dd/mm/yyyy")</f>
        <v>14/01/2024</v>
      </c>
      <c r="G2668" s="5" t="str">
        <f>TEXT(E2668,"mm")</f>
        <v>14/01/2024</v>
      </c>
      <c r="H2668" s="6">
        <v>1969.06</v>
      </c>
      <c r="I2668">
        <v>235</v>
      </c>
      <c r="L2668" t="str">
        <f t="shared" si="41"/>
        <v>Below Average</v>
      </c>
      <c r="M2668">
        <f>RANK(H2668,H:H,0)</f>
        <v>2642</v>
      </c>
    </row>
    <row r="2669" spans="1:13">
      <c r="A2669" t="s">
        <v>31</v>
      </c>
      <c r="B2669" t="s">
        <v>25</v>
      </c>
      <c r="C2669" t="s">
        <v>8</v>
      </c>
      <c r="D2669" s="3" t="s">
        <v>315</v>
      </c>
      <c r="E2669" s="5" t="str">
        <f>TEXT(D2669,"dd/mm/yyyy")</f>
        <v>21/02/2024</v>
      </c>
      <c r="G2669" s="5" t="str">
        <f>TEXT(E2669,"mm")</f>
        <v>21/02/2024</v>
      </c>
      <c r="H2669" s="6">
        <v>7197.75</v>
      </c>
      <c r="I2669">
        <v>159</v>
      </c>
      <c r="L2669" t="str">
        <f t="shared" si="41"/>
        <v>Above Average</v>
      </c>
      <c r="M2669">
        <f>RANK(H2669,H:H,0)</f>
        <v>1131</v>
      </c>
    </row>
    <row r="2670" spans="1:13">
      <c r="A2670" t="s">
        <v>58</v>
      </c>
      <c r="B2670" t="s">
        <v>35</v>
      </c>
      <c r="C2670" t="s">
        <v>11</v>
      </c>
      <c r="D2670" s="4">
        <v>45299</v>
      </c>
      <c r="E2670" s="5" t="str">
        <f>TEXT(D2670,"dd/mm/yyyy")</f>
        <v>08/01/2024</v>
      </c>
      <c r="F2670" s="4"/>
      <c r="G2670" s="5" t="str">
        <f>TEXT(E2670,"mm")</f>
        <v>08</v>
      </c>
      <c r="H2670" s="6">
        <v>11719.06</v>
      </c>
      <c r="I2670">
        <v>87</v>
      </c>
      <c r="L2670" t="str">
        <f t="shared" si="41"/>
        <v>Above Average</v>
      </c>
      <c r="M2670">
        <f>RANK(H2670,H:H,0)</f>
        <v>371</v>
      </c>
    </row>
    <row r="2671" spans="1:13">
      <c r="A2671" t="s">
        <v>41</v>
      </c>
      <c r="B2671" t="s">
        <v>25</v>
      </c>
      <c r="C2671" t="s">
        <v>18</v>
      </c>
      <c r="D2671" s="3" t="s">
        <v>286</v>
      </c>
      <c r="E2671" s="5" t="str">
        <f>TEXT(D2671,"dd/mm/yyyy")</f>
        <v>19/05/2024</v>
      </c>
      <c r="G2671" s="5" t="str">
        <f>TEXT(E2671,"mm")</f>
        <v>19/05/2024</v>
      </c>
      <c r="H2671" s="6">
        <v>2755.14</v>
      </c>
      <c r="I2671">
        <v>63</v>
      </c>
      <c r="L2671" t="str">
        <f t="shared" si="41"/>
        <v>Below Average</v>
      </c>
      <c r="M2671">
        <f>RANK(H2671,H:H,0)</f>
        <v>2391</v>
      </c>
    </row>
    <row r="2672" spans="1:13">
      <c r="A2672" t="s">
        <v>53</v>
      </c>
      <c r="B2672" t="s">
        <v>32</v>
      </c>
      <c r="C2672" t="s">
        <v>59</v>
      </c>
      <c r="D2672" s="3" t="s">
        <v>301</v>
      </c>
      <c r="E2672" s="5" t="str">
        <f>TEXT(D2672,"dd/mm/yyyy")</f>
        <v>13/07/2024</v>
      </c>
      <c r="G2672" s="5" t="str">
        <f>TEXT(E2672,"mm")</f>
        <v>13/07/2024</v>
      </c>
      <c r="H2672" s="6">
        <v>2438.56</v>
      </c>
      <c r="I2672">
        <v>61</v>
      </c>
      <c r="L2672" t="str">
        <f t="shared" si="41"/>
        <v>Below Average</v>
      </c>
      <c r="M2672">
        <f>RANK(H2672,H:H,0)</f>
        <v>2504</v>
      </c>
    </row>
    <row r="2673" spans="1:13">
      <c r="A2673" t="s">
        <v>67</v>
      </c>
      <c r="B2673" t="s">
        <v>15</v>
      </c>
      <c r="C2673" t="s">
        <v>13</v>
      </c>
      <c r="D2673" s="3" t="s">
        <v>269</v>
      </c>
      <c r="E2673" s="5" t="str">
        <f>TEXT(D2673,"dd/mm/yyyy")</f>
        <v>20/04/2024</v>
      </c>
      <c r="G2673" s="5" t="str">
        <f>TEXT(E2673,"mm")</f>
        <v>20/04/2024</v>
      </c>
      <c r="H2673" s="6">
        <v>7661.86</v>
      </c>
      <c r="I2673">
        <v>144</v>
      </c>
      <c r="L2673" t="str">
        <f t="shared" si="41"/>
        <v>Above Average</v>
      </c>
      <c r="M2673">
        <f>RANK(H2673,H:H,0)</f>
        <v>1027</v>
      </c>
    </row>
    <row r="2674" spans="1:13">
      <c r="A2674" t="s">
        <v>58</v>
      </c>
      <c r="B2674" t="s">
        <v>10</v>
      </c>
      <c r="C2674" t="s">
        <v>11</v>
      </c>
      <c r="D2674" s="3" t="s">
        <v>283</v>
      </c>
      <c r="E2674" s="5" t="str">
        <f>TEXT(D2674,"dd/mm/yyyy")</f>
        <v>30/06/2024</v>
      </c>
      <c r="G2674" s="5" t="str">
        <f>TEXT(E2674,"mm")</f>
        <v>30/06/2024</v>
      </c>
      <c r="H2674" s="6">
        <v>4886.1499999999996</v>
      </c>
      <c r="I2674">
        <v>23</v>
      </c>
      <c r="L2674" t="str">
        <f t="shared" si="41"/>
        <v>Below Average</v>
      </c>
      <c r="M2674">
        <f>RANK(H2674,H:H,0)</f>
        <v>1737</v>
      </c>
    </row>
    <row r="2675" spans="1:13">
      <c r="A2675" t="s">
        <v>48</v>
      </c>
      <c r="B2675" t="s">
        <v>7</v>
      </c>
      <c r="C2675" t="s">
        <v>26</v>
      </c>
      <c r="D2675" s="4">
        <v>45507</v>
      </c>
      <c r="E2675" s="5" t="str">
        <f>TEXT(D2675,"dd/mm/yyyy")</f>
        <v>03/08/2024</v>
      </c>
      <c r="F2675" s="4"/>
      <c r="G2675" s="5" t="str">
        <f>TEXT(E2675,"mm")</f>
        <v>03</v>
      </c>
      <c r="H2675" s="6">
        <v>3572.26</v>
      </c>
      <c r="I2675">
        <v>156</v>
      </c>
      <c r="L2675" t="str">
        <f t="shared" si="41"/>
        <v>Below Average</v>
      </c>
      <c r="M2675">
        <f>RANK(H2675,H:H,0)</f>
        <v>2117</v>
      </c>
    </row>
    <row r="2676" spans="1:13">
      <c r="A2676" t="s">
        <v>22</v>
      </c>
      <c r="B2676" t="s">
        <v>32</v>
      </c>
      <c r="C2676" t="s">
        <v>57</v>
      </c>
      <c r="D2676" s="4">
        <v>45538</v>
      </c>
      <c r="E2676" s="5" t="str">
        <f>TEXT(D2676,"dd/mm/yyyy")</f>
        <v>03/09/2024</v>
      </c>
      <c r="F2676" s="4"/>
      <c r="G2676" s="5" t="str">
        <f>TEXT(E2676,"mm")</f>
        <v>03</v>
      </c>
      <c r="H2676" s="6">
        <v>6937.75</v>
      </c>
      <c r="I2676">
        <v>94</v>
      </c>
      <c r="L2676" t="str">
        <f t="shared" si="41"/>
        <v>Above Average</v>
      </c>
      <c r="M2676">
        <f>RANK(H2676,H:H,0)</f>
        <v>1198</v>
      </c>
    </row>
    <row r="2677" spans="1:13">
      <c r="A2677" t="s">
        <v>19</v>
      </c>
      <c r="B2677" t="s">
        <v>35</v>
      </c>
      <c r="C2677" t="s">
        <v>73</v>
      </c>
      <c r="D2677" s="3" t="s">
        <v>317</v>
      </c>
      <c r="E2677" s="5" t="str">
        <f>TEXT(D2677,"dd/mm/yyyy")</f>
        <v>16/06/2024</v>
      </c>
      <c r="G2677" s="5" t="str">
        <f>TEXT(E2677,"mm")</f>
        <v>16/06/2024</v>
      </c>
      <c r="H2677" s="6">
        <v>1941.25</v>
      </c>
      <c r="I2677">
        <v>221</v>
      </c>
      <c r="L2677" t="str">
        <f t="shared" si="41"/>
        <v>Below Average</v>
      </c>
      <c r="M2677">
        <f>RANK(H2677,H:H,0)</f>
        <v>2652</v>
      </c>
    </row>
    <row r="2678" spans="1:13">
      <c r="A2678" t="s">
        <v>12</v>
      </c>
      <c r="B2678" t="s">
        <v>7</v>
      </c>
      <c r="C2678" t="s">
        <v>38</v>
      </c>
      <c r="D2678" s="3" t="s">
        <v>283</v>
      </c>
      <c r="E2678" s="5" t="str">
        <f>TEXT(D2678,"dd/mm/yyyy")</f>
        <v>30/06/2024</v>
      </c>
      <c r="G2678" s="5" t="str">
        <f>TEXT(E2678,"mm")</f>
        <v>30/06/2024</v>
      </c>
      <c r="H2678" s="6">
        <v>6173.15</v>
      </c>
      <c r="I2678">
        <v>46</v>
      </c>
      <c r="L2678" t="str">
        <f t="shared" si="41"/>
        <v>Above Average</v>
      </c>
      <c r="M2678">
        <f>RANK(H2678,H:H,0)</f>
        <v>1386</v>
      </c>
    </row>
    <row r="2679" spans="1:13">
      <c r="A2679" t="s">
        <v>70</v>
      </c>
      <c r="B2679" t="s">
        <v>10</v>
      </c>
      <c r="C2679" t="s">
        <v>8</v>
      </c>
      <c r="D2679" s="3" t="s">
        <v>271</v>
      </c>
      <c r="E2679" s="5" t="str">
        <f>TEXT(D2679,"dd/mm/yyyy")</f>
        <v>28/07/2024</v>
      </c>
      <c r="G2679" s="5" t="str">
        <f>TEXT(E2679,"mm")</f>
        <v>28/07/2024</v>
      </c>
      <c r="H2679" s="6">
        <v>3105.45</v>
      </c>
      <c r="I2679">
        <v>116</v>
      </c>
      <c r="L2679" t="str">
        <f t="shared" si="41"/>
        <v>Below Average</v>
      </c>
      <c r="M2679">
        <f>RANK(H2679,H:H,0)</f>
        <v>2268</v>
      </c>
    </row>
    <row r="2680" spans="1:13">
      <c r="A2680" t="s">
        <v>37</v>
      </c>
      <c r="B2680" t="s">
        <v>35</v>
      </c>
      <c r="C2680" t="s">
        <v>13</v>
      </c>
      <c r="D2680" s="4">
        <v>45634</v>
      </c>
      <c r="E2680" s="5" t="str">
        <f>TEXT(D2680,"dd/mm/yyyy")</f>
        <v>08/12/2024</v>
      </c>
      <c r="F2680" s="4"/>
      <c r="G2680" s="5" t="str">
        <f>TEXT(E2680,"mm")</f>
        <v>08</v>
      </c>
      <c r="H2680" s="6">
        <v>3691.6</v>
      </c>
      <c r="I2680">
        <v>154</v>
      </c>
      <c r="L2680" t="str">
        <f t="shared" si="41"/>
        <v>Below Average</v>
      </c>
      <c r="M2680">
        <f>RANK(H2680,H:H,0)</f>
        <v>2077</v>
      </c>
    </row>
    <row r="2681" spans="1:13">
      <c r="A2681" t="s">
        <v>31</v>
      </c>
      <c r="B2681" t="s">
        <v>7</v>
      </c>
      <c r="C2681" t="s">
        <v>8</v>
      </c>
      <c r="D2681" s="4">
        <v>45480</v>
      </c>
      <c r="E2681" s="5" t="str">
        <f>TEXT(D2681,"dd/mm/yyyy")</f>
        <v>07/07/2024</v>
      </c>
      <c r="F2681" s="4"/>
      <c r="G2681" s="5" t="str">
        <f>TEXT(E2681,"mm")</f>
        <v>07</v>
      </c>
      <c r="H2681" s="6">
        <v>3950.65</v>
      </c>
      <c r="I2681">
        <v>324</v>
      </c>
      <c r="L2681" t="str">
        <f t="shared" si="41"/>
        <v>Below Average</v>
      </c>
      <c r="M2681">
        <f>RANK(H2681,H:H,0)</f>
        <v>2000</v>
      </c>
    </row>
    <row r="2682" spans="1:13">
      <c r="A2682" t="s">
        <v>31</v>
      </c>
      <c r="B2682" t="s">
        <v>32</v>
      </c>
      <c r="C2682" t="s">
        <v>11</v>
      </c>
      <c r="D2682" s="3" t="s">
        <v>309</v>
      </c>
      <c r="E2682" s="5" t="str">
        <f>TEXT(D2682,"dd/mm/yyyy")</f>
        <v>25/08/2024</v>
      </c>
      <c r="G2682" s="5" t="str">
        <f>TEXT(E2682,"mm")</f>
        <v>25/08/2024</v>
      </c>
      <c r="H2682" s="6">
        <v>13497.17</v>
      </c>
      <c r="I2682">
        <v>49</v>
      </c>
      <c r="L2682" t="str">
        <f t="shared" si="41"/>
        <v>Above Average</v>
      </c>
      <c r="M2682">
        <f>RANK(H2682,H:H,0)</f>
        <v>236</v>
      </c>
    </row>
    <row r="2683" spans="1:13">
      <c r="A2683" t="s">
        <v>53</v>
      </c>
      <c r="B2683" t="s">
        <v>35</v>
      </c>
      <c r="C2683" t="s">
        <v>36</v>
      </c>
      <c r="D2683" s="3" t="s">
        <v>358</v>
      </c>
      <c r="E2683" s="5" t="str">
        <f>TEXT(D2683,"dd/mm/yyyy")</f>
        <v>17/01/2024</v>
      </c>
      <c r="G2683" s="5" t="str">
        <f>TEXT(E2683,"mm")</f>
        <v>17/01/2024</v>
      </c>
      <c r="H2683" s="6">
        <v>4389.2299999999996</v>
      </c>
      <c r="I2683">
        <v>241</v>
      </c>
      <c r="L2683" t="str">
        <f t="shared" si="41"/>
        <v>Below Average</v>
      </c>
      <c r="M2683">
        <f>RANK(H2683,H:H,0)</f>
        <v>1877</v>
      </c>
    </row>
    <row r="2684" spans="1:13">
      <c r="A2684" t="s">
        <v>14</v>
      </c>
      <c r="B2684" t="s">
        <v>15</v>
      </c>
      <c r="C2684" t="s">
        <v>100</v>
      </c>
      <c r="D2684" s="4">
        <v>45385</v>
      </c>
      <c r="E2684" s="5" t="str">
        <f>TEXT(D2684,"dd/mm/yyyy")</f>
        <v>03/04/2024</v>
      </c>
      <c r="F2684" s="4"/>
      <c r="G2684" s="5" t="str">
        <f>TEXT(E2684,"mm")</f>
        <v>03</v>
      </c>
      <c r="H2684" s="6">
        <v>6310.98</v>
      </c>
      <c r="I2684">
        <v>366</v>
      </c>
      <c r="L2684" t="str">
        <f t="shared" si="41"/>
        <v>Above Average</v>
      </c>
      <c r="M2684">
        <f>RANK(H2684,H:H,0)</f>
        <v>1356</v>
      </c>
    </row>
    <row r="2685" spans="1:13">
      <c r="A2685" t="s">
        <v>40</v>
      </c>
      <c r="B2685" t="s">
        <v>25</v>
      </c>
      <c r="C2685" t="s">
        <v>57</v>
      </c>
      <c r="D2685" s="3" t="s">
        <v>309</v>
      </c>
      <c r="E2685" s="5" t="str">
        <f>TEXT(D2685,"dd/mm/yyyy")</f>
        <v>25/08/2024</v>
      </c>
      <c r="G2685" s="5" t="str">
        <f>TEXT(E2685,"mm")</f>
        <v>25/08/2024</v>
      </c>
      <c r="H2685" s="6">
        <v>9693.3700000000008</v>
      </c>
      <c r="I2685">
        <v>4</v>
      </c>
      <c r="L2685" t="str">
        <f t="shared" si="41"/>
        <v>Above Average</v>
      </c>
      <c r="M2685">
        <f>RANK(H2685,H:H,0)</f>
        <v>630</v>
      </c>
    </row>
    <row r="2686" spans="1:13">
      <c r="A2686" t="s">
        <v>83</v>
      </c>
      <c r="B2686" t="s">
        <v>7</v>
      </c>
      <c r="C2686" t="s">
        <v>13</v>
      </c>
      <c r="D2686" s="3" t="s">
        <v>287</v>
      </c>
      <c r="E2686" s="5" t="str">
        <f>TEXT(D2686,"dd/mm/yyyy")</f>
        <v>15/04/2024</v>
      </c>
      <c r="G2686" s="5" t="str">
        <f>TEXT(E2686,"mm")</f>
        <v>15/04/2024</v>
      </c>
      <c r="H2686" s="6">
        <v>2348.1999999999998</v>
      </c>
      <c r="I2686">
        <v>266</v>
      </c>
      <c r="L2686" t="str">
        <f t="shared" si="41"/>
        <v>Below Average</v>
      </c>
      <c r="M2686">
        <f>RANK(H2686,H:H,0)</f>
        <v>2530</v>
      </c>
    </row>
    <row r="2687" spans="1:13">
      <c r="A2687" t="s">
        <v>55</v>
      </c>
      <c r="B2687" t="s">
        <v>32</v>
      </c>
      <c r="C2687" t="s">
        <v>42</v>
      </c>
      <c r="D2687" s="4">
        <v>45599</v>
      </c>
      <c r="E2687" s="5" t="str">
        <f>TEXT(D2687,"dd/mm/yyyy")</f>
        <v>03/11/2024</v>
      </c>
      <c r="F2687" s="4"/>
      <c r="G2687" s="5" t="str">
        <f>TEXT(E2687,"mm")</f>
        <v>03</v>
      </c>
      <c r="H2687" s="6">
        <v>2518.5</v>
      </c>
      <c r="I2687">
        <v>24</v>
      </c>
      <c r="L2687" t="str">
        <f t="shared" si="41"/>
        <v>Below Average</v>
      </c>
      <c r="M2687">
        <f>RANK(H2687,H:H,0)</f>
        <v>2463</v>
      </c>
    </row>
    <row r="2688" spans="1:13">
      <c r="A2688" t="s">
        <v>71</v>
      </c>
      <c r="B2688" t="s">
        <v>32</v>
      </c>
      <c r="C2688" t="s">
        <v>73</v>
      </c>
      <c r="D2688" s="3" t="s">
        <v>325</v>
      </c>
      <c r="E2688" s="5" t="str">
        <f>TEXT(D2688,"dd/mm/yyyy")</f>
        <v>20/05/2024</v>
      </c>
      <c r="G2688" s="5" t="str">
        <f>TEXT(E2688,"mm")</f>
        <v>20/05/2024</v>
      </c>
      <c r="H2688" s="6">
        <v>3516.72</v>
      </c>
      <c r="I2688">
        <v>17</v>
      </c>
      <c r="L2688" t="str">
        <f t="shared" si="41"/>
        <v>Below Average</v>
      </c>
      <c r="M2688">
        <f>RANK(H2688,H:H,0)</f>
        <v>2134</v>
      </c>
    </row>
    <row r="2689" spans="1:13">
      <c r="A2689" t="s">
        <v>28</v>
      </c>
      <c r="B2689" t="s">
        <v>25</v>
      </c>
      <c r="C2689" t="s">
        <v>60</v>
      </c>
      <c r="D2689" s="3" t="s">
        <v>333</v>
      </c>
      <c r="E2689" s="5" t="str">
        <f>TEXT(D2689,"dd/mm/yyyy")</f>
        <v>14/06/2024</v>
      </c>
      <c r="G2689" s="5" t="str">
        <f>TEXT(E2689,"mm")</f>
        <v>14/06/2024</v>
      </c>
      <c r="H2689" s="6">
        <v>16807.37</v>
      </c>
      <c r="I2689">
        <v>44</v>
      </c>
      <c r="L2689" t="str">
        <f t="shared" si="41"/>
        <v>Above Average</v>
      </c>
      <c r="M2689">
        <f>RANK(H2689,H:H,0)</f>
        <v>70</v>
      </c>
    </row>
    <row r="2690" spans="1:13">
      <c r="A2690" t="s">
        <v>6</v>
      </c>
      <c r="B2690" t="s">
        <v>25</v>
      </c>
      <c r="C2690" t="s">
        <v>23</v>
      </c>
      <c r="D2690" s="3" t="s">
        <v>298</v>
      </c>
      <c r="E2690" s="5" t="str">
        <f>TEXT(D2690,"dd/mm/yyyy")</f>
        <v>14/04/2024</v>
      </c>
      <c r="G2690" s="5" t="str">
        <f>TEXT(E2690,"mm")</f>
        <v>14/04/2024</v>
      </c>
      <c r="H2690" s="6">
        <v>1736.59</v>
      </c>
      <c r="I2690">
        <v>70</v>
      </c>
      <c r="L2690" t="str">
        <f t="shared" si="41"/>
        <v>Below Average</v>
      </c>
      <c r="M2690">
        <f>RANK(H2690,H:H,0)</f>
        <v>2719</v>
      </c>
    </row>
    <row r="2691" spans="1:13">
      <c r="A2691" t="s">
        <v>6</v>
      </c>
      <c r="B2691" t="s">
        <v>32</v>
      </c>
      <c r="C2691" t="s">
        <v>18</v>
      </c>
      <c r="D2691" s="4">
        <v>45480</v>
      </c>
      <c r="E2691" s="5" t="str">
        <f>TEXT(D2691,"dd/mm/yyyy")</f>
        <v>07/07/2024</v>
      </c>
      <c r="F2691" s="4"/>
      <c r="G2691" s="5" t="str">
        <f>TEXT(E2691,"mm")</f>
        <v>07</v>
      </c>
      <c r="H2691" s="6">
        <v>7900.11</v>
      </c>
      <c r="I2691">
        <v>168</v>
      </c>
      <c r="L2691" t="str">
        <f t="shared" ref="L2691:L2754" si="42">IF(H2691&gt;6030.34,"Above Average","Below Average")</f>
        <v>Above Average</v>
      </c>
      <c r="M2691">
        <f>RANK(H2691,H:H,0)</f>
        <v>969</v>
      </c>
    </row>
    <row r="2692" spans="1:13">
      <c r="A2692" t="s">
        <v>77</v>
      </c>
      <c r="B2692" t="s">
        <v>10</v>
      </c>
      <c r="C2692" t="s">
        <v>8</v>
      </c>
      <c r="D2692" s="3" t="s">
        <v>285</v>
      </c>
      <c r="E2692" s="5" t="str">
        <f>TEXT(D2692,"dd/mm/yyyy")</f>
        <v>24/08/2024</v>
      </c>
      <c r="G2692" s="5" t="str">
        <f>TEXT(E2692,"mm")</f>
        <v>24/08/2024</v>
      </c>
      <c r="H2692" s="6">
        <v>4016.89</v>
      </c>
      <c r="I2692">
        <v>71</v>
      </c>
      <c r="L2692" t="str">
        <f t="shared" si="42"/>
        <v>Below Average</v>
      </c>
      <c r="M2692">
        <f>RANK(H2692,H:H,0)</f>
        <v>1981</v>
      </c>
    </row>
    <row r="2693" spans="1:13">
      <c r="A2693" t="s">
        <v>6</v>
      </c>
      <c r="B2693" t="s">
        <v>10</v>
      </c>
      <c r="C2693" t="s">
        <v>36</v>
      </c>
      <c r="D2693" s="3" t="s">
        <v>266</v>
      </c>
      <c r="E2693" s="5" t="str">
        <f>TEXT(D2693,"dd/mm/yyyy")</f>
        <v>24/02/2024</v>
      </c>
      <c r="G2693" s="5" t="str">
        <f>TEXT(E2693,"mm")</f>
        <v>24/02/2024</v>
      </c>
      <c r="H2693" s="6">
        <v>9642.6200000000008</v>
      </c>
      <c r="I2693">
        <v>140</v>
      </c>
      <c r="L2693" t="str">
        <f t="shared" si="42"/>
        <v>Above Average</v>
      </c>
      <c r="M2693">
        <f>RANK(H2693,H:H,0)</f>
        <v>638</v>
      </c>
    </row>
    <row r="2694" spans="1:13">
      <c r="A2694" t="s">
        <v>37</v>
      </c>
      <c r="B2694" t="s">
        <v>35</v>
      </c>
      <c r="C2694" t="s">
        <v>73</v>
      </c>
      <c r="D2694" s="4">
        <v>45540</v>
      </c>
      <c r="E2694" s="5" t="str">
        <f>TEXT(D2694,"dd/mm/yyyy")</f>
        <v>05/09/2024</v>
      </c>
      <c r="F2694" s="4"/>
      <c r="G2694" s="5" t="str">
        <f>TEXT(E2694,"mm")</f>
        <v>05</v>
      </c>
      <c r="H2694" s="6">
        <v>773.7</v>
      </c>
      <c r="I2694">
        <v>217</v>
      </c>
      <c r="L2694" t="str">
        <f t="shared" si="42"/>
        <v>Below Average</v>
      </c>
      <c r="M2694">
        <f>RANK(H2694,H:H,0)</f>
        <v>3040</v>
      </c>
    </row>
    <row r="2695" spans="1:13">
      <c r="A2695" t="s">
        <v>55</v>
      </c>
      <c r="B2695" t="s">
        <v>15</v>
      </c>
      <c r="C2695" t="s">
        <v>100</v>
      </c>
      <c r="D2695" s="4">
        <v>45506</v>
      </c>
      <c r="E2695" s="5" t="str">
        <f>TEXT(D2695,"dd/mm/yyyy")</f>
        <v>02/08/2024</v>
      </c>
      <c r="F2695" s="4"/>
      <c r="G2695" s="5" t="str">
        <f>TEXT(E2695,"mm")</f>
        <v>02</v>
      </c>
      <c r="H2695" s="6">
        <v>7852.03</v>
      </c>
      <c r="I2695">
        <v>240</v>
      </c>
      <c r="L2695" t="str">
        <f t="shared" si="42"/>
        <v>Above Average</v>
      </c>
      <c r="M2695">
        <f>RANK(H2695,H:H,0)</f>
        <v>981</v>
      </c>
    </row>
    <row r="2696" spans="1:13">
      <c r="A2696" t="s">
        <v>45</v>
      </c>
      <c r="B2696" t="s">
        <v>7</v>
      </c>
      <c r="C2696" t="s">
        <v>100</v>
      </c>
      <c r="D2696" s="3" t="s">
        <v>268</v>
      </c>
      <c r="E2696" s="5" t="str">
        <f>TEXT(D2696,"dd/mm/yyyy")</f>
        <v>24/03/2024</v>
      </c>
      <c r="G2696" s="5" t="str">
        <f>TEXT(E2696,"mm")</f>
        <v>24/03/2024</v>
      </c>
      <c r="H2696" s="6">
        <v>1649.57</v>
      </c>
      <c r="I2696">
        <v>293</v>
      </c>
      <c r="L2696" t="str">
        <f t="shared" si="42"/>
        <v>Below Average</v>
      </c>
      <c r="M2696">
        <f>RANK(H2696,H:H,0)</f>
        <v>2752</v>
      </c>
    </row>
    <row r="2697" spans="1:13">
      <c r="A2697" t="s">
        <v>29</v>
      </c>
      <c r="B2697" t="s">
        <v>32</v>
      </c>
      <c r="C2697" t="s">
        <v>38</v>
      </c>
      <c r="D2697" s="3" t="s">
        <v>299</v>
      </c>
      <c r="E2697" s="5" t="str">
        <f>TEXT(D2697,"dd/mm/yyyy")</f>
        <v>20/06/2024</v>
      </c>
      <c r="G2697" s="5" t="str">
        <f>TEXT(E2697,"mm")</f>
        <v>20/06/2024</v>
      </c>
      <c r="H2697" s="6">
        <v>9333.4500000000007</v>
      </c>
      <c r="I2697">
        <v>78</v>
      </c>
      <c r="L2697" t="str">
        <f t="shared" si="42"/>
        <v>Above Average</v>
      </c>
      <c r="M2697">
        <f>RANK(H2697,H:H,0)</f>
        <v>681</v>
      </c>
    </row>
    <row r="2698" spans="1:13">
      <c r="A2698" t="s">
        <v>34</v>
      </c>
      <c r="B2698" t="s">
        <v>35</v>
      </c>
      <c r="C2698" t="s">
        <v>60</v>
      </c>
      <c r="D2698" s="4">
        <v>45476</v>
      </c>
      <c r="E2698" s="5" t="str">
        <f>TEXT(D2698,"dd/mm/yyyy")</f>
        <v>03/07/2024</v>
      </c>
      <c r="F2698" s="4"/>
      <c r="G2698" s="5" t="str">
        <f>TEXT(E2698,"mm")</f>
        <v>03</v>
      </c>
      <c r="H2698" s="6">
        <v>1540.11</v>
      </c>
      <c r="I2698">
        <v>117</v>
      </c>
      <c r="L2698" t="str">
        <f t="shared" si="42"/>
        <v>Below Average</v>
      </c>
      <c r="M2698">
        <f>RANK(H2698,H:H,0)</f>
        <v>2792</v>
      </c>
    </row>
    <row r="2699" spans="1:13">
      <c r="A2699" t="s">
        <v>55</v>
      </c>
      <c r="B2699" t="s">
        <v>15</v>
      </c>
      <c r="C2699" t="s">
        <v>57</v>
      </c>
      <c r="D2699" s="3" t="s">
        <v>299</v>
      </c>
      <c r="E2699" s="5" t="str">
        <f>TEXT(D2699,"dd/mm/yyyy")</f>
        <v>20/06/2024</v>
      </c>
      <c r="G2699" s="5" t="str">
        <f>TEXT(E2699,"mm")</f>
        <v>20/06/2024</v>
      </c>
      <c r="H2699" s="6">
        <v>7840.94</v>
      </c>
      <c r="I2699">
        <v>82</v>
      </c>
      <c r="L2699" t="str">
        <f t="shared" si="42"/>
        <v>Above Average</v>
      </c>
      <c r="M2699">
        <f>RANK(H2699,H:H,0)</f>
        <v>982</v>
      </c>
    </row>
    <row r="2700" spans="1:13">
      <c r="A2700" t="s">
        <v>19</v>
      </c>
      <c r="B2700" t="s">
        <v>25</v>
      </c>
      <c r="C2700" t="s">
        <v>42</v>
      </c>
      <c r="D2700" s="3" t="s">
        <v>276</v>
      </c>
      <c r="E2700" s="5" t="str">
        <f>TEXT(D2700,"dd/mm/yyyy")</f>
        <v>17/02/2024</v>
      </c>
      <c r="G2700" s="5" t="str">
        <f>TEXT(E2700,"mm")</f>
        <v>17/02/2024</v>
      </c>
      <c r="H2700" s="6">
        <v>17102.97</v>
      </c>
      <c r="I2700">
        <v>267</v>
      </c>
      <c r="L2700" t="str">
        <f t="shared" si="42"/>
        <v>Above Average</v>
      </c>
      <c r="M2700">
        <f>RANK(H2700,H:H,0)</f>
        <v>64</v>
      </c>
    </row>
    <row r="2701" spans="1:13">
      <c r="A2701" t="s">
        <v>77</v>
      </c>
      <c r="B2701" t="s">
        <v>7</v>
      </c>
      <c r="C2701" t="s">
        <v>20</v>
      </c>
      <c r="D2701" s="3" t="s">
        <v>272</v>
      </c>
      <c r="E2701" s="5" t="str">
        <f>TEXT(D2701,"dd/mm/yyyy")</f>
        <v>26/01/2024</v>
      </c>
      <c r="G2701" s="5" t="str">
        <f>TEXT(E2701,"mm")</f>
        <v>26/01/2024</v>
      </c>
      <c r="H2701" s="6">
        <v>11496.42</v>
      </c>
      <c r="I2701">
        <v>49</v>
      </c>
      <c r="L2701" t="str">
        <f t="shared" si="42"/>
        <v>Above Average</v>
      </c>
      <c r="M2701">
        <f>RANK(H2701,H:H,0)</f>
        <v>398</v>
      </c>
    </row>
    <row r="2702" spans="1:13">
      <c r="A2702" t="s">
        <v>77</v>
      </c>
      <c r="B2702" t="s">
        <v>15</v>
      </c>
      <c r="C2702" t="s">
        <v>8</v>
      </c>
      <c r="D2702" s="4">
        <v>45327</v>
      </c>
      <c r="E2702" s="5" t="str">
        <f>TEXT(D2702,"dd/mm/yyyy")</f>
        <v>05/02/2024</v>
      </c>
      <c r="F2702" s="4"/>
      <c r="G2702" s="5" t="str">
        <f>TEXT(E2702,"mm")</f>
        <v>05</v>
      </c>
      <c r="H2702" s="6">
        <v>3072.89</v>
      </c>
      <c r="I2702">
        <v>166</v>
      </c>
      <c r="L2702" t="str">
        <f t="shared" si="42"/>
        <v>Below Average</v>
      </c>
      <c r="M2702">
        <f>RANK(H2702,H:H,0)</f>
        <v>2280</v>
      </c>
    </row>
    <row r="2703" spans="1:13">
      <c r="A2703" t="s">
        <v>48</v>
      </c>
      <c r="B2703" t="s">
        <v>35</v>
      </c>
      <c r="C2703" t="s">
        <v>20</v>
      </c>
      <c r="D2703" s="4">
        <v>45480</v>
      </c>
      <c r="E2703" s="5" t="str">
        <f>TEXT(D2703,"dd/mm/yyyy")</f>
        <v>07/07/2024</v>
      </c>
      <c r="F2703" s="4"/>
      <c r="G2703" s="5" t="str">
        <f>TEXT(E2703,"mm")</f>
        <v>07</v>
      </c>
      <c r="H2703" s="6">
        <v>14990.79</v>
      </c>
      <c r="I2703">
        <v>7</v>
      </c>
      <c r="L2703" t="str">
        <f t="shared" si="42"/>
        <v>Above Average</v>
      </c>
      <c r="M2703">
        <f>RANK(H2703,H:H,0)</f>
        <v>146</v>
      </c>
    </row>
    <row r="2704" spans="1:13">
      <c r="A2704" t="s">
        <v>29</v>
      </c>
      <c r="B2704" t="s">
        <v>15</v>
      </c>
      <c r="C2704" t="s">
        <v>87</v>
      </c>
      <c r="D2704" s="3" t="s">
        <v>289</v>
      </c>
      <c r="E2704" s="5" t="str">
        <f>TEXT(D2704,"dd/mm/yyyy")</f>
        <v>22/08/2024</v>
      </c>
      <c r="G2704" s="5" t="str">
        <f>TEXT(E2704,"mm")</f>
        <v>22/08/2024</v>
      </c>
      <c r="H2704" s="6">
        <v>3170.18</v>
      </c>
      <c r="I2704">
        <v>49</v>
      </c>
      <c r="L2704" t="str">
        <f t="shared" si="42"/>
        <v>Below Average</v>
      </c>
      <c r="M2704">
        <f>RANK(H2704,H:H,0)</f>
        <v>2246</v>
      </c>
    </row>
    <row r="2705" spans="1:13">
      <c r="A2705" t="s">
        <v>37</v>
      </c>
      <c r="B2705" t="s">
        <v>15</v>
      </c>
      <c r="C2705" t="s">
        <v>23</v>
      </c>
      <c r="D2705" s="4">
        <v>45604</v>
      </c>
      <c r="E2705" s="5" t="str">
        <f>TEXT(D2705,"dd/mm/yyyy")</f>
        <v>08/11/2024</v>
      </c>
      <c r="F2705" s="4"/>
      <c r="G2705" s="5" t="str">
        <f>TEXT(E2705,"mm")</f>
        <v>08</v>
      </c>
      <c r="H2705" s="6">
        <v>2528.14</v>
      </c>
      <c r="I2705">
        <v>67</v>
      </c>
      <c r="L2705" t="str">
        <f t="shared" si="42"/>
        <v>Below Average</v>
      </c>
      <c r="M2705">
        <f>RANK(H2705,H:H,0)</f>
        <v>2459</v>
      </c>
    </row>
    <row r="2706" spans="1:13">
      <c r="A2706" t="s">
        <v>40</v>
      </c>
      <c r="B2706" t="s">
        <v>7</v>
      </c>
      <c r="C2706" t="s">
        <v>20</v>
      </c>
      <c r="D2706" s="3" t="s">
        <v>270</v>
      </c>
      <c r="E2706" s="5" t="str">
        <f>TEXT(D2706,"dd/mm/yyyy")</f>
        <v>13/01/2024</v>
      </c>
      <c r="G2706" s="5" t="str">
        <f>TEXT(E2706,"mm")</f>
        <v>13/01/2024</v>
      </c>
      <c r="H2706" s="6">
        <v>8551.6</v>
      </c>
      <c r="I2706">
        <v>208</v>
      </c>
      <c r="L2706" t="str">
        <f t="shared" si="42"/>
        <v>Above Average</v>
      </c>
      <c r="M2706">
        <f>RANK(H2706,H:H,0)</f>
        <v>822</v>
      </c>
    </row>
    <row r="2707" spans="1:13">
      <c r="A2707" t="s">
        <v>22</v>
      </c>
      <c r="B2707" t="s">
        <v>15</v>
      </c>
      <c r="C2707" t="s">
        <v>26</v>
      </c>
      <c r="D2707" s="4">
        <v>45325</v>
      </c>
      <c r="E2707" s="5" t="str">
        <f>TEXT(D2707,"dd/mm/yyyy")</f>
        <v>03/02/2024</v>
      </c>
      <c r="F2707" s="4"/>
      <c r="G2707" s="5" t="str">
        <f>TEXT(E2707,"mm")</f>
        <v>03</v>
      </c>
      <c r="H2707" s="6">
        <v>13072.95</v>
      </c>
      <c r="I2707">
        <v>119</v>
      </c>
      <c r="L2707" t="str">
        <f t="shared" si="42"/>
        <v>Above Average</v>
      </c>
      <c r="M2707">
        <f>RANK(H2707,H:H,0)</f>
        <v>262</v>
      </c>
    </row>
    <row r="2708" spans="1:13">
      <c r="A2708" t="s">
        <v>40</v>
      </c>
      <c r="B2708" t="s">
        <v>15</v>
      </c>
      <c r="C2708" t="s">
        <v>75</v>
      </c>
      <c r="D2708" s="3" t="s">
        <v>335</v>
      </c>
      <c r="E2708" s="5" t="str">
        <f>TEXT(D2708,"dd/mm/yyyy")</f>
        <v>27/07/2024</v>
      </c>
      <c r="G2708" s="5" t="str">
        <f>TEXT(E2708,"mm")</f>
        <v>27/07/2024</v>
      </c>
      <c r="H2708" s="6">
        <v>11987.26</v>
      </c>
      <c r="I2708">
        <v>41</v>
      </c>
      <c r="L2708" t="str">
        <f t="shared" si="42"/>
        <v>Above Average</v>
      </c>
      <c r="M2708">
        <f>RANK(H2708,H:H,0)</f>
        <v>347</v>
      </c>
    </row>
    <row r="2709" spans="1:13">
      <c r="A2709" t="s">
        <v>70</v>
      </c>
      <c r="B2709" t="s">
        <v>25</v>
      </c>
      <c r="C2709" t="s">
        <v>38</v>
      </c>
      <c r="D2709" s="4">
        <v>45568</v>
      </c>
      <c r="E2709" s="5" t="str">
        <f>TEXT(D2709,"dd/mm/yyyy")</f>
        <v>03/10/2024</v>
      </c>
      <c r="F2709" s="4"/>
      <c r="G2709" s="5" t="str">
        <f>TEXT(E2709,"mm")</f>
        <v>03</v>
      </c>
      <c r="H2709" s="6">
        <v>18385.439999999999</v>
      </c>
      <c r="I2709">
        <v>116</v>
      </c>
      <c r="L2709" t="str">
        <f t="shared" si="42"/>
        <v>Above Average</v>
      </c>
      <c r="M2709">
        <f>RANK(H2709,H:H,0)</f>
        <v>38</v>
      </c>
    </row>
    <row r="2710" spans="1:13">
      <c r="A2710" t="s">
        <v>41</v>
      </c>
      <c r="B2710" t="s">
        <v>32</v>
      </c>
      <c r="C2710" t="s">
        <v>11</v>
      </c>
      <c r="D2710" s="3" t="s">
        <v>305</v>
      </c>
      <c r="E2710" s="5" t="str">
        <f>TEXT(D2710,"dd/mm/yyyy")</f>
        <v>23/08/2024</v>
      </c>
      <c r="G2710" s="5" t="str">
        <f>TEXT(E2710,"mm")</f>
        <v>23/08/2024</v>
      </c>
      <c r="H2710" s="6">
        <v>14028.4</v>
      </c>
      <c r="I2710">
        <v>344</v>
      </c>
      <c r="L2710" t="str">
        <f t="shared" si="42"/>
        <v>Above Average</v>
      </c>
      <c r="M2710">
        <f>RANK(H2710,H:H,0)</f>
        <v>206</v>
      </c>
    </row>
    <row r="2711" spans="1:13">
      <c r="A2711" t="s">
        <v>45</v>
      </c>
      <c r="B2711" t="s">
        <v>32</v>
      </c>
      <c r="C2711" t="s">
        <v>36</v>
      </c>
      <c r="D2711" s="3" t="s">
        <v>320</v>
      </c>
      <c r="E2711" s="5" t="str">
        <f>TEXT(D2711,"dd/mm/yyyy")</f>
        <v>25/04/2024</v>
      </c>
      <c r="G2711" s="5" t="str">
        <f>TEXT(E2711,"mm")</f>
        <v>25/04/2024</v>
      </c>
      <c r="H2711" s="6">
        <v>4812.71</v>
      </c>
      <c r="I2711">
        <v>169</v>
      </c>
      <c r="L2711" t="str">
        <f t="shared" si="42"/>
        <v>Below Average</v>
      </c>
      <c r="M2711">
        <f>RANK(H2711,H:H,0)</f>
        <v>1763</v>
      </c>
    </row>
    <row r="2712" spans="1:13">
      <c r="A2712" t="s">
        <v>58</v>
      </c>
      <c r="B2712" t="s">
        <v>7</v>
      </c>
      <c r="C2712" t="s">
        <v>46</v>
      </c>
      <c r="D2712" s="4">
        <v>45476</v>
      </c>
      <c r="E2712" s="5" t="str">
        <f>TEXT(D2712,"dd/mm/yyyy")</f>
        <v>03/07/2024</v>
      </c>
      <c r="F2712" s="4"/>
      <c r="G2712" s="5" t="str">
        <f>TEXT(E2712,"mm")</f>
        <v>03</v>
      </c>
      <c r="H2712" s="6">
        <v>11963.91</v>
      </c>
      <c r="I2712">
        <v>446</v>
      </c>
      <c r="L2712" t="str">
        <f t="shared" si="42"/>
        <v>Above Average</v>
      </c>
      <c r="M2712">
        <f>RANK(H2712,H:H,0)</f>
        <v>348</v>
      </c>
    </row>
    <row r="2713" spans="1:13">
      <c r="A2713" t="s">
        <v>64</v>
      </c>
      <c r="B2713" t="s">
        <v>7</v>
      </c>
      <c r="C2713" t="s">
        <v>42</v>
      </c>
      <c r="D2713" s="4">
        <v>45633</v>
      </c>
      <c r="E2713" s="5" t="str">
        <f>TEXT(D2713,"dd/mm/yyyy")</f>
        <v>07/12/2024</v>
      </c>
      <c r="F2713" s="4"/>
      <c r="G2713" s="5" t="str">
        <f>TEXT(E2713,"mm")</f>
        <v>07</v>
      </c>
      <c r="H2713" s="6">
        <v>5574.83</v>
      </c>
      <c r="I2713">
        <v>52</v>
      </c>
      <c r="L2713" t="str">
        <f t="shared" si="42"/>
        <v>Below Average</v>
      </c>
      <c r="M2713">
        <f>RANK(H2713,H:H,0)</f>
        <v>1550</v>
      </c>
    </row>
    <row r="2714" spans="1:13">
      <c r="A2714" t="s">
        <v>77</v>
      </c>
      <c r="B2714" t="s">
        <v>32</v>
      </c>
      <c r="C2714" t="s">
        <v>33</v>
      </c>
      <c r="D2714" s="3" t="s">
        <v>295</v>
      </c>
      <c r="E2714" s="5" t="str">
        <f>TEXT(D2714,"dd/mm/yyyy")</f>
        <v>16/05/2024</v>
      </c>
      <c r="G2714" s="5" t="str">
        <f>TEXT(E2714,"mm")</f>
        <v>16/05/2024</v>
      </c>
      <c r="H2714" s="6">
        <v>9205.15</v>
      </c>
      <c r="I2714">
        <v>144</v>
      </c>
      <c r="L2714" t="str">
        <f t="shared" si="42"/>
        <v>Above Average</v>
      </c>
      <c r="M2714">
        <f>RANK(H2714,H:H,0)</f>
        <v>702</v>
      </c>
    </row>
    <row r="2715" spans="1:13">
      <c r="A2715" t="s">
        <v>22</v>
      </c>
      <c r="B2715" t="s">
        <v>10</v>
      </c>
      <c r="C2715" t="s">
        <v>18</v>
      </c>
      <c r="D2715" s="4">
        <v>45325</v>
      </c>
      <c r="E2715" s="5" t="str">
        <f>TEXT(D2715,"dd/mm/yyyy")</f>
        <v>03/02/2024</v>
      </c>
      <c r="F2715" s="4"/>
      <c r="G2715" s="5" t="str">
        <f>TEXT(E2715,"mm")</f>
        <v>03</v>
      </c>
      <c r="H2715" s="6">
        <v>4133.74</v>
      </c>
      <c r="I2715">
        <v>69</v>
      </c>
      <c r="L2715" t="str">
        <f t="shared" si="42"/>
        <v>Below Average</v>
      </c>
      <c r="M2715">
        <f>RANK(H2715,H:H,0)</f>
        <v>1950</v>
      </c>
    </row>
    <row r="2716" spans="1:13">
      <c r="A2716" t="s">
        <v>40</v>
      </c>
      <c r="B2716" t="s">
        <v>25</v>
      </c>
      <c r="C2716" t="s">
        <v>11</v>
      </c>
      <c r="D2716" s="3" t="s">
        <v>277</v>
      </c>
      <c r="E2716" s="5" t="str">
        <f>TEXT(D2716,"dd/mm/yyyy")</f>
        <v>30/05/2024</v>
      </c>
      <c r="G2716" s="5" t="str">
        <f>TEXT(E2716,"mm")</f>
        <v>30/05/2024</v>
      </c>
      <c r="H2716" s="6">
        <v>1312.23</v>
      </c>
      <c r="I2716">
        <v>164</v>
      </c>
      <c r="L2716" t="str">
        <f t="shared" si="42"/>
        <v>Below Average</v>
      </c>
      <c r="M2716">
        <f>RANK(H2716,H:H,0)</f>
        <v>2868</v>
      </c>
    </row>
    <row r="2717" spans="1:13">
      <c r="A2717" t="s">
        <v>40</v>
      </c>
      <c r="B2717" t="s">
        <v>7</v>
      </c>
      <c r="C2717" t="s">
        <v>60</v>
      </c>
      <c r="D2717" s="4">
        <v>45571</v>
      </c>
      <c r="E2717" s="5" t="str">
        <f>TEXT(D2717,"dd/mm/yyyy")</f>
        <v>06/10/2024</v>
      </c>
      <c r="F2717" s="4"/>
      <c r="G2717" s="5" t="str">
        <f>TEXT(E2717,"mm")</f>
        <v>06</v>
      </c>
      <c r="H2717" s="6">
        <v>11735.75</v>
      </c>
      <c r="I2717">
        <v>185</v>
      </c>
      <c r="L2717" t="str">
        <f t="shared" si="42"/>
        <v>Above Average</v>
      </c>
      <c r="M2717">
        <f>RANK(H2717,H:H,0)</f>
        <v>368</v>
      </c>
    </row>
    <row r="2718" spans="1:13">
      <c r="A2718" t="s">
        <v>28</v>
      </c>
      <c r="B2718" t="s">
        <v>32</v>
      </c>
      <c r="C2718" t="s">
        <v>20</v>
      </c>
      <c r="D2718" s="3" t="s">
        <v>319</v>
      </c>
      <c r="E2718" s="5" t="str">
        <f>TEXT(D2718,"dd/mm/yyyy")</f>
        <v>25/07/2024</v>
      </c>
      <c r="G2718" s="5" t="str">
        <f>TEXT(E2718,"mm")</f>
        <v>25/07/2024</v>
      </c>
      <c r="H2718" s="6">
        <v>7650.76</v>
      </c>
      <c r="I2718">
        <v>358</v>
      </c>
      <c r="L2718" t="str">
        <f t="shared" si="42"/>
        <v>Above Average</v>
      </c>
      <c r="M2718">
        <f>RANK(H2718,H:H,0)</f>
        <v>1028</v>
      </c>
    </row>
    <row r="2719" spans="1:13">
      <c r="A2719" t="s">
        <v>41</v>
      </c>
      <c r="B2719" t="s">
        <v>25</v>
      </c>
      <c r="C2719" t="s">
        <v>8</v>
      </c>
      <c r="D2719" s="4">
        <v>45541</v>
      </c>
      <c r="E2719" s="5" t="str">
        <f>TEXT(D2719,"dd/mm/yyyy")</f>
        <v>06/09/2024</v>
      </c>
      <c r="F2719" s="4"/>
      <c r="G2719" s="5" t="str">
        <f>TEXT(E2719,"mm")</f>
        <v>06</v>
      </c>
      <c r="H2719" s="6">
        <v>4994.93</v>
      </c>
      <c r="I2719">
        <v>98</v>
      </c>
      <c r="L2719" t="str">
        <f t="shared" si="42"/>
        <v>Below Average</v>
      </c>
      <c r="M2719">
        <f>RANK(H2719,H:H,0)</f>
        <v>1706</v>
      </c>
    </row>
    <row r="2720" spans="1:13">
      <c r="A2720" t="s">
        <v>58</v>
      </c>
      <c r="B2720" t="s">
        <v>32</v>
      </c>
      <c r="C2720" t="s">
        <v>46</v>
      </c>
      <c r="D2720" s="4">
        <v>45631</v>
      </c>
      <c r="E2720" s="5" t="str">
        <f>TEXT(D2720,"dd/mm/yyyy")</f>
        <v>05/12/2024</v>
      </c>
      <c r="F2720" s="4"/>
      <c r="G2720" s="5" t="str">
        <f>TEXT(E2720,"mm")</f>
        <v>05</v>
      </c>
      <c r="H2720" s="6">
        <v>890.78</v>
      </c>
      <c r="I2720">
        <v>62</v>
      </c>
      <c r="L2720" t="str">
        <f t="shared" si="42"/>
        <v>Below Average</v>
      </c>
      <c r="M2720">
        <f>RANK(H2720,H:H,0)</f>
        <v>3005</v>
      </c>
    </row>
    <row r="2721" spans="1:13">
      <c r="A2721" t="s">
        <v>22</v>
      </c>
      <c r="B2721" t="s">
        <v>32</v>
      </c>
      <c r="C2721" t="s">
        <v>38</v>
      </c>
      <c r="D2721" s="4">
        <v>45540</v>
      </c>
      <c r="E2721" s="5" t="str">
        <f>TEXT(D2721,"dd/mm/yyyy")</f>
        <v>05/09/2024</v>
      </c>
      <c r="F2721" s="4"/>
      <c r="G2721" s="5" t="str">
        <f>TEXT(E2721,"mm")</f>
        <v>05</v>
      </c>
      <c r="H2721" s="6">
        <v>4142.16</v>
      </c>
      <c r="I2721">
        <v>5</v>
      </c>
      <c r="L2721" t="str">
        <f t="shared" si="42"/>
        <v>Below Average</v>
      </c>
      <c r="M2721">
        <f>RANK(H2721,H:H,0)</f>
        <v>1947</v>
      </c>
    </row>
    <row r="2722" spans="1:13">
      <c r="A2722" t="s">
        <v>28</v>
      </c>
      <c r="B2722" t="s">
        <v>35</v>
      </c>
      <c r="C2722" t="s">
        <v>60</v>
      </c>
      <c r="D2722" s="4">
        <v>45543</v>
      </c>
      <c r="E2722" s="5" t="str">
        <f>TEXT(D2722,"dd/mm/yyyy")</f>
        <v>08/09/2024</v>
      </c>
      <c r="F2722" s="4"/>
      <c r="G2722" s="5" t="str">
        <f>TEXT(E2722,"mm")</f>
        <v>08</v>
      </c>
      <c r="H2722" s="6">
        <v>7308.24</v>
      </c>
      <c r="I2722">
        <v>178</v>
      </c>
      <c r="L2722" t="str">
        <f t="shared" si="42"/>
        <v>Above Average</v>
      </c>
      <c r="M2722">
        <f>RANK(H2722,H:H,0)</f>
        <v>1106</v>
      </c>
    </row>
    <row r="2723" spans="1:13">
      <c r="A2723" t="s">
        <v>9</v>
      </c>
      <c r="B2723" t="s">
        <v>10</v>
      </c>
      <c r="C2723" t="s">
        <v>75</v>
      </c>
      <c r="D2723" s="3" t="s">
        <v>327</v>
      </c>
      <c r="E2723" s="5" t="str">
        <f>TEXT(D2723,"dd/mm/yyyy")</f>
        <v>13/04/2024</v>
      </c>
      <c r="G2723" s="5" t="str">
        <f>TEXT(E2723,"mm")</f>
        <v>13/04/2024</v>
      </c>
      <c r="H2723" s="6">
        <v>6833.86</v>
      </c>
      <c r="I2723">
        <v>115</v>
      </c>
      <c r="L2723" t="str">
        <f t="shared" si="42"/>
        <v>Above Average</v>
      </c>
      <c r="M2723">
        <f>RANK(H2723,H:H,0)</f>
        <v>1223</v>
      </c>
    </row>
    <row r="2724" spans="1:13">
      <c r="A2724" t="s">
        <v>67</v>
      </c>
      <c r="B2724" t="s">
        <v>32</v>
      </c>
      <c r="C2724" t="s">
        <v>90</v>
      </c>
      <c r="D2724" s="4">
        <v>45327</v>
      </c>
      <c r="E2724" s="5" t="str">
        <f>TEXT(D2724,"dd/mm/yyyy")</f>
        <v>05/02/2024</v>
      </c>
      <c r="F2724" s="4"/>
      <c r="G2724" s="5" t="str">
        <f>TEXT(E2724,"mm")</f>
        <v>05</v>
      </c>
      <c r="H2724" s="6">
        <v>8878.27</v>
      </c>
      <c r="I2724">
        <v>47</v>
      </c>
      <c r="L2724" t="str">
        <f t="shared" si="42"/>
        <v>Above Average</v>
      </c>
      <c r="M2724">
        <f>RANK(H2724,H:H,0)</f>
        <v>765</v>
      </c>
    </row>
    <row r="2725" spans="1:13">
      <c r="A2725" t="s">
        <v>79</v>
      </c>
      <c r="B2725" t="s">
        <v>32</v>
      </c>
      <c r="C2725" t="s">
        <v>20</v>
      </c>
      <c r="D2725" s="4">
        <v>45543</v>
      </c>
      <c r="E2725" s="5" t="str">
        <f>TEXT(D2725,"dd/mm/yyyy")</f>
        <v>08/09/2024</v>
      </c>
      <c r="F2725" s="4"/>
      <c r="G2725" s="5" t="str">
        <f>TEXT(E2725,"mm")</f>
        <v>08</v>
      </c>
      <c r="H2725" s="6">
        <v>4134.93</v>
      </c>
      <c r="I2725">
        <v>307</v>
      </c>
      <c r="L2725" t="str">
        <f t="shared" si="42"/>
        <v>Below Average</v>
      </c>
      <c r="M2725">
        <f>RANK(H2725,H:H,0)</f>
        <v>1949</v>
      </c>
    </row>
    <row r="2726" spans="1:13">
      <c r="A2726" t="s">
        <v>71</v>
      </c>
      <c r="B2726" t="s">
        <v>15</v>
      </c>
      <c r="C2726" t="s">
        <v>73</v>
      </c>
      <c r="D2726" s="3" t="s">
        <v>305</v>
      </c>
      <c r="E2726" s="5" t="str">
        <f>TEXT(D2726,"dd/mm/yyyy")</f>
        <v>23/08/2024</v>
      </c>
      <c r="G2726" s="5" t="str">
        <f>TEXT(E2726,"mm")</f>
        <v>23/08/2024</v>
      </c>
      <c r="H2726" s="6">
        <v>6641.89</v>
      </c>
      <c r="I2726">
        <v>188</v>
      </c>
      <c r="L2726" t="str">
        <f t="shared" si="42"/>
        <v>Above Average</v>
      </c>
      <c r="M2726">
        <f>RANK(H2726,H:H,0)</f>
        <v>1276</v>
      </c>
    </row>
    <row r="2727" spans="1:13">
      <c r="A2727" t="s">
        <v>22</v>
      </c>
      <c r="B2727" t="s">
        <v>10</v>
      </c>
      <c r="C2727" t="s">
        <v>50</v>
      </c>
      <c r="D2727" s="3" t="s">
        <v>336</v>
      </c>
      <c r="E2727" s="5" t="str">
        <f>TEXT(D2727,"dd/mm/yyyy")</f>
        <v>13/05/2024</v>
      </c>
      <c r="G2727" s="5" t="str">
        <f>TEXT(E2727,"mm")</f>
        <v>13/05/2024</v>
      </c>
      <c r="H2727" s="6">
        <v>7117.3</v>
      </c>
      <c r="I2727">
        <v>174</v>
      </c>
      <c r="L2727" t="str">
        <f t="shared" si="42"/>
        <v>Above Average</v>
      </c>
      <c r="M2727">
        <f>RANK(H2727,H:H,0)</f>
        <v>1155</v>
      </c>
    </row>
    <row r="2728" spans="1:13">
      <c r="A2728" t="s">
        <v>37</v>
      </c>
      <c r="B2728" t="s">
        <v>32</v>
      </c>
      <c r="C2728" t="s">
        <v>60</v>
      </c>
      <c r="D2728" s="4">
        <v>45293</v>
      </c>
      <c r="E2728" s="5" t="str">
        <f>TEXT(D2728,"dd/mm/yyyy")</f>
        <v>02/01/2024</v>
      </c>
      <c r="F2728" s="4"/>
      <c r="G2728" s="5" t="str">
        <f>TEXT(E2728,"mm")</f>
        <v>02</v>
      </c>
      <c r="H2728" s="6">
        <v>11815.59</v>
      </c>
      <c r="I2728">
        <v>68</v>
      </c>
      <c r="L2728" t="str">
        <f t="shared" si="42"/>
        <v>Above Average</v>
      </c>
      <c r="M2728">
        <f>RANK(H2728,H:H,0)</f>
        <v>359</v>
      </c>
    </row>
    <row r="2729" spans="1:13">
      <c r="A2729" t="s">
        <v>71</v>
      </c>
      <c r="B2729" t="s">
        <v>32</v>
      </c>
      <c r="C2729" t="s">
        <v>26</v>
      </c>
      <c r="D2729" s="3" t="s">
        <v>348</v>
      </c>
      <c r="E2729" s="5" t="str">
        <f>TEXT(D2729,"dd/mm/yyyy")</f>
        <v>23/06/2024</v>
      </c>
      <c r="G2729" s="5" t="str">
        <f>TEXT(E2729,"mm")</f>
        <v>23/06/2024</v>
      </c>
      <c r="H2729" s="6">
        <v>6962.79</v>
      </c>
      <c r="I2729">
        <v>303</v>
      </c>
      <c r="L2729" t="str">
        <f t="shared" si="42"/>
        <v>Above Average</v>
      </c>
      <c r="M2729">
        <f>RANK(H2729,H:H,0)</f>
        <v>1195</v>
      </c>
    </row>
    <row r="2730" spans="1:13">
      <c r="A2730" t="s">
        <v>77</v>
      </c>
      <c r="B2730" t="s">
        <v>7</v>
      </c>
      <c r="C2730" t="s">
        <v>75</v>
      </c>
      <c r="D2730" s="3" t="s">
        <v>281</v>
      </c>
      <c r="E2730" s="5" t="str">
        <f>TEXT(D2730,"dd/mm/yyyy")</f>
        <v>24/05/2024</v>
      </c>
      <c r="G2730" s="5" t="str">
        <f>TEXT(E2730,"mm")</f>
        <v>24/05/2024</v>
      </c>
      <c r="H2730" s="6">
        <v>11786.42</v>
      </c>
      <c r="I2730">
        <v>147</v>
      </c>
      <c r="L2730" t="str">
        <f t="shared" si="42"/>
        <v>Above Average</v>
      </c>
      <c r="M2730">
        <f>RANK(H2730,H:H,0)</f>
        <v>363</v>
      </c>
    </row>
    <row r="2731" spans="1:13">
      <c r="A2731" t="s">
        <v>14</v>
      </c>
      <c r="B2731" t="s">
        <v>35</v>
      </c>
      <c r="C2731" t="s">
        <v>8</v>
      </c>
      <c r="D2731" s="4">
        <v>45295</v>
      </c>
      <c r="E2731" s="5" t="str">
        <f>TEXT(D2731,"dd/mm/yyyy")</f>
        <v>04/01/2024</v>
      </c>
      <c r="F2731" s="4"/>
      <c r="G2731" s="5" t="str">
        <f>TEXT(E2731,"mm")</f>
        <v>04</v>
      </c>
      <c r="H2731" s="6">
        <v>1200.19</v>
      </c>
      <c r="I2731">
        <v>224</v>
      </c>
      <c r="L2731" t="str">
        <f t="shared" si="42"/>
        <v>Below Average</v>
      </c>
      <c r="M2731">
        <f>RANK(H2731,H:H,0)</f>
        <v>2906</v>
      </c>
    </row>
    <row r="2732" spans="1:13">
      <c r="A2732" t="s">
        <v>71</v>
      </c>
      <c r="B2732" t="s">
        <v>35</v>
      </c>
      <c r="C2732" t="s">
        <v>100</v>
      </c>
      <c r="D2732" s="3" t="s">
        <v>335</v>
      </c>
      <c r="E2732" s="5" t="str">
        <f>TEXT(D2732,"dd/mm/yyyy")</f>
        <v>27/07/2024</v>
      </c>
      <c r="G2732" s="5" t="str">
        <f>TEXT(E2732,"mm")</f>
        <v>27/07/2024</v>
      </c>
      <c r="H2732" s="6">
        <v>10791.08</v>
      </c>
      <c r="I2732">
        <v>166</v>
      </c>
      <c r="L2732" t="str">
        <f t="shared" si="42"/>
        <v>Above Average</v>
      </c>
      <c r="M2732">
        <f>RANK(H2732,H:H,0)</f>
        <v>476</v>
      </c>
    </row>
    <row r="2733" spans="1:13">
      <c r="A2733" t="s">
        <v>83</v>
      </c>
      <c r="B2733" t="s">
        <v>10</v>
      </c>
      <c r="C2733" t="s">
        <v>13</v>
      </c>
      <c r="D2733" s="3" t="s">
        <v>302</v>
      </c>
      <c r="E2733" s="5" t="str">
        <f>TEXT(D2733,"dd/mm/yyyy")</f>
        <v>27/01/2024</v>
      </c>
      <c r="G2733" s="5" t="str">
        <f>TEXT(E2733,"mm")</f>
        <v>27/01/2024</v>
      </c>
      <c r="H2733" s="6">
        <v>26170.95</v>
      </c>
      <c r="I2733">
        <v>224</v>
      </c>
      <c r="L2733" t="str">
        <f t="shared" si="42"/>
        <v>Above Average</v>
      </c>
      <c r="M2733">
        <f>RANK(H2733,H:H,0)</f>
        <v>1</v>
      </c>
    </row>
    <row r="2734" spans="1:13">
      <c r="A2734" t="s">
        <v>14</v>
      </c>
      <c r="B2734" t="s">
        <v>10</v>
      </c>
      <c r="C2734" t="s">
        <v>75</v>
      </c>
      <c r="D2734" s="4">
        <v>45634</v>
      </c>
      <c r="E2734" s="5" t="str">
        <f>TEXT(D2734,"dd/mm/yyyy")</f>
        <v>08/12/2024</v>
      </c>
      <c r="F2734" s="4"/>
      <c r="G2734" s="5" t="str">
        <f>TEXT(E2734,"mm")</f>
        <v>08</v>
      </c>
      <c r="H2734" s="6">
        <v>2987.81</v>
      </c>
      <c r="I2734">
        <v>136</v>
      </c>
      <c r="L2734" t="str">
        <f t="shared" si="42"/>
        <v>Below Average</v>
      </c>
      <c r="M2734">
        <f>RANK(H2734,H:H,0)</f>
        <v>2315</v>
      </c>
    </row>
    <row r="2735" spans="1:13">
      <c r="A2735" t="s">
        <v>12</v>
      </c>
      <c r="B2735" t="s">
        <v>35</v>
      </c>
      <c r="C2735" t="s">
        <v>65</v>
      </c>
      <c r="D2735" s="4">
        <v>45293</v>
      </c>
      <c r="E2735" s="5" t="str">
        <f>TEXT(D2735,"dd/mm/yyyy")</f>
        <v>02/01/2024</v>
      </c>
      <c r="F2735" s="4"/>
      <c r="G2735" s="5" t="str">
        <f>TEXT(E2735,"mm")</f>
        <v>02</v>
      </c>
      <c r="H2735" s="6">
        <v>11705.99</v>
      </c>
      <c r="I2735">
        <v>47</v>
      </c>
      <c r="L2735" t="str">
        <f t="shared" si="42"/>
        <v>Above Average</v>
      </c>
      <c r="M2735">
        <f>RANK(H2735,H:H,0)</f>
        <v>373</v>
      </c>
    </row>
    <row r="2736" spans="1:13">
      <c r="A2736" t="s">
        <v>29</v>
      </c>
      <c r="B2736" t="s">
        <v>10</v>
      </c>
      <c r="C2736" t="s">
        <v>23</v>
      </c>
      <c r="D2736" s="4">
        <v>45325</v>
      </c>
      <c r="E2736" s="5" t="str">
        <f>TEXT(D2736,"dd/mm/yyyy")</f>
        <v>03/02/2024</v>
      </c>
      <c r="F2736" s="4"/>
      <c r="G2736" s="5" t="str">
        <f>TEXT(E2736,"mm")</f>
        <v>03</v>
      </c>
      <c r="H2736" s="6">
        <v>5256.03</v>
      </c>
      <c r="I2736">
        <v>201</v>
      </c>
      <c r="L2736" t="str">
        <f t="shared" si="42"/>
        <v>Below Average</v>
      </c>
      <c r="M2736">
        <f>RANK(H2736,H:H,0)</f>
        <v>1629</v>
      </c>
    </row>
    <row r="2737" spans="1:13">
      <c r="A2737" t="s">
        <v>70</v>
      </c>
      <c r="B2737" t="s">
        <v>15</v>
      </c>
      <c r="C2737" t="s">
        <v>20</v>
      </c>
      <c r="D2737" s="3" t="s">
        <v>283</v>
      </c>
      <c r="E2737" s="5" t="str">
        <f>TEXT(D2737,"dd/mm/yyyy")</f>
        <v>30/06/2024</v>
      </c>
      <c r="G2737" s="5" t="str">
        <f>TEXT(E2737,"mm")</f>
        <v>30/06/2024</v>
      </c>
      <c r="H2737" s="6">
        <v>3794.1</v>
      </c>
      <c r="I2737">
        <v>36</v>
      </c>
      <c r="L2737" t="str">
        <f t="shared" si="42"/>
        <v>Below Average</v>
      </c>
      <c r="M2737">
        <f>RANK(H2737,H:H,0)</f>
        <v>2039</v>
      </c>
    </row>
    <row r="2738" spans="1:13">
      <c r="A2738" t="s">
        <v>79</v>
      </c>
      <c r="B2738" t="s">
        <v>15</v>
      </c>
      <c r="C2738" t="s">
        <v>50</v>
      </c>
      <c r="D2738" s="3" t="s">
        <v>358</v>
      </c>
      <c r="E2738" s="5" t="str">
        <f>TEXT(D2738,"dd/mm/yyyy")</f>
        <v>17/01/2024</v>
      </c>
      <c r="G2738" s="5" t="str">
        <f>TEXT(E2738,"mm")</f>
        <v>17/01/2024</v>
      </c>
      <c r="H2738" s="6">
        <v>9655.2999999999993</v>
      </c>
      <c r="I2738">
        <v>97</v>
      </c>
      <c r="L2738" t="str">
        <f t="shared" si="42"/>
        <v>Above Average</v>
      </c>
      <c r="M2738">
        <f>RANK(H2738,H:H,0)</f>
        <v>637</v>
      </c>
    </row>
    <row r="2739" spans="1:13">
      <c r="A2739" t="s">
        <v>28</v>
      </c>
      <c r="B2739" t="s">
        <v>32</v>
      </c>
      <c r="C2739" t="s">
        <v>46</v>
      </c>
      <c r="D2739" s="4">
        <v>45480</v>
      </c>
      <c r="E2739" s="5" t="str">
        <f>TEXT(D2739,"dd/mm/yyyy")</f>
        <v>07/07/2024</v>
      </c>
      <c r="F2739" s="4"/>
      <c r="G2739" s="5" t="str">
        <f>TEXT(E2739,"mm")</f>
        <v>07</v>
      </c>
      <c r="H2739" s="6">
        <v>16001.54</v>
      </c>
      <c r="I2739">
        <v>133</v>
      </c>
      <c r="L2739" t="str">
        <f t="shared" si="42"/>
        <v>Above Average</v>
      </c>
      <c r="M2739">
        <f>RANK(H2739,H:H,0)</f>
        <v>101</v>
      </c>
    </row>
    <row r="2740" spans="1:13">
      <c r="A2740" t="s">
        <v>34</v>
      </c>
      <c r="B2740" t="s">
        <v>25</v>
      </c>
      <c r="C2740" t="s">
        <v>8</v>
      </c>
      <c r="D2740" s="3" t="s">
        <v>303</v>
      </c>
      <c r="E2740" s="5" t="str">
        <f>TEXT(D2740,"dd/mm/yyyy")</f>
        <v>31/01/2024</v>
      </c>
      <c r="G2740" s="5" t="str">
        <f>TEXT(E2740,"mm")</f>
        <v>31/01/2024</v>
      </c>
      <c r="H2740" s="6">
        <v>1386.1</v>
      </c>
      <c r="I2740">
        <v>104</v>
      </c>
      <c r="L2740" t="str">
        <f t="shared" si="42"/>
        <v>Below Average</v>
      </c>
      <c r="M2740">
        <f>RANK(H2740,H:H,0)</f>
        <v>2844</v>
      </c>
    </row>
    <row r="2741" spans="1:13">
      <c r="A2741" t="s">
        <v>41</v>
      </c>
      <c r="B2741" t="s">
        <v>7</v>
      </c>
      <c r="C2741" t="s">
        <v>20</v>
      </c>
      <c r="D2741" s="4">
        <v>45573</v>
      </c>
      <c r="E2741" s="5" t="str">
        <f>TEXT(D2741,"dd/mm/yyyy")</f>
        <v>08/10/2024</v>
      </c>
      <c r="F2741" s="4"/>
      <c r="G2741" s="5" t="str">
        <f>TEXT(E2741,"mm")</f>
        <v>08</v>
      </c>
      <c r="H2741" s="6">
        <v>3821.76</v>
      </c>
      <c r="I2741">
        <v>122</v>
      </c>
      <c r="L2741" t="str">
        <f t="shared" si="42"/>
        <v>Below Average</v>
      </c>
      <c r="M2741">
        <f>RANK(H2741,H:H,0)</f>
        <v>2034</v>
      </c>
    </row>
    <row r="2742" spans="1:13">
      <c r="A2742" t="s">
        <v>41</v>
      </c>
      <c r="B2742" t="s">
        <v>32</v>
      </c>
      <c r="C2742" t="s">
        <v>13</v>
      </c>
      <c r="D2742" s="3" t="s">
        <v>304</v>
      </c>
      <c r="E2742" s="5" t="str">
        <f>TEXT(D2742,"dd/mm/yyyy")</f>
        <v>18/08/2024</v>
      </c>
      <c r="G2742" s="5" t="str">
        <f>TEXT(E2742,"mm")</f>
        <v>18/08/2024</v>
      </c>
      <c r="H2742" s="6">
        <v>15722.43</v>
      </c>
      <c r="I2742">
        <v>351</v>
      </c>
      <c r="L2742" t="str">
        <f t="shared" si="42"/>
        <v>Above Average</v>
      </c>
      <c r="M2742">
        <f>RANK(H2742,H:H,0)</f>
        <v>113</v>
      </c>
    </row>
    <row r="2743" spans="1:13">
      <c r="A2743" t="s">
        <v>28</v>
      </c>
      <c r="B2743" t="s">
        <v>25</v>
      </c>
      <c r="C2743" t="s">
        <v>59</v>
      </c>
      <c r="D2743" s="3" t="s">
        <v>280</v>
      </c>
      <c r="E2743" s="5" t="str">
        <f>TEXT(D2743,"dd/mm/yyyy")</f>
        <v>15/06/2024</v>
      </c>
      <c r="G2743" s="5" t="str">
        <f>TEXT(E2743,"mm")</f>
        <v>15/06/2024</v>
      </c>
      <c r="H2743" s="6">
        <v>6287.25</v>
      </c>
      <c r="I2743">
        <v>340</v>
      </c>
      <c r="L2743" t="str">
        <f t="shared" si="42"/>
        <v>Above Average</v>
      </c>
      <c r="M2743">
        <f>RANK(H2743,H:H,0)</f>
        <v>1362</v>
      </c>
    </row>
    <row r="2744" spans="1:13">
      <c r="A2744" t="s">
        <v>40</v>
      </c>
      <c r="B2744" t="s">
        <v>32</v>
      </c>
      <c r="C2744" t="s">
        <v>87</v>
      </c>
      <c r="D2744" s="3" t="s">
        <v>272</v>
      </c>
      <c r="E2744" s="5" t="str">
        <f>TEXT(D2744,"dd/mm/yyyy")</f>
        <v>26/01/2024</v>
      </c>
      <c r="G2744" s="5" t="str">
        <f>TEXT(E2744,"mm")</f>
        <v>26/01/2024</v>
      </c>
      <c r="H2744" s="6">
        <v>9831.9699999999993</v>
      </c>
      <c r="I2744">
        <v>9</v>
      </c>
      <c r="L2744" t="str">
        <f t="shared" si="42"/>
        <v>Above Average</v>
      </c>
      <c r="M2744">
        <f>RANK(H2744,H:H,0)</f>
        <v>609</v>
      </c>
    </row>
    <row r="2745" spans="1:13">
      <c r="A2745" t="s">
        <v>70</v>
      </c>
      <c r="B2745" t="s">
        <v>32</v>
      </c>
      <c r="C2745" t="s">
        <v>50</v>
      </c>
      <c r="D2745" s="3" t="s">
        <v>322</v>
      </c>
      <c r="E2745" s="5" t="str">
        <f>TEXT(D2745,"dd/mm/yyyy")</f>
        <v>29/04/2024</v>
      </c>
      <c r="G2745" s="5" t="str">
        <f>TEXT(E2745,"mm")</f>
        <v>29/04/2024</v>
      </c>
      <c r="H2745" s="6">
        <v>90.36</v>
      </c>
      <c r="I2745">
        <v>73</v>
      </c>
      <c r="L2745" t="str">
        <f t="shared" si="42"/>
        <v>Below Average</v>
      </c>
      <c r="M2745">
        <f>RANK(H2745,H:H,0)</f>
        <v>3248</v>
      </c>
    </row>
    <row r="2746" spans="1:13">
      <c r="A2746" t="s">
        <v>34</v>
      </c>
      <c r="B2746" t="s">
        <v>35</v>
      </c>
      <c r="C2746" t="s">
        <v>59</v>
      </c>
      <c r="D2746" s="4">
        <v>45354</v>
      </c>
      <c r="E2746" s="5" t="str">
        <f>TEXT(D2746,"dd/mm/yyyy")</f>
        <v>03/03/2024</v>
      </c>
      <c r="F2746" s="4"/>
      <c r="G2746" s="5" t="str">
        <f>TEXT(E2746,"mm")</f>
        <v>03</v>
      </c>
      <c r="H2746" s="6">
        <v>3799.5</v>
      </c>
      <c r="I2746">
        <v>71</v>
      </c>
      <c r="L2746" t="str">
        <f t="shared" si="42"/>
        <v>Below Average</v>
      </c>
      <c r="M2746">
        <f>RANK(H2746,H:H,0)</f>
        <v>2038</v>
      </c>
    </row>
    <row r="2747" spans="1:13">
      <c r="A2747" t="s">
        <v>55</v>
      </c>
      <c r="B2747" t="s">
        <v>15</v>
      </c>
      <c r="C2747" t="s">
        <v>65</v>
      </c>
      <c r="D2747" s="3" t="s">
        <v>331</v>
      </c>
      <c r="E2747" s="5" t="str">
        <f>TEXT(D2747,"dd/mm/yyyy")</f>
        <v>22/02/2024</v>
      </c>
      <c r="G2747" s="5" t="str">
        <f>TEXT(E2747,"mm")</f>
        <v>22/02/2024</v>
      </c>
      <c r="H2747" s="6">
        <v>4674.2</v>
      </c>
      <c r="I2747">
        <v>422</v>
      </c>
      <c r="L2747" t="str">
        <f t="shared" si="42"/>
        <v>Below Average</v>
      </c>
      <c r="M2747">
        <f>RANK(H2747,H:H,0)</f>
        <v>1806</v>
      </c>
    </row>
    <row r="2748" spans="1:13">
      <c r="A2748" t="s">
        <v>19</v>
      </c>
      <c r="B2748" t="s">
        <v>32</v>
      </c>
      <c r="C2748" t="s">
        <v>18</v>
      </c>
      <c r="D2748" s="4">
        <v>45385</v>
      </c>
      <c r="E2748" s="5" t="str">
        <f>TEXT(D2748,"dd/mm/yyyy")</f>
        <v>03/04/2024</v>
      </c>
      <c r="F2748" s="4"/>
      <c r="G2748" s="5" t="str">
        <f>TEXT(E2748,"mm")</f>
        <v>03</v>
      </c>
      <c r="H2748" s="6">
        <v>4011.83</v>
      </c>
      <c r="I2748">
        <v>169</v>
      </c>
      <c r="L2748" t="str">
        <f t="shared" si="42"/>
        <v>Below Average</v>
      </c>
      <c r="M2748">
        <f>RANK(H2748,H:H,0)</f>
        <v>1983</v>
      </c>
    </row>
    <row r="2749" spans="1:13">
      <c r="A2749" t="s">
        <v>58</v>
      </c>
      <c r="B2749" t="s">
        <v>10</v>
      </c>
      <c r="C2749" t="s">
        <v>18</v>
      </c>
      <c r="D2749" s="4">
        <v>45480</v>
      </c>
      <c r="E2749" s="5" t="str">
        <f>TEXT(D2749,"dd/mm/yyyy")</f>
        <v>07/07/2024</v>
      </c>
      <c r="F2749" s="4"/>
      <c r="G2749" s="5" t="str">
        <f>TEXT(E2749,"mm")</f>
        <v>07</v>
      </c>
      <c r="H2749" s="6">
        <v>3429.85</v>
      </c>
      <c r="I2749">
        <v>9</v>
      </c>
      <c r="L2749" t="str">
        <f t="shared" si="42"/>
        <v>Below Average</v>
      </c>
      <c r="M2749">
        <f>RANK(H2749,H:H,0)</f>
        <v>2165</v>
      </c>
    </row>
    <row r="2750" spans="1:13">
      <c r="A2750" t="s">
        <v>71</v>
      </c>
      <c r="B2750" t="s">
        <v>25</v>
      </c>
      <c r="C2750" t="s">
        <v>90</v>
      </c>
      <c r="D2750" s="3" t="s">
        <v>359</v>
      </c>
      <c r="E2750" s="5" t="str">
        <f>TEXT(D2750,"dd/mm/yyyy")</f>
        <v>17/06/2024</v>
      </c>
      <c r="G2750" s="5" t="str">
        <f>TEXT(E2750,"mm")</f>
        <v>17/06/2024</v>
      </c>
      <c r="H2750" s="6">
        <v>4920.68</v>
      </c>
      <c r="I2750">
        <v>380</v>
      </c>
      <c r="L2750" t="str">
        <f t="shared" si="42"/>
        <v>Below Average</v>
      </c>
      <c r="M2750">
        <f>RANK(H2750,H:H,0)</f>
        <v>1723</v>
      </c>
    </row>
    <row r="2751" spans="1:13">
      <c r="A2751" t="s">
        <v>14</v>
      </c>
      <c r="B2751" t="s">
        <v>35</v>
      </c>
      <c r="C2751" t="s">
        <v>90</v>
      </c>
      <c r="D2751" s="4">
        <v>45330</v>
      </c>
      <c r="E2751" s="5" t="str">
        <f>TEXT(D2751,"dd/mm/yyyy")</f>
        <v>08/02/2024</v>
      </c>
      <c r="F2751" s="4"/>
      <c r="G2751" s="5" t="str">
        <f>TEXT(E2751,"mm")</f>
        <v>08</v>
      </c>
      <c r="H2751" s="6">
        <v>10049.719999999999</v>
      </c>
      <c r="I2751">
        <v>118</v>
      </c>
      <c r="L2751" t="str">
        <f t="shared" si="42"/>
        <v>Above Average</v>
      </c>
      <c r="M2751">
        <f>RANK(H2751,H:H,0)</f>
        <v>573</v>
      </c>
    </row>
    <row r="2752" spans="1:13">
      <c r="A2752" t="s">
        <v>19</v>
      </c>
      <c r="B2752" t="s">
        <v>32</v>
      </c>
      <c r="C2752" t="s">
        <v>87</v>
      </c>
      <c r="D2752" s="4">
        <v>45634</v>
      </c>
      <c r="E2752" s="5" t="str">
        <f>TEXT(D2752,"dd/mm/yyyy")</f>
        <v>08/12/2024</v>
      </c>
      <c r="F2752" s="4"/>
      <c r="G2752" s="5" t="str">
        <f>TEXT(E2752,"mm")</f>
        <v>08</v>
      </c>
      <c r="H2752" s="6">
        <v>8485.1</v>
      </c>
      <c r="I2752">
        <v>120</v>
      </c>
      <c r="L2752" t="str">
        <f t="shared" si="42"/>
        <v>Above Average</v>
      </c>
      <c r="M2752">
        <f>RANK(H2752,H:H,0)</f>
        <v>839</v>
      </c>
    </row>
    <row r="2753" spans="1:13">
      <c r="A2753" t="s">
        <v>77</v>
      </c>
      <c r="B2753" t="s">
        <v>25</v>
      </c>
      <c r="C2753" t="s">
        <v>13</v>
      </c>
      <c r="D2753" s="3" t="s">
        <v>313</v>
      </c>
      <c r="E2753" s="5" t="str">
        <f>TEXT(D2753,"dd/mm/yyyy")</f>
        <v>28/01/2024</v>
      </c>
      <c r="G2753" s="5" t="str">
        <f>TEXT(E2753,"mm")</f>
        <v>28/01/2024</v>
      </c>
      <c r="H2753" s="6">
        <v>6030.31</v>
      </c>
      <c r="I2753">
        <v>351</v>
      </c>
      <c r="L2753" t="str">
        <f t="shared" si="42"/>
        <v>Below Average</v>
      </c>
      <c r="M2753">
        <f>RANK(H2753,H:H,0)</f>
        <v>1428</v>
      </c>
    </row>
    <row r="2754" spans="1:13">
      <c r="A2754" t="s">
        <v>70</v>
      </c>
      <c r="B2754" t="s">
        <v>15</v>
      </c>
      <c r="C2754" t="s">
        <v>33</v>
      </c>
      <c r="D2754" s="3" t="s">
        <v>322</v>
      </c>
      <c r="E2754" s="5" t="str">
        <f>TEXT(D2754,"dd/mm/yyyy")</f>
        <v>29/04/2024</v>
      </c>
      <c r="G2754" s="5" t="str">
        <f>TEXT(E2754,"mm")</f>
        <v>29/04/2024</v>
      </c>
      <c r="H2754" s="6">
        <v>13331.77</v>
      </c>
      <c r="I2754">
        <v>443</v>
      </c>
      <c r="L2754" t="str">
        <f t="shared" si="42"/>
        <v>Above Average</v>
      </c>
      <c r="M2754">
        <f>RANK(H2754,H:H,0)</f>
        <v>247</v>
      </c>
    </row>
    <row r="2755" spans="1:13">
      <c r="A2755" t="s">
        <v>40</v>
      </c>
      <c r="B2755" t="s">
        <v>15</v>
      </c>
      <c r="C2755" t="s">
        <v>60</v>
      </c>
      <c r="D2755" s="4">
        <v>45416</v>
      </c>
      <c r="E2755" s="5" t="str">
        <f>TEXT(D2755,"dd/mm/yyyy")</f>
        <v>04/05/2024</v>
      </c>
      <c r="F2755" s="4"/>
      <c r="G2755" s="5" t="str">
        <f>TEXT(E2755,"mm")</f>
        <v>04</v>
      </c>
      <c r="H2755" s="6">
        <v>15245.95</v>
      </c>
      <c r="I2755">
        <v>233</v>
      </c>
      <c r="L2755" t="str">
        <f t="shared" ref="L2755:L2818" si="43">IF(H2755&gt;6030.34,"Above Average","Below Average")</f>
        <v>Above Average</v>
      </c>
      <c r="M2755">
        <f>RANK(H2755,H:H,0)</f>
        <v>140</v>
      </c>
    </row>
    <row r="2756" spans="1:13">
      <c r="A2756" t="s">
        <v>55</v>
      </c>
      <c r="B2756" t="s">
        <v>35</v>
      </c>
      <c r="C2756" t="s">
        <v>60</v>
      </c>
      <c r="D2756" s="3" t="s">
        <v>321</v>
      </c>
      <c r="E2756" s="5" t="str">
        <f>TEXT(D2756,"dd/mm/yyyy")</f>
        <v>18/01/2024</v>
      </c>
      <c r="G2756" s="5" t="str">
        <f>TEXT(E2756,"mm")</f>
        <v>18/01/2024</v>
      </c>
      <c r="H2756" s="6">
        <v>11618.55</v>
      </c>
      <c r="I2756">
        <v>133</v>
      </c>
      <c r="L2756" t="str">
        <f t="shared" si="43"/>
        <v>Above Average</v>
      </c>
      <c r="M2756">
        <f>RANK(H2756,H:H,0)</f>
        <v>384</v>
      </c>
    </row>
    <row r="2757" spans="1:13">
      <c r="A2757" t="s">
        <v>6</v>
      </c>
      <c r="B2757" t="s">
        <v>7</v>
      </c>
      <c r="C2757" t="s">
        <v>87</v>
      </c>
      <c r="D2757" s="3" t="s">
        <v>295</v>
      </c>
      <c r="E2757" s="5" t="str">
        <f>TEXT(D2757,"dd/mm/yyyy")</f>
        <v>16/05/2024</v>
      </c>
      <c r="G2757" s="5" t="str">
        <f>TEXT(E2757,"mm")</f>
        <v>16/05/2024</v>
      </c>
      <c r="H2757" s="6">
        <v>2629.59</v>
      </c>
      <c r="I2757">
        <v>98</v>
      </c>
      <c r="L2757" t="str">
        <f t="shared" si="43"/>
        <v>Below Average</v>
      </c>
      <c r="M2757">
        <f>RANK(H2757,H:H,0)</f>
        <v>2432</v>
      </c>
    </row>
    <row r="2758" spans="1:13">
      <c r="A2758" t="s">
        <v>70</v>
      </c>
      <c r="B2758" t="s">
        <v>15</v>
      </c>
      <c r="C2758" t="s">
        <v>59</v>
      </c>
      <c r="D2758" s="3" t="s">
        <v>285</v>
      </c>
      <c r="E2758" s="5" t="str">
        <f>TEXT(D2758,"dd/mm/yyyy")</f>
        <v>24/08/2024</v>
      </c>
      <c r="G2758" s="5" t="str">
        <f>TEXT(E2758,"mm")</f>
        <v>24/08/2024</v>
      </c>
      <c r="H2758" s="6">
        <v>10089.49</v>
      </c>
      <c r="I2758">
        <v>168</v>
      </c>
      <c r="L2758" t="str">
        <f t="shared" si="43"/>
        <v>Above Average</v>
      </c>
      <c r="M2758">
        <f>RANK(H2758,H:H,0)</f>
        <v>570</v>
      </c>
    </row>
    <row r="2759" spans="1:13">
      <c r="A2759" t="s">
        <v>48</v>
      </c>
      <c r="B2759" t="s">
        <v>10</v>
      </c>
      <c r="C2759" t="s">
        <v>11</v>
      </c>
      <c r="D2759" s="3" t="s">
        <v>321</v>
      </c>
      <c r="E2759" s="5" t="str">
        <f>TEXT(D2759,"dd/mm/yyyy")</f>
        <v>18/01/2024</v>
      </c>
      <c r="G2759" s="5" t="str">
        <f>TEXT(E2759,"mm")</f>
        <v>18/01/2024</v>
      </c>
      <c r="H2759" s="6">
        <v>308.24</v>
      </c>
      <c r="I2759">
        <v>402</v>
      </c>
      <c r="L2759" t="str">
        <f t="shared" si="43"/>
        <v>Below Average</v>
      </c>
      <c r="M2759">
        <f>RANK(H2759,H:H,0)</f>
        <v>3186</v>
      </c>
    </row>
    <row r="2760" spans="1:13">
      <c r="A2760" t="s">
        <v>55</v>
      </c>
      <c r="B2760" t="s">
        <v>32</v>
      </c>
      <c r="C2760" t="s">
        <v>36</v>
      </c>
      <c r="D2760" s="3" t="s">
        <v>289</v>
      </c>
      <c r="E2760" s="5" t="str">
        <f>TEXT(D2760,"dd/mm/yyyy")</f>
        <v>22/08/2024</v>
      </c>
      <c r="G2760" s="5" t="str">
        <f>TEXT(E2760,"mm")</f>
        <v>22/08/2024</v>
      </c>
      <c r="H2760" s="6">
        <v>7978.76</v>
      </c>
      <c r="I2760">
        <v>10</v>
      </c>
      <c r="L2760" t="str">
        <f t="shared" si="43"/>
        <v>Above Average</v>
      </c>
      <c r="M2760">
        <f>RANK(H2760,H:H,0)</f>
        <v>942</v>
      </c>
    </row>
    <row r="2761" spans="1:13">
      <c r="A2761" t="s">
        <v>22</v>
      </c>
      <c r="B2761" t="s">
        <v>7</v>
      </c>
      <c r="C2761" t="s">
        <v>20</v>
      </c>
      <c r="D2761" s="4">
        <v>45476</v>
      </c>
      <c r="E2761" s="5" t="str">
        <f>TEXT(D2761,"dd/mm/yyyy")</f>
        <v>03/07/2024</v>
      </c>
      <c r="F2761" s="4"/>
      <c r="G2761" s="5" t="str">
        <f>TEXT(E2761,"mm")</f>
        <v>03</v>
      </c>
      <c r="H2761" s="6">
        <v>8.16</v>
      </c>
      <c r="I2761">
        <v>84</v>
      </c>
      <c r="L2761" t="str">
        <f t="shared" si="43"/>
        <v>Below Average</v>
      </c>
      <c r="M2761">
        <f>RANK(H2761,H:H,0)</f>
        <v>3277</v>
      </c>
    </row>
    <row r="2762" spans="1:13">
      <c r="A2762" t="s">
        <v>41</v>
      </c>
      <c r="B2762" t="s">
        <v>7</v>
      </c>
      <c r="C2762" t="s">
        <v>75</v>
      </c>
      <c r="D2762" s="4">
        <v>45385</v>
      </c>
      <c r="E2762" s="5" t="str">
        <f>TEXT(D2762,"dd/mm/yyyy")</f>
        <v>03/04/2024</v>
      </c>
      <c r="F2762" s="4"/>
      <c r="G2762" s="5" t="str">
        <f>TEXT(E2762,"mm")</f>
        <v>03</v>
      </c>
      <c r="H2762" s="6">
        <v>3303.13</v>
      </c>
      <c r="I2762">
        <v>73</v>
      </c>
      <c r="L2762" t="str">
        <f t="shared" si="43"/>
        <v>Below Average</v>
      </c>
      <c r="M2762">
        <f>RANK(H2762,H:H,0)</f>
        <v>2210</v>
      </c>
    </row>
    <row r="2763" spans="1:13">
      <c r="A2763" t="s">
        <v>79</v>
      </c>
      <c r="B2763" t="s">
        <v>35</v>
      </c>
      <c r="C2763" t="s">
        <v>60</v>
      </c>
      <c r="D2763" s="3" t="s">
        <v>340</v>
      </c>
      <c r="E2763" s="5" t="str">
        <f>TEXT(D2763,"dd/mm/yyyy")</f>
        <v>22/04/2024</v>
      </c>
      <c r="G2763" s="5" t="str">
        <f>TEXT(E2763,"mm")</f>
        <v>22/04/2024</v>
      </c>
      <c r="H2763" s="6">
        <v>13959.74</v>
      </c>
      <c r="I2763">
        <v>113</v>
      </c>
      <c r="L2763" t="str">
        <f t="shared" si="43"/>
        <v>Above Average</v>
      </c>
      <c r="M2763">
        <f>RANK(H2763,H:H,0)</f>
        <v>211</v>
      </c>
    </row>
    <row r="2764" spans="1:13">
      <c r="A2764" t="s">
        <v>55</v>
      </c>
      <c r="B2764" t="s">
        <v>15</v>
      </c>
      <c r="C2764" t="s">
        <v>46</v>
      </c>
      <c r="D2764" s="4">
        <v>45541</v>
      </c>
      <c r="E2764" s="5" t="str">
        <f>TEXT(D2764,"dd/mm/yyyy")</f>
        <v>06/09/2024</v>
      </c>
      <c r="F2764" s="4"/>
      <c r="G2764" s="5" t="str">
        <f>TEXT(E2764,"mm")</f>
        <v>06</v>
      </c>
      <c r="H2764" s="6">
        <v>4251.42</v>
      </c>
      <c r="I2764">
        <v>91</v>
      </c>
      <c r="L2764" t="str">
        <f t="shared" si="43"/>
        <v>Below Average</v>
      </c>
      <c r="M2764">
        <f>RANK(H2764,H:H,0)</f>
        <v>1916</v>
      </c>
    </row>
    <row r="2765" spans="1:13">
      <c r="A2765" t="s">
        <v>14</v>
      </c>
      <c r="B2765" t="s">
        <v>35</v>
      </c>
      <c r="C2765" t="s">
        <v>57</v>
      </c>
      <c r="D2765" s="3" t="s">
        <v>319</v>
      </c>
      <c r="E2765" s="5" t="str">
        <f>TEXT(D2765,"dd/mm/yyyy")</f>
        <v>25/07/2024</v>
      </c>
      <c r="G2765" s="5" t="str">
        <f>TEXT(E2765,"mm")</f>
        <v>25/07/2024</v>
      </c>
      <c r="H2765" s="6">
        <v>9885.5300000000007</v>
      </c>
      <c r="I2765">
        <v>217</v>
      </c>
      <c r="L2765" t="str">
        <f t="shared" si="43"/>
        <v>Above Average</v>
      </c>
      <c r="M2765">
        <f>RANK(H2765,H:H,0)</f>
        <v>596</v>
      </c>
    </row>
    <row r="2766" spans="1:13">
      <c r="A2766" t="s">
        <v>14</v>
      </c>
      <c r="B2766" t="s">
        <v>10</v>
      </c>
      <c r="C2766" t="s">
        <v>18</v>
      </c>
      <c r="D2766" s="4">
        <v>45359</v>
      </c>
      <c r="E2766" s="5" t="str">
        <f>TEXT(D2766,"dd/mm/yyyy")</f>
        <v>08/03/2024</v>
      </c>
      <c r="F2766" s="4"/>
      <c r="G2766" s="5" t="str">
        <f>TEXT(E2766,"mm")</f>
        <v>08</v>
      </c>
      <c r="H2766" s="6">
        <v>12864.47</v>
      </c>
      <c r="I2766">
        <v>93</v>
      </c>
      <c r="L2766" t="str">
        <f t="shared" si="43"/>
        <v>Above Average</v>
      </c>
      <c r="M2766">
        <f>RANK(H2766,H:H,0)</f>
        <v>276</v>
      </c>
    </row>
    <row r="2767" spans="1:13">
      <c r="A2767" t="s">
        <v>29</v>
      </c>
      <c r="B2767" t="s">
        <v>15</v>
      </c>
      <c r="C2767" t="s">
        <v>60</v>
      </c>
      <c r="D2767" s="4">
        <v>45359</v>
      </c>
      <c r="E2767" s="5" t="str">
        <f>TEXT(D2767,"dd/mm/yyyy")</f>
        <v>08/03/2024</v>
      </c>
      <c r="F2767" s="4"/>
      <c r="G2767" s="5" t="str">
        <f>TEXT(E2767,"mm")</f>
        <v>08</v>
      </c>
      <c r="H2767" s="6">
        <v>5245.6</v>
      </c>
      <c r="I2767">
        <v>144</v>
      </c>
      <c r="L2767" t="str">
        <f t="shared" si="43"/>
        <v>Below Average</v>
      </c>
      <c r="M2767">
        <f>RANK(H2767,H:H,0)</f>
        <v>1634</v>
      </c>
    </row>
    <row r="2768" spans="1:13">
      <c r="A2768" t="s">
        <v>6</v>
      </c>
      <c r="B2768" t="s">
        <v>7</v>
      </c>
      <c r="C2768" t="s">
        <v>46</v>
      </c>
      <c r="D2768" s="4">
        <v>45356</v>
      </c>
      <c r="E2768" s="5" t="str">
        <f>TEXT(D2768,"dd/mm/yyyy")</f>
        <v>05/03/2024</v>
      </c>
      <c r="F2768" s="4"/>
      <c r="G2768" s="5" t="str">
        <f>TEXT(E2768,"mm")</f>
        <v>05</v>
      </c>
      <c r="H2768" s="6">
        <v>14345.5</v>
      </c>
      <c r="I2768">
        <v>219</v>
      </c>
      <c r="L2768" t="str">
        <f t="shared" si="43"/>
        <v>Above Average</v>
      </c>
      <c r="M2768">
        <f>RANK(H2768,H:H,0)</f>
        <v>188</v>
      </c>
    </row>
    <row r="2769" spans="1:13">
      <c r="A2769" t="s">
        <v>53</v>
      </c>
      <c r="B2769" t="s">
        <v>35</v>
      </c>
      <c r="C2769" t="s">
        <v>23</v>
      </c>
      <c r="D2769" s="3" t="s">
        <v>311</v>
      </c>
      <c r="E2769" s="5" t="str">
        <f>TEXT(D2769,"dd/mm/yyyy")</f>
        <v>19/01/2024</v>
      </c>
      <c r="G2769" s="5" t="str">
        <f>TEXT(E2769,"mm")</f>
        <v>19/01/2024</v>
      </c>
      <c r="H2769" s="6">
        <v>11462.19</v>
      </c>
      <c r="I2769">
        <v>288</v>
      </c>
      <c r="L2769" t="str">
        <f t="shared" si="43"/>
        <v>Above Average</v>
      </c>
      <c r="M2769">
        <f>RANK(H2769,H:H,0)</f>
        <v>401</v>
      </c>
    </row>
    <row r="2770" spans="1:13">
      <c r="A2770" t="s">
        <v>45</v>
      </c>
      <c r="B2770" t="s">
        <v>32</v>
      </c>
      <c r="C2770" t="s">
        <v>26</v>
      </c>
      <c r="D2770" s="4">
        <v>45598</v>
      </c>
      <c r="E2770" s="5" t="str">
        <f>TEXT(D2770,"dd/mm/yyyy")</f>
        <v>02/11/2024</v>
      </c>
      <c r="F2770" s="4"/>
      <c r="G2770" s="5" t="str">
        <f>TEXT(E2770,"mm")</f>
        <v>02</v>
      </c>
      <c r="H2770" s="6">
        <v>11667.94</v>
      </c>
      <c r="I2770">
        <v>306</v>
      </c>
      <c r="L2770" t="str">
        <f t="shared" si="43"/>
        <v>Above Average</v>
      </c>
      <c r="M2770">
        <f>RANK(H2770,H:H,0)</f>
        <v>379</v>
      </c>
    </row>
    <row r="2771" spans="1:13">
      <c r="A2771" t="s">
        <v>9</v>
      </c>
      <c r="B2771" t="s">
        <v>10</v>
      </c>
      <c r="C2771" t="s">
        <v>65</v>
      </c>
      <c r="D2771" s="3" t="s">
        <v>333</v>
      </c>
      <c r="E2771" s="5" t="str">
        <f>TEXT(D2771,"dd/mm/yyyy")</f>
        <v>14/06/2024</v>
      </c>
      <c r="G2771" s="5" t="str">
        <f>TEXT(E2771,"mm")</f>
        <v>14/06/2024</v>
      </c>
      <c r="H2771" s="6">
        <v>7455.17</v>
      </c>
      <c r="I2771">
        <v>383</v>
      </c>
      <c r="L2771" t="str">
        <f t="shared" si="43"/>
        <v>Above Average</v>
      </c>
      <c r="M2771">
        <f>RANK(H2771,H:H,0)</f>
        <v>1077</v>
      </c>
    </row>
    <row r="2772" spans="1:13">
      <c r="A2772" t="s">
        <v>70</v>
      </c>
      <c r="B2772" t="s">
        <v>32</v>
      </c>
      <c r="C2772" t="s">
        <v>26</v>
      </c>
      <c r="D2772" s="3" t="s">
        <v>316</v>
      </c>
      <c r="E2772" s="5" t="str">
        <f>TEXT(D2772,"dd/mm/yyyy")</f>
        <v>23/03/2024</v>
      </c>
      <c r="G2772" s="5" t="str">
        <f>TEXT(E2772,"mm")</f>
        <v>23/03/2024</v>
      </c>
      <c r="H2772" s="6">
        <v>7203.64</v>
      </c>
      <c r="I2772">
        <v>234</v>
      </c>
      <c r="L2772" t="str">
        <f t="shared" si="43"/>
        <v>Above Average</v>
      </c>
      <c r="M2772">
        <f>RANK(H2772,H:H,0)</f>
        <v>1129</v>
      </c>
    </row>
    <row r="2773" spans="1:13">
      <c r="A2773" t="s">
        <v>77</v>
      </c>
      <c r="B2773" t="s">
        <v>35</v>
      </c>
      <c r="C2773" t="s">
        <v>11</v>
      </c>
      <c r="D2773" s="3" t="s">
        <v>276</v>
      </c>
      <c r="E2773" s="5" t="str">
        <f>TEXT(D2773,"dd/mm/yyyy")</f>
        <v>17/02/2024</v>
      </c>
      <c r="G2773" s="5" t="str">
        <f>TEXT(E2773,"mm")</f>
        <v>17/02/2024</v>
      </c>
      <c r="H2773" s="6">
        <v>8081.58</v>
      </c>
      <c r="I2773">
        <v>105</v>
      </c>
      <c r="L2773" t="str">
        <f t="shared" si="43"/>
        <v>Above Average</v>
      </c>
      <c r="M2773">
        <f>RANK(H2773,H:H,0)</f>
        <v>921</v>
      </c>
    </row>
    <row r="2774" spans="1:13">
      <c r="A2774" t="s">
        <v>58</v>
      </c>
      <c r="B2774" t="s">
        <v>35</v>
      </c>
      <c r="C2774" t="s">
        <v>18</v>
      </c>
      <c r="D2774" s="3" t="s">
        <v>329</v>
      </c>
      <c r="E2774" s="5" t="str">
        <f>TEXT(D2774,"dd/mm/yyyy")</f>
        <v>17/03/2024</v>
      </c>
      <c r="G2774" s="5" t="str">
        <f>TEXT(E2774,"mm")</f>
        <v>17/03/2024</v>
      </c>
      <c r="H2774" s="6">
        <v>2055.4</v>
      </c>
      <c r="I2774">
        <v>485</v>
      </c>
      <c r="L2774" t="str">
        <f t="shared" si="43"/>
        <v>Below Average</v>
      </c>
      <c r="M2774">
        <f>RANK(H2774,H:H,0)</f>
        <v>2617</v>
      </c>
    </row>
    <row r="2775" spans="1:13">
      <c r="A2775" t="s">
        <v>34</v>
      </c>
      <c r="B2775" t="s">
        <v>15</v>
      </c>
      <c r="C2775" t="s">
        <v>50</v>
      </c>
      <c r="D2775" s="3" t="s">
        <v>282</v>
      </c>
      <c r="E2775" s="5" t="str">
        <f>TEXT(D2775,"dd/mm/yyyy")</f>
        <v>29/06/2024</v>
      </c>
      <c r="G2775" s="5" t="str">
        <f>TEXT(E2775,"mm")</f>
        <v>29/06/2024</v>
      </c>
      <c r="H2775" s="6">
        <v>6476.09</v>
      </c>
      <c r="I2775">
        <v>304</v>
      </c>
      <c r="L2775" t="str">
        <f t="shared" si="43"/>
        <v>Above Average</v>
      </c>
      <c r="M2775">
        <f>RANK(H2775,H:H,0)</f>
        <v>1311</v>
      </c>
    </row>
    <row r="2776" spans="1:13">
      <c r="A2776" t="s">
        <v>83</v>
      </c>
      <c r="B2776" t="s">
        <v>35</v>
      </c>
      <c r="C2776" t="s">
        <v>75</v>
      </c>
      <c r="D2776" s="3" t="s">
        <v>285</v>
      </c>
      <c r="E2776" s="5" t="str">
        <f>TEXT(D2776,"dd/mm/yyyy")</f>
        <v>24/08/2024</v>
      </c>
      <c r="G2776" s="5" t="str">
        <f>TEXT(E2776,"mm")</f>
        <v>24/08/2024</v>
      </c>
      <c r="H2776" s="6">
        <v>17490.080000000002</v>
      </c>
      <c r="I2776">
        <v>289</v>
      </c>
      <c r="L2776" t="str">
        <f t="shared" si="43"/>
        <v>Above Average</v>
      </c>
      <c r="M2776">
        <f>RANK(H2776,H:H,0)</f>
        <v>53</v>
      </c>
    </row>
    <row r="2777" spans="1:13">
      <c r="A2777" t="s">
        <v>12</v>
      </c>
      <c r="B2777" t="s">
        <v>35</v>
      </c>
      <c r="C2777" t="s">
        <v>50</v>
      </c>
      <c r="D2777" s="4">
        <v>45389</v>
      </c>
      <c r="E2777" s="5" t="str">
        <f>TEXT(D2777,"dd/mm/yyyy")</f>
        <v>07/04/2024</v>
      </c>
      <c r="F2777" s="4"/>
      <c r="G2777" s="5" t="str">
        <f>TEXT(E2777,"mm")</f>
        <v>07</v>
      </c>
      <c r="H2777" s="6">
        <v>13644</v>
      </c>
      <c r="I2777">
        <v>281</v>
      </c>
      <c r="L2777" t="str">
        <f t="shared" si="43"/>
        <v>Above Average</v>
      </c>
      <c r="M2777">
        <f>RANK(H2777,H:H,0)</f>
        <v>227</v>
      </c>
    </row>
    <row r="2778" spans="1:13">
      <c r="A2778" t="s">
        <v>45</v>
      </c>
      <c r="B2778" t="s">
        <v>25</v>
      </c>
      <c r="C2778" t="s">
        <v>65</v>
      </c>
      <c r="D2778" s="3" t="s">
        <v>308</v>
      </c>
      <c r="E2778" s="5" t="str">
        <f>TEXT(D2778,"dd/mm/yyyy")</f>
        <v>28/03/2024</v>
      </c>
      <c r="G2778" s="5" t="str">
        <f>TEXT(E2778,"mm")</f>
        <v>28/03/2024</v>
      </c>
      <c r="H2778" s="6">
        <v>2930.46</v>
      </c>
      <c r="I2778">
        <v>70</v>
      </c>
      <c r="L2778" t="str">
        <f t="shared" si="43"/>
        <v>Below Average</v>
      </c>
      <c r="M2778">
        <f>RANK(H2778,H:H,0)</f>
        <v>2333</v>
      </c>
    </row>
    <row r="2779" spans="1:13">
      <c r="A2779" t="s">
        <v>48</v>
      </c>
      <c r="B2779" t="s">
        <v>10</v>
      </c>
      <c r="C2779" t="s">
        <v>18</v>
      </c>
      <c r="D2779" s="3" t="s">
        <v>291</v>
      </c>
      <c r="E2779" s="5" t="str">
        <f>TEXT(D2779,"dd/mm/yyyy")</f>
        <v>19/04/2024</v>
      </c>
      <c r="G2779" s="5" t="str">
        <f>TEXT(E2779,"mm")</f>
        <v>19/04/2024</v>
      </c>
      <c r="H2779" s="6">
        <v>22717.09</v>
      </c>
      <c r="I2779">
        <v>143</v>
      </c>
      <c r="L2779" t="str">
        <f t="shared" si="43"/>
        <v>Above Average</v>
      </c>
      <c r="M2779">
        <f>RANK(H2779,H:H,0)</f>
        <v>5</v>
      </c>
    </row>
    <row r="2780" spans="1:13">
      <c r="A2780" t="s">
        <v>83</v>
      </c>
      <c r="B2780" t="s">
        <v>25</v>
      </c>
      <c r="C2780" t="s">
        <v>8</v>
      </c>
      <c r="D2780" s="3" t="s">
        <v>321</v>
      </c>
      <c r="E2780" s="5" t="str">
        <f>TEXT(D2780,"dd/mm/yyyy")</f>
        <v>18/01/2024</v>
      </c>
      <c r="G2780" s="5" t="str">
        <f>TEXT(E2780,"mm")</f>
        <v>18/01/2024</v>
      </c>
      <c r="H2780" s="6">
        <v>9471.7199999999993</v>
      </c>
      <c r="I2780">
        <v>248</v>
      </c>
      <c r="L2780" t="str">
        <f t="shared" si="43"/>
        <v>Above Average</v>
      </c>
      <c r="M2780">
        <f>RANK(H2780,H:H,0)</f>
        <v>660</v>
      </c>
    </row>
    <row r="2781" spans="1:13">
      <c r="A2781" t="s">
        <v>9</v>
      </c>
      <c r="B2781" t="s">
        <v>25</v>
      </c>
      <c r="C2781" t="s">
        <v>57</v>
      </c>
      <c r="D2781" s="3" t="s">
        <v>358</v>
      </c>
      <c r="E2781" s="5" t="str">
        <f>TEXT(D2781,"dd/mm/yyyy")</f>
        <v>17/01/2024</v>
      </c>
      <c r="G2781" s="5" t="str">
        <f>TEXT(E2781,"mm")</f>
        <v>17/01/2024</v>
      </c>
      <c r="H2781" s="6">
        <v>3400.47</v>
      </c>
      <c r="I2781">
        <v>92</v>
      </c>
      <c r="L2781" t="str">
        <f t="shared" si="43"/>
        <v>Below Average</v>
      </c>
      <c r="M2781">
        <f>RANK(H2781,H:H,0)</f>
        <v>2173</v>
      </c>
    </row>
    <row r="2782" spans="1:13">
      <c r="A2782" t="s">
        <v>67</v>
      </c>
      <c r="B2782" t="s">
        <v>25</v>
      </c>
      <c r="C2782" t="s">
        <v>8</v>
      </c>
      <c r="D2782" s="3" t="s">
        <v>355</v>
      </c>
      <c r="E2782" s="5" t="str">
        <f>TEXT(D2782,"dd/mm/yyyy")</f>
        <v>15/02/2024</v>
      </c>
      <c r="G2782" s="5" t="str">
        <f>TEXT(E2782,"mm")</f>
        <v>15/02/2024</v>
      </c>
      <c r="H2782" s="6">
        <v>10696.21</v>
      </c>
      <c r="I2782">
        <v>201</v>
      </c>
      <c r="L2782" t="str">
        <f t="shared" si="43"/>
        <v>Above Average</v>
      </c>
      <c r="M2782">
        <f>RANK(H2782,H:H,0)</f>
        <v>491</v>
      </c>
    </row>
    <row r="2783" spans="1:13">
      <c r="A2783" t="s">
        <v>67</v>
      </c>
      <c r="B2783" t="s">
        <v>7</v>
      </c>
      <c r="C2783" t="s">
        <v>46</v>
      </c>
      <c r="D2783" s="4">
        <v>45598</v>
      </c>
      <c r="E2783" s="5" t="str">
        <f>TEXT(D2783,"dd/mm/yyyy")</f>
        <v>02/11/2024</v>
      </c>
      <c r="F2783" s="4"/>
      <c r="G2783" s="5" t="str">
        <f>TEXT(E2783,"mm")</f>
        <v>02</v>
      </c>
      <c r="H2783" s="6">
        <v>17101.669999999998</v>
      </c>
      <c r="I2783">
        <v>307</v>
      </c>
      <c r="L2783" t="str">
        <f t="shared" si="43"/>
        <v>Above Average</v>
      </c>
      <c r="M2783">
        <f>RANK(H2783,H:H,0)</f>
        <v>65</v>
      </c>
    </row>
    <row r="2784" spans="1:13">
      <c r="A2784" t="s">
        <v>71</v>
      </c>
      <c r="B2784" t="s">
        <v>32</v>
      </c>
      <c r="C2784" t="s">
        <v>60</v>
      </c>
      <c r="D2784" s="3" t="s">
        <v>354</v>
      </c>
      <c r="E2784" s="5" t="str">
        <f>TEXT(D2784,"dd/mm/yyyy")</f>
        <v>21/03/2024</v>
      </c>
      <c r="G2784" s="5" t="str">
        <f>TEXT(E2784,"mm")</f>
        <v>21/03/2024</v>
      </c>
      <c r="H2784" s="6">
        <v>18936.88</v>
      </c>
      <c r="I2784">
        <v>180</v>
      </c>
      <c r="L2784" t="str">
        <f t="shared" si="43"/>
        <v>Above Average</v>
      </c>
      <c r="M2784">
        <f>RANK(H2784,H:H,0)</f>
        <v>28</v>
      </c>
    </row>
    <row r="2785" spans="1:13">
      <c r="A2785" t="s">
        <v>22</v>
      </c>
      <c r="B2785" t="s">
        <v>25</v>
      </c>
      <c r="C2785" t="s">
        <v>65</v>
      </c>
      <c r="D2785" s="4">
        <v>45413</v>
      </c>
      <c r="E2785" s="5" t="str">
        <f>TEXT(D2785,"dd/mm/yyyy")</f>
        <v>01/05/2024</v>
      </c>
      <c r="F2785" s="4"/>
      <c r="G2785" s="5" t="str">
        <f>TEXT(E2785,"mm")</f>
        <v>01</v>
      </c>
      <c r="H2785" s="6">
        <v>6015.37</v>
      </c>
      <c r="I2785">
        <v>136</v>
      </c>
      <c r="L2785" t="str">
        <f t="shared" si="43"/>
        <v>Below Average</v>
      </c>
      <c r="M2785">
        <f>RANK(H2785,H:H,0)</f>
        <v>1433</v>
      </c>
    </row>
    <row r="2786" spans="1:13">
      <c r="A2786" t="s">
        <v>28</v>
      </c>
      <c r="B2786" t="s">
        <v>10</v>
      </c>
      <c r="C2786" t="s">
        <v>73</v>
      </c>
      <c r="D2786" s="3" t="s">
        <v>277</v>
      </c>
      <c r="E2786" s="5" t="str">
        <f>TEXT(D2786,"dd/mm/yyyy")</f>
        <v>30/05/2024</v>
      </c>
      <c r="G2786" s="5" t="str">
        <f>TEXT(E2786,"mm")</f>
        <v>30/05/2024</v>
      </c>
      <c r="H2786" s="6">
        <v>7623.58</v>
      </c>
      <c r="I2786">
        <v>162</v>
      </c>
      <c r="L2786" t="str">
        <f t="shared" si="43"/>
        <v>Above Average</v>
      </c>
      <c r="M2786">
        <f>RANK(H2786,H:H,0)</f>
        <v>1034</v>
      </c>
    </row>
    <row r="2787" spans="1:13">
      <c r="A2787" t="s">
        <v>6</v>
      </c>
      <c r="B2787" t="s">
        <v>32</v>
      </c>
      <c r="C2787" t="s">
        <v>20</v>
      </c>
      <c r="D2787" s="4">
        <v>45383</v>
      </c>
      <c r="E2787" s="5" t="str">
        <f>TEXT(D2787,"dd/mm/yyyy")</f>
        <v>01/04/2024</v>
      </c>
      <c r="F2787" s="4"/>
      <c r="G2787" s="5" t="str">
        <f>TEXT(E2787,"mm")</f>
        <v>01</v>
      </c>
      <c r="H2787" s="6">
        <v>2996.83</v>
      </c>
      <c r="I2787">
        <v>227</v>
      </c>
      <c r="L2787" t="str">
        <f t="shared" si="43"/>
        <v>Below Average</v>
      </c>
      <c r="M2787">
        <f>RANK(H2787,H:H,0)</f>
        <v>2309</v>
      </c>
    </row>
    <row r="2788" spans="1:13">
      <c r="A2788" t="s">
        <v>41</v>
      </c>
      <c r="B2788" t="s">
        <v>15</v>
      </c>
      <c r="C2788" t="s">
        <v>57</v>
      </c>
      <c r="D2788" s="3" t="s">
        <v>340</v>
      </c>
      <c r="E2788" s="5" t="str">
        <f>TEXT(D2788,"dd/mm/yyyy")</f>
        <v>22/04/2024</v>
      </c>
      <c r="G2788" s="5" t="str">
        <f>TEXT(E2788,"mm")</f>
        <v>22/04/2024</v>
      </c>
      <c r="H2788" s="6">
        <v>1718.97</v>
      </c>
      <c r="I2788">
        <v>260</v>
      </c>
      <c r="L2788" t="str">
        <f t="shared" si="43"/>
        <v>Below Average</v>
      </c>
      <c r="M2788">
        <f>RANK(H2788,H:H,0)</f>
        <v>2728</v>
      </c>
    </row>
    <row r="2789" spans="1:13">
      <c r="A2789" t="s">
        <v>12</v>
      </c>
      <c r="B2789" t="s">
        <v>35</v>
      </c>
      <c r="C2789" t="s">
        <v>46</v>
      </c>
      <c r="D2789" s="4">
        <v>45567</v>
      </c>
      <c r="E2789" s="5" t="str">
        <f>TEXT(D2789,"dd/mm/yyyy")</f>
        <v>02/10/2024</v>
      </c>
      <c r="F2789" s="4"/>
      <c r="G2789" s="5" t="str">
        <f>TEXT(E2789,"mm")</f>
        <v>02</v>
      </c>
      <c r="H2789" s="6">
        <v>3523.33</v>
      </c>
      <c r="I2789">
        <v>114</v>
      </c>
      <c r="L2789" t="str">
        <f t="shared" si="43"/>
        <v>Below Average</v>
      </c>
      <c r="M2789">
        <f>RANK(H2789,H:H,0)</f>
        <v>2133</v>
      </c>
    </row>
    <row r="2790" spans="1:13">
      <c r="A2790" t="s">
        <v>79</v>
      </c>
      <c r="B2790" t="s">
        <v>10</v>
      </c>
      <c r="C2790" t="s">
        <v>50</v>
      </c>
      <c r="D2790" s="4">
        <v>45634</v>
      </c>
      <c r="E2790" s="5" t="str">
        <f>TEXT(D2790,"dd/mm/yyyy")</f>
        <v>08/12/2024</v>
      </c>
      <c r="F2790" s="4"/>
      <c r="G2790" s="5" t="str">
        <f>TEXT(E2790,"mm")</f>
        <v>08</v>
      </c>
      <c r="H2790" s="6">
        <v>1092.3599999999999</v>
      </c>
      <c r="I2790">
        <v>209</v>
      </c>
      <c r="L2790" t="str">
        <f t="shared" si="43"/>
        <v>Below Average</v>
      </c>
      <c r="M2790">
        <f>RANK(H2790,H:H,0)</f>
        <v>2944</v>
      </c>
    </row>
    <row r="2791" spans="1:13">
      <c r="A2791" t="s">
        <v>22</v>
      </c>
      <c r="B2791" t="s">
        <v>32</v>
      </c>
      <c r="C2791" t="s">
        <v>42</v>
      </c>
      <c r="D2791" s="4">
        <v>45573</v>
      </c>
      <c r="E2791" s="5" t="str">
        <f>TEXT(D2791,"dd/mm/yyyy")</f>
        <v>08/10/2024</v>
      </c>
      <c r="F2791" s="4"/>
      <c r="G2791" s="5" t="str">
        <f>TEXT(E2791,"mm")</f>
        <v>08</v>
      </c>
      <c r="H2791" s="6">
        <v>2495.71</v>
      </c>
      <c r="I2791">
        <v>310</v>
      </c>
      <c r="L2791" t="str">
        <f t="shared" si="43"/>
        <v>Below Average</v>
      </c>
      <c r="M2791">
        <f>RANK(H2791,H:H,0)</f>
        <v>2476</v>
      </c>
    </row>
    <row r="2792" spans="1:13">
      <c r="A2792" t="s">
        <v>70</v>
      </c>
      <c r="B2792" t="s">
        <v>15</v>
      </c>
      <c r="C2792" t="s">
        <v>73</v>
      </c>
      <c r="D2792" s="4">
        <v>45479</v>
      </c>
      <c r="E2792" s="5" t="str">
        <f>TEXT(D2792,"dd/mm/yyyy")</f>
        <v>06/07/2024</v>
      </c>
      <c r="F2792" s="4"/>
      <c r="G2792" s="5" t="str">
        <f>TEXT(E2792,"mm")</f>
        <v>06</v>
      </c>
      <c r="H2792" s="6">
        <v>813.41</v>
      </c>
      <c r="I2792">
        <v>58</v>
      </c>
      <c r="L2792" t="str">
        <f t="shared" si="43"/>
        <v>Below Average</v>
      </c>
      <c r="M2792">
        <f>RANK(H2792,H:H,0)</f>
        <v>3024</v>
      </c>
    </row>
    <row r="2793" spans="1:13">
      <c r="A2793" t="s">
        <v>6</v>
      </c>
      <c r="B2793" t="s">
        <v>10</v>
      </c>
      <c r="C2793" t="s">
        <v>87</v>
      </c>
      <c r="D2793" s="4">
        <v>45449</v>
      </c>
      <c r="E2793" s="5" t="str">
        <f>TEXT(D2793,"dd/mm/yyyy")</f>
        <v>06/06/2024</v>
      </c>
      <c r="F2793" s="4"/>
      <c r="G2793" s="5" t="str">
        <f>TEXT(E2793,"mm")</f>
        <v>06</v>
      </c>
      <c r="H2793" s="6">
        <v>2489.06</v>
      </c>
      <c r="I2793">
        <v>81</v>
      </c>
      <c r="L2793" t="str">
        <f t="shared" si="43"/>
        <v>Below Average</v>
      </c>
      <c r="M2793">
        <f>RANK(H2793,H:H,0)</f>
        <v>2480</v>
      </c>
    </row>
    <row r="2794" spans="1:13">
      <c r="A2794" t="s">
        <v>37</v>
      </c>
      <c r="B2794" t="s">
        <v>25</v>
      </c>
      <c r="C2794" t="s">
        <v>87</v>
      </c>
      <c r="D2794" s="4">
        <v>45416</v>
      </c>
      <c r="E2794" s="5" t="str">
        <f>TEXT(D2794,"dd/mm/yyyy")</f>
        <v>04/05/2024</v>
      </c>
      <c r="F2794" s="4"/>
      <c r="G2794" s="5" t="str">
        <f>TEXT(E2794,"mm")</f>
        <v>04</v>
      </c>
      <c r="H2794" s="6">
        <v>5701.35</v>
      </c>
      <c r="I2794">
        <v>201</v>
      </c>
      <c r="L2794" t="str">
        <f t="shared" si="43"/>
        <v>Below Average</v>
      </c>
      <c r="M2794">
        <f>RANK(H2794,H:H,0)</f>
        <v>1515</v>
      </c>
    </row>
    <row r="2795" spans="1:13">
      <c r="A2795" t="s">
        <v>64</v>
      </c>
      <c r="B2795" t="s">
        <v>32</v>
      </c>
      <c r="C2795" t="s">
        <v>26</v>
      </c>
      <c r="D2795" s="3" t="s">
        <v>360</v>
      </c>
      <c r="E2795" s="5" t="str">
        <f>TEXT(D2795,"dd/mm/yyyy")</f>
        <v>18/04/2024</v>
      </c>
      <c r="G2795" s="5" t="str">
        <f>TEXT(E2795,"mm")</f>
        <v>18/04/2024</v>
      </c>
      <c r="H2795" s="6">
        <v>5084.32</v>
      </c>
      <c r="I2795">
        <v>126</v>
      </c>
      <c r="L2795" t="str">
        <f t="shared" si="43"/>
        <v>Below Average</v>
      </c>
      <c r="M2795">
        <f>RANK(H2795,H:H,0)</f>
        <v>1677</v>
      </c>
    </row>
    <row r="2796" spans="1:13">
      <c r="A2796" t="s">
        <v>67</v>
      </c>
      <c r="B2796" t="s">
        <v>10</v>
      </c>
      <c r="C2796" t="s">
        <v>26</v>
      </c>
      <c r="D2796" s="3" t="s">
        <v>303</v>
      </c>
      <c r="E2796" s="5" t="str">
        <f>TEXT(D2796,"dd/mm/yyyy")</f>
        <v>31/01/2024</v>
      </c>
      <c r="G2796" s="5" t="str">
        <f>TEXT(E2796,"mm")</f>
        <v>31/01/2024</v>
      </c>
      <c r="H2796" s="6">
        <v>15789.48</v>
      </c>
      <c r="I2796">
        <v>16</v>
      </c>
      <c r="L2796" t="str">
        <f t="shared" si="43"/>
        <v>Above Average</v>
      </c>
      <c r="M2796">
        <f>RANK(H2796,H:H,0)</f>
        <v>110</v>
      </c>
    </row>
    <row r="2797" spans="1:13">
      <c r="A2797" t="s">
        <v>77</v>
      </c>
      <c r="B2797" t="s">
        <v>32</v>
      </c>
      <c r="C2797" t="s">
        <v>87</v>
      </c>
      <c r="D2797" s="3" t="s">
        <v>289</v>
      </c>
      <c r="E2797" s="5" t="str">
        <f>TEXT(D2797,"dd/mm/yyyy")</f>
        <v>22/08/2024</v>
      </c>
      <c r="G2797" s="5" t="str">
        <f>TEXT(E2797,"mm")</f>
        <v>22/08/2024</v>
      </c>
      <c r="H2797" s="6">
        <v>6541.75</v>
      </c>
      <c r="I2797">
        <v>141</v>
      </c>
      <c r="L2797" t="str">
        <f t="shared" si="43"/>
        <v>Above Average</v>
      </c>
      <c r="M2797">
        <f>RANK(H2797,H:H,0)</f>
        <v>1296</v>
      </c>
    </row>
    <row r="2798" spans="1:13">
      <c r="A2798" t="s">
        <v>6</v>
      </c>
      <c r="B2798" t="s">
        <v>15</v>
      </c>
      <c r="C2798" t="s">
        <v>20</v>
      </c>
      <c r="D2798" s="3" t="s">
        <v>310</v>
      </c>
      <c r="E2798" s="5" t="str">
        <f>TEXT(D2798,"dd/mm/yyyy")</f>
        <v>25/02/2024</v>
      </c>
      <c r="G2798" s="5" t="str">
        <f>TEXT(E2798,"mm")</f>
        <v>25/02/2024</v>
      </c>
      <c r="H2798" s="6">
        <v>11409.11</v>
      </c>
      <c r="I2798">
        <v>217</v>
      </c>
      <c r="L2798" t="str">
        <f t="shared" si="43"/>
        <v>Above Average</v>
      </c>
      <c r="M2798">
        <f>RANK(H2798,H:H,0)</f>
        <v>404</v>
      </c>
    </row>
    <row r="2799" spans="1:13">
      <c r="A2799" t="s">
        <v>14</v>
      </c>
      <c r="B2799" t="s">
        <v>15</v>
      </c>
      <c r="C2799" t="s">
        <v>8</v>
      </c>
      <c r="D2799" s="3" t="s">
        <v>331</v>
      </c>
      <c r="E2799" s="5" t="str">
        <f>TEXT(D2799,"dd/mm/yyyy")</f>
        <v>22/02/2024</v>
      </c>
      <c r="G2799" s="5" t="str">
        <f>TEXT(E2799,"mm")</f>
        <v>22/02/2024</v>
      </c>
      <c r="H2799" s="6">
        <v>19258.41</v>
      </c>
      <c r="I2799">
        <v>99</v>
      </c>
      <c r="L2799" t="str">
        <f t="shared" si="43"/>
        <v>Above Average</v>
      </c>
      <c r="M2799">
        <f>RANK(H2799,H:H,0)</f>
        <v>26</v>
      </c>
    </row>
    <row r="2800" spans="1:13">
      <c r="A2800" t="s">
        <v>19</v>
      </c>
      <c r="B2800" t="s">
        <v>25</v>
      </c>
      <c r="C2800" t="s">
        <v>46</v>
      </c>
      <c r="D2800" s="4">
        <v>45627</v>
      </c>
      <c r="E2800" s="5" t="str">
        <f>TEXT(D2800,"dd/mm/yyyy")</f>
        <v>01/12/2024</v>
      </c>
      <c r="F2800" s="4"/>
      <c r="G2800" s="5" t="str">
        <f>TEXT(E2800,"mm")</f>
        <v>01</v>
      </c>
      <c r="H2800" s="6">
        <v>5074.8599999999997</v>
      </c>
      <c r="I2800">
        <v>201</v>
      </c>
      <c r="L2800" t="str">
        <f t="shared" si="43"/>
        <v>Below Average</v>
      </c>
      <c r="M2800">
        <f>RANK(H2800,H:H,0)</f>
        <v>1683</v>
      </c>
    </row>
    <row r="2801" spans="1:13">
      <c r="A2801" t="s">
        <v>28</v>
      </c>
      <c r="B2801" t="s">
        <v>7</v>
      </c>
      <c r="C2801" t="s">
        <v>65</v>
      </c>
      <c r="D2801" s="3" t="s">
        <v>306</v>
      </c>
      <c r="E2801" s="5" t="str">
        <f>TEXT(D2801,"dd/mm/yyyy")</f>
        <v>25/05/2024</v>
      </c>
      <c r="G2801" s="5" t="str">
        <f>TEXT(E2801,"mm")</f>
        <v>25/05/2024</v>
      </c>
      <c r="H2801" s="6">
        <v>115.9</v>
      </c>
      <c r="I2801">
        <v>120</v>
      </c>
      <c r="L2801" t="str">
        <f t="shared" si="43"/>
        <v>Below Average</v>
      </c>
      <c r="M2801">
        <f>RANK(H2801,H:H,0)</f>
        <v>3237</v>
      </c>
    </row>
    <row r="2802" spans="1:13">
      <c r="A2802" t="s">
        <v>70</v>
      </c>
      <c r="B2802" t="s">
        <v>10</v>
      </c>
      <c r="C2802" t="s">
        <v>18</v>
      </c>
      <c r="D2802" s="4">
        <v>45293</v>
      </c>
      <c r="E2802" s="5" t="str">
        <f>TEXT(D2802,"dd/mm/yyyy")</f>
        <v>02/01/2024</v>
      </c>
      <c r="F2802" s="4"/>
      <c r="G2802" s="5" t="str">
        <f>TEXT(E2802,"mm")</f>
        <v>02</v>
      </c>
      <c r="H2802" s="6">
        <v>2797.19</v>
      </c>
      <c r="I2802">
        <v>9</v>
      </c>
      <c r="L2802" t="str">
        <f t="shared" si="43"/>
        <v>Below Average</v>
      </c>
      <c r="M2802">
        <f>RANK(H2802,H:H,0)</f>
        <v>2375</v>
      </c>
    </row>
    <row r="2803" spans="1:13">
      <c r="A2803" t="s">
        <v>29</v>
      </c>
      <c r="B2803" t="s">
        <v>7</v>
      </c>
      <c r="C2803" t="s">
        <v>36</v>
      </c>
      <c r="D2803" s="3" t="s">
        <v>265</v>
      </c>
      <c r="E2803" s="5" t="str">
        <f>TEXT(D2803,"dd/mm/yyyy")</f>
        <v>27/04/2024</v>
      </c>
      <c r="G2803" s="5" t="str">
        <f>TEXT(E2803,"mm")</f>
        <v>27/04/2024</v>
      </c>
      <c r="H2803" s="6">
        <v>1608.04</v>
      </c>
      <c r="I2803">
        <v>75</v>
      </c>
      <c r="L2803" t="str">
        <f t="shared" si="43"/>
        <v>Below Average</v>
      </c>
      <c r="M2803">
        <f>RANK(H2803,H:H,0)</f>
        <v>2767</v>
      </c>
    </row>
    <row r="2804" spans="1:13">
      <c r="A2804" t="s">
        <v>12</v>
      </c>
      <c r="B2804" t="s">
        <v>32</v>
      </c>
      <c r="C2804" t="s">
        <v>18</v>
      </c>
      <c r="D2804" s="3" t="s">
        <v>284</v>
      </c>
      <c r="E2804" s="5" t="str">
        <f>TEXT(D2804,"dd/mm/yyyy")</f>
        <v>22/07/2024</v>
      </c>
      <c r="G2804" s="5" t="str">
        <f>TEXT(E2804,"mm")</f>
        <v>22/07/2024</v>
      </c>
      <c r="H2804" s="6">
        <v>2960.99</v>
      </c>
      <c r="I2804">
        <v>133</v>
      </c>
      <c r="L2804" t="str">
        <f t="shared" si="43"/>
        <v>Below Average</v>
      </c>
      <c r="M2804">
        <f>RANK(H2804,H:H,0)</f>
        <v>2323</v>
      </c>
    </row>
    <row r="2805" spans="1:13">
      <c r="A2805" t="s">
        <v>48</v>
      </c>
      <c r="B2805" t="s">
        <v>25</v>
      </c>
      <c r="C2805" t="s">
        <v>8</v>
      </c>
      <c r="D2805" s="3" t="s">
        <v>272</v>
      </c>
      <c r="E2805" s="5" t="str">
        <f>TEXT(D2805,"dd/mm/yyyy")</f>
        <v>26/01/2024</v>
      </c>
      <c r="G2805" s="5" t="str">
        <f>TEXT(E2805,"mm")</f>
        <v>26/01/2024</v>
      </c>
      <c r="H2805" s="6">
        <v>3703.51</v>
      </c>
      <c r="I2805">
        <v>260</v>
      </c>
      <c r="L2805" t="str">
        <f t="shared" si="43"/>
        <v>Below Average</v>
      </c>
      <c r="M2805">
        <f>RANK(H2805,H:H,0)</f>
        <v>2072</v>
      </c>
    </row>
    <row r="2806" spans="1:13">
      <c r="A2806" t="s">
        <v>48</v>
      </c>
      <c r="B2806" t="s">
        <v>32</v>
      </c>
      <c r="C2806" t="s">
        <v>8</v>
      </c>
      <c r="D2806" s="3" t="s">
        <v>285</v>
      </c>
      <c r="E2806" s="5" t="str">
        <f>TEXT(D2806,"dd/mm/yyyy")</f>
        <v>24/08/2024</v>
      </c>
      <c r="G2806" s="5" t="str">
        <f>TEXT(E2806,"mm")</f>
        <v>24/08/2024</v>
      </c>
      <c r="H2806" s="6">
        <v>5679.57</v>
      </c>
      <c r="I2806">
        <v>285</v>
      </c>
      <c r="L2806" t="str">
        <f t="shared" si="43"/>
        <v>Below Average</v>
      </c>
      <c r="M2806">
        <f>RANK(H2806,H:H,0)</f>
        <v>1523</v>
      </c>
    </row>
    <row r="2807" spans="1:13">
      <c r="A2807" t="s">
        <v>77</v>
      </c>
      <c r="B2807" t="s">
        <v>25</v>
      </c>
      <c r="C2807" t="s">
        <v>57</v>
      </c>
      <c r="D2807" s="3" t="s">
        <v>321</v>
      </c>
      <c r="E2807" s="5" t="str">
        <f>TEXT(D2807,"dd/mm/yyyy")</f>
        <v>18/01/2024</v>
      </c>
      <c r="G2807" s="5" t="str">
        <f>TEXT(E2807,"mm")</f>
        <v>18/01/2024</v>
      </c>
      <c r="H2807" s="6">
        <v>6764.17</v>
      </c>
      <c r="I2807">
        <v>20</v>
      </c>
      <c r="L2807" t="str">
        <f t="shared" si="43"/>
        <v>Above Average</v>
      </c>
      <c r="M2807">
        <f>RANK(H2807,H:H,0)</f>
        <v>1250</v>
      </c>
    </row>
    <row r="2808" spans="1:13">
      <c r="A2808" t="s">
        <v>37</v>
      </c>
      <c r="B2808" t="s">
        <v>10</v>
      </c>
      <c r="C2808" t="s">
        <v>11</v>
      </c>
      <c r="D2808" s="3" t="s">
        <v>361</v>
      </c>
      <c r="E2808" s="5" t="str">
        <f>TEXT(D2808,"dd/mm/yyyy")</f>
        <v>30/03/2024</v>
      </c>
      <c r="G2808" s="5" t="str">
        <f>TEXT(E2808,"mm")</f>
        <v>30/03/2024</v>
      </c>
      <c r="H2808" s="6">
        <v>1108.8499999999999</v>
      </c>
      <c r="I2808">
        <v>87</v>
      </c>
      <c r="L2808" t="str">
        <f t="shared" si="43"/>
        <v>Below Average</v>
      </c>
      <c r="M2808">
        <f>RANK(H2808,H:H,0)</f>
        <v>2937</v>
      </c>
    </row>
    <row r="2809" spans="1:13">
      <c r="A2809" t="s">
        <v>83</v>
      </c>
      <c r="B2809" t="s">
        <v>15</v>
      </c>
      <c r="C2809" t="s">
        <v>90</v>
      </c>
      <c r="D2809" s="3" t="s">
        <v>358</v>
      </c>
      <c r="E2809" s="5" t="str">
        <f>TEXT(D2809,"dd/mm/yyyy")</f>
        <v>17/01/2024</v>
      </c>
      <c r="G2809" s="5" t="str">
        <f>TEXT(E2809,"mm")</f>
        <v>17/01/2024</v>
      </c>
      <c r="H2809" s="6">
        <v>9477.32</v>
      </c>
      <c r="I2809">
        <v>160</v>
      </c>
      <c r="L2809" t="str">
        <f t="shared" si="43"/>
        <v>Above Average</v>
      </c>
      <c r="M2809">
        <f>RANK(H2809,H:H,0)</f>
        <v>659</v>
      </c>
    </row>
    <row r="2810" spans="1:13">
      <c r="A2810" t="s">
        <v>70</v>
      </c>
      <c r="B2810" t="s">
        <v>32</v>
      </c>
      <c r="C2810" t="s">
        <v>57</v>
      </c>
      <c r="D2810" s="3" t="s">
        <v>276</v>
      </c>
      <c r="E2810" s="5" t="str">
        <f>TEXT(D2810,"dd/mm/yyyy")</f>
        <v>17/02/2024</v>
      </c>
      <c r="G2810" s="5" t="str">
        <f>TEXT(E2810,"mm")</f>
        <v>17/02/2024</v>
      </c>
      <c r="H2810" s="6">
        <v>5301.93</v>
      </c>
      <c r="I2810">
        <v>155</v>
      </c>
      <c r="L2810" t="str">
        <f t="shared" si="43"/>
        <v>Below Average</v>
      </c>
      <c r="M2810">
        <f>RANK(H2810,H:H,0)</f>
        <v>1616</v>
      </c>
    </row>
    <row r="2811" spans="1:13">
      <c r="A2811" t="s">
        <v>70</v>
      </c>
      <c r="B2811" t="s">
        <v>35</v>
      </c>
      <c r="C2811" t="s">
        <v>13</v>
      </c>
      <c r="D2811" s="4">
        <v>45508</v>
      </c>
      <c r="E2811" s="5" t="str">
        <f>TEXT(D2811,"dd/mm/yyyy")</f>
        <v>04/08/2024</v>
      </c>
      <c r="F2811" s="4"/>
      <c r="G2811" s="5" t="str">
        <f>TEXT(E2811,"mm")</f>
        <v>04</v>
      </c>
      <c r="H2811" s="6">
        <v>8041.25</v>
      </c>
      <c r="I2811">
        <v>43</v>
      </c>
      <c r="L2811" t="str">
        <f t="shared" si="43"/>
        <v>Above Average</v>
      </c>
      <c r="M2811">
        <f>RANK(H2811,H:H,0)</f>
        <v>931</v>
      </c>
    </row>
    <row r="2812" spans="1:13">
      <c r="A2812" t="s">
        <v>12</v>
      </c>
      <c r="B2812" t="s">
        <v>35</v>
      </c>
      <c r="C2812" t="s">
        <v>38</v>
      </c>
      <c r="D2812" s="4">
        <v>45450</v>
      </c>
      <c r="E2812" s="5" t="str">
        <f>TEXT(D2812,"dd/mm/yyyy")</f>
        <v>07/06/2024</v>
      </c>
      <c r="F2812" s="4"/>
      <c r="G2812" s="5" t="str">
        <f>TEXT(E2812,"mm")</f>
        <v>07</v>
      </c>
      <c r="H2812" s="6">
        <v>3716.17</v>
      </c>
      <c r="I2812">
        <v>89</v>
      </c>
      <c r="L2812" t="str">
        <f t="shared" si="43"/>
        <v>Below Average</v>
      </c>
      <c r="M2812">
        <f>RANK(H2812,H:H,0)</f>
        <v>2068</v>
      </c>
    </row>
    <row r="2813" spans="1:13">
      <c r="A2813" t="s">
        <v>53</v>
      </c>
      <c r="B2813" t="s">
        <v>10</v>
      </c>
      <c r="C2813" t="s">
        <v>57</v>
      </c>
      <c r="D2813" s="4">
        <v>45386</v>
      </c>
      <c r="E2813" s="5" t="str">
        <f>TEXT(D2813,"dd/mm/yyyy")</f>
        <v>04/04/2024</v>
      </c>
      <c r="F2813" s="4"/>
      <c r="G2813" s="5" t="str">
        <f>TEXT(E2813,"mm")</f>
        <v>04</v>
      </c>
      <c r="H2813" s="6">
        <v>4591.7700000000004</v>
      </c>
      <c r="I2813">
        <v>222</v>
      </c>
      <c r="L2813" t="str">
        <f t="shared" si="43"/>
        <v>Below Average</v>
      </c>
      <c r="M2813">
        <f>RANK(H2813,H:H,0)</f>
        <v>1824</v>
      </c>
    </row>
    <row r="2814" spans="1:13">
      <c r="A2814" t="s">
        <v>14</v>
      </c>
      <c r="B2814" t="s">
        <v>25</v>
      </c>
      <c r="C2814" t="s">
        <v>42</v>
      </c>
      <c r="D2814" s="4">
        <v>45325</v>
      </c>
      <c r="E2814" s="5" t="str">
        <f>TEXT(D2814,"dd/mm/yyyy")</f>
        <v>03/02/2024</v>
      </c>
      <c r="F2814" s="4"/>
      <c r="G2814" s="5" t="str">
        <f>TEXT(E2814,"mm")</f>
        <v>03</v>
      </c>
      <c r="H2814" s="6">
        <v>1928.33</v>
      </c>
      <c r="I2814">
        <v>217</v>
      </c>
      <c r="L2814" t="str">
        <f t="shared" si="43"/>
        <v>Below Average</v>
      </c>
      <c r="M2814">
        <f>RANK(H2814,H:H,0)</f>
        <v>2657</v>
      </c>
    </row>
    <row r="2815" spans="1:13">
      <c r="A2815" t="s">
        <v>12</v>
      </c>
      <c r="B2815" t="s">
        <v>25</v>
      </c>
      <c r="C2815" t="s">
        <v>73</v>
      </c>
      <c r="D2815" s="4">
        <v>45543</v>
      </c>
      <c r="E2815" s="5" t="str">
        <f>TEXT(D2815,"dd/mm/yyyy")</f>
        <v>08/09/2024</v>
      </c>
      <c r="F2815" s="4"/>
      <c r="G2815" s="5" t="str">
        <f>TEXT(E2815,"mm")</f>
        <v>08</v>
      </c>
      <c r="H2815" s="6">
        <v>1225.1199999999999</v>
      </c>
      <c r="I2815">
        <v>186</v>
      </c>
      <c r="L2815" t="str">
        <f t="shared" si="43"/>
        <v>Below Average</v>
      </c>
      <c r="M2815">
        <f>RANK(H2815,H:H,0)</f>
        <v>2898</v>
      </c>
    </row>
    <row r="2816" spans="1:13">
      <c r="A2816" t="s">
        <v>58</v>
      </c>
      <c r="B2816" t="s">
        <v>15</v>
      </c>
      <c r="C2816" t="s">
        <v>46</v>
      </c>
      <c r="D2816" s="4">
        <v>45541</v>
      </c>
      <c r="E2816" s="5" t="str">
        <f>TEXT(D2816,"dd/mm/yyyy")</f>
        <v>06/09/2024</v>
      </c>
      <c r="F2816" s="4"/>
      <c r="G2816" s="5" t="str">
        <f>TEXT(E2816,"mm")</f>
        <v>06</v>
      </c>
      <c r="H2816" s="6">
        <v>11326.55</v>
      </c>
      <c r="I2816">
        <v>296</v>
      </c>
      <c r="L2816" t="str">
        <f t="shared" si="43"/>
        <v>Above Average</v>
      </c>
      <c r="M2816">
        <f>RANK(H2816,H:H,0)</f>
        <v>411</v>
      </c>
    </row>
    <row r="2817" spans="1:13">
      <c r="A2817" t="s">
        <v>83</v>
      </c>
      <c r="B2817" t="s">
        <v>7</v>
      </c>
      <c r="C2817" t="s">
        <v>90</v>
      </c>
      <c r="D2817" s="4">
        <v>45328</v>
      </c>
      <c r="E2817" s="5" t="str">
        <f>TEXT(D2817,"dd/mm/yyyy")</f>
        <v>06/02/2024</v>
      </c>
      <c r="F2817" s="4"/>
      <c r="G2817" s="5" t="str">
        <f>TEXT(E2817,"mm")</f>
        <v>06</v>
      </c>
      <c r="H2817" s="6">
        <v>3063.08</v>
      </c>
      <c r="I2817">
        <v>301</v>
      </c>
      <c r="L2817" t="str">
        <f t="shared" si="43"/>
        <v>Below Average</v>
      </c>
      <c r="M2817">
        <f>RANK(H2817,H:H,0)</f>
        <v>2284</v>
      </c>
    </row>
    <row r="2818" spans="1:13">
      <c r="A2818" t="s">
        <v>9</v>
      </c>
      <c r="B2818" t="s">
        <v>32</v>
      </c>
      <c r="C2818" t="s">
        <v>57</v>
      </c>
      <c r="D2818" s="4">
        <v>45419</v>
      </c>
      <c r="E2818" s="5" t="str">
        <f>TEXT(D2818,"dd/mm/yyyy")</f>
        <v>07/05/2024</v>
      </c>
      <c r="F2818" s="4"/>
      <c r="G2818" s="5" t="str">
        <f>TEXT(E2818,"mm")</f>
        <v>07</v>
      </c>
      <c r="H2818" s="6">
        <v>7093.33</v>
      </c>
      <c r="I2818">
        <v>233</v>
      </c>
      <c r="L2818" t="str">
        <f t="shared" si="43"/>
        <v>Above Average</v>
      </c>
      <c r="M2818">
        <f>RANK(H2818,H:H,0)</f>
        <v>1158</v>
      </c>
    </row>
    <row r="2819" spans="1:13">
      <c r="A2819" t="s">
        <v>67</v>
      </c>
      <c r="B2819" t="s">
        <v>35</v>
      </c>
      <c r="C2819" t="s">
        <v>36</v>
      </c>
      <c r="D2819" s="4">
        <v>45604</v>
      </c>
      <c r="E2819" s="5" t="str">
        <f>TEXT(D2819,"dd/mm/yyyy")</f>
        <v>08/11/2024</v>
      </c>
      <c r="F2819" s="4"/>
      <c r="G2819" s="5" t="str">
        <f>TEXT(E2819,"mm")</f>
        <v>08</v>
      </c>
      <c r="H2819" s="6">
        <v>337.37</v>
      </c>
      <c r="I2819">
        <v>120</v>
      </c>
      <c r="L2819" t="str">
        <f t="shared" ref="L2819:L2882" si="44">IF(H2819&gt;6030.34,"Above Average","Below Average")</f>
        <v>Below Average</v>
      </c>
      <c r="M2819">
        <f>RANK(H2819,H:H,0)</f>
        <v>3177</v>
      </c>
    </row>
    <row r="2820" spans="1:13">
      <c r="A2820" t="s">
        <v>77</v>
      </c>
      <c r="B2820" t="s">
        <v>10</v>
      </c>
      <c r="C2820" t="s">
        <v>75</v>
      </c>
      <c r="D2820" s="4">
        <v>45598</v>
      </c>
      <c r="E2820" s="5" t="str">
        <f>TEXT(D2820,"dd/mm/yyyy")</f>
        <v>02/11/2024</v>
      </c>
      <c r="F2820" s="4"/>
      <c r="G2820" s="5" t="str">
        <f>TEXT(E2820,"mm")</f>
        <v>02</v>
      </c>
      <c r="H2820" s="6">
        <v>3764.59</v>
      </c>
      <c r="I2820">
        <v>158</v>
      </c>
      <c r="L2820" t="str">
        <f t="shared" si="44"/>
        <v>Below Average</v>
      </c>
      <c r="M2820">
        <f>RANK(H2820,H:H,0)</f>
        <v>2050</v>
      </c>
    </row>
    <row r="2821" spans="1:13">
      <c r="A2821" t="s">
        <v>70</v>
      </c>
      <c r="B2821" t="s">
        <v>25</v>
      </c>
      <c r="C2821" t="s">
        <v>50</v>
      </c>
      <c r="D2821" s="4">
        <v>45604</v>
      </c>
      <c r="E2821" s="5" t="str">
        <f>TEXT(D2821,"dd/mm/yyyy")</f>
        <v>08/11/2024</v>
      </c>
      <c r="F2821" s="4"/>
      <c r="G2821" s="5" t="str">
        <f>TEXT(E2821,"mm")</f>
        <v>08</v>
      </c>
      <c r="H2821" s="6">
        <v>695.32</v>
      </c>
      <c r="I2821">
        <v>68</v>
      </c>
      <c r="L2821" t="str">
        <f t="shared" si="44"/>
        <v>Below Average</v>
      </c>
      <c r="M2821">
        <f>RANK(H2821,H:H,0)</f>
        <v>3067</v>
      </c>
    </row>
    <row r="2822" spans="1:13">
      <c r="A2822" t="s">
        <v>45</v>
      </c>
      <c r="B2822" t="s">
        <v>15</v>
      </c>
      <c r="C2822" t="s">
        <v>38</v>
      </c>
      <c r="D2822" s="4">
        <v>45631</v>
      </c>
      <c r="E2822" s="5" t="str">
        <f>TEXT(D2822,"dd/mm/yyyy")</f>
        <v>05/12/2024</v>
      </c>
      <c r="F2822" s="4"/>
      <c r="G2822" s="5" t="str">
        <f>TEXT(E2822,"mm")</f>
        <v>05</v>
      </c>
      <c r="H2822" s="6">
        <v>14609.99</v>
      </c>
      <c r="I2822">
        <v>111</v>
      </c>
      <c r="L2822" t="str">
        <f t="shared" si="44"/>
        <v>Above Average</v>
      </c>
      <c r="M2822">
        <f>RANK(H2822,H:H,0)</f>
        <v>170</v>
      </c>
    </row>
    <row r="2823" spans="1:13">
      <c r="A2823" t="s">
        <v>64</v>
      </c>
      <c r="B2823" t="s">
        <v>32</v>
      </c>
      <c r="C2823" t="s">
        <v>46</v>
      </c>
      <c r="D2823" s="3" t="s">
        <v>292</v>
      </c>
      <c r="E2823" s="5" t="str">
        <f>TEXT(D2823,"dd/mm/yyyy")</f>
        <v>15/07/2024</v>
      </c>
      <c r="G2823" s="5" t="str">
        <f>TEXT(E2823,"mm")</f>
        <v>15/07/2024</v>
      </c>
      <c r="H2823" s="6">
        <v>5298.68</v>
      </c>
      <c r="I2823">
        <v>96</v>
      </c>
      <c r="L2823" t="str">
        <f t="shared" si="44"/>
        <v>Below Average</v>
      </c>
      <c r="M2823">
        <f>RANK(H2823,H:H,0)</f>
        <v>1618</v>
      </c>
    </row>
    <row r="2824" spans="1:13">
      <c r="A2824" t="s">
        <v>67</v>
      </c>
      <c r="B2824" t="s">
        <v>10</v>
      </c>
      <c r="C2824" t="s">
        <v>42</v>
      </c>
      <c r="D2824" s="3" t="s">
        <v>321</v>
      </c>
      <c r="E2824" s="5" t="str">
        <f>TEXT(D2824,"dd/mm/yyyy")</f>
        <v>18/01/2024</v>
      </c>
      <c r="G2824" s="5" t="str">
        <f>TEXT(E2824,"mm")</f>
        <v>18/01/2024</v>
      </c>
      <c r="H2824" s="6">
        <v>4552.3</v>
      </c>
      <c r="I2824">
        <v>132</v>
      </c>
      <c r="L2824" t="str">
        <f t="shared" si="44"/>
        <v>Below Average</v>
      </c>
      <c r="M2824">
        <f>RANK(H2824,H:H,0)</f>
        <v>1836</v>
      </c>
    </row>
    <row r="2825" spans="1:13">
      <c r="A2825" t="s">
        <v>77</v>
      </c>
      <c r="B2825" t="s">
        <v>7</v>
      </c>
      <c r="C2825" t="s">
        <v>57</v>
      </c>
      <c r="D2825" s="4">
        <v>45413</v>
      </c>
      <c r="E2825" s="5" t="str">
        <f>TEXT(D2825,"dd/mm/yyyy")</f>
        <v>01/05/2024</v>
      </c>
      <c r="F2825" s="4"/>
      <c r="G2825" s="5" t="str">
        <f>TEXT(E2825,"mm")</f>
        <v>01</v>
      </c>
      <c r="H2825" s="6">
        <v>9099.26</v>
      </c>
      <c r="I2825">
        <v>199</v>
      </c>
      <c r="L2825" t="str">
        <f t="shared" si="44"/>
        <v>Above Average</v>
      </c>
      <c r="M2825">
        <f>RANK(H2825,H:H,0)</f>
        <v>721</v>
      </c>
    </row>
    <row r="2826" spans="1:13">
      <c r="A2826" t="s">
        <v>48</v>
      </c>
      <c r="B2826" t="s">
        <v>15</v>
      </c>
      <c r="C2826" t="s">
        <v>26</v>
      </c>
      <c r="D2826" s="3" t="s">
        <v>282</v>
      </c>
      <c r="E2826" s="5" t="str">
        <f>TEXT(D2826,"dd/mm/yyyy")</f>
        <v>29/06/2024</v>
      </c>
      <c r="G2826" s="5" t="str">
        <f>TEXT(E2826,"mm")</f>
        <v>29/06/2024</v>
      </c>
      <c r="H2826" s="6">
        <v>603.97</v>
      </c>
      <c r="I2826">
        <v>239</v>
      </c>
      <c r="L2826" t="str">
        <f t="shared" si="44"/>
        <v>Below Average</v>
      </c>
      <c r="M2826">
        <f>RANK(H2826,H:H,0)</f>
        <v>3097</v>
      </c>
    </row>
    <row r="2827" spans="1:13">
      <c r="A2827" t="s">
        <v>28</v>
      </c>
      <c r="B2827" t="s">
        <v>35</v>
      </c>
      <c r="C2827" t="s">
        <v>73</v>
      </c>
      <c r="D2827" s="3" t="s">
        <v>333</v>
      </c>
      <c r="E2827" s="5" t="str">
        <f>TEXT(D2827,"dd/mm/yyyy")</f>
        <v>14/06/2024</v>
      </c>
      <c r="G2827" s="5" t="str">
        <f>TEXT(E2827,"mm")</f>
        <v>14/06/2024</v>
      </c>
      <c r="H2827" s="6">
        <v>3172.23</v>
      </c>
      <c r="I2827">
        <v>46</v>
      </c>
      <c r="L2827" t="str">
        <f t="shared" si="44"/>
        <v>Below Average</v>
      </c>
      <c r="M2827">
        <f>RANK(H2827,H:H,0)</f>
        <v>2242</v>
      </c>
    </row>
    <row r="2828" spans="1:13">
      <c r="A2828" t="s">
        <v>22</v>
      </c>
      <c r="B2828" t="s">
        <v>10</v>
      </c>
      <c r="C2828" t="s">
        <v>8</v>
      </c>
      <c r="D2828" s="4">
        <v>45512</v>
      </c>
      <c r="E2828" s="5" t="str">
        <f>TEXT(D2828,"dd/mm/yyyy")</f>
        <v>08/08/2024</v>
      </c>
      <c r="F2828" s="4"/>
      <c r="G2828" s="5" t="str">
        <f>TEXT(E2828,"mm")</f>
        <v>08</v>
      </c>
      <c r="H2828" s="6">
        <v>4737.32</v>
      </c>
      <c r="I2828">
        <v>74</v>
      </c>
      <c r="L2828" t="str">
        <f t="shared" si="44"/>
        <v>Below Average</v>
      </c>
      <c r="M2828">
        <f>RANK(H2828,H:H,0)</f>
        <v>1791</v>
      </c>
    </row>
    <row r="2829" spans="1:13">
      <c r="A2829" t="s">
        <v>58</v>
      </c>
      <c r="B2829" t="s">
        <v>10</v>
      </c>
      <c r="C2829" t="s">
        <v>8</v>
      </c>
      <c r="D2829" s="3" t="s">
        <v>316</v>
      </c>
      <c r="E2829" s="5" t="str">
        <f>TEXT(D2829,"dd/mm/yyyy")</f>
        <v>23/03/2024</v>
      </c>
      <c r="G2829" s="5" t="str">
        <f>TEXT(E2829,"mm")</f>
        <v>23/03/2024</v>
      </c>
      <c r="H2829" s="6">
        <v>15201.56</v>
      </c>
      <c r="I2829">
        <v>142</v>
      </c>
      <c r="L2829" t="str">
        <f t="shared" si="44"/>
        <v>Above Average</v>
      </c>
      <c r="M2829">
        <f>RANK(H2829,H:H,0)</f>
        <v>141</v>
      </c>
    </row>
    <row r="2830" spans="1:13">
      <c r="A2830" t="s">
        <v>31</v>
      </c>
      <c r="B2830" t="s">
        <v>10</v>
      </c>
      <c r="C2830" t="s">
        <v>90</v>
      </c>
      <c r="D2830" s="4">
        <v>45383</v>
      </c>
      <c r="E2830" s="5" t="str">
        <f>TEXT(D2830,"dd/mm/yyyy")</f>
        <v>01/04/2024</v>
      </c>
      <c r="F2830" s="4"/>
      <c r="G2830" s="5" t="str">
        <f>TEXT(E2830,"mm")</f>
        <v>01</v>
      </c>
      <c r="H2830" s="6">
        <v>7912.62</v>
      </c>
      <c r="I2830">
        <v>106</v>
      </c>
      <c r="L2830" t="str">
        <f t="shared" si="44"/>
        <v>Above Average</v>
      </c>
      <c r="M2830">
        <f>RANK(H2830,H:H,0)</f>
        <v>962</v>
      </c>
    </row>
    <row r="2831" spans="1:13">
      <c r="A2831" t="s">
        <v>28</v>
      </c>
      <c r="B2831" t="s">
        <v>10</v>
      </c>
      <c r="C2831" t="s">
        <v>46</v>
      </c>
      <c r="D2831" s="3" t="s">
        <v>331</v>
      </c>
      <c r="E2831" s="5" t="str">
        <f>TEXT(D2831,"dd/mm/yyyy")</f>
        <v>22/02/2024</v>
      </c>
      <c r="G2831" s="5" t="str">
        <f>TEXT(E2831,"mm")</f>
        <v>22/02/2024</v>
      </c>
      <c r="H2831" s="6">
        <v>14190.78</v>
      </c>
      <c r="I2831">
        <v>269</v>
      </c>
      <c r="L2831" t="str">
        <f t="shared" si="44"/>
        <v>Above Average</v>
      </c>
      <c r="M2831">
        <f>RANK(H2831,H:H,0)</f>
        <v>198</v>
      </c>
    </row>
    <row r="2832" spans="1:13">
      <c r="A2832" t="s">
        <v>41</v>
      </c>
      <c r="B2832" t="s">
        <v>7</v>
      </c>
      <c r="C2832" t="s">
        <v>50</v>
      </c>
      <c r="D2832" s="3" t="s">
        <v>276</v>
      </c>
      <c r="E2832" s="5" t="str">
        <f>TEXT(D2832,"dd/mm/yyyy")</f>
        <v>17/02/2024</v>
      </c>
      <c r="G2832" s="5" t="str">
        <f>TEXT(E2832,"mm")</f>
        <v>17/02/2024</v>
      </c>
      <c r="H2832" s="6">
        <v>9327.08</v>
      </c>
      <c r="I2832">
        <v>259</v>
      </c>
      <c r="L2832" t="str">
        <f t="shared" si="44"/>
        <v>Above Average</v>
      </c>
      <c r="M2832">
        <f>RANK(H2832,H:H,0)</f>
        <v>684</v>
      </c>
    </row>
    <row r="2833" spans="1:13">
      <c r="A2833" t="s">
        <v>31</v>
      </c>
      <c r="B2833" t="s">
        <v>32</v>
      </c>
      <c r="C2833" t="s">
        <v>65</v>
      </c>
      <c r="D2833" s="4">
        <v>45353</v>
      </c>
      <c r="E2833" s="5" t="str">
        <f>TEXT(D2833,"dd/mm/yyyy")</f>
        <v>02/03/2024</v>
      </c>
      <c r="F2833" s="4"/>
      <c r="G2833" s="5" t="str">
        <f>TEXT(E2833,"mm")</f>
        <v>02</v>
      </c>
      <c r="H2833" s="6">
        <v>434.42</v>
      </c>
      <c r="I2833">
        <v>83</v>
      </c>
      <c r="L2833" t="str">
        <f t="shared" si="44"/>
        <v>Below Average</v>
      </c>
      <c r="M2833">
        <f>RANK(H2833,H:H,0)</f>
        <v>3155</v>
      </c>
    </row>
    <row r="2834" spans="1:13">
      <c r="A2834" t="s">
        <v>9</v>
      </c>
      <c r="B2834" t="s">
        <v>35</v>
      </c>
      <c r="C2834" t="s">
        <v>73</v>
      </c>
      <c r="D2834" s="3" t="s">
        <v>329</v>
      </c>
      <c r="E2834" s="5" t="str">
        <f>TEXT(D2834,"dd/mm/yyyy")</f>
        <v>17/03/2024</v>
      </c>
      <c r="G2834" s="5" t="str">
        <f>TEXT(E2834,"mm")</f>
        <v>17/03/2024</v>
      </c>
      <c r="H2834" s="6">
        <v>1497.58</v>
      </c>
      <c r="I2834">
        <v>132</v>
      </c>
      <c r="L2834" t="str">
        <f t="shared" si="44"/>
        <v>Below Average</v>
      </c>
      <c r="M2834">
        <f>RANK(H2834,H:H,0)</f>
        <v>2809</v>
      </c>
    </row>
    <row r="2835" spans="1:13">
      <c r="A2835" t="s">
        <v>64</v>
      </c>
      <c r="B2835" t="s">
        <v>15</v>
      </c>
      <c r="C2835" t="s">
        <v>87</v>
      </c>
      <c r="D2835" s="3" t="s">
        <v>267</v>
      </c>
      <c r="E2835" s="5" t="str">
        <f>TEXT(D2835,"dd/mm/yyyy")</f>
        <v>25/01/2024</v>
      </c>
      <c r="G2835" s="5" t="str">
        <f>TEXT(E2835,"mm")</f>
        <v>25/01/2024</v>
      </c>
      <c r="H2835" s="6">
        <v>3124.74</v>
      </c>
      <c r="I2835">
        <v>155</v>
      </c>
      <c r="L2835" t="str">
        <f t="shared" si="44"/>
        <v>Below Average</v>
      </c>
      <c r="M2835">
        <f>RANK(H2835,H:H,0)</f>
        <v>2260</v>
      </c>
    </row>
    <row r="2836" spans="1:13">
      <c r="A2836" t="s">
        <v>28</v>
      </c>
      <c r="B2836" t="s">
        <v>15</v>
      </c>
      <c r="C2836" t="s">
        <v>46</v>
      </c>
      <c r="D2836" s="3" t="s">
        <v>335</v>
      </c>
      <c r="E2836" s="5" t="str">
        <f>TEXT(D2836,"dd/mm/yyyy")</f>
        <v>27/07/2024</v>
      </c>
      <c r="G2836" s="5" t="str">
        <f>TEXT(E2836,"mm")</f>
        <v>27/07/2024</v>
      </c>
      <c r="H2836" s="6">
        <v>2356.21</v>
      </c>
      <c r="I2836">
        <v>54</v>
      </c>
      <c r="L2836" t="str">
        <f t="shared" si="44"/>
        <v>Below Average</v>
      </c>
      <c r="M2836">
        <f>RANK(H2836,H:H,0)</f>
        <v>2528</v>
      </c>
    </row>
    <row r="2837" spans="1:13">
      <c r="A2837" t="s">
        <v>53</v>
      </c>
      <c r="B2837" t="s">
        <v>15</v>
      </c>
      <c r="C2837" t="s">
        <v>57</v>
      </c>
      <c r="D2837" s="3" t="s">
        <v>313</v>
      </c>
      <c r="E2837" s="5" t="str">
        <f>TEXT(D2837,"dd/mm/yyyy")</f>
        <v>28/01/2024</v>
      </c>
      <c r="G2837" s="5" t="str">
        <f>TEXT(E2837,"mm")</f>
        <v>28/01/2024</v>
      </c>
      <c r="H2837" s="6">
        <v>8548</v>
      </c>
      <c r="I2837">
        <v>55</v>
      </c>
      <c r="L2837" t="str">
        <f t="shared" si="44"/>
        <v>Above Average</v>
      </c>
      <c r="M2837">
        <f>RANK(H2837,H:H,0)</f>
        <v>824</v>
      </c>
    </row>
    <row r="2838" spans="1:13">
      <c r="A2838" t="s">
        <v>77</v>
      </c>
      <c r="B2838" t="s">
        <v>15</v>
      </c>
      <c r="C2838" t="s">
        <v>42</v>
      </c>
      <c r="D2838" s="4">
        <v>45419</v>
      </c>
      <c r="E2838" s="5" t="str">
        <f>TEXT(D2838,"dd/mm/yyyy")</f>
        <v>07/05/2024</v>
      </c>
      <c r="F2838" s="4"/>
      <c r="G2838" s="5" t="str">
        <f>TEXT(E2838,"mm")</f>
        <v>07</v>
      </c>
      <c r="H2838" s="6">
        <v>12094.34</v>
      </c>
      <c r="I2838">
        <v>52</v>
      </c>
      <c r="L2838" t="str">
        <f t="shared" si="44"/>
        <v>Above Average</v>
      </c>
      <c r="M2838">
        <f>RANK(H2838,H:H,0)</f>
        <v>339</v>
      </c>
    </row>
    <row r="2839" spans="1:13">
      <c r="A2839" t="s">
        <v>9</v>
      </c>
      <c r="B2839" t="s">
        <v>10</v>
      </c>
      <c r="C2839" t="s">
        <v>59</v>
      </c>
      <c r="D2839" s="3" t="s">
        <v>337</v>
      </c>
      <c r="E2839" s="5" t="str">
        <f>TEXT(D2839,"dd/mm/yyyy")</f>
        <v>15/03/2024</v>
      </c>
      <c r="G2839" s="5" t="str">
        <f>TEXT(E2839,"mm")</f>
        <v>15/03/2024</v>
      </c>
      <c r="H2839" s="6">
        <v>2119.42</v>
      </c>
      <c r="I2839">
        <v>46</v>
      </c>
      <c r="L2839" t="str">
        <f t="shared" si="44"/>
        <v>Below Average</v>
      </c>
      <c r="M2839">
        <f>RANK(H2839,H:H,0)</f>
        <v>2595</v>
      </c>
    </row>
    <row r="2840" spans="1:13">
      <c r="A2840" t="s">
        <v>22</v>
      </c>
      <c r="B2840" t="s">
        <v>35</v>
      </c>
      <c r="C2840" t="s">
        <v>23</v>
      </c>
      <c r="D2840" s="4">
        <v>45390</v>
      </c>
      <c r="E2840" s="5" t="str">
        <f>TEXT(D2840,"dd/mm/yyyy")</f>
        <v>08/04/2024</v>
      </c>
      <c r="F2840" s="4"/>
      <c r="G2840" s="5" t="str">
        <f>TEXT(E2840,"mm")</f>
        <v>08</v>
      </c>
      <c r="H2840" s="6">
        <v>3038.32</v>
      </c>
      <c r="I2840">
        <v>220</v>
      </c>
      <c r="L2840" t="str">
        <f t="shared" si="44"/>
        <v>Below Average</v>
      </c>
      <c r="M2840">
        <f>RANK(H2840,H:H,0)</f>
        <v>2291</v>
      </c>
    </row>
    <row r="2841" spans="1:13">
      <c r="A2841" t="s">
        <v>14</v>
      </c>
      <c r="B2841" t="s">
        <v>32</v>
      </c>
      <c r="C2841" t="s">
        <v>57</v>
      </c>
      <c r="D2841" s="3" t="s">
        <v>275</v>
      </c>
      <c r="E2841" s="5" t="str">
        <f>TEXT(D2841,"dd/mm/yyyy")</f>
        <v>27/06/2024</v>
      </c>
      <c r="G2841" s="5" t="str">
        <f>TEXT(E2841,"mm")</f>
        <v>27/06/2024</v>
      </c>
      <c r="H2841" s="6">
        <v>5187.72</v>
      </c>
      <c r="I2841">
        <v>382</v>
      </c>
      <c r="L2841" t="str">
        <f t="shared" si="44"/>
        <v>Below Average</v>
      </c>
      <c r="M2841">
        <f>RANK(H2841,H:H,0)</f>
        <v>1652</v>
      </c>
    </row>
    <row r="2842" spans="1:13">
      <c r="A2842" t="s">
        <v>14</v>
      </c>
      <c r="B2842" t="s">
        <v>35</v>
      </c>
      <c r="C2842" t="s">
        <v>23</v>
      </c>
      <c r="D2842" s="3" t="s">
        <v>301</v>
      </c>
      <c r="E2842" s="5" t="str">
        <f>TEXT(D2842,"dd/mm/yyyy")</f>
        <v>13/07/2024</v>
      </c>
      <c r="G2842" s="5" t="str">
        <f>TEXT(E2842,"mm")</f>
        <v>13/07/2024</v>
      </c>
      <c r="H2842" s="6">
        <v>5384.52</v>
      </c>
      <c r="I2842">
        <v>180</v>
      </c>
      <c r="L2842" t="str">
        <f t="shared" si="44"/>
        <v>Below Average</v>
      </c>
      <c r="M2842">
        <f>RANK(H2842,H:H,0)</f>
        <v>1596</v>
      </c>
    </row>
    <row r="2843" spans="1:13">
      <c r="A2843" t="s">
        <v>31</v>
      </c>
      <c r="B2843" t="s">
        <v>25</v>
      </c>
      <c r="C2843" t="s">
        <v>60</v>
      </c>
      <c r="D2843" s="3" t="s">
        <v>266</v>
      </c>
      <c r="E2843" s="5" t="str">
        <f>TEXT(D2843,"dd/mm/yyyy")</f>
        <v>24/02/2024</v>
      </c>
      <c r="G2843" s="5" t="str">
        <f>TEXT(E2843,"mm")</f>
        <v>24/02/2024</v>
      </c>
      <c r="H2843" s="6">
        <v>6575.07</v>
      </c>
      <c r="I2843">
        <v>249</v>
      </c>
      <c r="L2843" t="str">
        <f t="shared" si="44"/>
        <v>Above Average</v>
      </c>
      <c r="M2843">
        <f>RANK(H2843,H:H,0)</f>
        <v>1287</v>
      </c>
    </row>
    <row r="2844" spans="1:13">
      <c r="A2844" t="s">
        <v>37</v>
      </c>
      <c r="B2844" t="s">
        <v>25</v>
      </c>
      <c r="C2844" t="s">
        <v>11</v>
      </c>
      <c r="D2844" s="3" t="s">
        <v>294</v>
      </c>
      <c r="E2844" s="5" t="str">
        <f>TEXT(D2844,"dd/mm/yyyy")</f>
        <v>28/06/2024</v>
      </c>
      <c r="G2844" s="5" t="str">
        <f>TEXT(E2844,"mm")</f>
        <v>28/06/2024</v>
      </c>
      <c r="H2844" s="6">
        <v>6350.37</v>
      </c>
      <c r="I2844">
        <v>59</v>
      </c>
      <c r="L2844" t="str">
        <f t="shared" si="44"/>
        <v>Above Average</v>
      </c>
      <c r="M2844">
        <f>RANK(H2844,H:H,0)</f>
        <v>1339</v>
      </c>
    </row>
    <row r="2845" spans="1:13">
      <c r="A2845" t="s">
        <v>19</v>
      </c>
      <c r="B2845" t="s">
        <v>15</v>
      </c>
      <c r="C2845" t="s">
        <v>11</v>
      </c>
      <c r="D2845" s="3" t="s">
        <v>283</v>
      </c>
      <c r="E2845" s="5" t="str">
        <f>TEXT(D2845,"dd/mm/yyyy")</f>
        <v>30/06/2024</v>
      </c>
      <c r="G2845" s="5" t="str">
        <f>TEXT(E2845,"mm")</f>
        <v>30/06/2024</v>
      </c>
      <c r="H2845" s="6">
        <v>7488.06</v>
      </c>
      <c r="I2845">
        <v>28</v>
      </c>
      <c r="L2845" t="str">
        <f t="shared" si="44"/>
        <v>Above Average</v>
      </c>
      <c r="M2845">
        <f>RANK(H2845,H:H,0)</f>
        <v>1066</v>
      </c>
    </row>
    <row r="2846" spans="1:13">
      <c r="A2846" t="s">
        <v>48</v>
      </c>
      <c r="B2846" t="s">
        <v>35</v>
      </c>
      <c r="C2846" t="s">
        <v>75</v>
      </c>
      <c r="D2846" s="3" t="s">
        <v>304</v>
      </c>
      <c r="E2846" s="5" t="str">
        <f>TEXT(D2846,"dd/mm/yyyy")</f>
        <v>18/08/2024</v>
      </c>
      <c r="G2846" s="5" t="str">
        <f>TEXT(E2846,"mm")</f>
        <v>18/08/2024</v>
      </c>
      <c r="H2846" s="6">
        <v>6997.57</v>
      </c>
      <c r="I2846">
        <v>7</v>
      </c>
      <c r="L2846" t="str">
        <f t="shared" si="44"/>
        <v>Above Average</v>
      </c>
      <c r="M2846">
        <f>RANK(H2846,H:H,0)</f>
        <v>1180</v>
      </c>
    </row>
    <row r="2847" spans="1:13">
      <c r="A2847" t="s">
        <v>55</v>
      </c>
      <c r="B2847" t="s">
        <v>10</v>
      </c>
      <c r="C2847" t="s">
        <v>100</v>
      </c>
      <c r="D2847" s="3" t="s">
        <v>312</v>
      </c>
      <c r="E2847" s="5" t="str">
        <f>TEXT(D2847,"dd/mm/yyyy")</f>
        <v>24/01/2024</v>
      </c>
      <c r="G2847" s="5" t="str">
        <f>TEXT(E2847,"mm")</f>
        <v>24/01/2024</v>
      </c>
      <c r="H2847" s="6">
        <v>13081.57</v>
      </c>
      <c r="I2847">
        <v>324</v>
      </c>
      <c r="L2847" t="str">
        <f t="shared" si="44"/>
        <v>Above Average</v>
      </c>
      <c r="M2847">
        <f>RANK(H2847,H:H,0)</f>
        <v>260</v>
      </c>
    </row>
    <row r="2848" spans="1:13">
      <c r="A2848" t="s">
        <v>41</v>
      </c>
      <c r="B2848" t="s">
        <v>32</v>
      </c>
      <c r="C2848" t="s">
        <v>59</v>
      </c>
      <c r="D2848" s="4">
        <v>45599</v>
      </c>
      <c r="E2848" s="5" t="str">
        <f>TEXT(D2848,"dd/mm/yyyy")</f>
        <v>03/11/2024</v>
      </c>
      <c r="F2848" s="4"/>
      <c r="G2848" s="5" t="str">
        <f>TEXT(E2848,"mm")</f>
        <v>03</v>
      </c>
      <c r="H2848" s="6">
        <v>5964.72</v>
      </c>
      <c r="I2848">
        <v>136</v>
      </c>
      <c r="L2848" t="str">
        <f t="shared" si="44"/>
        <v>Below Average</v>
      </c>
      <c r="M2848">
        <f>RANK(H2848,H:H,0)</f>
        <v>1440</v>
      </c>
    </row>
    <row r="2849" spans="1:13">
      <c r="A2849" t="s">
        <v>83</v>
      </c>
      <c r="B2849" t="s">
        <v>25</v>
      </c>
      <c r="C2849" t="s">
        <v>23</v>
      </c>
      <c r="D2849" s="3" t="s">
        <v>348</v>
      </c>
      <c r="E2849" s="5" t="str">
        <f>TEXT(D2849,"dd/mm/yyyy")</f>
        <v>23/06/2024</v>
      </c>
      <c r="G2849" s="5" t="str">
        <f>TEXT(E2849,"mm")</f>
        <v>23/06/2024</v>
      </c>
      <c r="H2849" s="6">
        <v>6651.11</v>
      </c>
      <c r="I2849">
        <v>377</v>
      </c>
      <c r="L2849" t="str">
        <f t="shared" si="44"/>
        <v>Above Average</v>
      </c>
      <c r="M2849">
        <f>RANK(H2849,H:H,0)</f>
        <v>1274</v>
      </c>
    </row>
    <row r="2850" spans="1:13">
      <c r="A2850" t="s">
        <v>53</v>
      </c>
      <c r="B2850" t="s">
        <v>10</v>
      </c>
      <c r="C2850" t="s">
        <v>50</v>
      </c>
      <c r="D2850" s="3" t="s">
        <v>289</v>
      </c>
      <c r="E2850" s="5" t="str">
        <f>TEXT(D2850,"dd/mm/yyyy")</f>
        <v>22/08/2024</v>
      </c>
      <c r="G2850" s="5" t="str">
        <f>TEXT(E2850,"mm")</f>
        <v>22/08/2024</v>
      </c>
      <c r="H2850" s="6">
        <v>2606.11</v>
      </c>
      <c r="I2850">
        <v>31</v>
      </c>
      <c r="L2850" t="str">
        <f t="shared" si="44"/>
        <v>Below Average</v>
      </c>
      <c r="M2850">
        <f>RANK(H2850,H:H,0)</f>
        <v>2438</v>
      </c>
    </row>
    <row r="2851" spans="1:13">
      <c r="A2851" t="s">
        <v>22</v>
      </c>
      <c r="B2851" t="s">
        <v>35</v>
      </c>
      <c r="C2851" t="s">
        <v>26</v>
      </c>
      <c r="D2851" s="4">
        <v>45383</v>
      </c>
      <c r="E2851" s="5" t="str">
        <f>TEXT(D2851,"dd/mm/yyyy")</f>
        <v>01/04/2024</v>
      </c>
      <c r="F2851" s="4"/>
      <c r="G2851" s="5" t="str">
        <f>TEXT(E2851,"mm")</f>
        <v>01</v>
      </c>
      <c r="H2851" s="6">
        <v>3615.98</v>
      </c>
      <c r="I2851">
        <v>24</v>
      </c>
      <c r="L2851" t="str">
        <f t="shared" si="44"/>
        <v>Below Average</v>
      </c>
      <c r="M2851">
        <f>RANK(H2851,H:H,0)</f>
        <v>2100</v>
      </c>
    </row>
    <row r="2852" spans="1:13">
      <c r="A2852" t="s">
        <v>48</v>
      </c>
      <c r="B2852" t="s">
        <v>10</v>
      </c>
      <c r="C2852" t="s">
        <v>46</v>
      </c>
      <c r="D2852" s="4">
        <v>45416</v>
      </c>
      <c r="E2852" s="5" t="str">
        <f>TEXT(D2852,"dd/mm/yyyy")</f>
        <v>04/05/2024</v>
      </c>
      <c r="F2852" s="4"/>
      <c r="G2852" s="5" t="str">
        <f>TEXT(E2852,"mm")</f>
        <v>04</v>
      </c>
      <c r="H2852" s="6">
        <v>3658.27</v>
      </c>
      <c r="I2852">
        <v>210</v>
      </c>
      <c r="L2852" t="str">
        <f t="shared" si="44"/>
        <v>Below Average</v>
      </c>
      <c r="M2852">
        <f>RANK(H2852,H:H,0)</f>
        <v>2084</v>
      </c>
    </row>
    <row r="2853" spans="1:13">
      <c r="A2853" t="s">
        <v>41</v>
      </c>
      <c r="B2853" t="s">
        <v>10</v>
      </c>
      <c r="C2853" t="s">
        <v>46</v>
      </c>
      <c r="D2853" s="3" t="s">
        <v>287</v>
      </c>
      <c r="E2853" s="5" t="str">
        <f>TEXT(D2853,"dd/mm/yyyy")</f>
        <v>15/04/2024</v>
      </c>
      <c r="G2853" s="5" t="str">
        <f>TEXT(E2853,"mm")</f>
        <v>15/04/2024</v>
      </c>
      <c r="H2853" s="6">
        <v>1997.46</v>
      </c>
      <c r="I2853">
        <v>314</v>
      </c>
      <c r="L2853" t="str">
        <f t="shared" si="44"/>
        <v>Below Average</v>
      </c>
      <c r="M2853">
        <f>RANK(H2853,H:H,0)</f>
        <v>2637</v>
      </c>
    </row>
    <row r="2854" spans="1:13">
      <c r="A2854" t="s">
        <v>53</v>
      </c>
      <c r="B2854" t="s">
        <v>15</v>
      </c>
      <c r="C2854" t="s">
        <v>59</v>
      </c>
      <c r="D2854" s="4">
        <v>45601</v>
      </c>
      <c r="E2854" s="5" t="str">
        <f>TEXT(D2854,"dd/mm/yyyy")</f>
        <v>05/11/2024</v>
      </c>
      <c r="F2854" s="4"/>
      <c r="G2854" s="5" t="str">
        <f>TEXT(E2854,"mm")</f>
        <v>05</v>
      </c>
      <c r="H2854" s="6">
        <v>3618.67</v>
      </c>
      <c r="I2854">
        <v>213</v>
      </c>
      <c r="L2854" t="str">
        <f t="shared" si="44"/>
        <v>Below Average</v>
      </c>
      <c r="M2854">
        <f>RANK(H2854,H:H,0)</f>
        <v>2099</v>
      </c>
    </row>
    <row r="2855" spans="1:13">
      <c r="A2855" t="s">
        <v>67</v>
      </c>
      <c r="B2855" t="s">
        <v>35</v>
      </c>
      <c r="C2855" t="s">
        <v>60</v>
      </c>
      <c r="D2855" s="3" t="s">
        <v>347</v>
      </c>
      <c r="E2855" s="5" t="str">
        <f>TEXT(D2855,"dd/mm/yyyy")</f>
        <v>21/07/2024</v>
      </c>
      <c r="G2855" s="5" t="str">
        <f>TEXT(E2855,"mm")</f>
        <v>21/07/2024</v>
      </c>
      <c r="H2855" s="6">
        <v>5538.85</v>
      </c>
      <c r="I2855">
        <v>492</v>
      </c>
      <c r="L2855" t="str">
        <f t="shared" si="44"/>
        <v>Below Average</v>
      </c>
      <c r="M2855">
        <f>RANK(H2855,H:H,0)</f>
        <v>1557</v>
      </c>
    </row>
    <row r="2856" spans="1:13">
      <c r="A2856" t="s">
        <v>14</v>
      </c>
      <c r="B2856" t="s">
        <v>25</v>
      </c>
      <c r="C2856" t="s">
        <v>33</v>
      </c>
      <c r="D2856" s="4">
        <v>45598</v>
      </c>
      <c r="E2856" s="5" t="str">
        <f>TEXT(D2856,"dd/mm/yyyy")</f>
        <v>02/11/2024</v>
      </c>
      <c r="F2856" s="4"/>
      <c r="G2856" s="5" t="str">
        <f>TEXT(E2856,"mm")</f>
        <v>02</v>
      </c>
      <c r="H2856" s="6">
        <v>1382.49</v>
      </c>
      <c r="I2856">
        <v>86</v>
      </c>
      <c r="L2856" t="str">
        <f t="shared" si="44"/>
        <v>Below Average</v>
      </c>
      <c r="M2856">
        <f>RANK(H2856,H:H,0)</f>
        <v>2845</v>
      </c>
    </row>
    <row r="2857" spans="1:13">
      <c r="A2857" t="s">
        <v>67</v>
      </c>
      <c r="B2857" t="s">
        <v>35</v>
      </c>
      <c r="C2857" t="s">
        <v>18</v>
      </c>
      <c r="D2857" s="4">
        <v>45511</v>
      </c>
      <c r="E2857" s="5" t="str">
        <f>TEXT(D2857,"dd/mm/yyyy")</f>
        <v>07/08/2024</v>
      </c>
      <c r="F2857" s="4"/>
      <c r="G2857" s="5" t="str">
        <f>TEXT(E2857,"mm")</f>
        <v>07</v>
      </c>
      <c r="H2857" s="6">
        <v>1223.79</v>
      </c>
      <c r="I2857">
        <v>81</v>
      </c>
      <c r="L2857" t="str">
        <f t="shared" si="44"/>
        <v>Below Average</v>
      </c>
      <c r="M2857">
        <f>RANK(H2857,H:H,0)</f>
        <v>2900</v>
      </c>
    </row>
    <row r="2858" spans="1:13">
      <c r="A2858" t="s">
        <v>22</v>
      </c>
      <c r="B2858" t="s">
        <v>7</v>
      </c>
      <c r="C2858" t="s">
        <v>73</v>
      </c>
      <c r="D2858" s="4">
        <v>45604</v>
      </c>
      <c r="E2858" s="5" t="str">
        <f>TEXT(D2858,"dd/mm/yyyy")</f>
        <v>08/11/2024</v>
      </c>
      <c r="F2858" s="4"/>
      <c r="G2858" s="5" t="str">
        <f>TEXT(E2858,"mm")</f>
        <v>08</v>
      </c>
      <c r="H2858" s="6">
        <v>8043.29</v>
      </c>
      <c r="I2858">
        <v>344</v>
      </c>
      <c r="L2858" t="str">
        <f t="shared" si="44"/>
        <v>Above Average</v>
      </c>
      <c r="M2858">
        <f>RANK(H2858,H:H,0)</f>
        <v>929</v>
      </c>
    </row>
    <row r="2859" spans="1:13">
      <c r="A2859" t="s">
        <v>53</v>
      </c>
      <c r="B2859" t="s">
        <v>25</v>
      </c>
      <c r="C2859" t="s">
        <v>23</v>
      </c>
      <c r="D2859" s="4">
        <v>45390</v>
      </c>
      <c r="E2859" s="5" t="str">
        <f>TEXT(D2859,"dd/mm/yyyy")</f>
        <v>08/04/2024</v>
      </c>
      <c r="F2859" s="4"/>
      <c r="G2859" s="5" t="str">
        <f>TEXT(E2859,"mm")</f>
        <v>08</v>
      </c>
      <c r="H2859" s="6">
        <v>6878.47</v>
      </c>
      <c r="I2859">
        <v>7</v>
      </c>
      <c r="L2859" t="str">
        <f t="shared" si="44"/>
        <v>Above Average</v>
      </c>
      <c r="M2859">
        <f>RANK(H2859,H:H,0)</f>
        <v>1212</v>
      </c>
    </row>
    <row r="2860" spans="1:13">
      <c r="A2860" t="s">
        <v>67</v>
      </c>
      <c r="B2860" t="s">
        <v>25</v>
      </c>
      <c r="C2860" t="s">
        <v>33</v>
      </c>
      <c r="D2860" s="3" t="s">
        <v>333</v>
      </c>
      <c r="E2860" s="5" t="str">
        <f>TEXT(D2860,"dd/mm/yyyy")</f>
        <v>14/06/2024</v>
      </c>
      <c r="G2860" s="5" t="str">
        <f>TEXT(E2860,"mm")</f>
        <v>14/06/2024</v>
      </c>
      <c r="H2860" s="6">
        <v>9420.2199999999993</v>
      </c>
      <c r="I2860">
        <v>94</v>
      </c>
      <c r="L2860" t="str">
        <f t="shared" si="44"/>
        <v>Above Average</v>
      </c>
      <c r="M2860">
        <f>RANK(H2860,H:H,0)</f>
        <v>671</v>
      </c>
    </row>
    <row r="2861" spans="1:13">
      <c r="A2861" t="s">
        <v>58</v>
      </c>
      <c r="B2861" t="s">
        <v>7</v>
      </c>
      <c r="C2861" t="s">
        <v>87</v>
      </c>
      <c r="D2861" s="3" t="s">
        <v>358</v>
      </c>
      <c r="E2861" s="5" t="str">
        <f>TEXT(D2861,"dd/mm/yyyy")</f>
        <v>17/01/2024</v>
      </c>
      <c r="G2861" s="5" t="str">
        <f>TEXT(E2861,"mm")</f>
        <v>17/01/2024</v>
      </c>
      <c r="H2861" s="6">
        <v>2516.34</v>
      </c>
      <c r="I2861">
        <v>293</v>
      </c>
      <c r="L2861" t="str">
        <f t="shared" si="44"/>
        <v>Below Average</v>
      </c>
      <c r="M2861">
        <f>RANK(H2861,H:H,0)</f>
        <v>2465</v>
      </c>
    </row>
    <row r="2862" spans="1:13">
      <c r="A2862" t="s">
        <v>6</v>
      </c>
      <c r="B2862" t="s">
        <v>35</v>
      </c>
      <c r="C2862" t="s">
        <v>33</v>
      </c>
      <c r="D2862" s="3" t="s">
        <v>348</v>
      </c>
      <c r="E2862" s="5" t="str">
        <f>TEXT(D2862,"dd/mm/yyyy")</f>
        <v>23/06/2024</v>
      </c>
      <c r="G2862" s="5" t="str">
        <f>TEXT(E2862,"mm")</f>
        <v>23/06/2024</v>
      </c>
      <c r="H2862" s="6">
        <v>4334.75</v>
      </c>
      <c r="I2862">
        <v>529</v>
      </c>
      <c r="L2862" t="str">
        <f t="shared" si="44"/>
        <v>Below Average</v>
      </c>
      <c r="M2862">
        <f>RANK(H2862,H:H,0)</f>
        <v>1896</v>
      </c>
    </row>
    <row r="2863" spans="1:13">
      <c r="A2863" t="s">
        <v>6</v>
      </c>
      <c r="B2863" t="s">
        <v>7</v>
      </c>
      <c r="C2863" t="s">
        <v>18</v>
      </c>
      <c r="D2863" s="3" t="s">
        <v>285</v>
      </c>
      <c r="E2863" s="5" t="str">
        <f>TEXT(D2863,"dd/mm/yyyy")</f>
        <v>24/08/2024</v>
      </c>
      <c r="G2863" s="5" t="str">
        <f>TEXT(E2863,"mm")</f>
        <v>24/08/2024</v>
      </c>
      <c r="H2863" s="6">
        <v>1588.49</v>
      </c>
      <c r="I2863">
        <v>111</v>
      </c>
      <c r="L2863" t="str">
        <f t="shared" si="44"/>
        <v>Below Average</v>
      </c>
      <c r="M2863">
        <f>RANK(H2863,H:H,0)</f>
        <v>2775</v>
      </c>
    </row>
    <row r="2864" spans="1:13">
      <c r="A2864" t="s">
        <v>67</v>
      </c>
      <c r="B2864" t="s">
        <v>7</v>
      </c>
      <c r="C2864" t="s">
        <v>90</v>
      </c>
      <c r="D2864" s="4">
        <v>45479</v>
      </c>
      <c r="E2864" s="5" t="str">
        <f>TEXT(D2864,"dd/mm/yyyy")</f>
        <v>06/07/2024</v>
      </c>
      <c r="F2864" s="4"/>
      <c r="G2864" s="5" t="str">
        <f>TEXT(E2864,"mm")</f>
        <v>06</v>
      </c>
      <c r="H2864" s="6">
        <v>8959.3799999999992</v>
      </c>
      <c r="I2864">
        <v>271</v>
      </c>
      <c r="L2864" t="str">
        <f t="shared" si="44"/>
        <v>Above Average</v>
      </c>
      <c r="M2864">
        <f>RANK(H2864,H:H,0)</f>
        <v>746</v>
      </c>
    </row>
    <row r="2865" spans="1:13">
      <c r="A2865" t="s">
        <v>14</v>
      </c>
      <c r="B2865" t="s">
        <v>7</v>
      </c>
      <c r="C2865" t="s">
        <v>59</v>
      </c>
      <c r="D2865" s="3" t="s">
        <v>353</v>
      </c>
      <c r="E2865" s="5" t="str">
        <f>TEXT(D2865,"dd/mm/yyyy")</f>
        <v>22/06/2024</v>
      </c>
      <c r="G2865" s="5" t="str">
        <f>TEXT(E2865,"mm")</f>
        <v>22/06/2024</v>
      </c>
      <c r="H2865" s="6">
        <v>9409.06</v>
      </c>
      <c r="I2865">
        <v>46</v>
      </c>
      <c r="L2865" t="str">
        <f t="shared" si="44"/>
        <v>Above Average</v>
      </c>
      <c r="M2865">
        <f>RANK(H2865,H:H,0)</f>
        <v>673</v>
      </c>
    </row>
    <row r="2866" spans="1:13">
      <c r="A2866" t="s">
        <v>79</v>
      </c>
      <c r="B2866" t="s">
        <v>32</v>
      </c>
      <c r="C2866" t="s">
        <v>57</v>
      </c>
      <c r="D2866" s="3" t="s">
        <v>301</v>
      </c>
      <c r="E2866" s="5" t="str">
        <f>TEXT(D2866,"dd/mm/yyyy")</f>
        <v>13/07/2024</v>
      </c>
      <c r="G2866" s="5" t="str">
        <f>TEXT(E2866,"mm")</f>
        <v>13/07/2024</v>
      </c>
      <c r="H2866" s="6">
        <v>3315.64</v>
      </c>
      <c r="I2866">
        <v>268</v>
      </c>
      <c r="L2866" t="str">
        <f t="shared" si="44"/>
        <v>Below Average</v>
      </c>
      <c r="M2866">
        <f>RANK(H2866,H:H,0)</f>
        <v>2207</v>
      </c>
    </row>
    <row r="2867" spans="1:13">
      <c r="A2867" t="s">
        <v>70</v>
      </c>
      <c r="B2867" t="s">
        <v>7</v>
      </c>
      <c r="C2867" t="s">
        <v>75</v>
      </c>
      <c r="D2867" s="3" t="s">
        <v>281</v>
      </c>
      <c r="E2867" s="5" t="str">
        <f>TEXT(D2867,"dd/mm/yyyy")</f>
        <v>24/05/2024</v>
      </c>
      <c r="G2867" s="5" t="str">
        <f>TEXT(E2867,"mm")</f>
        <v>24/05/2024</v>
      </c>
      <c r="H2867" s="6">
        <v>10920.7</v>
      </c>
      <c r="I2867">
        <v>210</v>
      </c>
      <c r="L2867" t="str">
        <f t="shared" si="44"/>
        <v>Above Average</v>
      </c>
      <c r="M2867">
        <f>RANK(H2867,H:H,0)</f>
        <v>452</v>
      </c>
    </row>
    <row r="2868" spans="1:13">
      <c r="A2868" t="s">
        <v>22</v>
      </c>
      <c r="B2868" t="s">
        <v>25</v>
      </c>
      <c r="C2868" t="s">
        <v>23</v>
      </c>
      <c r="D2868" s="4">
        <v>45543</v>
      </c>
      <c r="E2868" s="5" t="str">
        <f>TEXT(D2868,"dd/mm/yyyy")</f>
        <v>08/09/2024</v>
      </c>
      <c r="F2868" s="4"/>
      <c r="G2868" s="5" t="str">
        <f>TEXT(E2868,"mm")</f>
        <v>08</v>
      </c>
      <c r="H2868" s="6">
        <v>7605.55</v>
      </c>
      <c r="I2868">
        <v>154</v>
      </c>
      <c r="L2868" t="str">
        <f t="shared" si="44"/>
        <v>Above Average</v>
      </c>
      <c r="M2868">
        <f>RANK(H2868,H:H,0)</f>
        <v>1043</v>
      </c>
    </row>
    <row r="2869" spans="1:13">
      <c r="A2869" t="s">
        <v>55</v>
      </c>
      <c r="B2869" t="s">
        <v>35</v>
      </c>
      <c r="C2869" t="s">
        <v>11</v>
      </c>
      <c r="D2869" s="4">
        <v>45447</v>
      </c>
      <c r="E2869" s="5" t="str">
        <f>TEXT(D2869,"dd/mm/yyyy")</f>
        <v>04/06/2024</v>
      </c>
      <c r="F2869" s="4"/>
      <c r="G2869" s="5" t="str">
        <f>TEXT(E2869,"mm")</f>
        <v>04</v>
      </c>
      <c r="H2869" s="6">
        <v>1859.96</v>
      </c>
      <c r="I2869">
        <v>33</v>
      </c>
      <c r="L2869" t="str">
        <f t="shared" si="44"/>
        <v>Below Average</v>
      </c>
      <c r="M2869">
        <f>RANK(H2869,H:H,0)</f>
        <v>2681</v>
      </c>
    </row>
    <row r="2870" spans="1:13">
      <c r="A2870" t="s">
        <v>14</v>
      </c>
      <c r="B2870" t="s">
        <v>25</v>
      </c>
      <c r="C2870" t="s">
        <v>60</v>
      </c>
      <c r="D2870" s="3" t="s">
        <v>271</v>
      </c>
      <c r="E2870" s="5" t="str">
        <f>TEXT(D2870,"dd/mm/yyyy")</f>
        <v>28/07/2024</v>
      </c>
      <c r="G2870" s="5" t="str">
        <f>TEXT(E2870,"mm")</f>
        <v>28/07/2024</v>
      </c>
      <c r="H2870" s="6">
        <v>1743.87</v>
      </c>
      <c r="I2870">
        <v>259</v>
      </c>
      <c r="L2870" t="str">
        <f t="shared" si="44"/>
        <v>Below Average</v>
      </c>
      <c r="M2870">
        <f>RANK(H2870,H:H,0)</f>
        <v>2715</v>
      </c>
    </row>
    <row r="2871" spans="1:13">
      <c r="A2871" t="s">
        <v>22</v>
      </c>
      <c r="B2871" t="s">
        <v>25</v>
      </c>
      <c r="C2871" t="s">
        <v>73</v>
      </c>
      <c r="D2871" s="3" t="s">
        <v>285</v>
      </c>
      <c r="E2871" s="5" t="str">
        <f>TEXT(D2871,"dd/mm/yyyy")</f>
        <v>24/08/2024</v>
      </c>
      <c r="G2871" s="5" t="str">
        <f>TEXT(E2871,"mm")</f>
        <v>24/08/2024</v>
      </c>
      <c r="H2871" s="6">
        <v>758.28</v>
      </c>
      <c r="I2871">
        <v>57</v>
      </c>
      <c r="L2871" t="str">
        <f t="shared" si="44"/>
        <v>Below Average</v>
      </c>
      <c r="M2871">
        <f>RANK(H2871,H:H,0)</f>
        <v>3044</v>
      </c>
    </row>
    <row r="2872" spans="1:13">
      <c r="A2872" t="s">
        <v>9</v>
      </c>
      <c r="B2872" t="s">
        <v>15</v>
      </c>
      <c r="C2872" t="s">
        <v>20</v>
      </c>
      <c r="D2872" s="3" t="s">
        <v>358</v>
      </c>
      <c r="E2872" s="5" t="str">
        <f>TEXT(D2872,"dd/mm/yyyy")</f>
        <v>17/01/2024</v>
      </c>
      <c r="G2872" s="5" t="str">
        <f>TEXT(E2872,"mm")</f>
        <v>17/01/2024</v>
      </c>
      <c r="H2872" s="6">
        <v>125.37</v>
      </c>
      <c r="I2872">
        <v>138</v>
      </c>
      <c r="L2872" t="str">
        <f t="shared" si="44"/>
        <v>Below Average</v>
      </c>
      <c r="M2872">
        <f>RANK(H2872,H:H,0)</f>
        <v>3236</v>
      </c>
    </row>
    <row r="2873" spans="1:13">
      <c r="A2873" t="s">
        <v>48</v>
      </c>
      <c r="B2873" t="s">
        <v>32</v>
      </c>
      <c r="C2873" t="s">
        <v>38</v>
      </c>
      <c r="D2873" s="4">
        <v>45475</v>
      </c>
      <c r="E2873" s="5" t="str">
        <f>TEXT(D2873,"dd/mm/yyyy")</f>
        <v>02/07/2024</v>
      </c>
      <c r="F2873" s="4"/>
      <c r="G2873" s="5" t="str">
        <f>TEXT(E2873,"mm")</f>
        <v>02</v>
      </c>
      <c r="H2873" s="6">
        <v>6170.75</v>
      </c>
      <c r="I2873">
        <v>149</v>
      </c>
      <c r="L2873" t="str">
        <f t="shared" si="44"/>
        <v>Above Average</v>
      </c>
      <c r="M2873">
        <f>RANK(H2873,H:H,0)</f>
        <v>1388</v>
      </c>
    </row>
    <row r="2874" spans="1:13">
      <c r="A2874" t="s">
        <v>28</v>
      </c>
      <c r="B2874" t="s">
        <v>15</v>
      </c>
      <c r="C2874" t="s">
        <v>50</v>
      </c>
      <c r="D2874" s="4">
        <v>45540</v>
      </c>
      <c r="E2874" s="5" t="str">
        <f>TEXT(D2874,"dd/mm/yyyy")</f>
        <v>05/09/2024</v>
      </c>
      <c r="F2874" s="4"/>
      <c r="G2874" s="5" t="str">
        <f>TEXT(E2874,"mm")</f>
        <v>05</v>
      </c>
      <c r="H2874" s="6">
        <v>6867.13</v>
      </c>
      <c r="I2874">
        <v>273</v>
      </c>
      <c r="L2874" t="str">
        <f t="shared" si="44"/>
        <v>Above Average</v>
      </c>
      <c r="M2874">
        <f>RANK(H2874,H:H,0)</f>
        <v>1216</v>
      </c>
    </row>
    <row r="2875" spans="1:13">
      <c r="A2875" t="s">
        <v>34</v>
      </c>
      <c r="B2875" t="s">
        <v>25</v>
      </c>
      <c r="C2875" t="s">
        <v>11</v>
      </c>
      <c r="D2875" s="4">
        <v>45449</v>
      </c>
      <c r="E2875" s="5" t="str">
        <f>TEXT(D2875,"dd/mm/yyyy")</f>
        <v>06/06/2024</v>
      </c>
      <c r="F2875" s="4"/>
      <c r="G2875" s="5" t="str">
        <f>TEXT(E2875,"mm")</f>
        <v>06</v>
      </c>
      <c r="H2875" s="6">
        <v>8775.4500000000007</v>
      </c>
      <c r="I2875">
        <v>113</v>
      </c>
      <c r="L2875" t="str">
        <f t="shared" si="44"/>
        <v>Above Average</v>
      </c>
      <c r="M2875">
        <f>RANK(H2875,H:H,0)</f>
        <v>783</v>
      </c>
    </row>
    <row r="2876" spans="1:13">
      <c r="A2876" t="s">
        <v>64</v>
      </c>
      <c r="B2876" t="s">
        <v>32</v>
      </c>
      <c r="C2876" t="s">
        <v>75</v>
      </c>
      <c r="D2876" s="4">
        <v>45449</v>
      </c>
      <c r="E2876" s="5" t="str">
        <f>TEXT(D2876,"dd/mm/yyyy")</f>
        <v>06/06/2024</v>
      </c>
      <c r="F2876" s="4"/>
      <c r="G2876" s="5" t="str">
        <f>TEXT(E2876,"mm")</f>
        <v>06</v>
      </c>
      <c r="H2876" s="6">
        <v>10422.84</v>
      </c>
      <c r="I2876">
        <v>6</v>
      </c>
      <c r="L2876" t="str">
        <f t="shared" si="44"/>
        <v>Above Average</v>
      </c>
      <c r="M2876">
        <f>RANK(H2876,H:H,0)</f>
        <v>519</v>
      </c>
    </row>
    <row r="2877" spans="1:13">
      <c r="A2877" t="s">
        <v>41</v>
      </c>
      <c r="B2877" t="s">
        <v>25</v>
      </c>
      <c r="C2877" t="s">
        <v>42</v>
      </c>
      <c r="D2877" s="3" t="s">
        <v>281</v>
      </c>
      <c r="E2877" s="5" t="str">
        <f>TEXT(D2877,"dd/mm/yyyy")</f>
        <v>24/05/2024</v>
      </c>
      <c r="G2877" s="5" t="str">
        <f>TEXT(E2877,"mm")</f>
        <v>24/05/2024</v>
      </c>
      <c r="H2877" s="6">
        <v>7402.04</v>
      </c>
      <c r="I2877">
        <v>231</v>
      </c>
      <c r="L2877" t="str">
        <f t="shared" si="44"/>
        <v>Above Average</v>
      </c>
      <c r="M2877">
        <f>RANK(H2877,H:H,0)</f>
        <v>1089</v>
      </c>
    </row>
    <row r="2878" spans="1:13">
      <c r="A2878" t="s">
        <v>22</v>
      </c>
      <c r="B2878" t="s">
        <v>7</v>
      </c>
      <c r="C2878" t="s">
        <v>26</v>
      </c>
      <c r="D2878" s="3" t="s">
        <v>270</v>
      </c>
      <c r="E2878" s="5" t="str">
        <f>TEXT(D2878,"dd/mm/yyyy")</f>
        <v>13/01/2024</v>
      </c>
      <c r="G2878" s="5" t="str">
        <f>TEXT(E2878,"mm")</f>
        <v>13/01/2024</v>
      </c>
      <c r="H2878" s="6">
        <v>2498.04</v>
      </c>
      <c r="I2878">
        <v>129</v>
      </c>
      <c r="L2878" t="str">
        <f t="shared" si="44"/>
        <v>Below Average</v>
      </c>
      <c r="M2878">
        <f>RANK(H2878,H:H,0)</f>
        <v>2474</v>
      </c>
    </row>
    <row r="2879" spans="1:13">
      <c r="A2879" t="s">
        <v>40</v>
      </c>
      <c r="B2879" t="s">
        <v>32</v>
      </c>
      <c r="C2879" t="s">
        <v>73</v>
      </c>
      <c r="D2879" s="3" t="s">
        <v>342</v>
      </c>
      <c r="E2879" s="5" t="str">
        <f>TEXT(D2879,"dd/mm/yyyy")</f>
        <v>23/05/2024</v>
      </c>
      <c r="G2879" s="5" t="str">
        <f>TEXT(E2879,"mm")</f>
        <v>23/05/2024</v>
      </c>
      <c r="H2879" s="6">
        <v>6873.56</v>
      </c>
      <c r="I2879">
        <v>152</v>
      </c>
      <c r="L2879" t="str">
        <f t="shared" si="44"/>
        <v>Above Average</v>
      </c>
      <c r="M2879">
        <f>RANK(H2879,H:H,0)</f>
        <v>1214</v>
      </c>
    </row>
    <row r="2880" spans="1:13">
      <c r="A2880" t="s">
        <v>6</v>
      </c>
      <c r="B2880" t="s">
        <v>7</v>
      </c>
      <c r="C2880" t="s">
        <v>59</v>
      </c>
      <c r="D2880" s="3" t="s">
        <v>282</v>
      </c>
      <c r="E2880" s="5" t="str">
        <f>TEXT(D2880,"dd/mm/yyyy")</f>
        <v>29/06/2024</v>
      </c>
      <c r="G2880" s="5" t="str">
        <f>TEXT(E2880,"mm")</f>
        <v>29/06/2024</v>
      </c>
      <c r="H2880" s="6">
        <v>2015.93</v>
      </c>
      <c r="I2880">
        <v>304</v>
      </c>
      <c r="L2880" t="str">
        <f t="shared" si="44"/>
        <v>Below Average</v>
      </c>
      <c r="M2880">
        <f>RANK(H2880,H:H,0)</f>
        <v>2630</v>
      </c>
    </row>
    <row r="2881" spans="1:13">
      <c r="A2881" t="s">
        <v>6</v>
      </c>
      <c r="B2881" t="s">
        <v>25</v>
      </c>
      <c r="C2881" t="s">
        <v>11</v>
      </c>
      <c r="D2881" s="4">
        <v>45599</v>
      </c>
      <c r="E2881" s="5" t="str">
        <f>TEXT(D2881,"dd/mm/yyyy")</f>
        <v>03/11/2024</v>
      </c>
      <c r="F2881" s="4"/>
      <c r="G2881" s="5" t="str">
        <f>TEXT(E2881,"mm")</f>
        <v>03</v>
      </c>
      <c r="H2881" s="6">
        <v>8077.51</v>
      </c>
      <c r="I2881">
        <v>95</v>
      </c>
      <c r="L2881" t="str">
        <f t="shared" si="44"/>
        <v>Above Average</v>
      </c>
      <c r="M2881">
        <f>RANK(H2881,H:H,0)</f>
        <v>923</v>
      </c>
    </row>
    <row r="2882" spans="1:13">
      <c r="A2882" t="s">
        <v>79</v>
      </c>
      <c r="B2882" t="s">
        <v>32</v>
      </c>
      <c r="C2882" t="s">
        <v>11</v>
      </c>
      <c r="D2882" s="3" t="s">
        <v>320</v>
      </c>
      <c r="E2882" s="5" t="str">
        <f>TEXT(D2882,"dd/mm/yyyy")</f>
        <v>25/04/2024</v>
      </c>
      <c r="G2882" s="5" t="str">
        <f>TEXT(E2882,"mm")</f>
        <v>25/04/2024</v>
      </c>
      <c r="H2882" s="6">
        <v>11149.46</v>
      </c>
      <c r="I2882">
        <v>538</v>
      </c>
      <c r="L2882" t="str">
        <f t="shared" si="44"/>
        <v>Above Average</v>
      </c>
      <c r="M2882">
        <f>RANK(H2882,H:H,0)</f>
        <v>427</v>
      </c>
    </row>
    <row r="2883" spans="1:13">
      <c r="A2883" t="s">
        <v>29</v>
      </c>
      <c r="B2883" t="s">
        <v>15</v>
      </c>
      <c r="C2883" t="s">
        <v>18</v>
      </c>
      <c r="D2883" s="3" t="s">
        <v>277</v>
      </c>
      <c r="E2883" s="5" t="str">
        <f>TEXT(D2883,"dd/mm/yyyy")</f>
        <v>30/05/2024</v>
      </c>
      <c r="G2883" s="5" t="str">
        <f>TEXT(E2883,"mm")</f>
        <v>30/05/2024</v>
      </c>
      <c r="H2883" s="6">
        <v>4739.3900000000003</v>
      </c>
      <c r="I2883">
        <v>236</v>
      </c>
      <c r="L2883" t="str">
        <f t="shared" ref="L2883:L2946" si="45">IF(H2883&gt;6030.34,"Above Average","Below Average")</f>
        <v>Below Average</v>
      </c>
      <c r="M2883">
        <f>RANK(H2883,H:H,0)</f>
        <v>1788</v>
      </c>
    </row>
    <row r="2884" spans="1:13">
      <c r="A2884" t="s">
        <v>48</v>
      </c>
      <c r="B2884" t="s">
        <v>10</v>
      </c>
      <c r="C2884" t="s">
        <v>60</v>
      </c>
      <c r="D2884" s="3" t="s">
        <v>342</v>
      </c>
      <c r="E2884" s="5" t="str">
        <f>TEXT(D2884,"dd/mm/yyyy")</f>
        <v>23/05/2024</v>
      </c>
      <c r="G2884" s="5" t="str">
        <f>TEXT(E2884,"mm")</f>
        <v>23/05/2024</v>
      </c>
      <c r="H2884" s="6">
        <v>1844.54</v>
      </c>
      <c r="I2884">
        <v>185</v>
      </c>
      <c r="L2884" t="str">
        <f t="shared" si="45"/>
        <v>Below Average</v>
      </c>
      <c r="M2884">
        <f>RANK(H2884,H:H,0)</f>
        <v>2687</v>
      </c>
    </row>
    <row r="2885" spans="1:13">
      <c r="A2885" t="s">
        <v>34</v>
      </c>
      <c r="B2885" t="s">
        <v>32</v>
      </c>
      <c r="C2885" t="s">
        <v>13</v>
      </c>
      <c r="D2885" s="3" t="s">
        <v>342</v>
      </c>
      <c r="E2885" s="5" t="str">
        <f>TEXT(D2885,"dd/mm/yyyy")</f>
        <v>23/05/2024</v>
      </c>
      <c r="G2885" s="5" t="str">
        <f>TEXT(E2885,"mm")</f>
        <v>23/05/2024</v>
      </c>
      <c r="H2885" s="6">
        <v>1263.98</v>
      </c>
      <c r="I2885">
        <v>19</v>
      </c>
      <c r="L2885" t="str">
        <f t="shared" si="45"/>
        <v>Below Average</v>
      </c>
      <c r="M2885">
        <f>RANK(H2885,H:H,0)</f>
        <v>2890</v>
      </c>
    </row>
    <row r="2886" spans="1:13">
      <c r="A2886" t="s">
        <v>9</v>
      </c>
      <c r="B2886" t="s">
        <v>35</v>
      </c>
      <c r="C2886" t="s">
        <v>13</v>
      </c>
      <c r="D2886" s="3" t="s">
        <v>349</v>
      </c>
      <c r="E2886" s="5" t="str">
        <f>TEXT(D2886,"dd/mm/yyyy")</f>
        <v>24/06/2024</v>
      </c>
      <c r="G2886" s="5" t="str">
        <f>TEXT(E2886,"mm")</f>
        <v>24/06/2024</v>
      </c>
      <c r="H2886" s="6">
        <v>7527.84</v>
      </c>
      <c r="I2886">
        <v>306</v>
      </c>
      <c r="L2886" t="str">
        <f t="shared" si="45"/>
        <v>Above Average</v>
      </c>
      <c r="M2886">
        <f>RANK(H2886,H:H,0)</f>
        <v>1058</v>
      </c>
    </row>
    <row r="2887" spans="1:13">
      <c r="A2887" t="s">
        <v>70</v>
      </c>
      <c r="B2887" t="s">
        <v>25</v>
      </c>
      <c r="C2887" t="s">
        <v>18</v>
      </c>
      <c r="D2887" s="4">
        <v>45599</v>
      </c>
      <c r="E2887" s="5" t="str">
        <f>TEXT(D2887,"dd/mm/yyyy")</f>
        <v>03/11/2024</v>
      </c>
      <c r="F2887" s="4"/>
      <c r="G2887" s="5" t="str">
        <f>TEXT(E2887,"mm")</f>
        <v>03</v>
      </c>
      <c r="H2887" s="6">
        <v>12265.45</v>
      </c>
      <c r="I2887">
        <v>268</v>
      </c>
      <c r="L2887" t="str">
        <f t="shared" si="45"/>
        <v>Above Average</v>
      </c>
      <c r="M2887">
        <f>RANK(H2887,H:H,0)</f>
        <v>322</v>
      </c>
    </row>
    <row r="2888" spans="1:13">
      <c r="A2888" t="s">
        <v>29</v>
      </c>
      <c r="B2888" t="s">
        <v>32</v>
      </c>
      <c r="C2888" t="s">
        <v>18</v>
      </c>
      <c r="D2888" s="3" t="s">
        <v>335</v>
      </c>
      <c r="E2888" s="5" t="str">
        <f>TEXT(D2888,"dd/mm/yyyy")</f>
        <v>27/07/2024</v>
      </c>
      <c r="G2888" s="5" t="str">
        <f>TEXT(E2888,"mm")</f>
        <v>27/07/2024</v>
      </c>
      <c r="H2888" s="6">
        <v>17662.05</v>
      </c>
      <c r="I2888">
        <v>230</v>
      </c>
      <c r="L2888" t="str">
        <f t="shared" si="45"/>
        <v>Above Average</v>
      </c>
      <c r="M2888">
        <f>RANK(H2888,H:H,0)</f>
        <v>49</v>
      </c>
    </row>
    <row r="2889" spans="1:13">
      <c r="A2889" t="s">
        <v>29</v>
      </c>
      <c r="B2889" t="s">
        <v>32</v>
      </c>
      <c r="C2889" t="s">
        <v>59</v>
      </c>
      <c r="D2889" s="3" t="s">
        <v>362</v>
      </c>
      <c r="E2889" s="5" t="str">
        <f>TEXT(D2889,"dd/mm/yyyy")</f>
        <v>16/08/2024</v>
      </c>
      <c r="G2889" s="5" t="str">
        <f>TEXT(E2889,"mm")</f>
        <v>16/08/2024</v>
      </c>
      <c r="H2889" s="6">
        <v>5520</v>
      </c>
      <c r="I2889">
        <v>120</v>
      </c>
      <c r="L2889" t="str">
        <f t="shared" si="45"/>
        <v>Below Average</v>
      </c>
      <c r="M2889">
        <f>RANK(H2889,H:H,0)</f>
        <v>1561</v>
      </c>
    </row>
    <row r="2890" spans="1:13">
      <c r="A2890" t="s">
        <v>45</v>
      </c>
      <c r="B2890" t="s">
        <v>35</v>
      </c>
      <c r="C2890" t="s">
        <v>18</v>
      </c>
      <c r="D2890" s="4">
        <v>45476</v>
      </c>
      <c r="E2890" s="5" t="str">
        <f>TEXT(D2890,"dd/mm/yyyy")</f>
        <v>03/07/2024</v>
      </c>
      <c r="F2890" s="4"/>
      <c r="G2890" s="5" t="str">
        <f>TEXT(E2890,"mm")</f>
        <v>03</v>
      </c>
      <c r="H2890" s="6">
        <v>10712.76</v>
      </c>
      <c r="I2890">
        <v>11</v>
      </c>
      <c r="L2890" t="str">
        <f t="shared" si="45"/>
        <v>Above Average</v>
      </c>
      <c r="M2890">
        <f>RANK(H2890,H:H,0)</f>
        <v>489</v>
      </c>
    </row>
    <row r="2891" spans="1:13">
      <c r="A2891" t="s">
        <v>48</v>
      </c>
      <c r="B2891" t="s">
        <v>25</v>
      </c>
      <c r="C2891" t="s">
        <v>23</v>
      </c>
      <c r="D2891" s="4">
        <v>45416</v>
      </c>
      <c r="E2891" s="5" t="str">
        <f>TEXT(D2891,"dd/mm/yyyy")</f>
        <v>04/05/2024</v>
      </c>
      <c r="F2891" s="4"/>
      <c r="G2891" s="5" t="str">
        <f>TEXT(E2891,"mm")</f>
        <v>04</v>
      </c>
      <c r="H2891" s="6">
        <v>8416.7999999999993</v>
      </c>
      <c r="I2891">
        <v>29</v>
      </c>
      <c r="L2891" t="str">
        <f t="shared" si="45"/>
        <v>Above Average</v>
      </c>
      <c r="M2891">
        <f>RANK(H2891,H:H,0)</f>
        <v>851</v>
      </c>
    </row>
    <row r="2892" spans="1:13">
      <c r="A2892" t="s">
        <v>71</v>
      </c>
      <c r="B2892" t="s">
        <v>10</v>
      </c>
      <c r="C2892" t="s">
        <v>11</v>
      </c>
      <c r="D2892" s="4">
        <v>45387</v>
      </c>
      <c r="E2892" s="5" t="str">
        <f>TEXT(D2892,"dd/mm/yyyy")</f>
        <v>05/04/2024</v>
      </c>
      <c r="F2892" s="4"/>
      <c r="G2892" s="5" t="str">
        <f>TEXT(E2892,"mm")</f>
        <v>05</v>
      </c>
      <c r="H2892" s="6">
        <v>9986.0499999999993</v>
      </c>
      <c r="I2892">
        <v>54</v>
      </c>
      <c r="L2892" t="str">
        <f t="shared" si="45"/>
        <v>Above Average</v>
      </c>
      <c r="M2892">
        <f>RANK(H2892,H:H,0)</f>
        <v>583</v>
      </c>
    </row>
    <row r="2893" spans="1:13">
      <c r="A2893" t="s">
        <v>83</v>
      </c>
      <c r="B2893" t="s">
        <v>32</v>
      </c>
      <c r="C2893" t="s">
        <v>75</v>
      </c>
      <c r="D2893" s="4">
        <v>45383</v>
      </c>
      <c r="E2893" s="5" t="str">
        <f>TEXT(D2893,"dd/mm/yyyy")</f>
        <v>01/04/2024</v>
      </c>
      <c r="F2893" s="4"/>
      <c r="G2893" s="5" t="str">
        <f>TEXT(E2893,"mm")</f>
        <v>01</v>
      </c>
      <c r="H2893" s="6">
        <v>15629.82</v>
      </c>
      <c r="I2893">
        <v>89</v>
      </c>
      <c r="L2893" t="str">
        <f t="shared" si="45"/>
        <v>Above Average</v>
      </c>
      <c r="M2893">
        <f>RANK(H2893,H:H,0)</f>
        <v>116</v>
      </c>
    </row>
    <row r="2894" spans="1:13">
      <c r="A2894" t="s">
        <v>40</v>
      </c>
      <c r="B2894" t="s">
        <v>15</v>
      </c>
      <c r="C2894" t="s">
        <v>87</v>
      </c>
      <c r="D2894" s="3" t="s">
        <v>270</v>
      </c>
      <c r="E2894" s="5" t="str">
        <f>TEXT(D2894,"dd/mm/yyyy")</f>
        <v>13/01/2024</v>
      </c>
      <c r="G2894" s="5" t="str">
        <f>TEXT(E2894,"mm")</f>
        <v>13/01/2024</v>
      </c>
      <c r="H2894" s="6">
        <v>6224.33</v>
      </c>
      <c r="I2894">
        <v>100</v>
      </c>
      <c r="L2894" t="str">
        <f t="shared" si="45"/>
        <v>Above Average</v>
      </c>
      <c r="M2894">
        <f>RANK(H2894,H:H,0)</f>
        <v>1373</v>
      </c>
    </row>
    <row r="2895" spans="1:13">
      <c r="A2895" t="s">
        <v>64</v>
      </c>
      <c r="B2895" t="s">
        <v>25</v>
      </c>
      <c r="C2895" t="s">
        <v>57</v>
      </c>
      <c r="D2895" s="4">
        <v>45603</v>
      </c>
      <c r="E2895" s="5" t="str">
        <f>TEXT(D2895,"dd/mm/yyyy")</f>
        <v>07/11/2024</v>
      </c>
      <c r="F2895" s="4"/>
      <c r="G2895" s="5" t="str">
        <f>TEXT(E2895,"mm")</f>
        <v>07</v>
      </c>
      <c r="H2895" s="6">
        <v>7736.85</v>
      </c>
      <c r="I2895">
        <v>95</v>
      </c>
      <c r="L2895" t="str">
        <f t="shared" si="45"/>
        <v>Above Average</v>
      </c>
      <c r="M2895">
        <f>RANK(H2895,H:H,0)</f>
        <v>1001</v>
      </c>
    </row>
    <row r="2896" spans="1:13">
      <c r="A2896" t="s">
        <v>55</v>
      </c>
      <c r="B2896" t="s">
        <v>15</v>
      </c>
      <c r="C2896" t="s">
        <v>8</v>
      </c>
      <c r="D2896" s="3" t="s">
        <v>350</v>
      </c>
      <c r="E2896" s="5" t="str">
        <f>TEXT(D2896,"dd/mm/yyyy")</f>
        <v>17/05/2024</v>
      </c>
      <c r="G2896" s="5" t="str">
        <f>TEXT(E2896,"mm")</f>
        <v>17/05/2024</v>
      </c>
      <c r="H2896" s="6">
        <v>4860.75</v>
      </c>
      <c r="I2896">
        <v>162</v>
      </c>
      <c r="L2896" t="str">
        <f t="shared" si="45"/>
        <v>Below Average</v>
      </c>
      <c r="M2896">
        <f>RANK(H2896,H:H,0)</f>
        <v>1749</v>
      </c>
    </row>
    <row r="2897" spans="1:13">
      <c r="A2897" t="s">
        <v>71</v>
      </c>
      <c r="B2897" t="s">
        <v>25</v>
      </c>
      <c r="C2897" t="s">
        <v>13</v>
      </c>
      <c r="D2897" s="3" t="s">
        <v>347</v>
      </c>
      <c r="E2897" s="5" t="str">
        <f>TEXT(D2897,"dd/mm/yyyy")</f>
        <v>21/07/2024</v>
      </c>
      <c r="G2897" s="5" t="str">
        <f>TEXT(E2897,"mm")</f>
        <v>21/07/2024</v>
      </c>
      <c r="H2897" s="6">
        <v>1754.64</v>
      </c>
      <c r="I2897">
        <v>62</v>
      </c>
      <c r="L2897" t="str">
        <f t="shared" si="45"/>
        <v>Below Average</v>
      </c>
      <c r="M2897">
        <f>RANK(H2897,H:H,0)</f>
        <v>2708</v>
      </c>
    </row>
    <row r="2898" spans="1:13">
      <c r="A2898" t="s">
        <v>48</v>
      </c>
      <c r="B2898" t="s">
        <v>35</v>
      </c>
      <c r="C2898" t="s">
        <v>42</v>
      </c>
      <c r="D2898" s="3" t="s">
        <v>331</v>
      </c>
      <c r="E2898" s="5" t="str">
        <f>TEXT(D2898,"dd/mm/yyyy")</f>
        <v>22/02/2024</v>
      </c>
      <c r="G2898" s="5" t="str">
        <f>TEXT(E2898,"mm")</f>
        <v>22/02/2024</v>
      </c>
      <c r="H2898" s="6">
        <v>897.13</v>
      </c>
      <c r="I2898">
        <v>24</v>
      </c>
      <c r="L2898" t="str">
        <f t="shared" si="45"/>
        <v>Below Average</v>
      </c>
      <c r="M2898">
        <f>RANK(H2898,H:H,0)</f>
        <v>3004</v>
      </c>
    </row>
    <row r="2899" spans="1:13">
      <c r="A2899" t="s">
        <v>14</v>
      </c>
      <c r="B2899" t="s">
        <v>10</v>
      </c>
      <c r="C2899" t="s">
        <v>20</v>
      </c>
      <c r="D2899" s="3" t="s">
        <v>342</v>
      </c>
      <c r="E2899" s="5" t="str">
        <f>TEXT(D2899,"dd/mm/yyyy")</f>
        <v>23/05/2024</v>
      </c>
      <c r="G2899" s="5" t="str">
        <f>TEXT(E2899,"mm")</f>
        <v>23/05/2024</v>
      </c>
      <c r="H2899" s="6">
        <v>10607.29</v>
      </c>
      <c r="I2899">
        <v>182</v>
      </c>
      <c r="L2899" t="str">
        <f t="shared" si="45"/>
        <v>Above Average</v>
      </c>
      <c r="M2899">
        <f>RANK(H2899,H:H,0)</f>
        <v>499</v>
      </c>
    </row>
    <row r="2900" spans="1:13">
      <c r="A2900" t="s">
        <v>29</v>
      </c>
      <c r="B2900" t="s">
        <v>35</v>
      </c>
      <c r="C2900" t="s">
        <v>38</v>
      </c>
      <c r="D2900" s="4">
        <v>45633</v>
      </c>
      <c r="E2900" s="5" t="str">
        <f>TEXT(D2900,"dd/mm/yyyy")</f>
        <v>07/12/2024</v>
      </c>
      <c r="F2900" s="4"/>
      <c r="G2900" s="5" t="str">
        <f>TEXT(E2900,"mm")</f>
        <v>07</v>
      </c>
      <c r="H2900" s="6">
        <v>10772</v>
      </c>
      <c r="I2900">
        <v>192</v>
      </c>
      <c r="L2900" t="str">
        <f t="shared" si="45"/>
        <v>Above Average</v>
      </c>
      <c r="M2900">
        <f>RANK(H2900,H:H,0)</f>
        <v>480</v>
      </c>
    </row>
    <row r="2901" spans="1:13">
      <c r="A2901" t="s">
        <v>14</v>
      </c>
      <c r="B2901" t="s">
        <v>7</v>
      </c>
      <c r="C2901" t="s">
        <v>33</v>
      </c>
      <c r="D2901" s="3" t="s">
        <v>280</v>
      </c>
      <c r="E2901" s="5" t="str">
        <f>TEXT(D2901,"dd/mm/yyyy")</f>
        <v>15/06/2024</v>
      </c>
      <c r="G2901" s="5" t="str">
        <f>TEXT(E2901,"mm")</f>
        <v>15/06/2024</v>
      </c>
      <c r="H2901" s="6">
        <v>4116.96</v>
      </c>
      <c r="I2901">
        <v>203</v>
      </c>
      <c r="L2901" t="str">
        <f t="shared" si="45"/>
        <v>Below Average</v>
      </c>
      <c r="M2901">
        <f>RANK(H2901,H:H,0)</f>
        <v>1952</v>
      </c>
    </row>
    <row r="2902" spans="1:13">
      <c r="A2902" t="s">
        <v>31</v>
      </c>
      <c r="B2902" t="s">
        <v>25</v>
      </c>
      <c r="C2902" t="s">
        <v>26</v>
      </c>
      <c r="D2902" s="3" t="s">
        <v>348</v>
      </c>
      <c r="E2902" s="5" t="str">
        <f>TEXT(D2902,"dd/mm/yyyy")</f>
        <v>23/06/2024</v>
      </c>
      <c r="G2902" s="5" t="str">
        <f>TEXT(E2902,"mm")</f>
        <v>23/06/2024</v>
      </c>
      <c r="H2902" s="6">
        <v>5185.3599999999997</v>
      </c>
      <c r="I2902">
        <v>321</v>
      </c>
      <c r="L2902" t="str">
        <f t="shared" si="45"/>
        <v>Below Average</v>
      </c>
      <c r="M2902">
        <f>RANK(H2902,H:H,0)</f>
        <v>1654</v>
      </c>
    </row>
    <row r="2903" spans="1:13">
      <c r="A2903" t="s">
        <v>48</v>
      </c>
      <c r="B2903" t="s">
        <v>15</v>
      </c>
      <c r="C2903" t="s">
        <v>36</v>
      </c>
      <c r="D2903" s="3" t="s">
        <v>338</v>
      </c>
      <c r="E2903" s="5" t="str">
        <f>TEXT(D2903,"dd/mm/yyyy")</f>
        <v>25/03/2024</v>
      </c>
      <c r="G2903" s="5" t="str">
        <f>TEXT(E2903,"mm")</f>
        <v>25/03/2024</v>
      </c>
      <c r="H2903" s="6">
        <v>6974.95</v>
      </c>
      <c r="I2903">
        <v>58</v>
      </c>
      <c r="L2903" t="str">
        <f t="shared" si="45"/>
        <v>Above Average</v>
      </c>
      <c r="M2903">
        <f>RANK(H2903,H:H,0)</f>
        <v>1191</v>
      </c>
    </row>
    <row r="2904" spans="1:13">
      <c r="A2904" t="s">
        <v>14</v>
      </c>
      <c r="B2904" t="s">
        <v>10</v>
      </c>
      <c r="C2904" t="s">
        <v>90</v>
      </c>
      <c r="D2904" s="4">
        <v>45389</v>
      </c>
      <c r="E2904" s="5" t="str">
        <f>TEXT(D2904,"dd/mm/yyyy")</f>
        <v>07/04/2024</v>
      </c>
      <c r="F2904" s="4"/>
      <c r="G2904" s="5" t="str">
        <f>TEXT(E2904,"mm")</f>
        <v>07</v>
      </c>
      <c r="H2904" s="6">
        <v>99.5</v>
      </c>
      <c r="I2904">
        <v>161</v>
      </c>
      <c r="L2904" t="str">
        <f t="shared" si="45"/>
        <v>Below Average</v>
      </c>
      <c r="M2904">
        <f>RANK(H2904,H:H,0)</f>
        <v>3245</v>
      </c>
    </row>
    <row r="2905" spans="1:13">
      <c r="A2905" t="s">
        <v>67</v>
      </c>
      <c r="B2905" t="s">
        <v>7</v>
      </c>
      <c r="C2905" t="s">
        <v>59</v>
      </c>
      <c r="D2905" s="4">
        <v>45631</v>
      </c>
      <c r="E2905" s="5" t="str">
        <f>TEXT(D2905,"dd/mm/yyyy")</f>
        <v>05/12/2024</v>
      </c>
      <c r="F2905" s="4"/>
      <c r="G2905" s="5" t="str">
        <f>TEXT(E2905,"mm")</f>
        <v>05</v>
      </c>
      <c r="H2905" s="6">
        <v>10203.469999999999</v>
      </c>
      <c r="I2905">
        <v>109</v>
      </c>
      <c r="L2905" t="str">
        <f t="shared" si="45"/>
        <v>Above Average</v>
      </c>
      <c r="M2905">
        <f>RANK(H2905,H:H,0)</f>
        <v>550</v>
      </c>
    </row>
    <row r="2906" spans="1:13">
      <c r="A2906" t="s">
        <v>71</v>
      </c>
      <c r="B2906" t="s">
        <v>25</v>
      </c>
      <c r="C2906" t="s">
        <v>73</v>
      </c>
      <c r="D2906" s="4">
        <v>45386</v>
      </c>
      <c r="E2906" s="5" t="str">
        <f>TEXT(D2906,"dd/mm/yyyy")</f>
        <v>04/04/2024</v>
      </c>
      <c r="F2906" s="4"/>
      <c r="G2906" s="5" t="str">
        <f>TEXT(E2906,"mm")</f>
        <v>04</v>
      </c>
      <c r="H2906" s="6">
        <v>5081.5200000000004</v>
      </c>
      <c r="I2906">
        <v>148</v>
      </c>
      <c r="L2906" t="str">
        <f t="shared" si="45"/>
        <v>Below Average</v>
      </c>
      <c r="M2906">
        <f>RANK(H2906,H:H,0)</f>
        <v>1679</v>
      </c>
    </row>
    <row r="2907" spans="1:13">
      <c r="A2907" t="s">
        <v>77</v>
      </c>
      <c r="B2907" t="s">
        <v>15</v>
      </c>
      <c r="C2907" t="s">
        <v>33</v>
      </c>
      <c r="D2907" s="3" t="s">
        <v>287</v>
      </c>
      <c r="E2907" s="5" t="str">
        <f>TEXT(D2907,"dd/mm/yyyy")</f>
        <v>15/04/2024</v>
      </c>
      <c r="G2907" s="5" t="str">
        <f>TEXT(E2907,"mm")</f>
        <v>15/04/2024</v>
      </c>
      <c r="H2907" s="6">
        <v>7166.62</v>
      </c>
      <c r="I2907">
        <v>381</v>
      </c>
      <c r="L2907" t="str">
        <f t="shared" si="45"/>
        <v>Above Average</v>
      </c>
      <c r="M2907">
        <f>RANK(H2907,H:H,0)</f>
        <v>1141</v>
      </c>
    </row>
    <row r="2908" spans="1:13">
      <c r="A2908" t="s">
        <v>45</v>
      </c>
      <c r="B2908" t="s">
        <v>35</v>
      </c>
      <c r="C2908" t="s">
        <v>36</v>
      </c>
      <c r="D2908" s="4">
        <v>45507</v>
      </c>
      <c r="E2908" s="5" t="str">
        <f>TEXT(D2908,"dd/mm/yyyy")</f>
        <v>03/08/2024</v>
      </c>
      <c r="F2908" s="4"/>
      <c r="G2908" s="5" t="str">
        <f>TEXT(E2908,"mm")</f>
        <v>03</v>
      </c>
      <c r="H2908" s="6">
        <v>7026.54</v>
      </c>
      <c r="I2908">
        <v>95</v>
      </c>
      <c r="L2908" t="str">
        <f t="shared" si="45"/>
        <v>Above Average</v>
      </c>
      <c r="M2908">
        <f>RANK(H2908,H:H,0)</f>
        <v>1173</v>
      </c>
    </row>
    <row r="2909" spans="1:13">
      <c r="A2909" t="s">
        <v>37</v>
      </c>
      <c r="B2909" t="s">
        <v>10</v>
      </c>
      <c r="C2909" t="s">
        <v>59</v>
      </c>
      <c r="D2909" s="3" t="s">
        <v>358</v>
      </c>
      <c r="E2909" s="5" t="str">
        <f>TEXT(D2909,"dd/mm/yyyy")</f>
        <v>17/01/2024</v>
      </c>
      <c r="G2909" s="5" t="str">
        <f>TEXT(E2909,"mm")</f>
        <v>17/01/2024</v>
      </c>
      <c r="H2909" s="6">
        <v>8265.32</v>
      </c>
      <c r="I2909">
        <v>251</v>
      </c>
      <c r="L2909" t="str">
        <f t="shared" si="45"/>
        <v>Above Average</v>
      </c>
      <c r="M2909">
        <f>RANK(H2909,H:H,0)</f>
        <v>880</v>
      </c>
    </row>
    <row r="2910" spans="1:13">
      <c r="A2910" t="s">
        <v>64</v>
      </c>
      <c r="B2910" t="s">
        <v>10</v>
      </c>
      <c r="C2910" t="s">
        <v>8</v>
      </c>
      <c r="D2910" s="3" t="s">
        <v>289</v>
      </c>
      <c r="E2910" s="5" t="str">
        <f>TEXT(D2910,"dd/mm/yyyy")</f>
        <v>22/08/2024</v>
      </c>
      <c r="G2910" s="5" t="str">
        <f>TEXT(E2910,"mm")</f>
        <v>22/08/2024</v>
      </c>
      <c r="H2910" s="6">
        <v>1516.19</v>
      </c>
      <c r="I2910">
        <v>53</v>
      </c>
      <c r="L2910" t="str">
        <f t="shared" si="45"/>
        <v>Below Average</v>
      </c>
      <c r="M2910">
        <f>RANK(H2910,H:H,0)</f>
        <v>2802</v>
      </c>
    </row>
    <row r="2911" spans="1:13">
      <c r="A2911" t="s">
        <v>67</v>
      </c>
      <c r="B2911" t="s">
        <v>7</v>
      </c>
      <c r="C2911" t="s">
        <v>20</v>
      </c>
      <c r="D2911" s="3" t="s">
        <v>319</v>
      </c>
      <c r="E2911" s="5" t="str">
        <f>TEXT(D2911,"dd/mm/yyyy")</f>
        <v>25/07/2024</v>
      </c>
      <c r="G2911" s="5" t="str">
        <f>TEXT(E2911,"mm")</f>
        <v>25/07/2024</v>
      </c>
      <c r="H2911" s="6">
        <v>1258.54</v>
      </c>
      <c r="I2911">
        <v>72</v>
      </c>
      <c r="L2911" t="str">
        <f t="shared" si="45"/>
        <v>Below Average</v>
      </c>
      <c r="M2911">
        <f>RANK(H2911,H:H,0)</f>
        <v>2893</v>
      </c>
    </row>
    <row r="2912" spans="1:13">
      <c r="A2912" t="s">
        <v>40</v>
      </c>
      <c r="B2912" t="s">
        <v>7</v>
      </c>
      <c r="C2912" t="s">
        <v>26</v>
      </c>
      <c r="D2912" s="3" t="s">
        <v>333</v>
      </c>
      <c r="E2912" s="5" t="str">
        <f>TEXT(D2912,"dd/mm/yyyy")</f>
        <v>14/06/2024</v>
      </c>
      <c r="G2912" s="5" t="str">
        <f>TEXT(E2912,"mm")</f>
        <v>14/06/2024</v>
      </c>
      <c r="H2912" s="6">
        <v>3506.38</v>
      </c>
      <c r="I2912">
        <v>126</v>
      </c>
      <c r="L2912" t="str">
        <f t="shared" si="45"/>
        <v>Below Average</v>
      </c>
      <c r="M2912">
        <f>RANK(H2912,H:H,0)</f>
        <v>2137</v>
      </c>
    </row>
    <row r="2913" spans="1:13">
      <c r="A2913" t="s">
        <v>83</v>
      </c>
      <c r="B2913" t="s">
        <v>10</v>
      </c>
      <c r="C2913" t="s">
        <v>75</v>
      </c>
      <c r="D2913" s="4">
        <v>45416</v>
      </c>
      <c r="E2913" s="5" t="str">
        <f>TEXT(D2913,"dd/mm/yyyy")</f>
        <v>04/05/2024</v>
      </c>
      <c r="F2913" s="4"/>
      <c r="G2913" s="5" t="str">
        <f>TEXT(E2913,"mm")</f>
        <v>04</v>
      </c>
      <c r="H2913" s="6">
        <v>10969</v>
      </c>
      <c r="I2913">
        <v>83</v>
      </c>
      <c r="L2913" t="str">
        <f t="shared" si="45"/>
        <v>Above Average</v>
      </c>
      <c r="M2913">
        <f>RANK(H2913,H:H,0)</f>
        <v>443</v>
      </c>
    </row>
    <row r="2914" spans="1:13">
      <c r="A2914" t="s">
        <v>77</v>
      </c>
      <c r="B2914" t="s">
        <v>7</v>
      </c>
      <c r="C2914" t="s">
        <v>73</v>
      </c>
      <c r="D2914" s="3" t="s">
        <v>300</v>
      </c>
      <c r="E2914" s="5" t="str">
        <f>TEXT(D2914,"dd/mm/yyyy")</f>
        <v>26/08/2024</v>
      </c>
      <c r="G2914" s="5" t="str">
        <f>TEXT(E2914,"mm")</f>
        <v>26/08/2024</v>
      </c>
      <c r="H2914" s="6">
        <v>8442.19</v>
      </c>
      <c r="I2914">
        <v>347</v>
      </c>
      <c r="L2914" t="str">
        <f t="shared" si="45"/>
        <v>Above Average</v>
      </c>
      <c r="M2914">
        <f>RANK(H2914,H:H,0)</f>
        <v>847</v>
      </c>
    </row>
    <row r="2915" spans="1:13">
      <c r="A2915" t="s">
        <v>64</v>
      </c>
      <c r="B2915" t="s">
        <v>15</v>
      </c>
      <c r="C2915" t="s">
        <v>26</v>
      </c>
      <c r="D2915" s="4">
        <v>45359</v>
      </c>
      <c r="E2915" s="5" t="str">
        <f>TEXT(D2915,"dd/mm/yyyy")</f>
        <v>08/03/2024</v>
      </c>
      <c r="F2915" s="4"/>
      <c r="G2915" s="5" t="str">
        <f>TEXT(E2915,"mm")</f>
        <v>08</v>
      </c>
      <c r="H2915" s="6">
        <v>11000.85</v>
      </c>
      <c r="I2915">
        <v>112</v>
      </c>
      <c r="L2915" t="str">
        <f t="shared" si="45"/>
        <v>Above Average</v>
      </c>
      <c r="M2915">
        <f>RANK(H2915,H:H,0)</f>
        <v>438</v>
      </c>
    </row>
    <row r="2916" spans="1:13">
      <c r="A2916" t="s">
        <v>12</v>
      </c>
      <c r="B2916" t="s">
        <v>35</v>
      </c>
      <c r="C2916" t="s">
        <v>59</v>
      </c>
      <c r="D2916" s="4">
        <v>45603</v>
      </c>
      <c r="E2916" s="5" t="str">
        <f>TEXT(D2916,"dd/mm/yyyy")</f>
        <v>07/11/2024</v>
      </c>
      <c r="F2916" s="4"/>
      <c r="G2916" s="5" t="str">
        <f>TEXT(E2916,"mm")</f>
        <v>07</v>
      </c>
      <c r="H2916" s="6">
        <v>6987.59</v>
      </c>
      <c r="I2916">
        <v>4</v>
      </c>
      <c r="L2916" t="str">
        <f t="shared" si="45"/>
        <v>Above Average</v>
      </c>
      <c r="M2916">
        <f>RANK(H2916,H:H,0)</f>
        <v>1183</v>
      </c>
    </row>
    <row r="2917" spans="1:13">
      <c r="A2917" t="s">
        <v>64</v>
      </c>
      <c r="B2917" t="s">
        <v>25</v>
      </c>
      <c r="C2917" t="s">
        <v>36</v>
      </c>
      <c r="D2917" s="4">
        <v>45599</v>
      </c>
      <c r="E2917" s="5" t="str">
        <f>TEXT(D2917,"dd/mm/yyyy")</f>
        <v>03/11/2024</v>
      </c>
      <c r="F2917" s="4"/>
      <c r="G2917" s="5" t="str">
        <f>TEXT(E2917,"mm")</f>
        <v>03</v>
      </c>
      <c r="H2917" s="6">
        <v>3735</v>
      </c>
      <c r="I2917">
        <v>21</v>
      </c>
      <c r="L2917" t="str">
        <f t="shared" si="45"/>
        <v>Below Average</v>
      </c>
      <c r="M2917">
        <f>RANK(H2917,H:H,0)</f>
        <v>2061</v>
      </c>
    </row>
    <row r="2918" spans="1:13">
      <c r="A2918" t="s">
        <v>28</v>
      </c>
      <c r="B2918" t="s">
        <v>7</v>
      </c>
      <c r="C2918" t="s">
        <v>13</v>
      </c>
      <c r="D2918" s="4">
        <v>45566</v>
      </c>
      <c r="E2918" s="5" t="str">
        <f>TEXT(D2918,"dd/mm/yyyy")</f>
        <v>01/10/2024</v>
      </c>
      <c r="F2918" s="4"/>
      <c r="G2918" s="5" t="str">
        <f>TEXT(E2918,"mm")</f>
        <v>01</v>
      </c>
      <c r="H2918" s="6">
        <v>17346.79</v>
      </c>
      <c r="I2918">
        <v>32</v>
      </c>
      <c r="L2918" t="str">
        <f t="shared" si="45"/>
        <v>Above Average</v>
      </c>
      <c r="M2918">
        <f>RANK(H2918,H:H,0)</f>
        <v>57</v>
      </c>
    </row>
    <row r="2919" spans="1:13">
      <c r="A2919" t="s">
        <v>45</v>
      </c>
      <c r="B2919" t="s">
        <v>7</v>
      </c>
      <c r="C2919" t="s">
        <v>87</v>
      </c>
      <c r="D2919" s="4">
        <v>45386</v>
      </c>
      <c r="E2919" s="5" t="str">
        <f>TEXT(D2919,"dd/mm/yyyy")</f>
        <v>04/04/2024</v>
      </c>
      <c r="F2919" s="4"/>
      <c r="G2919" s="5" t="str">
        <f>TEXT(E2919,"mm")</f>
        <v>04</v>
      </c>
      <c r="H2919" s="6">
        <v>16517.2</v>
      </c>
      <c r="I2919">
        <v>349</v>
      </c>
      <c r="L2919" t="str">
        <f t="shared" si="45"/>
        <v>Above Average</v>
      </c>
      <c r="M2919">
        <f>RANK(H2919,H:H,0)</f>
        <v>83</v>
      </c>
    </row>
    <row r="2920" spans="1:13">
      <c r="A2920" t="s">
        <v>37</v>
      </c>
      <c r="B2920" t="s">
        <v>15</v>
      </c>
      <c r="C2920" t="s">
        <v>26</v>
      </c>
      <c r="D2920" s="3" t="s">
        <v>358</v>
      </c>
      <c r="E2920" s="5" t="str">
        <f>TEXT(D2920,"dd/mm/yyyy")</f>
        <v>17/01/2024</v>
      </c>
      <c r="G2920" s="5" t="str">
        <f>TEXT(E2920,"mm")</f>
        <v>17/01/2024</v>
      </c>
      <c r="H2920" s="6">
        <v>7642.94</v>
      </c>
      <c r="I2920">
        <v>778</v>
      </c>
      <c r="L2920" t="str">
        <f t="shared" si="45"/>
        <v>Above Average</v>
      </c>
      <c r="M2920">
        <f>RANK(H2920,H:H,0)</f>
        <v>1029</v>
      </c>
    </row>
    <row r="2921" spans="1:13">
      <c r="A2921" t="s">
        <v>40</v>
      </c>
      <c r="B2921" t="s">
        <v>25</v>
      </c>
      <c r="C2921" t="s">
        <v>42</v>
      </c>
      <c r="D2921" s="4">
        <v>45511</v>
      </c>
      <c r="E2921" s="5" t="str">
        <f>TEXT(D2921,"dd/mm/yyyy")</f>
        <v>07/08/2024</v>
      </c>
      <c r="F2921" s="4"/>
      <c r="G2921" s="5" t="str">
        <f>TEXT(E2921,"mm")</f>
        <v>07</v>
      </c>
      <c r="H2921" s="6">
        <v>10337.23</v>
      </c>
      <c r="I2921">
        <v>49</v>
      </c>
      <c r="L2921" t="str">
        <f t="shared" si="45"/>
        <v>Above Average</v>
      </c>
      <c r="M2921">
        <f>RANK(H2921,H:H,0)</f>
        <v>528</v>
      </c>
    </row>
    <row r="2922" spans="1:13">
      <c r="A2922" t="s">
        <v>14</v>
      </c>
      <c r="B2922" t="s">
        <v>7</v>
      </c>
      <c r="C2922" t="s">
        <v>42</v>
      </c>
      <c r="D2922" s="4">
        <v>45630</v>
      </c>
      <c r="E2922" s="5" t="str">
        <f>TEXT(D2922,"dd/mm/yyyy")</f>
        <v>04/12/2024</v>
      </c>
      <c r="F2922" s="4"/>
      <c r="G2922" s="5" t="str">
        <f>TEXT(E2922,"mm")</f>
        <v>04</v>
      </c>
      <c r="H2922" s="6">
        <v>1367.24</v>
      </c>
      <c r="I2922">
        <v>384</v>
      </c>
      <c r="L2922" t="str">
        <f t="shared" si="45"/>
        <v>Below Average</v>
      </c>
      <c r="M2922">
        <f>RANK(H2922,H:H,0)</f>
        <v>2855</v>
      </c>
    </row>
    <row r="2923" spans="1:13">
      <c r="A2923" t="s">
        <v>29</v>
      </c>
      <c r="B2923" t="s">
        <v>35</v>
      </c>
      <c r="C2923" t="s">
        <v>57</v>
      </c>
      <c r="D2923" s="3" t="s">
        <v>285</v>
      </c>
      <c r="E2923" s="5" t="str">
        <f>TEXT(D2923,"dd/mm/yyyy")</f>
        <v>24/08/2024</v>
      </c>
      <c r="G2923" s="5" t="str">
        <f>TEXT(E2923,"mm")</f>
        <v>24/08/2024</v>
      </c>
      <c r="H2923" s="6">
        <v>570.58000000000004</v>
      </c>
      <c r="I2923">
        <v>191</v>
      </c>
      <c r="L2923" t="str">
        <f t="shared" si="45"/>
        <v>Below Average</v>
      </c>
      <c r="M2923">
        <f>RANK(H2923,H:H,0)</f>
        <v>3107</v>
      </c>
    </row>
    <row r="2924" spans="1:13">
      <c r="A2924" t="s">
        <v>83</v>
      </c>
      <c r="B2924" t="s">
        <v>7</v>
      </c>
      <c r="C2924" t="s">
        <v>75</v>
      </c>
      <c r="D2924" s="4">
        <v>45479</v>
      </c>
      <c r="E2924" s="5" t="str">
        <f>TEXT(D2924,"dd/mm/yyyy")</f>
        <v>06/07/2024</v>
      </c>
      <c r="F2924" s="4"/>
      <c r="G2924" s="5" t="str">
        <f>TEXT(E2924,"mm")</f>
        <v>06</v>
      </c>
      <c r="H2924" s="6">
        <v>2012.27</v>
      </c>
      <c r="I2924">
        <v>259</v>
      </c>
      <c r="L2924" t="str">
        <f t="shared" si="45"/>
        <v>Below Average</v>
      </c>
      <c r="M2924">
        <f>RANK(H2924,H:H,0)</f>
        <v>2631</v>
      </c>
    </row>
    <row r="2925" spans="1:13">
      <c r="A2925" t="s">
        <v>22</v>
      </c>
      <c r="B2925" t="s">
        <v>35</v>
      </c>
      <c r="C2925" t="s">
        <v>65</v>
      </c>
      <c r="D2925" s="3" t="s">
        <v>271</v>
      </c>
      <c r="E2925" s="5" t="str">
        <f>TEXT(D2925,"dd/mm/yyyy")</f>
        <v>28/07/2024</v>
      </c>
      <c r="G2925" s="5" t="str">
        <f>TEXT(E2925,"mm")</f>
        <v>28/07/2024</v>
      </c>
      <c r="H2925" s="6">
        <v>1469.24</v>
      </c>
      <c r="I2925">
        <v>29</v>
      </c>
      <c r="L2925" t="str">
        <f t="shared" si="45"/>
        <v>Below Average</v>
      </c>
      <c r="M2925">
        <f>RANK(H2925,H:H,0)</f>
        <v>2812</v>
      </c>
    </row>
    <row r="2926" spans="1:13">
      <c r="A2926" t="s">
        <v>53</v>
      </c>
      <c r="B2926" t="s">
        <v>32</v>
      </c>
      <c r="C2926" t="s">
        <v>20</v>
      </c>
      <c r="D2926" s="3" t="s">
        <v>315</v>
      </c>
      <c r="E2926" s="5" t="str">
        <f>TEXT(D2926,"dd/mm/yyyy")</f>
        <v>21/02/2024</v>
      </c>
      <c r="G2926" s="5" t="str">
        <f>TEXT(E2926,"mm")</f>
        <v>21/02/2024</v>
      </c>
      <c r="H2926" s="6">
        <v>10020.18</v>
      </c>
      <c r="I2926">
        <v>113</v>
      </c>
      <c r="L2926" t="str">
        <f t="shared" si="45"/>
        <v>Above Average</v>
      </c>
      <c r="M2926">
        <f>RANK(H2926,H:H,0)</f>
        <v>578</v>
      </c>
    </row>
    <row r="2927" spans="1:13">
      <c r="A2927" t="s">
        <v>58</v>
      </c>
      <c r="B2927" t="s">
        <v>35</v>
      </c>
      <c r="C2927" t="s">
        <v>8</v>
      </c>
      <c r="D2927" s="4">
        <v>45508</v>
      </c>
      <c r="E2927" s="5" t="str">
        <f>TEXT(D2927,"dd/mm/yyyy")</f>
        <v>04/08/2024</v>
      </c>
      <c r="F2927" s="4"/>
      <c r="G2927" s="5" t="str">
        <f>TEXT(E2927,"mm")</f>
        <v>04</v>
      </c>
      <c r="H2927" s="6">
        <v>1914.65</v>
      </c>
      <c r="I2927">
        <v>304</v>
      </c>
      <c r="L2927" t="str">
        <f t="shared" si="45"/>
        <v>Below Average</v>
      </c>
      <c r="M2927">
        <f>RANK(H2927,H:H,0)</f>
        <v>2659</v>
      </c>
    </row>
    <row r="2928" spans="1:13">
      <c r="A2928" t="s">
        <v>28</v>
      </c>
      <c r="B2928" t="s">
        <v>7</v>
      </c>
      <c r="C2928" t="s">
        <v>60</v>
      </c>
      <c r="D2928" s="3" t="s">
        <v>294</v>
      </c>
      <c r="E2928" s="5" t="str">
        <f>TEXT(D2928,"dd/mm/yyyy")</f>
        <v>28/06/2024</v>
      </c>
      <c r="G2928" s="5" t="str">
        <f>TEXT(E2928,"mm")</f>
        <v>28/06/2024</v>
      </c>
      <c r="H2928" s="6">
        <v>73.91</v>
      </c>
      <c r="I2928">
        <v>101</v>
      </c>
      <c r="L2928" t="str">
        <f t="shared" si="45"/>
        <v>Below Average</v>
      </c>
      <c r="M2928">
        <f>RANK(H2928,H:H,0)</f>
        <v>3255</v>
      </c>
    </row>
    <row r="2929" spans="1:13">
      <c r="A2929" t="s">
        <v>9</v>
      </c>
      <c r="B2929" t="s">
        <v>7</v>
      </c>
      <c r="C2929" t="s">
        <v>87</v>
      </c>
      <c r="D2929" s="3" t="s">
        <v>268</v>
      </c>
      <c r="E2929" s="5" t="str">
        <f>TEXT(D2929,"dd/mm/yyyy")</f>
        <v>24/03/2024</v>
      </c>
      <c r="G2929" s="5" t="str">
        <f>TEXT(E2929,"mm")</f>
        <v>24/03/2024</v>
      </c>
      <c r="H2929" s="6">
        <v>2794.33</v>
      </c>
      <c r="I2929">
        <v>21</v>
      </c>
      <c r="L2929" t="str">
        <f t="shared" si="45"/>
        <v>Below Average</v>
      </c>
      <c r="M2929">
        <f>RANK(H2929,H:H,0)</f>
        <v>2376</v>
      </c>
    </row>
    <row r="2930" spans="1:13">
      <c r="A2930" t="s">
        <v>31</v>
      </c>
      <c r="B2930" t="s">
        <v>15</v>
      </c>
      <c r="C2930" t="s">
        <v>90</v>
      </c>
      <c r="D2930" s="3" t="s">
        <v>326</v>
      </c>
      <c r="E2930" s="5" t="str">
        <f>TEXT(D2930,"dd/mm/yyyy")</f>
        <v>29/07/2024</v>
      </c>
      <c r="G2930" s="5" t="str">
        <f>TEXT(E2930,"mm")</f>
        <v>29/07/2024</v>
      </c>
      <c r="H2930" s="6">
        <v>3192.06</v>
      </c>
      <c r="I2930">
        <v>54</v>
      </c>
      <c r="L2930" t="str">
        <f t="shared" si="45"/>
        <v>Below Average</v>
      </c>
      <c r="M2930">
        <f>RANK(H2930,H:H,0)</f>
        <v>2234</v>
      </c>
    </row>
    <row r="2931" spans="1:13">
      <c r="A2931" t="s">
        <v>58</v>
      </c>
      <c r="B2931" t="s">
        <v>32</v>
      </c>
      <c r="C2931" t="s">
        <v>36</v>
      </c>
      <c r="D2931" s="3" t="s">
        <v>306</v>
      </c>
      <c r="E2931" s="5" t="str">
        <f>TEXT(D2931,"dd/mm/yyyy")</f>
        <v>25/05/2024</v>
      </c>
      <c r="G2931" s="5" t="str">
        <f>TEXT(E2931,"mm")</f>
        <v>25/05/2024</v>
      </c>
      <c r="H2931" s="6">
        <v>2447.37</v>
      </c>
      <c r="I2931">
        <v>98</v>
      </c>
      <c r="L2931" t="str">
        <f t="shared" si="45"/>
        <v>Below Average</v>
      </c>
      <c r="M2931">
        <f>RANK(H2931,H:H,0)</f>
        <v>2497</v>
      </c>
    </row>
    <row r="2932" spans="1:13">
      <c r="A2932" t="s">
        <v>12</v>
      </c>
      <c r="B2932" t="s">
        <v>15</v>
      </c>
      <c r="C2932" t="s">
        <v>73</v>
      </c>
      <c r="D2932" s="3" t="s">
        <v>361</v>
      </c>
      <c r="E2932" s="5" t="str">
        <f>TEXT(D2932,"dd/mm/yyyy")</f>
        <v>30/03/2024</v>
      </c>
      <c r="G2932" s="5" t="str">
        <f>TEXT(E2932,"mm")</f>
        <v>30/03/2024</v>
      </c>
      <c r="H2932" s="6">
        <v>7696.46</v>
      </c>
      <c r="I2932">
        <v>313</v>
      </c>
      <c r="L2932" t="str">
        <f t="shared" si="45"/>
        <v>Above Average</v>
      </c>
      <c r="M2932">
        <f>RANK(H2932,H:H,0)</f>
        <v>1017</v>
      </c>
    </row>
    <row r="2933" spans="1:13">
      <c r="A2933" t="s">
        <v>58</v>
      </c>
      <c r="B2933" t="s">
        <v>32</v>
      </c>
      <c r="C2933" t="s">
        <v>42</v>
      </c>
      <c r="D2933" s="3" t="s">
        <v>351</v>
      </c>
      <c r="E2933" s="5" t="str">
        <f>TEXT(D2933,"dd/mm/yyyy")</f>
        <v>18/07/2024</v>
      </c>
      <c r="G2933" s="5" t="str">
        <f>TEXT(E2933,"mm")</f>
        <v>18/07/2024</v>
      </c>
      <c r="H2933" s="6">
        <v>14731.55</v>
      </c>
      <c r="I2933">
        <v>132</v>
      </c>
      <c r="L2933" t="str">
        <f t="shared" si="45"/>
        <v>Above Average</v>
      </c>
      <c r="M2933">
        <f>RANK(H2933,H:H,0)</f>
        <v>162</v>
      </c>
    </row>
    <row r="2934" spans="1:13">
      <c r="A2934" t="s">
        <v>41</v>
      </c>
      <c r="B2934" t="s">
        <v>35</v>
      </c>
      <c r="C2934" t="s">
        <v>33</v>
      </c>
      <c r="D2934" s="4">
        <v>45570</v>
      </c>
      <c r="E2934" s="5" t="str">
        <f>TEXT(D2934,"dd/mm/yyyy")</f>
        <v>05/10/2024</v>
      </c>
      <c r="F2934" s="4"/>
      <c r="G2934" s="5" t="str">
        <f>TEXT(E2934,"mm")</f>
        <v>05</v>
      </c>
      <c r="H2934" s="6">
        <v>9321.64</v>
      </c>
      <c r="I2934">
        <v>111</v>
      </c>
      <c r="L2934" t="str">
        <f t="shared" si="45"/>
        <v>Above Average</v>
      </c>
      <c r="M2934">
        <f>RANK(H2934,H:H,0)</f>
        <v>686</v>
      </c>
    </row>
    <row r="2935" spans="1:13">
      <c r="A2935" t="s">
        <v>34</v>
      </c>
      <c r="B2935" t="s">
        <v>15</v>
      </c>
      <c r="C2935" t="s">
        <v>75</v>
      </c>
      <c r="D2935" s="3" t="s">
        <v>339</v>
      </c>
      <c r="E2935" s="5" t="str">
        <f>TEXT(D2935,"dd/mm/yyyy")</f>
        <v>18/03/2024</v>
      </c>
      <c r="G2935" s="5" t="str">
        <f>TEXT(E2935,"mm")</f>
        <v>18/03/2024</v>
      </c>
      <c r="H2935" s="6">
        <v>18473.63</v>
      </c>
      <c r="I2935">
        <v>88</v>
      </c>
      <c r="L2935" t="str">
        <f t="shared" si="45"/>
        <v>Above Average</v>
      </c>
      <c r="M2935">
        <f>RANK(H2935,H:H,0)</f>
        <v>36</v>
      </c>
    </row>
    <row r="2936" spans="1:13">
      <c r="A2936" t="s">
        <v>83</v>
      </c>
      <c r="B2936" t="s">
        <v>10</v>
      </c>
      <c r="C2936" t="s">
        <v>90</v>
      </c>
      <c r="D2936" s="3" t="s">
        <v>280</v>
      </c>
      <c r="E2936" s="5" t="str">
        <f>TEXT(D2936,"dd/mm/yyyy")</f>
        <v>15/06/2024</v>
      </c>
      <c r="G2936" s="5" t="str">
        <f>TEXT(E2936,"mm")</f>
        <v>15/06/2024</v>
      </c>
      <c r="H2936" s="6">
        <v>7437.55</v>
      </c>
      <c r="I2936">
        <v>54</v>
      </c>
      <c r="L2936" t="str">
        <f t="shared" si="45"/>
        <v>Above Average</v>
      </c>
      <c r="M2936">
        <f>RANK(H2936,H:H,0)</f>
        <v>1081</v>
      </c>
    </row>
    <row r="2937" spans="1:13">
      <c r="A2937" t="s">
        <v>9</v>
      </c>
      <c r="B2937" t="s">
        <v>35</v>
      </c>
      <c r="C2937" t="s">
        <v>26</v>
      </c>
      <c r="D2937" s="4">
        <v>45631</v>
      </c>
      <c r="E2937" s="5" t="str">
        <f>TEXT(D2937,"dd/mm/yyyy")</f>
        <v>05/12/2024</v>
      </c>
      <c r="F2937" s="4"/>
      <c r="G2937" s="5" t="str">
        <f>TEXT(E2937,"mm")</f>
        <v>05</v>
      </c>
      <c r="H2937" s="6">
        <v>14581.33</v>
      </c>
      <c r="I2937">
        <v>58</v>
      </c>
      <c r="L2937" t="str">
        <f t="shared" si="45"/>
        <v>Above Average</v>
      </c>
      <c r="M2937">
        <f>RANK(H2937,H:H,0)</f>
        <v>175</v>
      </c>
    </row>
    <row r="2938" spans="1:13">
      <c r="A2938" t="s">
        <v>70</v>
      </c>
      <c r="B2938" t="s">
        <v>25</v>
      </c>
      <c r="C2938" t="s">
        <v>87</v>
      </c>
      <c r="D2938" s="3" t="s">
        <v>348</v>
      </c>
      <c r="E2938" s="5" t="str">
        <f>TEXT(D2938,"dd/mm/yyyy")</f>
        <v>23/06/2024</v>
      </c>
      <c r="G2938" s="5" t="str">
        <f>TEXT(E2938,"mm")</f>
        <v>23/06/2024</v>
      </c>
      <c r="H2938" s="6">
        <v>3389.96</v>
      </c>
      <c r="I2938">
        <v>115</v>
      </c>
      <c r="L2938" t="str">
        <f t="shared" si="45"/>
        <v>Below Average</v>
      </c>
      <c r="M2938">
        <f>RANK(H2938,H:H,0)</f>
        <v>2178</v>
      </c>
    </row>
    <row r="2939" spans="1:13">
      <c r="A2939" t="s">
        <v>41</v>
      </c>
      <c r="B2939" t="s">
        <v>10</v>
      </c>
      <c r="C2939" t="s">
        <v>50</v>
      </c>
      <c r="D2939" s="3" t="s">
        <v>344</v>
      </c>
      <c r="E2939" s="5" t="str">
        <f>TEXT(D2939,"dd/mm/yyyy")</f>
        <v>21/04/2024</v>
      </c>
      <c r="G2939" s="5" t="str">
        <f>TEXT(E2939,"mm")</f>
        <v>21/04/2024</v>
      </c>
      <c r="H2939" s="6">
        <v>3968.38</v>
      </c>
      <c r="I2939">
        <v>182</v>
      </c>
      <c r="L2939" t="str">
        <f t="shared" si="45"/>
        <v>Below Average</v>
      </c>
      <c r="M2939">
        <f>RANK(H2939,H:H,0)</f>
        <v>1994</v>
      </c>
    </row>
    <row r="2940" spans="1:13">
      <c r="A2940" t="s">
        <v>12</v>
      </c>
      <c r="B2940" t="s">
        <v>15</v>
      </c>
      <c r="C2940" t="s">
        <v>65</v>
      </c>
      <c r="D2940" s="3" t="s">
        <v>341</v>
      </c>
      <c r="E2940" s="5" t="str">
        <f>TEXT(D2940,"dd/mm/yyyy")</f>
        <v>17/08/2024</v>
      </c>
      <c r="G2940" s="5" t="str">
        <f>TEXT(E2940,"mm")</f>
        <v>17/08/2024</v>
      </c>
      <c r="H2940" s="6">
        <v>1084.26</v>
      </c>
      <c r="I2940">
        <v>120</v>
      </c>
      <c r="L2940" t="str">
        <f t="shared" si="45"/>
        <v>Below Average</v>
      </c>
      <c r="M2940">
        <f>RANK(H2940,H:H,0)</f>
        <v>2946</v>
      </c>
    </row>
    <row r="2941" spans="1:13">
      <c r="A2941" t="s">
        <v>29</v>
      </c>
      <c r="B2941" t="s">
        <v>25</v>
      </c>
      <c r="C2941" t="s">
        <v>36</v>
      </c>
      <c r="D2941" s="4">
        <v>45475</v>
      </c>
      <c r="E2941" s="5" t="str">
        <f>TEXT(D2941,"dd/mm/yyyy")</f>
        <v>02/07/2024</v>
      </c>
      <c r="F2941" s="4"/>
      <c r="G2941" s="5" t="str">
        <f>TEXT(E2941,"mm")</f>
        <v>02</v>
      </c>
      <c r="H2941" s="6">
        <v>20690.2</v>
      </c>
      <c r="I2941">
        <v>51</v>
      </c>
      <c r="L2941" t="str">
        <f t="shared" si="45"/>
        <v>Above Average</v>
      </c>
      <c r="M2941">
        <f>RANK(H2941,H:H,0)</f>
        <v>14</v>
      </c>
    </row>
    <row r="2942" spans="1:13">
      <c r="A2942" t="s">
        <v>70</v>
      </c>
      <c r="B2942" t="s">
        <v>35</v>
      </c>
      <c r="C2942" t="s">
        <v>18</v>
      </c>
      <c r="D2942" s="3" t="s">
        <v>329</v>
      </c>
      <c r="E2942" s="5" t="str">
        <f>TEXT(D2942,"dd/mm/yyyy")</f>
        <v>17/03/2024</v>
      </c>
      <c r="G2942" s="5" t="str">
        <f>TEXT(E2942,"mm")</f>
        <v>17/03/2024</v>
      </c>
      <c r="H2942" s="6">
        <v>8929.57</v>
      </c>
      <c r="I2942">
        <v>121</v>
      </c>
      <c r="L2942" t="str">
        <f t="shared" si="45"/>
        <v>Above Average</v>
      </c>
      <c r="M2942">
        <f>RANK(H2942,H:H,0)</f>
        <v>752</v>
      </c>
    </row>
    <row r="2943" spans="1:13">
      <c r="A2943" t="s">
        <v>14</v>
      </c>
      <c r="B2943" t="s">
        <v>10</v>
      </c>
      <c r="C2943" t="s">
        <v>87</v>
      </c>
      <c r="D2943" s="4">
        <v>45299</v>
      </c>
      <c r="E2943" s="5" t="str">
        <f>TEXT(D2943,"dd/mm/yyyy")</f>
        <v>08/01/2024</v>
      </c>
      <c r="F2943" s="4"/>
      <c r="G2943" s="5" t="str">
        <f>TEXT(E2943,"mm")</f>
        <v>08</v>
      </c>
      <c r="H2943" s="6">
        <v>15497.27</v>
      </c>
      <c r="I2943">
        <v>85</v>
      </c>
      <c r="L2943" t="str">
        <f t="shared" si="45"/>
        <v>Above Average</v>
      </c>
      <c r="M2943">
        <f>RANK(H2943,H:H,0)</f>
        <v>126</v>
      </c>
    </row>
    <row r="2944" spans="1:13">
      <c r="A2944" t="s">
        <v>6</v>
      </c>
      <c r="B2944" t="s">
        <v>15</v>
      </c>
      <c r="C2944" t="s">
        <v>46</v>
      </c>
      <c r="D2944" s="3" t="s">
        <v>339</v>
      </c>
      <c r="E2944" s="5" t="str">
        <f>TEXT(D2944,"dd/mm/yyyy")</f>
        <v>18/03/2024</v>
      </c>
      <c r="G2944" s="5" t="str">
        <f>TEXT(E2944,"mm")</f>
        <v>18/03/2024</v>
      </c>
      <c r="H2944" s="6">
        <v>9172.1299999999992</v>
      </c>
      <c r="I2944">
        <v>30</v>
      </c>
      <c r="L2944" t="str">
        <f t="shared" si="45"/>
        <v>Above Average</v>
      </c>
      <c r="M2944">
        <f>RANK(H2944,H:H,0)</f>
        <v>707</v>
      </c>
    </row>
    <row r="2945" spans="1:13">
      <c r="A2945" t="s">
        <v>12</v>
      </c>
      <c r="B2945" t="s">
        <v>35</v>
      </c>
      <c r="C2945" t="s">
        <v>57</v>
      </c>
      <c r="D2945" s="3" t="s">
        <v>333</v>
      </c>
      <c r="E2945" s="5" t="str">
        <f>TEXT(D2945,"dd/mm/yyyy")</f>
        <v>14/06/2024</v>
      </c>
      <c r="G2945" s="5" t="str">
        <f>TEXT(E2945,"mm")</f>
        <v>14/06/2024</v>
      </c>
      <c r="H2945" s="6">
        <v>6093.61</v>
      </c>
      <c r="I2945">
        <v>104</v>
      </c>
      <c r="L2945" t="str">
        <f t="shared" si="45"/>
        <v>Above Average</v>
      </c>
      <c r="M2945">
        <f>RANK(H2945,H:H,0)</f>
        <v>1404</v>
      </c>
    </row>
    <row r="2946" spans="1:13">
      <c r="A2946" t="s">
        <v>41</v>
      </c>
      <c r="B2946" t="s">
        <v>7</v>
      </c>
      <c r="C2946" t="s">
        <v>36</v>
      </c>
      <c r="D2946" s="3" t="s">
        <v>340</v>
      </c>
      <c r="E2946" s="5" t="str">
        <f>TEXT(D2946,"dd/mm/yyyy")</f>
        <v>22/04/2024</v>
      </c>
      <c r="G2946" s="5" t="str">
        <f>TEXT(E2946,"mm")</f>
        <v>22/04/2024</v>
      </c>
      <c r="H2946" s="6">
        <v>9144.7900000000009</v>
      </c>
      <c r="I2946">
        <v>156</v>
      </c>
      <c r="L2946" t="str">
        <f t="shared" si="45"/>
        <v>Above Average</v>
      </c>
      <c r="M2946">
        <f>RANK(H2946,H:H,0)</f>
        <v>712</v>
      </c>
    </row>
    <row r="2947" spans="1:13">
      <c r="A2947" t="s">
        <v>40</v>
      </c>
      <c r="B2947" t="s">
        <v>25</v>
      </c>
      <c r="C2947" t="s">
        <v>36</v>
      </c>
      <c r="D2947" s="3" t="s">
        <v>321</v>
      </c>
      <c r="E2947" s="5" t="str">
        <f>TEXT(D2947,"dd/mm/yyyy")</f>
        <v>18/01/2024</v>
      </c>
      <c r="G2947" s="5" t="str">
        <f>TEXT(E2947,"mm")</f>
        <v>18/01/2024</v>
      </c>
      <c r="H2947" s="6">
        <v>5902.91</v>
      </c>
      <c r="I2947">
        <v>31</v>
      </c>
      <c r="L2947" t="str">
        <f t="shared" ref="L2947:L3010" si="46">IF(H2947&gt;6030.34,"Above Average","Below Average")</f>
        <v>Below Average</v>
      </c>
      <c r="M2947">
        <f>RANK(H2947,H:H,0)</f>
        <v>1458</v>
      </c>
    </row>
    <row r="2948" spans="1:13">
      <c r="A2948" t="s">
        <v>53</v>
      </c>
      <c r="B2948" t="s">
        <v>15</v>
      </c>
      <c r="C2948" t="s">
        <v>20</v>
      </c>
      <c r="D2948" s="3" t="s">
        <v>300</v>
      </c>
      <c r="E2948" s="5" t="str">
        <f>TEXT(D2948,"dd/mm/yyyy")</f>
        <v>26/08/2024</v>
      </c>
      <c r="G2948" s="5" t="str">
        <f>TEXT(E2948,"mm")</f>
        <v>26/08/2024</v>
      </c>
      <c r="H2948" s="6">
        <v>3277.47</v>
      </c>
      <c r="I2948">
        <v>131</v>
      </c>
      <c r="L2948" t="str">
        <f t="shared" si="46"/>
        <v>Below Average</v>
      </c>
      <c r="M2948">
        <f>RANK(H2948,H:H,0)</f>
        <v>2217</v>
      </c>
    </row>
    <row r="2949" spans="1:13">
      <c r="A2949" t="s">
        <v>22</v>
      </c>
      <c r="B2949" t="s">
        <v>25</v>
      </c>
      <c r="C2949" t="s">
        <v>57</v>
      </c>
      <c r="D2949" s="4">
        <v>45571</v>
      </c>
      <c r="E2949" s="5" t="str">
        <f>TEXT(D2949,"dd/mm/yyyy")</f>
        <v>06/10/2024</v>
      </c>
      <c r="F2949" s="4"/>
      <c r="G2949" s="5" t="str">
        <f>TEXT(E2949,"mm")</f>
        <v>06</v>
      </c>
      <c r="H2949" s="6">
        <v>9759.5300000000007</v>
      </c>
      <c r="I2949">
        <v>424</v>
      </c>
      <c r="L2949" t="str">
        <f t="shared" si="46"/>
        <v>Above Average</v>
      </c>
      <c r="M2949">
        <f>RANK(H2949,H:H,0)</f>
        <v>621</v>
      </c>
    </row>
    <row r="2950" spans="1:13">
      <c r="A2950" t="s">
        <v>48</v>
      </c>
      <c r="B2950" t="s">
        <v>35</v>
      </c>
      <c r="C2950" t="s">
        <v>100</v>
      </c>
      <c r="D2950" s="3" t="s">
        <v>303</v>
      </c>
      <c r="E2950" s="5" t="str">
        <f>TEXT(D2950,"dd/mm/yyyy")</f>
        <v>31/01/2024</v>
      </c>
      <c r="G2950" s="5" t="str">
        <f>TEXT(E2950,"mm")</f>
        <v>31/01/2024</v>
      </c>
      <c r="H2950" s="6">
        <v>2504.9</v>
      </c>
      <c r="I2950">
        <v>7</v>
      </c>
      <c r="L2950" t="str">
        <f t="shared" si="46"/>
        <v>Below Average</v>
      </c>
      <c r="M2950">
        <f>RANK(H2950,H:H,0)</f>
        <v>2470</v>
      </c>
    </row>
    <row r="2951" spans="1:13">
      <c r="A2951" t="s">
        <v>70</v>
      </c>
      <c r="B2951" t="s">
        <v>25</v>
      </c>
      <c r="C2951" t="s">
        <v>60</v>
      </c>
      <c r="D2951" s="4">
        <v>45508</v>
      </c>
      <c r="E2951" s="5" t="str">
        <f>TEXT(D2951,"dd/mm/yyyy")</f>
        <v>04/08/2024</v>
      </c>
      <c r="F2951" s="4"/>
      <c r="G2951" s="5" t="str">
        <f>TEXT(E2951,"mm")</f>
        <v>04</v>
      </c>
      <c r="H2951" s="6">
        <v>1527.99</v>
      </c>
      <c r="I2951">
        <v>107</v>
      </c>
      <c r="L2951" t="str">
        <f t="shared" si="46"/>
        <v>Below Average</v>
      </c>
      <c r="M2951">
        <f>RANK(H2951,H:H,0)</f>
        <v>2798</v>
      </c>
    </row>
    <row r="2952" spans="1:13">
      <c r="A2952" t="s">
        <v>79</v>
      </c>
      <c r="B2952" t="s">
        <v>15</v>
      </c>
      <c r="C2952" t="s">
        <v>87</v>
      </c>
      <c r="D2952" s="4">
        <v>45479</v>
      </c>
      <c r="E2952" s="5" t="str">
        <f>TEXT(D2952,"dd/mm/yyyy")</f>
        <v>06/07/2024</v>
      </c>
      <c r="F2952" s="4"/>
      <c r="G2952" s="5" t="str">
        <f>TEXT(E2952,"mm")</f>
        <v>06</v>
      </c>
      <c r="H2952" s="6">
        <v>3767.49</v>
      </c>
      <c r="I2952">
        <v>65</v>
      </c>
      <c r="L2952" t="str">
        <f t="shared" si="46"/>
        <v>Below Average</v>
      </c>
      <c r="M2952">
        <f>RANK(H2952,H:H,0)</f>
        <v>2047</v>
      </c>
    </row>
    <row r="2953" spans="1:13">
      <c r="A2953" t="s">
        <v>31</v>
      </c>
      <c r="B2953" t="s">
        <v>15</v>
      </c>
      <c r="C2953" t="s">
        <v>11</v>
      </c>
      <c r="D2953" s="4">
        <v>45567</v>
      </c>
      <c r="E2953" s="5" t="str">
        <f>TEXT(D2953,"dd/mm/yyyy")</f>
        <v>02/10/2024</v>
      </c>
      <c r="F2953" s="4"/>
      <c r="G2953" s="5" t="str">
        <f>TEXT(E2953,"mm")</f>
        <v>02</v>
      </c>
      <c r="H2953" s="6">
        <v>9452.18</v>
      </c>
      <c r="I2953">
        <v>42</v>
      </c>
      <c r="L2953" t="str">
        <f t="shared" si="46"/>
        <v>Above Average</v>
      </c>
      <c r="M2953">
        <f>RANK(H2953,H:H,0)</f>
        <v>665</v>
      </c>
    </row>
    <row r="2954" spans="1:13">
      <c r="A2954" t="s">
        <v>41</v>
      </c>
      <c r="B2954" t="s">
        <v>15</v>
      </c>
      <c r="C2954" t="s">
        <v>26</v>
      </c>
      <c r="D2954" s="3" t="s">
        <v>295</v>
      </c>
      <c r="E2954" s="5" t="str">
        <f>TEXT(D2954,"dd/mm/yyyy")</f>
        <v>16/05/2024</v>
      </c>
      <c r="G2954" s="5" t="str">
        <f>TEXT(E2954,"mm")</f>
        <v>16/05/2024</v>
      </c>
      <c r="H2954" s="6">
        <v>764.63</v>
      </c>
      <c r="I2954">
        <v>441</v>
      </c>
      <c r="L2954" t="str">
        <f t="shared" si="46"/>
        <v>Below Average</v>
      </c>
      <c r="M2954">
        <f>RANK(H2954,H:H,0)</f>
        <v>3043</v>
      </c>
    </row>
    <row r="2955" spans="1:13">
      <c r="A2955" t="s">
        <v>22</v>
      </c>
      <c r="B2955" t="s">
        <v>10</v>
      </c>
      <c r="C2955" t="s">
        <v>87</v>
      </c>
      <c r="D2955" s="3" t="s">
        <v>339</v>
      </c>
      <c r="E2955" s="5" t="str">
        <f>TEXT(D2955,"dd/mm/yyyy")</f>
        <v>18/03/2024</v>
      </c>
      <c r="G2955" s="5" t="str">
        <f>TEXT(E2955,"mm")</f>
        <v>18/03/2024</v>
      </c>
      <c r="H2955" s="6">
        <v>2432.75</v>
      </c>
      <c r="I2955">
        <v>535</v>
      </c>
      <c r="L2955" t="str">
        <f t="shared" si="46"/>
        <v>Below Average</v>
      </c>
      <c r="M2955">
        <f>RANK(H2955,H:H,0)</f>
        <v>2506</v>
      </c>
    </row>
    <row r="2956" spans="1:13">
      <c r="A2956" t="s">
        <v>9</v>
      </c>
      <c r="B2956" t="s">
        <v>15</v>
      </c>
      <c r="C2956" t="s">
        <v>26</v>
      </c>
      <c r="D2956" s="3" t="s">
        <v>301</v>
      </c>
      <c r="E2956" s="5" t="str">
        <f>TEXT(D2956,"dd/mm/yyyy")</f>
        <v>13/07/2024</v>
      </c>
      <c r="G2956" s="5" t="str">
        <f>TEXT(E2956,"mm")</f>
        <v>13/07/2024</v>
      </c>
      <c r="H2956" s="6">
        <v>779.04</v>
      </c>
      <c r="I2956">
        <v>134</v>
      </c>
      <c r="L2956" t="str">
        <f t="shared" si="46"/>
        <v>Below Average</v>
      </c>
      <c r="M2956">
        <f>RANK(H2956,H:H,0)</f>
        <v>3036</v>
      </c>
    </row>
    <row r="2957" spans="1:13">
      <c r="A2957" t="s">
        <v>19</v>
      </c>
      <c r="B2957" t="s">
        <v>32</v>
      </c>
      <c r="C2957" t="s">
        <v>60</v>
      </c>
      <c r="D2957" s="3" t="s">
        <v>319</v>
      </c>
      <c r="E2957" s="5" t="str">
        <f>TEXT(D2957,"dd/mm/yyyy")</f>
        <v>25/07/2024</v>
      </c>
      <c r="G2957" s="5" t="str">
        <f>TEXT(E2957,"mm")</f>
        <v>25/07/2024</v>
      </c>
      <c r="H2957" s="6">
        <v>5050.53</v>
      </c>
      <c r="I2957">
        <v>85</v>
      </c>
      <c r="L2957" t="str">
        <f t="shared" si="46"/>
        <v>Below Average</v>
      </c>
      <c r="M2957">
        <f>RANK(H2957,H:H,0)</f>
        <v>1693</v>
      </c>
    </row>
    <row r="2958" spans="1:13">
      <c r="A2958" t="s">
        <v>9</v>
      </c>
      <c r="B2958" t="s">
        <v>35</v>
      </c>
      <c r="C2958" t="s">
        <v>75</v>
      </c>
      <c r="D2958" s="3" t="s">
        <v>343</v>
      </c>
      <c r="E2958" s="5" t="str">
        <f>TEXT(D2958,"dd/mm/yyyy")</f>
        <v>19/08/2024</v>
      </c>
      <c r="G2958" s="5" t="str">
        <f>TEXT(E2958,"mm")</f>
        <v>19/08/2024</v>
      </c>
      <c r="H2958" s="6">
        <v>2727.35</v>
      </c>
      <c r="I2958">
        <v>293</v>
      </c>
      <c r="L2958" t="str">
        <f t="shared" si="46"/>
        <v>Below Average</v>
      </c>
      <c r="M2958">
        <f>RANK(H2958,H:H,0)</f>
        <v>2395</v>
      </c>
    </row>
    <row r="2959" spans="1:13">
      <c r="A2959" t="s">
        <v>37</v>
      </c>
      <c r="B2959" t="s">
        <v>35</v>
      </c>
      <c r="C2959" t="s">
        <v>100</v>
      </c>
      <c r="D2959" s="3" t="s">
        <v>349</v>
      </c>
      <c r="E2959" s="5" t="str">
        <f>TEXT(D2959,"dd/mm/yyyy")</f>
        <v>24/06/2024</v>
      </c>
      <c r="G2959" s="5" t="str">
        <f>TEXT(E2959,"mm")</f>
        <v>24/06/2024</v>
      </c>
      <c r="H2959" s="6">
        <v>9089.2099999999991</v>
      </c>
      <c r="I2959">
        <v>602</v>
      </c>
      <c r="L2959" t="str">
        <f t="shared" si="46"/>
        <v>Above Average</v>
      </c>
      <c r="M2959">
        <f>RANK(H2959,H:H,0)</f>
        <v>722</v>
      </c>
    </row>
    <row r="2960" spans="1:13">
      <c r="A2960" t="s">
        <v>70</v>
      </c>
      <c r="B2960" t="s">
        <v>35</v>
      </c>
      <c r="C2960" t="s">
        <v>57</v>
      </c>
      <c r="D2960" s="3" t="s">
        <v>299</v>
      </c>
      <c r="E2960" s="5" t="str">
        <f>TEXT(D2960,"dd/mm/yyyy")</f>
        <v>20/06/2024</v>
      </c>
      <c r="G2960" s="5" t="str">
        <f>TEXT(E2960,"mm")</f>
        <v>20/06/2024</v>
      </c>
      <c r="H2960" s="6">
        <v>881.49</v>
      </c>
      <c r="I2960">
        <v>152</v>
      </c>
      <c r="L2960" t="str">
        <f t="shared" si="46"/>
        <v>Below Average</v>
      </c>
      <c r="M2960">
        <f>RANK(H2960,H:H,0)</f>
        <v>3008</v>
      </c>
    </row>
    <row r="2961" spans="1:13">
      <c r="A2961" t="s">
        <v>71</v>
      </c>
      <c r="B2961" t="s">
        <v>10</v>
      </c>
      <c r="C2961" t="s">
        <v>20</v>
      </c>
      <c r="D2961" s="4">
        <v>45330</v>
      </c>
      <c r="E2961" s="5" t="str">
        <f>TEXT(D2961,"dd/mm/yyyy")</f>
        <v>08/02/2024</v>
      </c>
      <c r="F2961" s="4"/>
      <c r="G2961" s="5" t="str">
        <f>TEXT(E2961,"mm")</f>
        <v>08</v>
      </c>
      <c r="H2961" s="6">
        <v>227.55</v>
      </c>
      <c r="I2961">
        <v>225</v>
      </c>
      <c r="L2961" t="str">
        <f t="shared" si="46"/>
        <v>Below Average</v>
      </c>
      <c r="M2961">
        <f>RANK(H2961,H:H,0)</f>
        <v>3212</v>
      </c>
    </row>
    <row r="2962" spans="1:13">
      <c r="A2962" t="s">
        <v>77</v>
      </c>
      <c r="B2962" t="s">
        <v>25</v>
      </c>
      <c r="C2962" t="s">
        <v>100</v>
      </c>
      <c r="D2962" s="3" t="s">
        <v>331</v>
      </c>
      <c r="E2962" s="5" t="str">
        <f>TEXT(D2962,"dd/mm/yyyy")</f>
        <v>22/02/2024</v>
      </c>
      <c r="G2962" s="5" t="str">
        <f>TEXT(E2962,"mm")</f>
        <v>22/02/2024</v>
      </c>
      <c r="H2962" s="6">
        <v>14193.58</v>
      </c>
      <c r="I2962">
        <v>102</v>
      </c>
      <c r="L2962" t="str">
        <f t="shared" si="46"/>
        <v>Above Average</v>
      </c>
      <c r="M2962">
        <f>RANK(H2962,H:H,0)</f>
        <v>197</v>
      </c>
    </row>
    <row r="2963" spans="1:13">
      <c r="A2963" t="s">
        <v>34</v>
      </c>
      <c r="B2963" t="s">
        <v>25</v>
      </c>
      <c r="C2963" t="s">
        <v>33</v>
      </c>
      <c r="D2963" s="4">
        <v>45293</v>
      </c>
      <c r="E2963" s="5" t="str">
        <f>TEXT(D2963,"dd/mm/yyyy")</f>
        <v>02/01/2024</v>
      </c>
      <c r="F2963" s="4"/>
      <c r="G2963" s="5" t="str">
        <f>TEXT(E2963,"mm")</f>
        <v>02</v>
      </c>
      <c r="H2963" s="6">
        <v>7459.88</v>
      </c>
      <c r="I2963">
        <v>23</v>
      </c>
      <c r="L2963" t="str">
        <f t="shared" si="46"/>
        <v>Above Average</v>
      </c>
      <c r="M2963">
        <f>RANK(H2963,H:H,0)</f>
        <v>1076</v>
      </c>
    </row>
    <row r="2964" spans="1:13">
      <c r="A2964" t="s">
        <v>14</v>
      </c>
      <c r="B2964" t="s">
        <v>35</v>
      </c>
      <c r="C2964" t="s">
        <v>100</v>
      </c>
      <c r="D2964" s="3" t="s">
        <v>273</v>
      </c>
      <c r="E2964" s="5" t="str">
        <f>TEXT(D2964,"dd/mm/yyyy")</f>
        <v>14/02/2024</v>
      </c>
      <c r="G2964" s="5" t="str">
        <f>TEXT(E2964,"mm")</f>
        <v>14/02/2024</v>
      </c>
      <c r="H2964" s="6">
        <v>6578.55</v>
      </c>
      <c r="I2964">
        <v>312</v>
      </c>
      <c r="L2964" t="str">
        <f t="shared" si="46"/>
        <v>Above Average</v>
      </c>
      <c r="M2964">
        <f>RANK(H2964,H:H,0)</f>
        <v>1286</v>
      </c>
    </row>
    <row r="2965" spans="1:13">
      <c r="A2965" t="s">
        <v>70</v>
      </c>
      <c r="B2965" t="s">
        <v>15</v>
      </c>
      <c r="C2965" t="s">
        <v>46</v>
      </c>
      <c r="D2965" s="3" t="s">
        <v>266</v>
      </c>
      <c r="E2965" s="5" t="str">
        <f>TEXT(D2965,"dd/mm/yyyy")</f>
        <v>24/02/2024</v>
      </c>
      <c r="G2965" s="5" t="str">
        <f>TEXT(E2965,"mm")</f>
        <v>24/02/2024</v>
      </c>
      <c r="H2965" s="6">
        <v>8975.44</v>
      </c>
      <c r="I2965">
        <v>137</v>
      </c>
      <c r="L2965" t="str">
        <f t="shared" si="46"/>
        <v>Above Average</v>
      </c>
      <c r="M2965">
        <f>RANK(H2965,H:H,0)</f>
        <v>742</v>
      </c>
    </row>
    <row r="2966" spans="1:13">
      <c r="A2966" t="s">
        <v>58</v>
      </c>
      <c r="B2966" t="s">
        <v>10</v>
      </c>
      <c r="C2966" t="s">
        <v>33</v>
      </c>
      <c r="D2966" s="3" t="s">
        <v>339</v>
      </c>
      <c r="E2966" s="5" t="str">
        <f>TEXT(D2966,"dd/mm/yyyy")</f>
        <v>18/03/2024</v>
      </c>
      <c r="G2966" s="5" t="str">
        <f>TEXT(E2966,"mm")</f>
        <v>18/03/2024</v>
      </c>
      <c r="H2966" s="6">
        <v>852.29</v>
      </c>
      <c r="I2966">
        <v>123</v>
      </c>
      <c r="L2966" t="str">
        <f t="shared" si="46"/>
        <v>Below Average</v>
      </c>
      <c r="M2966">
        <f>RANK(H2966,H:H,0)</f>
        <v>3018</v>
      </c>
    </row>
    <row r="2967" spans="1:13">
      <c r="A2967" t="s">
        <v>53</v>
      </c>
      <c r="B2967" t="s">
        <v>7</v>
      </c>
      <c r="C2967" t="s">
        <v>36</v>
      </c>
      <c r="D2967" s="3" t="s">
        <v>346</v>
      </c>
      <c r="E2967" s="5" t="str">
        <f>TEXT(D2967,"dd/mm/yyyy")</f>
        <v>30/08/2024</v>
      </c>
      <c r="G2967" s="5" t="str">
        <f>TEXT(E2967,"mm")</f>
        <v>30/08/2024</v>
      </c>
      <c r="H2967" s="6">
        <v>1955.2</v>
      </c>
      <c r="I2967">
        <v>250</v>
      </c>
      <c r="L2967" t="str">
        <f t="shared" si="46"/>
        <v>Below Average</v>
      </c>
      <c r="M2967">
        <f>RANK(H2967,H:H,0)</f>
        <v>2647</v>
      </c>
    </row>
    <row r="2968" spans="1:13">
      <c r="A2968" t="s">
        <v>12</v>
      </c>
      <c r="B2968" t="s">
        <v>32</v>
      </c>
      <c r="C2968" t="s">
        <v>13</v>
      </c>
      <c r="D2968" s="4">
        <v>45540</v>
      </c>
      <c r="E2968" s="5" t="str">
        <f>TEXT(D2968,"dd/mm/yyyy")</f>
        <v>05/09/2024</v>
      </c>
      <c r="F2968" s="4"/>
      <c r="G2968" s="5" t="str">
        <f>TEXT(E2968,"mm")</f>
        <v>05</v>
      </c>
      <c r="H2968" s="6">
        <v>323.29000000000002</v>
      </c>
      <c r="I2968">
        <v>72</v>
      </c>
      <c r="L2968" t="str">
        <f t="shared" si="46"/>
        <v>Below Average</v>
      </c>
      <c r="M2968">
        <f>RANK(H2968,H:H,0)</f>
        <v>3180</v>
      </c>
    </row>
    <row r="2969" spans="1:13">
      <c r="A2969" t="s">
        <v>64</v>
      </c>
      <c r="B2969" t="s">
        <v>32</v>
      </c>
      <c r="C2969" t="s">
        <v>18</v>
      </c>
      <c r="D2969" s="3" t="s">
        <v>321</v>
      </c>
      <c r="E2969" s="5" t="str">
        <f>TEXT(D2969,"dd/mm/yyyy")</f>
        <v>18/01/2024</v>
      </c>
      <c r="G2969" s="5" t="str">
        <f>TEXT(E2969,"mm")</f>
        <v>18/01/2024</v>
      </c>
      <c r="H2969" s="6">
        <v>542.39</v>
      </c>
      <c r="I2969">
        <v>86</v>
      </c>
      <c r="L2969" t="str">
        <f t="shared" si="46"/>
        <v>Below Average</v>
      </c>
      <c r="M2969">
        <f>RANK(H2969,H:H,0)</f>
        <v>3115</v>
      </c>
    </row>
    <row r="2970" spans="1:13">
      <c r="A2970" t="s">
        <v>48</v>
      </c>
      <c r="B2970" t="s">
        <v>10</v>
      </c>
      <c r="C2970" t="s">
        <v>59</v>
      </c>
      <c r="D2970" s="4">
        <v>45389</v>
      </c>
      <c r="E2970" s="5" t="str">
        <f>TEXT(D2970,"dd/mm/yyyy")</f>
        <v>07/04/2024</v>
      </c>
      <c r="F2970" s="4"/>
      <c r="G2970" s="5" t="str">
        <f>TEXT(E2970,"mm")</f>
        <v>07</v>
      </c>
      <c r="H2970" s="6">
        <v>7666.62</v>
      </c>
      <c r="I2970">
        <v>347</v>
      </c>
      <c r="L2970" t="str">
        <f t="shared" si="46"/>
        <v>Above Average</v>
      </c>
      <c r="M2970">
        <f>RANK(H2970,H:H,0)</f>
        <v>1026</v>
      </c>
    </row>
    <row r="2971" spans="1:13">
      <c r="A2971" t="s">
        <v>19</v>
      </c>
      <c r="B2971" t="s">
        <v>25</v>
      </c>
      <c r="C2971" t="s">
        <v>50</v>
      </c>
      <c r="D2971" s="4">
        <v>45357</v>
      </c>
      <c r="E2971" s="5" t="str">
        <f>TEXT(D2971,"dd/mm/yyyy")</f>
        <v>06/03/2024</v>
      </c>
      <c r="F2971" s="4"/>
      <c r="G2971" s="5" t="str">
        <f>TEXT(E2971,"mm")</f>
        <v>06</v>
      </c>
      <c r="H2971" s="6">
        <v>1826.32</v>
      </c>
      <c r="I2971">
        <v>13</v>
      </c>
      <c r="L2971" t="str">
        <f t="shared" si="46"/>
        <v>Below Average</v>
      </c>
      <c r="M2971">
        <f>RANK(H2971,H:H,0)</f>
        <v>2695</v>
      </c>
    </row>
    <row r="2972" spans="1:13">
      <c r="A2972" t="s">
        <v>41</v>
      </c>
      <c r="B2972" t="s">
        <v>25</v>
      </c>
      <c r="C2972" t="s">
        <v>13</v>
      </c>
      <c r="D2972" s="3" t="s">
        <v>288</v>
      </c>
      <c r="E2972" s="5" t="str">
        <f>TEXT(D2972,"dd/mm/yyyy")</f>
        <v>23/02/2024</v>
      </c>
      <c r="G2972" s="5" t="str">
        <f>TEXT(E2972,"mm")</f>
        <v>23/02/2024</v>
      </c>
      <c r="H2972" s="6">
        <v>11510.68</v>
      </c>
      <c r="I2972">
        <v>30</v>
      </c>
      <c r="L2972" t="str">
        <f t="shared" si="46"/>
        <v>Above Average</v>
      </c>
      <c r="M2972">
        <f>RANK(H2972,H:H,0)</f>
        <v>397</v>
      </c>
    </row>
    <row r="2973" spans="1:13">
      <c r="A2973" t="s">
        <v>79</v>
      </c>
      <c r="B2973" t="s">
        <v>25</v>
      </c>
      <c r="C2973" t="s">
        <v>20</v>
      </c>
      <c r="D2973" s="4">
        <v>45540</v>
      </c>
      <c r="E2973" s="5" t="str">
        <f>TEXT(D2973,"dd/mm/yyyy")</f>
        <v>05/09/2024</v>
      </c>
      <c r="F2973" s="4"/>
      <c r="G2973" s="5" t="str">
        <f>TEXT(E2973,"mm")</f>
        <v>05</v>
      </c>
      <c r="H2973" s="6">
        <v>12263.85</v>
      </c>
      <c r="I2973">
        <v>223</v>
      </c>
      <c r="L2973" t="str">
        <f t="shared" si="46"/>
        <v>Above Average</v>
      </c>
      <c r="M2973">
        <f>RANK(H2973,H:H,0)</f>
        <v>323</v>
      </c>
    </row>
    <row r="2974" spans="1:13">
      <c r="A2974" t="s">
        <v>70</v>
      </c>
      <c r="B2974" t="s">
        <v>10</v>
      </c>
      <c r="C2974" t="s">
        <v>100</v>
      </c>
      <c r="D2974" s="4">
        <v>45449</v>
      </c>
      <c r="E2974" s="5" t="str">
        <f>TEXT(D2974,"dd/mm/yyyy")</f>
        <v>06/06/2024</v>
      </c>
      <c r="F2974" s="4"/>
      <c r="G2974" s="5" t="str">
        <f>TEXT(E2974,"mm")</f>
        <v>06</v>
      </c>
      <c r="H2974" s="6">
        <v>3878.6</v>
      </c>
      <c r="I2974">
        <v>108</v>
      </c>
      <c r="L2974" t="str">
        <f t="shared" si="46"/>
        <v>Below Average</v>
      </c>
      <c r="M2974">
        <f>RANK(H2974,H:H,0)</f>
        <v>2017</v>
      </c>
    </row>
    <row r="2975" spans="1:13">
      <c r="A2975" t="s">
        <v>70</v>
      </c>
      <c r="B2975" t="s">
        <v>10</v>
      </c>
      <c r="C2975" t="s">
        <v>38</v>
      </c>
      <c r="D2975" s="4">
        <v>45389</v>
      </c>
      <c r="E2975" s="5" t="str">
        <f>TEXT(D2975,"dd/mm/yyyy")</f>
        <v>07/04/2024</v>
      </c>
      <c r="F2975" s="4"/>
      <c r="G2975" s="5" t="str">
        <f>TEXT(E2975,"mm")</f>
        <v>07</v>
      </c>
      <c r="H2975" s="6">
        <v>8328.52</v>
      </c>
      <c r="I2975">
        <v>238</v>
      </c>
      <c r="L2975" t="str">
        <f t="shared" si="46"/>
        <v>Above Average</v>
      </c>
      <c r="M2975">
        <f>RANK(H2975,H:H,0)</f>
        <v>867</v>
      </c>
    </row>
    <row r="2976" spans="1:13">
      <c r="A2976" t="s">
        <v>28</v>
      </c>
      <c r="B2976" t="s">
        <v>25</v>
      </c>
      <c r="C2976" t="s">
        <v>38</v>
      </c>
      <c r="D2976" s="4">
        <v>45449</v>
      </c>
      <c r="E2976" s="5" t="str">
        <f>TEXT(D2976,"dd/mm/yyyy")</f>
        <v>06/06/2024</v>
      </c>
      <c r="F2976" s="4"/>
      <c r="G2976" s="5" t="str">
        <f>TEXT(E2976,"mm")</f>
        <v>06</v>
      </c>
      <c r="H2976" s="6">
        <v>1666.46</v>
      </c>
      <c r="I2976">
        <v>98</v>
      </c>
      <c r="L2976" t="str">
        <f t="shared" si="46"/>
        <v>Below Average</v>
      </c>
      <c r="M2976">
        <f>RANK(H2976,H:H,0)</f>
        <v>2744</v>
      </c>
    </row>
    <row r="2977" spans="1:13">
      <c r="A2977" t="s">
        <v>79</v>
      </c>
      <c r="B2977" t="s">
        <v>15</v>
      </c>
      <c r="C2977" t="s">
        <v>65</v>
      </c>
      <c r="D2977" s="3" t="s">
        <v>336</v>
      </c>
      <c r="E2977" s="5" t="str">
        <f>TEXT(D2977,"dd/mm/yyyy")</f>
        <v>13/05/2024</v>
      </c>
      <c r="G2977" s="5" t="str">
        <f>TEXT(E2977,"mm")</f>
        <v>13/05/2024</v>
      </c>
      <c r="H2977" s="6">
        <v>1754.11</v>
      </c>
      <c r="I2977">
        <v>95</v>
      </c>
      <c r="L2977" t="str">
        <f t="shared" si="46"/>
        <v>Below Average</v>
      </c>
      <c r="M2977">
        <f>RANK(H2977,H:H,0)</f>
        <v>2709</v>
      </c>
    </row>
    <row r="2978" spans="1:13">
      <c r="A2978" t="s">
        <v>64</v>
      </c>
      <c r="B2978" t="s">
        <v>25</v>
      </c>
      <c r="C2978" t="s">
        <v>42</v>
      </c>
      <c r="D2978" s="3" t="s">
        <v>303</v>
      </c>
      <c r="E2978" s="5" t="str">
        <f>TEXT(D2978,"dd/mm/yyyy")</f>
        <v>31/01/2024</v>
      </c>
      <c r="G2978" s="5" t="str">
        <f>TEXT(E2978,"mm")</f>
        <v>31/01/2024</v>
      </c>
      <c r="H2978" s="6">
        <v>2390.6999999999998</v>
      </c>
      <c r="I2978">
        <v>274</v>
      </c>
      <c r="L2978" t="str">
        <f t="shared" si="46"/>
        <v>Below Average</v>
      </c>
      <c r="M2978">
        <f>RANK(H2978,H:H,0)</f>
        <v>2518</v>
      </c>
    </row>
    <row r="2979" spans="1:13">
      <c r="A2979" t="s">
        <v>83</v>
      </c>
      <c r="B2979" t="s">
        <v>25</v>
      </c>
      <c r="C2979" t="s">
        <v>90</v>
      </c>
      <c r="D2979" s="3" t="s">
        <v>283</v>
      </c>
      <c r="E2979" s="5" t="str">
        <f>TEXT(D2979,"dd/mm/yyyy")</f>
        <v>30/06/2024</v>
      </c>
      <c r="G2979" s="5" t="str">
        <f>TEXT(E2979,"mm")</f>
        <v>30/06/2024</v>
      </c>
      <c r="H2979" s="6">
        <v>8546.7199999999993</v>
      </c>
      <c r="I2979">
        <v>41</v>
      </c>
      <c r="L2979" t="str">
        <f t="shared" si="46"/>
        <v>Above Average</v>
      </c>
      <c r="M2979">
        <f>RANK(H2979,H:H,0)</f>
        <v>825</v>
      </c>
    </row>
    <row r="2980" spans="1:13">
      <c r="A2980" t="s">
        <v>31</v>
      </c>
      <c r="B2980" t="s">
        <v>35</v>
      </c>
      <c r="C2980" t="s">
        <v>60</v>
      </c>
      <c r="D2980" s="3" t="s">
        <v>309</v>
      </c>
      <c r="E2980" s="5" t="str">
        <f>TEXT(D2980,"dd/mm/yyyy")</f>
        <v>25/08/2024</v>
      </c>
      <c r="G2980" s="5" t="str">
        <f>TEXT(E2980,"mm")</f>
        <v>25/08/2024</v>
      </c>
      <c r="H2980" s="6">
        <v>4115.57</v>
      </c>
      <c r="I2980">
        <v>274</v>
      </c>
      <c r="L2980" t="str">
        <f t="shared" si="46"/>
        <v>Below Average</v>
      </c>
      <c r="M2980">
        <f>RANK(H2980,H:H,0)</f>
        <v>1954</v>
      </c>
    </row>
    <row r="2981" spans="1:13">
      <c r="A2981" t="s">
        <v>12</v>
      </c>
      <c r="B2981" t="s">
        <v>25</v>
      </c>
      <c r="C2981" t="s">
        <v>18</v>
      </c>
      <c r="D2981" s="4">
        <v>45566</v>
      </c>
      <c r="E2981" s="5" t="str">
        <f>TEXT(D2981,"dd/mm/yyyy")</f>
        <v>01/10/2024</v>
      </c>
      <c r="F2981" s="4"/>
      <c r="G2981" s="5" t="str">
        <f>TEXT(E2981,"mm")</f>
        <v>01</v>
      </c>
      <c r="H2981" s="6">
        <v>787.38</v>
      </c>
      <c r="I2981">
        <v>95</v>
      </c>
      <c r="L2981" t="str">
        <f t="shared" si="46"/>
        <v>Below Average</v>
      </c>
      <c r="M2981">
        <f>RANK(H2981,H:H,0)</f>
        <v>3031</v>
      </c>
    </row>
    <row r="2982" spans="1:13">
      <c r="A2982" t="s">
        <v>28</v>
      </c>
      <c r="B2982" t="s">
        <v>32</v>
      </c>
      <c r="C2982" t="s">
        <v>60</v>
      </c>
      <c r="D2982" s="3" t="s">
        <v>289</v>
      </c>
      <c r="E2982" s="5" t="str">
        <f>TEXT(D2982,"dd/mm/yyyy")</f>
        <v>22/08/2024</v>
      </c>
      <c r="G2982" s="5" t="str">
        <f>TEXT(E2982,"mm")</f>
        <v>22/08/2024</v>
      </c>
      <c r="H2982" s="6">
        <v>2095.7800000000002</v>
      </c>
      <c r="I2982">
        <v>8</v>
      </c>
      <c r="L2982" t="str">
        <f t="shared" si="46"/>
        <v>Below Average</v>
      </c>
      <c r="M2982">
        <f>RANK(H2982,H:H,0)</f>
        <v>2604</v>
      </c>
    </row>
    <row r="2983" spans="1:13">
      <c r="A2983" t="s">
        <v>45</v>
      </c>
      <c r="B2983" t="s">
        <v>25</v>
      </c>
      <c r="C2983" t="s">
        <v>11</v>
      </c>
      <c r="D2983" s="3" t="s">
        <v>298</v>
      </c>
      <c r="E2983" s="5" t="str">
        <f>TEXT(D2983,"dd/mm/yyyy")</f>
        <v>14/04/2024</v>
      </c>
      <c r="G2983" s="5" t="str">
        <f>TEXT(E2983,"mm")</f>
        <v>14/04/2024</v>
      </c>
      <c r="H2983" s="6">
        <v>5220.8</v>
      </c>
      <c r="I2983">
        <v>267</v>
      </c>
      <c r="L2983" t="str">
        <f t="shared" si="46"/>
        <v>Below Average</v>
      </c>
      <c r="M2983">
        <f>RANK(H2983,H:H,0)</f>
        <v>1643</v>
      </c>
    </row>
    <row r="2984" spans="1:13">
      <c r="A2984" t="s">
        <v>19</v>
      </c>
      <c r="B2984" t="s">
        <v>7</v>
      </c>
      <c r="C2984" t="s">
        <v>18</v>
      </c>
      <c r="D2984" s="3" t="s">
        <v>332</v>
      </c>
      <c r="E2984" s="5" t="str">
        <f>TEXT(D2984,"dd/mm/yyyy")</f>
        <v>31/05/2024</v>
      </c>
      <c r="G2984" s="5" t="str">
        <f>TEXT(E2984,"mm")</f>
        <v>31/05/2024</v>
      </c>
      <c r="H2984" s="6">
        <v>11264.45</v>
      </c>
      <c r="I2984">
        <v>340</v>
      </c>
      <c r="L2984" t="str">
        <f t="shared" si="46"/>
        <v>Above Average</v>
      </c>
      <c r="M2984">
        <f>RANK(H2984,H:H,0)</f>
        <v>419</v>
      </c>
    </row>
    <row r="2985" spans="1:13">
      <c r="A2985" t="s">
        <v>19</v>
      </c>
      <c r="B2985" t="s">
        <v>7</v>
      </c>
      <c r="C2985" t="s">
        <v>73</v>
      </c>
      <c r="D2985" s="4">
        <v>45508</v>
      </c>
      <c r="E2985" s="5" t="str">
        <f>TEXT(D2985,"dd/mm/yyyy")</f>
        <v>04/08/2024</v>
      </c>
      <c r="F2985" s="4"/>
      <c r="G2985" s="5" t="str">
        <f>TEXT(E2985,"mm")</f>
        <v>04</v>
      </c>
      <c r="H2985" s="6">
        <v>5477.33</v>
      </c>
      <c r="I2985">
        <v>341</v>
      </c>
      <c r="L2985" t="str">
        <f t="shared" si="46"/>
        <v>Below Average</v>
      </c>
      <c r="M2985">
        <f>RANK(H2985,H:H,0)</f>
        <v>1573</v>
      </c>
    </row>
    <row r="2986" spans="1:13">
      <c r="A2986" t="s">
        <v>45</v>
      </c>
      <c r="B2986" t="s">
        <v>32</v>
      </c>
      <c r="C2986" t="s">
        <v>38</v>
      </c>
      <c r="D2986" s="3" t="s">
        <v>315</v>
      </c>
      <c r="E2986" s="5" t="str">
        <f>TEXT(D2986,"dd/mm/yyyy")</f>
        <v>21/02/2024</v>
      </c>
      <c r="G2986" s="5" t="str">
        <f>TEXT(E2986,"mm")</f>
        <v>21/02/2024</v>
      </c>
      <c r="H2986" s="6">
        <v>3389</v>
      </c>
      <c r="I2986">
        <v>160</v>
      </c>
      <c r="L2986" t="str">
        <f t="shared" si="46"/>
        <v>Below Average</v>
      </c>
      <c r="M2986">
        <f>RANK(H2986,H:H,0)</f>
        <v>2179</v>
      </c>
    </row>
    <row r="2987" spans="1:13">
      <c r="A2987" t="s">
        <v>67</v>
      </c>
      <c r="B2987" t="s">
        <v>15</v>
      </c>
      <c r="C2987" t="s">
        <v>60</v>
      </c>
      <c r="D2987" s="3" t="s">
        <v>361</v>
      </c>
      <c r="E2987" s="5" t="str">
        <f>TEXT(D2987,"dd/mm/yyyy")</f>
        <v>30/03/2024</v>
      </c>
      <c r="G2987" s="5" t="str">
        <f>TEXT(E2987,"mm")</f>
        <v>30/03/2024</v>
      </c>
      <c r="H2987" s="6">
        <v>11559.52</v>
      </c>
      <c r="I2987">
        <v>413</v>
      </c>
      <c r="L2987" t="str">
        <f t="shared" si="46"/>
        <v>Above Average</v>
      </c>
      <c r="M2987">
        <f>RANK(H2987,H:H,0)</f>
        <v>391</v>
      </c>
    </row>
    <row r="2988" spans="1:13">
      <c r="A2988" t="s">
        <v>34</v>
      </c>
      <c r="B2988" t="s">
        <v>10</v>
      </c>
      <c r="C2988" t="s">
        <v>73</v>
      </c>
      <c r="D2988" s="4">
        <v>45325</v>
      </c>
      <c r="E2988" s="5" t="str">
        <f>TEXT(D2988,"dd/mm/yyyy")</f>
        <v>03/02/2024</v>
      </c>
      <c r="F2988" s="4"/>
      <c r="G2988" s="5" t="str">
        <f>TEXT(E2988,"mm")</f>
        <v>03</v>
      </c>
      <c r="H2988" s="6">
        <v>1676.82</v>
      </c>
      <c r="I2988">
        <v>2</v>
      </c>
      <c r="L2988" t="str">
        <f t="shared" si="46"/>
        <v>Below Average</v>
      </c>
      <c r="M2988">
        <f>RANK(H2988,H:H,0)</f>
        <v>2741</v>
      </c>
    </row>
    <row r="2989" spans="1:13">
      <c r="A2989" t="s">
        <v>6</v>
      </c>
      <c r="B2989" t="s">
        <v>32</v>
      </c>
      <c r="C2989" t="s">
        <v>33</v>
      </c>
      <c r="D2989" s="3" t="s">
        <v>271</v>
      </c>
      <c r="E2989" s="5" t="str">
        <f>TEXT(D2989,"dd/mm/yyyy")</f>
        <v>28/07/2024</v>
      </c>
      <c r="G2989" s="5" t="str">
        <f>TEXT(E2989,"mm")</f>
        <v>28/07/2024</v>
      </c>
      <c r="H2989" s="6">
        <v>437.48</v>
      </c>
      <c r="I2989">
        <v>174</v>
      </c>
      <c r="L2989" t="str">
        <f t="shared" si="46"/>
        <v>Below Average</v>
      </c>
      <c r="M2989">
        <f>RANK(H2989,H:H,0)</f>
        <v>3154</v>
      </c>
    </row>
    <row r="2990" spans="1:13">
      <c r="A2990" t="s">
        <v>55</v>
      </c>
      <c r="B2990" t="s">
        <v>25</v>
      </c>
      <c r="C2990" t="s">
        <v>100</v>
      </c>
      <c r="D2990" s="3" t="s">
        <v>268</v>
      </c>
      <c r="E2990" s="5" t="str">
        <f>TEXT(D2990,"dd/mm/yyyy")</f>
        <v>24/03/2024</v>
      </c>
      <c r="G2990" s="5" t="str">
        <f>TEXT(E2990,"mm")</f>
        <v>24/03/2024</v>
      </c>
      <c r="H2990" s="6">
        <v>8487.6299999999992</v>
      </c>
      <c r="I2990">
        <v>40</v>
      </c>
      <c r="L2990" t="str">
        <f t="shared" si="46"/>
        <v>Above Average</v>
      </c>
      <c r="M2990">
        <f>RANK(H2990,H:H,0)</f>
        <v>838</v>
      </c>
    </row>
    <row r="2991" spans="1:13">
      <c r="A2991" t="s">
        <v>48</v>
      </c>
      <c r="B2991" t="s">
        <v>15</v>
      </c>
      <c r="C2991" t="s">
        <v>23</v>
      </c>
      <c r="D2991" s="4">
        <v>45604</v>
      </c>
      <c r="E2991" s="5" t="str">
        <f>TEXT(D2991,"dd/mm/yyyy")</f>
        <v>08/11/2024</v>
      </c>
      <c r="F2991" s="4"/>
      <c r="G2991" s="5" t="str">
        <f>TEXT(E2991,"mm")</f>
        <v>08</v>
      </c>
      <c r="H2991" s="6">
        <v>71.989999999999995</v>
      </c>
      <c r="I2991">
        <v>101</v>
      </c>
      <c r="L2991" t="str">
        <f t="shared" si="46"/>
        <v>Below Average</v>
      </c>
      <c r="M2991">
        <f>RANK(H2991,H:H,0)</f>
        <v>3256</v>
      </c>
    </row>
    <row r="2992" spans="1:13">
      <c r="A2992" t="s">
        <v>53</v>
      </c>
      <c r="B2992" t="s">
        <v>7</v>
      </c>
      <c r="C2992" t="s">
        <v>65</v>
      </c>
      <c r="D2992" s="3" t="s">
        <v>350</v>
      </c>
      <c r="E2992" s="5" t="str">
        <f>TEXT(D2992,"dd/mm/yyyy")</f>
        <v>17/05/2024</v>
      </c>
      <c r="G2992" s="5" t="str">
        <f>TEXT(E2992,"mm")</f>
        <v>17/05/2024</v>
      </c>
      <c r="H2992" s="6">
        <v>9863.6200000000008</v>
      </c>
      <c r="I2992">
        <v>167</v>
      </c>
      <c r="L2992" t="str">
        <f t="shared" si="46"/>
        <v>Above Average</v>
      </c>
      <c r="M2992">
        <f>RANK(H2992,H:H,0)</f>
        <v>604</v>
      </c>
    </row>
    <row r="2993" spans="1:13">
      <c r="A2993" t="s">
        <v>55</v>
      </c>
      <c r="B2993" t="s">
        <v>35</v>
      </c>
      <c r="C2993" t="s">
        <v>75</v>
      </c>
      <c r="D2993" s="3" t="s">
        <v>293</v>
      </c>
      <c r="E2993" s="5" t="str">
        <f>TEXT(D2993,"dd/mm/yyyy")</f>
        <v>18/05/2024</v>
      </c>
      <c r="G2993" s="5" t="str">
        <f>TEXT(E2993,"mm")</f>
        <v>18/05/2024</v>
      </c>
      <c r="H2993" s="6">
        <v>3468.53</v>
      </c>
      <c r="I2993">
        <v>166</v>
      </c>
      <c r="L2993" t="str">
        <f t="shared" si="46"/>
        <v>Below Average</v>
      </c>
      <c r="M2993">
        <f>RANK(H2993,H:H,0)</f>
        <v>2151</v>
      </c>
    </row>
    <row r="2994" spans="1:13">
      <c r="A2994" t="s">
        <v>45</v>
      </c>
      <c r="B2994" t="s">
        <v>7</v>
      </c>
      <c r="C2994" t="s">
        <v>13</v>
      </c>
      <c r="D2994" s="3" t="s">
        <v>341</v>
      </c>
      <c r="E2994" s="5" t="str">
        <f>TEXT(D2994,"dd/mm/yyyy")</f>
        <v>17/08/2024</v>
      </c>
      <c r="G2994" s="5" t="str">
        <f>TEXT(E2994,"mm")</f>
        <v>17/08/2024</v>
      </c>
      <c r="H2994" s="6">
        <v>6770.35</v>
      </c>
      <c r="I2994">
        <v>173</v>
      </c>
      <c r="L2994" t="str">
        <f t="shared" si="46"/>
        <v>Above Average</v>
      </c>
      <c r="M2994">
        <f>RANK(H2994,H:H,0)</f>
        <v>1247</v>
      </c>
    </row>
    <row r="2995" spans="1:13">
      <c r="A2995" t="s">
        <v>83</v>
      </c>
      <c r="B2995" t="s">
        <v>25</v>
      </c>
      <c r="C2995" t="s">
        <v>36</v>
      </c>
      <c r="D2995" s="4">
        <v>45386</v>
      </c>
      <c r="E2995" s="5" t="str">
        <f>TEXT(D2995,"dd/mm/yyyy")</f>
        <v>04/04/2024</v>
      </c>
      <c r="F2995" s="4"/>
      <c r="G2995" s="5" t="str">
        <f>TEXT(E2995,"mm")</f>
        <v>04</v>
      </c>
      <c r="H2995" s="6">
        <v>564.14</v>
      </c>
      <c r="I2995">
        <v>50</v>
      </c>
      <c r="L2995" t="str">
        <f t="shared" si="46"/>
        <v>Below Average</v>
      </c>
      <c r="M2995">
        <f>RANK(H2995,H:H,0)</f>
        <v>3110</v>
      </c>
    </row>
    <row r="2996" spans="1:13">
      <c r="A2996" t="s">
        <v>28</v>
      </c>
      <c r="B2996" t="s">
        <v>10</v>
      </c>
      <c r="C2996" t="s">
        <v>11</v>
      </c>
      <c r="D2996" s="4">
        <v>45543</v>
      </c>
      <c r="E2996" s="5" t="str">
        <f>TEXT(D2996,"dd/mm/yyyy")</f>
        <v>08/09/2024</v>
      </c>
      <c r="F2996" s="4"/>
      <c r="G2996" s="5" t="str">
        <f>TEXT(E2996,"mm")</f>
        <v>08</v>
      </c>
      <c r="H2996" s="6">
        <v>21044.07</v>
      </c>
      <c r="I2996">
        <v>210</v>
      </c>
      <c r="L2996" t="str">
        <f t="shared" si="46"/>
        <v>Above Average</v>
      </c>
      <c r="M2996">
        <f>RANK(H2996,H:H,0)</f>
        <v>13</v>
      </c>
    </row>
    <row r="2997" spans="1:13">
      <c r="A2997" t="s">
        <v>28</v>
      </c>
      <c r="B2997" t="s">
        <v>25</v>
      </c>
      <c r="C2997" t="s">
        <v>42</v>
      </c>
      <c r="D2997" s="3" t="s">
        <v>358</v>
      </c>
      <c r="E2997" s="5" t="str">
        <f>TEXT(D2997,"dd/mm/yyyy")</f>
        <v>17/01/2024</v>
      </c>
      <c r="G2997" s="5" t="str">
        <f>TEXT(E2997,"mm")</f>
        <v>17/01/2024</v>
      </c>
      <c r="H2997" s="6">
        <v>677.38</v>
      </c>
      <c r="I2997">
        <v>327</v>
      </c>
      <c r="L2997" t="str">
        <f t="shared" si="46"/>
        <v>Below Average</v>
      </c>
      <c r="M2997">
        <f>RANK(H2997,H:H,0)</f>
        <v>3075</v>
      </c>
    </row>
    <row r="2998" spans="1:13">
      <c r="A2998" t="s">
        <v>67</v>
      </c>
      <c r="B2998" t="s">
        <v>35</v>
      </c>
      <c r="C2998" t="s">
        <v>59</v>
      </c>
      <c r="D2998" s="3" t="s">
        <v>273</v>
      </c>
      <c r="E2998" s="5" t="str">
        <f>TEXT(D2998,"dd/mm/yyyy")</f>
        <v>14/02/2024</v>
      </c>
      <c r="G2998" s="5" t="str">
        <f>TEXT(E2998,"mm")</f>
        <v>14/02/2024</v>
      </c>
      <c r="H2998" s="6">
        <v>4368.01</v>
      </c>
      <c r="I2998">
        <v>29</v>
      </c>
      <c r="L2998" t="str">
        <f t="shared" si="46"/>
        <v>Below Average</v>
      </c>
      <c r="M2998">
        <f>RANK(H2998,H:H,0)</f>
        <v>1885</v>
      </c>
    </row>
    <row r="2999" spans="1:13">
      <c r="A2999" t="s">
        <v>12</v>
      </c>
      <c r="B2999" t="s">
        <v>25</v>
      </c>
      <c r="C2999" t="s">
        <v>33</v>
      </c>
      <c r="D2999" s="3" t="s">
        <v>295</v>
      </c>
      <c r="E2999" s="5" t="str">
        <f>TEXT(D2999,"dd/mm/yyyy")</f>
        <v>16/05/2024</v>
      </c>
      <c r="G2999" s="5" t="str">
        <f>TEXT(E2999,"mm")</f>
        <v>16/05/2024</v>
      </c>
      <c r="H2999" s="6">
        <v>9866.2000000000007</v>
      </c>
      <c r="I2999">
        <v>306</v>
      </c>
      <c r="L2999" t="str">
        <f t="shared" si="46"/>
        <v>Above Average</v>
      </c>
      <c r="M2999">
        <f>RANK(H2999,H:H,0)</f>
        <v>602</v>
      </c>
    </row>
    <row r="3000" spans="1:13">
      <c r="A3000" t="s">
        <v>83</v>
      </c>
      <c r="B3000" t="s">
        <v>35</v>
      </c>
      <c r="C3000" t="s">
        <v>18</v>
      </c>
      <c r="D3000" s="3" t="s">
        <v>314</v>
      </c>
      <c r="E3000" s="5" t="str">
        <f>TEXT(D3000,"dd/mm/yyyy")</f>
        <v>16/03/2024</v>
      </c>
      <c r="G3000" s="5" t="str">
        <f>TEXT(E3000,"mm")</f>
        <v>16/03/2024</v>
      </c>
      <c r="H3000" s="6">
        <v>10723.86</v>
      </c>
      <c r="I3000">
        <v>125</v>
      </c>
      <c r="L3000" t="str">
        <f t="shared" si="46"/>
        <v>Above Average</v>
      </c>
      <c r="M3000">
        <f>RANK(H3000,H:H,0)</f>
        <v>488</v>
      </c>
    </row>
    <row r="3001" spans="1:13">
      <c r="A3001" t="s">
        <v>53</v>
      </c>
      <c r="B3001" t="s">
        <v>35</v>
      </c>
      <c r="C3001" t="s">
        <v>100</v>
      </c>
      <c r="D3001" s="3" t="s">
        <v>303</v>
      </c>
      <c r="E3001" s="5" t="str">
        <f>TEXT(D3001,"dd/mm/yyyy")</f>
        <v>31/01/2024</v>
      </c>
      <c r="G3001" s="5" t="str">
        <f>TEXT(E3001,"mm")</f>
        <v>31/01/2024</v>
      </c>
      <c r="H3001" s="6">
        <v>5443.42</v>
      </c>
      <c r="I3001">
        <v>284</v>
      </c>
      <c r="L3001" t="str">
        <f t="shared" si="46"/>
        <v>Below Average</v>
      </c>
      <c r="M3001">
        <f>RANK(H3001,H:H,0)</f>
        <v>1583</v>
      </c>
    </row>
    <row r="3002" spans="1:13">
      <c r="A3002" t="s">
        <v>31</v>
      </c>
      <c r="B3002" t="s">
        <v>35</v>
      </c>
      <c r="C3002" t="s">
        <v>42</v>
      </c>
      <c r="D3002" s="4">
        <v>45568</v>
      </c>
      <c r="E3002" s="5" t="str">
        <f>TEXT(D3002,"dd/mm/yyyy")</f>
        <v>03/10/2024</v>
      </c>
      <c r="F3002" s="4"/>
      <c r="G3002" s="5" t="str">
        <f>TEXT(E3002,"mm")</f>
        <v>03</v>
      </c>
      <c r="H3002" s="6">
        <v>1312.35</v>
      </c>
      <c r="I3002">
        <v>200</v>
      </c>
      <c r="L3002" t="str">
        <f t="shared" si="46"/>
        <v>Below Average</v>
      </c>
      <c r="M3002">
        <f>RANK(H3002,H:H,0)</f>
        <v>2867</v>
      </c>
    </row>
    <row r="3003" spans="1:13">
      <c r="A3003" t="s">
        <v>19</v>
      </c>
      <c r="B3003" t="s">
        <v>7</v>
      </c>
      <c r="C3003" t="s">
        <v>42</v>
      </c>
      <c r="D3003" s="3" t="s">
        <v>283</v>
      </c>
      <c r="E3003" s="5" t="str">
        <f>TEXT(D3003,"dd/mm/yyyy")</f>
        <v>30/06/2024</v>
      </c>
      <c r="G3003" s="5" t="str">
        <f>TEXT(E3003,"mm")</f>
        <v>30/06/2024</v>
      </c>
      <c r="H3003" s="6">
        <v>8471.68</v>
      </c>
      <c r="I3003">
        <v>162</v>
      </c>
      <c r="L3003" t="str">
        <f t="shared" si="46"/>
        <v>Above Average</v>
      </c>
      <c r="M3003">
        <f>RANK(H3003,H:H,0)</f>
        <v>842</v>
      </c>
    </row>
    <row r="3004" spans="1:13">
      <c r="A3004" t="s">
        <v>9</v>
      </c>
      <c r="B3004" t="s">
        <v>25</v>
      </c>
      <c r="C3004" t="s">
        <v>36</v>
      </c>
      <c r="D3004" s="4">
        <v>45294</v>
      </c>
      <c r="E3004" s="5" t="str">
        <f>TEXT(D3004,"dd/mm/yyyy")</f>
        <v>03/01/2024</v>
      </c>
      <c r="F3004" s="4"/>
      <c r="G3004" s="5" t="str">
        <f>TEXT(E3004,"mm")</f>
        <v>03</v>
      </c>
      <c r="H3004" s="6">
        <v>5774.6</v>
      </c>
      <c r="I3004">
        <v>178</v>
      </c>
      <c r="L3004" t="str">
        <f t="shared" si="46"/>
        <v>Below Average</v>
      </c>
      <c r="M3004">
        <f>RANK(H3004,H:H,0)</f>
        <v>1497</v>
      </c>
    </row>
    <row r="3005" spans="1:13">
      <c r="A3005" t="s">
        <v>34</v>
      </c>
      <c r="B3005" t="s">
        <v>7</v>
      </c>
      <c r="C3005" t="s">
        <v>38</v>
      </c>
      <c r="D3005" s="3" t="s">
        <v>297</v>
      </c>
      <c r="E3005" s="5" t="str">
        <f>TEXT(D3005,"dd/mm/yyyy")</f>
        <v>27/05/2024</v>
      </c>
      <c r="G3005" s="5" t="str">
        <f>TEXT(E3005,"mm")</f>
        <v>27/05/2024</v>
      </c>
      <c r="H3005" s="6">
        <v>3780.02</v>
      </c>
      <c r="I3005">
        <v>97</v>
      </c>
      <c r="L3005" t="str">
        <f t="shared" si="46"/>
        <v>Below Average</v>
      </c>
      <c r="M3005">
        <f>RANK(H3005,H:H,0)</f>
        <v>2044</v>
      </c>
    </row>
    <row r="3006" spans="1:13">
      <c r="A3006" t="s">
        <v>19</v>
      </c>
      <c r="B3006" t="s">
        <v>7</v>
      </c>
      <c r="C3006" t="s">
        <v>46</v>
      </c>
      <c r="D3006" s="4">
        <v>45603</v>
      </c>
      <c r="E3006" s="5" t="str">
        <f>TEXT(D3006,"dd/mm/yyyy")</f>
        <v>07/11/2024</v>
      </c>
      <c r="F3006" s="4"/>
      <c r="G3006" s="5" t="str">
        <f>TEXT(E3006,"mm")</f>
        <v>07</v>
      </c>
      <c r="H3006" s="6">
        <v>6831.03</v>
      </c>
      <c r="I3006">
        <v>243</v>
      </c>
      <c r="L3006" t="str">
        <f t="shared" si="46"/>
        <v>Above Average</v>
      </c>
      <c r="M3006">
        <f>RANK(H3006,H:H,0)</f>
        <v>1228</v>
      </c>
    </row>
    <row r="3007" spans="1:13">
      <c r="A3007" t="s">
        <v>37</v>
      </c>
      <c r="B3007" t="s">
        <v>25</v>
      </c>
      <c r="C3007" t="s">
        <v>8</v>
      </c>
      <c r="D3007" s="4">
        <v>45325</v>
      </c>
      <c r="E3007" s="5" t="str">
        <f>TEXT(D3007,"dd/mm/yyyy")</f>
        <v>03/02/2024</v>
      </c>
      <c r="F3007" s="4"/>
      <c r="G3007" s="5" t="str">
        <f>TEXT(E3007,"mm")</f>
        <v>03</v>
      </c>
      <c r="H3007" s="6">
        <v>4834.51</v>
      </c>
      <c r="I3007">
        <v>63</v>
      </c>
      <c r="L3007" t="str">
        <f t="shared" si="46"/>
        <v>Below Average</v>
      </c>
      <c r="M3007">
        <f>RANK(H3007,H:H,0)</f>
        <v>1756</v>
      </c>
    </row>
    <row r="3008" spans="1:13">
      <c r="A3008" t="s">
        <v>6</v>
      </c>
      <c r="B3008" t="s">
        <v>32</v>
      </c>
      <c r="C3008" t="s">
        <v>73</v>
      </c>
      <c r="D3008" s="4">
        <v>45385</v>
      </c>
      <c r="E3008" s="5" t="str">
        <f>TEXT(D3008,"dd/mm/yyyy")</f>
        <v>03/04/2024</v>
      </c>
      <c r="F3008" s="4"/>
      <c r="G3008" s="5" t="str">
        <f>TEXT(E3008,"mm")</f>
        <v>03</v>
      </c>
      <c r="H3008" s="6">
        <v>8119.65</v>
      </c>
      <c r="I3008">
        <v>143</v>
      </c>
      <c r="L3008" t="str">
        <f t="shared" si="46"/>
        <v>Above Average</v>
      </c>
      <c r="M3008">
        <f>RANK(H3008,H:H,0)</f>
        <v>909</v>
      </c>
    </row>
    <row r="3009" spans="1:13">
      <c r="A3009" t="s">
        <v>70</v>
      </c>
      <c r="B3009" t="s">
        <v>7</v>
      </c>
      <c r="C3009" t="s">
        <v>11</v>
      </c>
      <c r="D3009" s="3" t="s">
        <v>348</v>
      </c>
      <c r="E3009" s="5" t="str">
        <f>TEXT(D3009,"dd/mm/yyyy")</f>
        <v>23/06/2024</v>
      </c>
      <c r="G3009" s="5" t="str">
        <f>TEXT(E3009,"mm")</f>
        <v>23/06/2024</v>
      </c>
      <c r="H3009" s="6">
        <v>4811.88</v>
      </c>
      <c r="I3009">
        <v>242</v>
      </c>
      <c r="L3009" t="str">
        <f t="shared" si="46"/>
        <v>Below Average</v>
      </c>
      <c r="M3009">
        <f>RANK(H3009,H:H,0)</f>
        <v>1764</v>
      </c>
    </row>
    <row r="3010" spans="1:13">
      <c r="A3010" t="s">
        <v>70</v>
      </c>
      <c r="B3010" t="s">
        <v>32</v>
      </c>
      <c r="C3010" t="s">
        <v>65</v>
      </c>
      <c r="D3010" s="3" t="s">
        <v>302</v>
      </c>
      <c r="E3010" s="5" t="str">
        <f>TEXT(D3010,"dd/mm/yyyy")</f>
        <v>27/01/2024</v>
      </c>
      <c r="G3010" s="5" t="str">
        <f>TEXT(E3010,"mm")</f>
        <v>27/01/2024</v>
      </c>
      <c r="H3010" s="6">
        <v>5930.01</v>
      </c>
      <c r="I3010">
        <v>252</v>
      </c>
      <c r="L3010" t="str">
        <f t="shared" si="46"/>
        <v>Below Average</v>
      </c>
      <c r="M3010">
        <f>RANK(H3010,H:H,0)</f>
        <v>1449</v>
      </c>
    </row>
    <row r="3011" spans="1:13">
      <c r="A3011" t="s">
        <v>40</v>
      </c>
      <c r="B3011" t="s">
        <v>35</v>
      </c>
      <c r="C3011" t="s">
        <v>33</v>
      </c>
      <c r="D3011" s="3" t="s">
        <v>328</v>
      </c>
      <c r="E3011" s="5" t="str">
        <f>TEXT(D3011,"dd/mm/yyyy")</f>
        <v>14/01/2024</v>
      </c>
      <c r="G3011" s="5" t="str">
        <f>TEXT(E3011,"mm")</f>
        <v>14/01/2024</v>
      </c>
      <c r="H3011" s="6">
        <v>3040.05</v>
      </c>
      <c r="I3011">
        <v>426</v>
      </c>
      <c r="L3011" t="str">
        <f t="shared" ref="L3011:L3074" si="47">IF(H3011&gt;6030.34,"Above Average","Below Average")</f>
        <v>Below Average</v>
      </c>
      <c r="M3011">
        <f>RANK(H3011,H:H,0)</f>
        <v>2290</v>
      </c>
    </row>
    <row r="3012" spans="1:13">
      <c r="A3012" t="s">
        <v>58</v>
      </c>
      <c r="B3012" t="s">
        <v>10</v>
      </c>
      <c r="C3012" t="s">
        <v>57</v>
      </c>
      <c r="D3012" s="3" t="s">
        <v>326</v>
      </c>
      <c r="E3012" s="5" t="str">
        <f>TEXT(D3012,"dd/mm/yyyy")</f>
        <v>29/07/2024</v>
      </c>
      <c r="G3012" s="5" t="str">
        <f>TEXT(E3012,"mm")</f>
        <v>29/07/2024</v>
      </c>
      <c r="H3012" s="6">
        <v>1126.8699999999999</v>
      </c>
      <c r="I3012">
        <v>23</v>
      </c>
      <c r="L3012" t="str">
        <f t="shared" si="47"/>
        <v>Below Average</v>
      </c>
      <c r="M3012">
        <f>RANK(H3012,H:H,0)</f>
        <v>2929</v>
      </c>
    </row>
    <row r="3013" spans="1:13">
      <c r="A3013" t="s">
        <v>28</v>
      </c>
      <c r="B3013" t="s">
        <v>35</v>
      </c>
      <c r="C3013" t="s">
        <v>18</v>
      </c>
      <c r="D3013" s="3" t="s">
        <v>336</v>
      </c>
      <c r="E3013" s="5" t="str">
        <f>TEXT(D3013,"dd/mm/yyyy")</f>
        <v>13/05/2024</v>
      </c>
      <c r="G3013" s="5" t="str">
        <f>TEXT(E3013,"mm")</f>
        <v>13/05/2024</v>
      </c>
      <c r="H3013" s="6">
        <v>6051.65</v>
      </c>
      <c r="I3013">
        <v>490</v>
      </c>
      <c r="L3013" t="str">
        <f t="shared" si="47"/>
        <v>Above Average</v>
      </c>
      <c r="M3013">
        <f>RANK(H3013,H:H,0)</f>
        <v>1422</v>
      </c>
    </row>
    <row r="3014" spans="1:13">
      <c r="A3014" t="s">
        <v>31</v>
      </c>
      <c r="B3014" t="s">
        <v>35</v>
      </c>
      <c r="C3014" t="s">
        <v>87</v>
      </c>
      <c r="D3014" s="4">
        <v>45353</v>
      </c>
      <c r="E3014" s="5" t="str">
        <f>TEXT(D3014,"dd/mm/yyyy")</f>
        <v>02/03/2024</v>
      </c>
      <c r="F3014" s="4"/>
      <c r="G3014" s="5" t="str">
        <f>TEXT(E3014,"mm")</f>
        <v>02</v>
      </c>
      <c r="H3014" s="6">
        <v>12279.35</v>
      </c>
      <c r="I3014">
        <v>162</v>
      </c>
      <c r="L3014" t="str">
        <f t="shared" si="47"/>
        <v>Above Average</v>
      </c>
      <c r="M3014">
        <f>RANK(H3014,H:H,0)</f>
        <v>320</v>
      </c>
    </row>
    <row r="3015" spans="1:13">
      <c r="A3015" t="s">
        <v>28</v>
      </c>
      <c r="B3015" t="s">
        <v>10</v>
      </c>
      <c r="C3015" t="s">
        <v>18</v>
      </c>
      <c r="D3015" s="3" t="s">
        <v>297</v>
      </c>
      <c r="E3015" s="5" t="str">
        <f>TEXT(D3015,"dd/mm/yyyy")</f>
        <v>27/05/2024</v>
      </c>
      <c r="G3015" s="5" t="str">
        <f>TEXT(E3015,"mm")</f>
        <v>27/05/2024</v>
      </c>
      <c r="H3015" s="6">
        <v>7091.66</v>
      </c>
      <c r="I3015">
        <v>28</v>
      </c>
      <c r="L3015" t="str">
        <f t="shared" si="47"/>
        <v>Above Average</v>
      </c>
      <c r="M3015">
        <f>RANK(H3015,H:H,0)</f>
        <v>1160</v>
      </c>
    </row>
    <row r="3016" spans="1:13">
      <c r="A3016" t="s">
        <v>14</v>
      </c>
      <c r="B3016" t="s">
        <v>15</v>
      </c>
      <c r="C3016" t="s">
        <v>38</v>
      </c>
      <c r="D3016" s="3" t="s">
        <v>363</v>
      </c>
      <c r="E3016" s="5" t="str">
        <f>TEXT(D3016,"dd/mm/yyyy")</f>
        <v>18/02/2024</v>
      </c>
      <c r="G3016" s="5" t="str">
        <f>TEXT(E3016,"mm")</f>
        <v>18/02/2024</v>
      </c>
      <c r="H3016" s="6">
        <v>3160.97</v>
      </c>
      <c r="I3016">
        <v>25</v>
      </c>
      <c r="L3016" t="str">
        <f t="shared" si="47"/>
        <v>Below Average</v>
      </c>
      <c r="M3016">
        <f>RANK(H3016,H:H,0)</f>
        <v>2252</v>
      </c>
    </row>
    <row r="3017" spans="1:13">
      <c r="A3017" t="s">
        <v>28</v>
      </c>
      <c r="B3017" t="s">
        <v>10</v>
      </c>
      <c r="C3017" t="s">
        <v>50</v>
      </c>
      <c r="D3017" s="3" t="s">
        <v>313</v>
      </c>
      <c r="E3017" s="5" t="str">
        <f>TEXT(D3017,"dd/mm/yyyy")</f>
        <v>28/01/2024</v>
      </c>
      <c r="G3017" s="5" t="str">
        <f>TEXT(E3017,"mm")</f>
        <v>28/01/2024</v>
      </c>
      <c r="H3017" s="6">
        <v>1408.28</v>
      </c>
      <c r="I3017">
        <v>35</v>
      </c>
      <c r="L3017" t="str">
        <f t="shared" si="47"/>
        <v>Below Average</v>
      </c>
      <c r="M3017">
        <f>RANK(H3017,H:H,0)</f>
        <v>2838</v>
      </c>
    </row>
    <row r="3018" spans="1:13">
      <c r="A3018" t="s">
        <v>9</v>
      </c>
      <c r="B3018" t="s">
        <v>7</v>
      </c>
      <c r="C3018" t="s">
        <v>36</v>
      </c>
      <c r="D3018" s="3" t="s">
        <v>282</v>
      </c>
      <c r="E3018" s="5" t="str">
        <f>TEXT(D3018,"dd/mm/yyyy")</f>
        <v>29/06/2024</v>
      </c>
      <c r="G3018" s="5" t="str">
        <f>TEXT(E3018,"mm")</f>
        <v>29/06/2024</v>
      </c>
      <c r="H3018" s="6">
        <v>5776.61</v>
      </c>
      <c r="I3018">
        <v>114</v>
      </c>
      <c r="L3018" t="str">
        <f t="shared" si="47"/>
        <v>Below Average</v>
      </c>
      <c r="M3018">
        <f>RANK(H3018,H:H,0)</f>
        <v>1493</v>
      </c>
    </row>
    <row r="3019" spans="1:13">
      <c r="A3019" t="s">
        <v>64</v>
      </c>
      <c r="B3019" t="s">
        <v>10</v>
      </c>
      <c r="C3019" t="s">
        <v>90</v>
      </c>
      <c r="D3019" s="3" t="s">
        <v>270</v>
      </c>
      <c r="E3019" s="5" t="str">
        <f>TEXT(D3019,"dd/mm/yyyy")</f>
        <v>13/01/2024</v>
      </c>
      <c r="G3019" s="5" t="str">
        <f>TEXT(E3019,"mm")</f>
        <v>13/01/2024</v>
      </c>
      <c r="H3019" s="6">
        <v>4890.59</v>
      </c>
      <c r="I3019">
        <v>274</v>
      </c>
      <c r="L3019" t="str">
        <f t="shared" si="47"/>
        <v>Below Average</v>
      </c>
      <c r="M3019">
        <f>RANK(H3019,H:H,0)</f>
        <v>1735</v>
      </c>
    </row>
    <row r="3020" spans="1:13">
      <c r="A3020" t="s">
        <v>6</v>
      </c>
      <c r="B3020" t="s">
        <v>7</v>
      </c>
      <c r="C3020" t="s">
        <v>23</v>
      </c>
      <c r="D3020" s="3" t="s">
        <v>275</v>
      </c>
      <c r="E3020" s="5" t="str">
        <f>TEXT(D3020,"dd/mm/yyyy")</f>
        <v>27/06/2024</v>
      </c>
      <c r="G3020" s="5" t="str">
        <f>TEXT(E3020,"mm")</f>
        <v>27/06/2024</v>
      </c>
      <c r="H3020" s="6">
        <v>2048.13</v>
      </c>
      <c r="I3020">
        <v>172</v>
      </c>
      <c r="L3020" t="str">
        <f t="shared" si="47"/>
        <v>Below Average</v>
      </c>
      <c r="M3020">
        <f>RANK(H3020,H:H,0)</f>
        <v>2620</v>
      </c>
    </row>
    <row r="3021" spans="1:13">
      <c r="A3021" t="s">
        <v>31</v>
      </c>
      <c r="B3021" t="s">
        <v>35</v>
      </c>
      <c r="C3021" t="s">
        <v>59</v>
      </c>
      <c r="D3021" s="3" t="s">
        <v>324</v>
      </c>
      <c r="E3021" s="5" t="str">
        <f>TEXT(D3021,"dd/mm/yyyy")</f>
        <v>29/03/2024</v>
      </c>
      <c r="G3021" s="5" t="str">
        <f>TEXT(E3021,"mm")</f>
        <v>29/03/2024</v>
      </c>
      <c r="H3021" s="6">
        <v>4590.46</v>
      </c>
      <c r="I3021">
        <v>1</v>
      </c>
      <c r="L3021" t="str">
        <f t="shared" si="47"/>
        <v>Below Average</v>
      </c>
      <c r="M3021">
        <f>RANK(H3021,H:H,0)</f>
        <v>1826</v>
      </c>
    </row>
    <row r="3022" spans="1:13">
      <c r="A3022" t="s">
        <v>22</v>
      </c>
      <c r="B3022" t="s">
        <v>10</v>
      </c>
      <c r="C3022" t="s">
        <v>42</v>
      </c>
      <c r="D3022" s="4">
        <v>45357</v>
      </c>
      <c r="E3022" s="5" t="str">
        <f>TEXT(D3022,"dd/mm/yyyy")</f>
        <v>06/03/2024</v>
      </c>
      <c r="F3022" s="4"/>
      <c r="G3022" s="5" t="str">
        <f>TEXT(E3022,"mm")</f>
        <v>06</v>
      </c>
      <c r="H3022" s="6">
        <v>8665.99</v>
      </c>
      <c r="I3022">
        <v>162</v>
      </c>
      <c r="L3022" t="str">
        <f t="shared" si="47"/>
        <v>Above Average</v>
      </c>
      <c r="M3022">
        <f>RANK(H3022,H:H,0)</f>
        <v>805</v>
      </c>
    </row>
    <row r="3023" spans="1:13">
      <c r="A3023" t="s">
        <v>34</v>
      </c>
      <c r="B3023" t="s">
        <v>35</v>
      </c>
      <c r="C3023" t="s">
        <v>18</v>
      </c>
      <c r="D3023" s="3" t="s">
        <v>354</v>
      </c>
      <c r="E3023" s="5" t="str">
        <f>TEXT(D3023,"dd/mm/yyyy")</f>
        <v>21/03/2024</v>
      </c>
      <c r="G3023" s="5" t="str">
        <f>TEXT(E3023,"mm")</f>
        <v>21/03/2024</v>
      </c>
      <c r="H3023" s="6">
        <v>2202.46</v>
      </c>
      <c r="I3023">
        <v>97</v>
      </c>
      <c r="L3023" t="str">
        <f t="shared" si="47"/>
        <v>Below Average</v>
      </c>
      <c r="M3023">
        <f>RANK(H3023,H:H,0)</f>
        <v>2580</v>
      </c>
    </row>
    <row r="3024" spans="1:13">
      <c r="A3024" t="s">
        <v>34</v>
      </c>
      <c r="B3024" t="s">
        <v>10</v>
      </c>
      <c r="C3024" t="s">
        <v>36</v>
      </c>
      <c r="D3024" s="4">
        <v>45630</v>
      </c>
      <c r="E3024" s="5" t="str">
        <f>TEXT(D3024,"dd/mm/yyyy")</f>
        <v>04/12/2024</v>
      </c>
      <c r="F3024" s="4"/>
      <c r="G3024" s="5" t="str">
        <f>TEXT(E3024,"mm")</f>
        <v>04</v>
      </c>
      <c r="H3024" s="6">
        <v>11720.11</v>
      </c>
      <c r="I3024">
        <v>48</v>
      </c>
      <c r="L3024" t="str">
        <f t="shared" si="47"/>
        <v>Above Average</v>
      </c>
      <c r="M3024">
        <f>RANK(H3024,H:H,0)</f>
        <v>370</v>
      </c>
    </row>
    <row r="3025" spans="1:13">
      <c r="A3025" t="s">
        <v>29</v>
      </c>
      <c r="B3025" t="s">
        <v>15</v>
      </c>
      <c r="C3025" t="s">
        <v>73</v>
      </c>
      <c r="D3025" s="3" t="s">
        <v>311</v>
      </c>
      <c r="E3025" s="5" t="str">
        <f>TEXT(D3025,"dd/mm/yyyy")</f>
        <v>19/01/2024</v>
      </c>
      <c r="G3025" s="5" t="str">
        <f>TEXT(E3025,"mm")</f>
        <v>19/01/2024</v>
      </c>
      <c r="H3025" s="6">
        <v>7884.86</v>
      </c>
      <c r="I3025">
        <v>266</v>
      </c>
      <c r="L3025" t="str">
        <f t="shared" si="47"/>
        <v>Above Average</v>
      </c>
      <c r="M3025">
        <f>RANK(H3025,H:H,0)</f>
        <v>976</v>
      </c>
    </row>
    <row r="3026" spans="1:13">
      <c r="A3026" t="s">
        <v>37</v>
      </c>
      <c r="B3026" t="s">
        <v>7</v>
      </c>
      <c r="C3026" t="s">
        <v>26</v>
      </c>
      <c r="D3026" s="4">
        <v>45447</v>
      </c>
      <c r="E3026" s="5" t="str">
        <f>TEXT(D3026,"dd/mm/yyyy")</f>
        <v>04/06/2024</v>
      </c>
      <c r="F3026" s="4"/>
      <c r="G3026" s="5" t="str">
        <f>TEXT(E3026,"mm")</f>
        <v>04</v>
      </c>
      <c r="H3026" s="6">
        <v>3857.88</v>
      </c>
      <c r="I3026">
        <v>303</v>
      </c>
      <c r="L3026" t="str">
        <f t="shared" si="47"/>
        <v>Below Average</v>
      </c>
      <c r="M3026">
        <f>RANK(H3026,H:H,0)</f>
        <v>2022</v>
      </c>
    </row>
    <row r="3027" spans="1:13">
      <c r="A3027" t="s">
        <v>55</v>
      </c>
      <c r="B3027" t="s">
        <v>15</v>
      </c>
      <c r="C3027" t="s">
        <v>26</v>
      </c>
      <c r="D3027" s="4">
        <v>45330</v>
      </c>
      <c r="E3027" s="5" t="str">
        <f>TEXT(D3027,"dd/mm/yyyy")</f>
        <v>08/02/2024</v>
      </c>
      <c r="F3027" s="4"/>
      <c r="G3027" s="5" t="str">
        <f>TEXT(E3027,"mm")</f>
        <v>08</v>
      </c>
      <c r="H3027" s="6">
        <v>10123.959999999999</v>
      </c>
      <c r="I3027">
        <v>84</v>
      </c>
      <c r="L3027" t="str">
        <f t="shared" si="47"/>
        <v>Above Average</v>
      </c>
      <c r="M3027">
        <f>RANK(H3027,H:H,0)</f>
        <v>563</v>
      </c>
    </row>
    <row r="3028" spans="1:13">
      <c r="A3028" t="s">
        <v>12</v>
      </c>
      <c r="B3028" t="s">
        <v>15</v>
      </c>
      <c r="C3028" t="s">
        <v>36</v>
      </c>
      <c r="D3028" s="4">
        <v>45630</v>
      </c>
      <c r="E3028" s="5" t="str">
        <f>TEXT(D3028,"dd/mm/yyyy")</f>
        <v>04/12/2024</v>
      </c>
      <c r="F3028" s="4"/>
      <c r="G3028" s="5" t="str">
        <f>TEXT(E3028,"mm")</f>
        <v>04</v>
      </c>
      <c r="H3028" s="6">
        <v>8170.88</v>
      </c>
      <c r="I3028">
        <v>137</v>
      </c>
      <c r="L3028" t="str">
        <f t="shared" si="47"/>
        <v>Above Average</v>
      </c>
      <c r="M3028">
        <f>RANK(H3028,H:H,0)</f>
        <v>899</v>
      </c>
    </row>
    <row r="3029" spans="1:13">
      <c r="A3029" t="s">
        <v>19</v>
      </c>
      <c r="B3029" t="s">
        <v>10</v>
      </c>
      <c r="C3029" t="s">
        <v>38</v>
      </c>
      <c r="D3029" s="3" t="s">
        <v>347</v>
      </c>
      <c r="E3029" s="5" t="str">
        <f>TEXT(D3029,"dd/mm/yyyy")</f>
        <v>21/07/2024</v>
      </c>
      <c r="G3029" s="5" t="str">
        <f>TEXT(E3029,"mm")</f>
        <v>21/07/2024</v>
      </c>
      <c r="H3029" s="6">
        <v>19390.61</v>
      </c>
      <c r="I3029">
        <v>141</v>
      </c>
      <c r="L3029" t="str">
        <f t="shared" si="47"/>
        <v>Above Average</v>
      </c>
      <c r="M3029">
        <f>RANK(H3029,H:H,0)</f>
        <v>23</v>
      </c>
    </row>
    <row r="3030" spans="1:13">
      <c r="A3030" t="s">
        <v>9</v>
      </c>
      <c r="B3030" t="s">
        <v>25</v>
      </c>
      <c r="C3030" t="s">
        <v>87</v>
      </c>
      <c r="D3030" s="3" t="s">
        <v>345</v>
      </c>
      <c r="E3030" s="5" t="str">
        <f>TEXT(D3030,"dd/mm/yyyy")</f>
        <v>22/03/2024</v>
      </c>
      <c r="G3030" s="5" t="str">
        <f>TEXT(E3030,"mm")</f>
        <v>22/03/2024</v>
      </c>
      <c r="H3030" s="6">
        <v>10197.43</v>
      </c>
      <c r="I3030">
        <v>24</v>
      </c>
      <c r="L3030" t="str">
        <f t="shared" si="47"/>
        <v>Above Average</v>
      </c>
      <c r="M3030">
        <f>RANK(H3030,H:H,0)</f>
        <v>552</v>
      </c>
    </row>
    <row r="3031" spans="1:13">
      <c r="A3031" t="s">
        <v>53</v>
      </c>
      <c r="B3031" t="s">
        <v>10</v>
      </c>
      <c r="C3031" t="s">
        <v>13</v>
      </c>
      <c r="D3031" s="4">
        <v>45540</v>
      </c>
      <c r="E3031" s="5" t="str">
        <f>TEXT(D3031,"dd/mm/yyyy")</f>
        <v>05/09/2024</v>
      </c>
      <c r="F3031" s="4"/>
      <c r="G3031" s="5" t="str">
        <f>TEXT(E3031,"mm")</f>
        <v>05</v>
      </c>
      <c r="H3031" s="6">
        <v>5188.18</v>
      </c>
      <c r="I3031">
        <v>5</v>
      </c>
      <c r="L3031" t="str">
        <f t="shared" si="47"/>
        <v>Below Average</v>
      </c>
      <c r="M3031">
        <f>RANK(H3031,H:H,0)</f>
        <v>1651</v>
      </c>
    </row>
    <row r="3032" spans="1:13">
      <c r="A3032" t="s">
        <v>67</v>
      </c>
      <c r="B3032" t="s">
        <v>15</v>
      </c>
      <c r="C3032" t="s">
        <v>87</v>
      </c>
      <c r="D3032" s="4">
        <v>45543</v>
      </c>
      <c r="E3032" s="5" t="str">
        <f>TEXT(D3032,"dd/mm/yyyy")</f>
        <v>08/09/2024</v>
      </c>
      <c r="F3032" s="4"/>
      <c r="G3032" s="5" t="str">
        <f>TEXT(E3032,"mm")</f>
        <v>08</v>
      </c>
      <c r="H3032" s="6">
        <v>350.27</v>
      </c>
      <c r="I3032">
        <v>117</v>
      </c>
      <c r="L3032" t="str">
        <f t="shared" si="47"/>
        <v>Below Average</v>
      </c>
      <c r="M3032">
        <f>RANK(H3032,H:H,0)</f>
        <v>3173</v>
      </c>
    </row>
    <row r="3033" spans="1:13">
      <c r="A3033" t="s">
        <v>77</v>
      </c>
      <c r="B3033" t="s">
        <v>35</v>
      </c>
      <c r="C3033" t="s">
        <v>75</v>
      </c>
      <c r="D3033" s="3" t="s">
        <v>364</v>
      </c>
      <c r="E3033" s="5" t="str">
        <f>TEXT(D3033,"dd/mm/yyyy")</f>
        <v>20/07/2024</v>
      </c>
      <c r="G3033" s="5" t="str">
        <f>TEXT(E3033,"mm")</f>
        <v>20/07/2024</v>
      </c>
      <c r="H3033" s="6">
        <v>3766.32</v>
      </c>
      <c r="I3033">
        <v>300</v>
      </c>
      <c r="L3033" t="str">
        <f t="shared" si="47"/>
        <v>Below Average</v>
      </c>
      <c r="M3033">
        <f>RANK(H3033,H:H,0)</f>
        <v>2049</v>
      </c>
    </row>
    <row r="3034" spans="1:13">
      <c r="A3034" t="s">
        <v>28</v>
      </c>
      <c r="B3034" t="s">
        <v>10</v>
      </c>
      <c r="C3034" t="s">
        <v>100</v>
      </c>
      <c r="D3034" s="3" t="s">
        <v>298</v>
      </c>
      <c r="E3034" s="5" t="str">
        <f>TEXT(D3034,"dd/mm/yyyy")</f>
        <v>14/04/2024</v>
      </c>
      <c r="G3034" s="5" t="str">
        <f>TEXT(E3034,"mm")</f>
        <v>14/04/2024</v>
      </c>
      <c r="H3034" s="6">
        <v>4888.37</v>
      </c>
      <c r="I3034">
        <v>435</v>
      </c>
      <c r="L3034" t="str">
        <f t="shared" si="47"/>
        <v>Below Average</v>
      </c>
      <c r="M3034">
        <f>RANK(H3034,H:H,0)</f>
        <v>1736</v>
      </c>
    </row>
    <row r="3035" spans="1:13">
      <c r="A3035" t="s">
        <v>6</v>
      </c>
      <c r="B3035" t="s">
        <v>35</v>
      </c>
      <c r="C3035" t="s">
        <v>59</v>
      </c>
      <c r="D3035" s="3" t="s">
        <v>267</v>
      </c>
      <c r="E3035" s="5" t="str">
        <f>TEXT(D3035,"dd/mm/yyyy")</f>
        <v>25/01/2024</v>
      </c>
      <c r="G3035" s="5" t="str">
        <f>TEXT(E3035,"mm")</f>
        <v>25/01/2024</v>
      </c>
      <c r="H3035" s="6">
        <v>5230.3599999999997</v>
      </c>
      <c r="I3035">
        <v>142</v>
      </c>
      <c r="L3035" t="str">
        <f t="shared" si="47"/>
        <v>Below Average</v>
      </c>
      <c r="M3035">
        <f>RANK(H3035,H:H,0)</f>
        <v>1640</v>
      </c>
    </row>
    <row r="3036" spans="1:13">
      <c r="A3036" t="s">
        <v>67</v>
      </c>
      <c r="B3036" t="s">
        <v>15</v>
      </c>
      <c r="C3036" t="s">
        <v>65</v>
      </c>
      <c r="D3036" s="3" t="s">
        <v>320</v>
      </c>
      <c r="E3036" s="5" t="str">
        <f>TEXT(D3036,"dd/mm/yyyy")</f>
        <v>25/04/2024</v>
      </c>
      <c r="G3036" s="5" t="str">
        <f>TEXT(E3036,"mm")</f>
        <v>25/04/2024</v>
      </c>
      <c r="H3036" s="6">
        <v>3790.18</v>
      </c>
      <c r="I3036">
        <v>168</v>
      </c>
      <c r="L3036" t="str">
        <f t="shared" si="47"/>
        <v>Below Average</v>
      </c>
      <c r="M3036">
        <f>RANK(H3036,H:H,0)</f>
        <v>2042</v>
      </c>
    </row>
    <row r="3037" spans="1:13">
      <c r="A3037" t="s">
        <v>79</v>
      </c>
      <c r="B3037" t="s">
        <v>35</v>
      </c>
      <c r="C3037" t="s">
        <v>23</v>
      </c>
      <c r="D3037" s="3" t="s">
        <v>358</v>
      </c>
      <c r="E3037" s="5" t="str">
        <f>TEXT(D3037,"dd/mm/yyyy")</f>
        <v>17/01/2024</v>
      </c>
      <c r="G3037" s="5" t="str">
        <f>TEXT(E3037,"mm")</f>
        <v>17/01/2024</v>
      </c>
      <c r="H3037" s="6">
        <v>302.18</v>
      </c>
      <c r="I3037">
        <v>233</v>
      </c>
      <c r="L3037" t="str">
        <f t="shared" si="47"/>
        <v>Below Average</v>
      </c>
      <c r="M3037">
        <f>RANK(H3037,H:H,0)</f>
        <v>3191</v>
      </c>
    </row>
    <row r="3038" spans="1:13">
      <c r="A3038" t="s">
        <v>37</v>
      </c>
      <c r="B3038" t="s">
        <v>32</v>
      </c>
      <c r="C3038" t="s">
        <v>36</v>
      </c>
      <c r="D3038" s="3" t="s">
        <v>318</v>
      </c>
      <c r="E3038" s="5" t="str">
        <f>TEXT(D3038,"dd/mm/yyyy")</f>
        <v>15/08/2024</v>
      </c>
      <c r="G3038" s="5" t="str">
        <f>TEXT(E3038,"mm")</f>
        <v>15/08/2024</v>
      </c>
      <c r="H3038" s="6">
        <v>1017.17</v>
      </c>
      <c r="I3038">
        <v>123</v>
      </c>
      <c r="L3038" t="str">
        <f t="shared" si="47"/>
        <v>Below Average</v>
      </c>
      <c r="M3038">
        <f>RANK(H3038,H:H,0)</f>
        <v>2968</v>
      </c>
    </row>
    <row r="3039" spans="1:13">
      <c r="A3039" t="s">
        <v>37</v>
      </c>
      <c r="B3039" t="s">
        <v>35</v>
      </c>
      <c r="C3039" t="s">
        <v>57</v>
      </c>
      <c r="D3039" s="4">
        <v>45328</v>
      </c>
      <c r="E3039" s="5" t="str">
        <f>TEXT(D3039,"dd/mm/yyyy")</f>
        <v>06/02/2024</v>
      </c>
      <c r="F3039" s="4"/>
      <c r="G3039" s="5" t="str">
        <f>TEXT(E3039,"mm")</f>
        <v>06</v>
      </c>
      <c r="H3039" s="6">
        <v>241.36</v>
      </c>
      <c r="I3039">
        <v>17</v>
      </c>
      <c r="L3039" t="str">
        <f t="shared" si="47"/>
        <v>Below Average</v>
      </c>
      <c r="M3039">
        <f>RANK(H3039,H:H,0)</f>
        <v>3209</v>
      </c>
    </row>
    <row r="3040" spans="1:13">
      <c r="A3040" t="s">
        <v>22</v>
      </c>
      <c r="B3040" t="s">
        <v>32</v>
      </c>
      <c r="C3040" t="s">
        <v>11</v>
      </c>
      <c r="D3040" s="3" t="s">
        <v>283</v>
      </c>
      <c r="E3040" s="5" t="str">
        <f>TEXT(D3040,"dd/mm/yyyy")</f>
        <v>30/06/2024</v>
      </c>
      <c r="G3040" s="5" t="str">
        <f>TEXT(E3040,"mm")</f>
        <v>30/06/2024</v>
      </c>
      <c r="H3040" s="6">
        <v>8347.2999999999993</v>
      </c>
      <c r="I3040">
        <v>138</v>
      </c>
      <c r="L3040" t="str">
        <f t="shared" si="47"/>
        <v>Above Average</v>
      </c>
      <c r="M3040">
        <f>RANK(H3040,H:H,0)</f>
        <v>863</v>
      </c>
    </row>
    <row r="3041" spans="1:13">
      <c r="A3041" t="s">
        <v>79</v>
      </c>
      <c r="B3041" t="s">
        <v>25</v>
      </c>
      <c r="C3041" t="s">
        <v>73</v>
      </c>
      <c r="D3041" s="4">
        <v>45567</v>
      </c>
      <c r="E3041" s="5" t="str">
        <f>TEXT(D3041,"dd/mm/yyyy")</f>
        <v>02/10/2024</v>
      </c>
      <c r="F3041" s="4"/>
      <c r="G3041" s="5" t="str">
        <f>TEXT(E3041,"mm")</f>
        <v>02</v>
      </c>
      <c r="H3041" s="6">
        <v>6291.74</v>
      </c>
      <c r="I3041">
        <v>88</v>
      </c>
      <c r="L3041" t="str">
        <f t="shared" si="47"/>
        <v>Above Average</v>
      </c>
      <c r="M3041">
        <f>RANK(H3041,H:H,0)</f>
        <v>1360</v>
      </c>
    </row>
    <row r="3042" spans="1:13">
      <c r="A3042" t="s">
        <v>40</v>
      </c>
      <c r="B3042" t="s">
        <v>35</v>
      </c>
      <c r="C3042" t="s">
        <v>90</v>
      </c>
      <c r="D3042" s="3" t="s">
        <v>288</v>
      </c>
      <c r="E3042" s="5" t="str">
        <f>TEXT(D3042,"dd/mm/yyyy")</f>
        <v>23/02/2024</v>
      </c>
      <c r="G3042" s="5" t="str">
        <f>TEXT(E3042,"mm")</f>
        <v>23/02/2024</v>
      </c>
      <c r="H3042" s="6">
        <v>1543.77</v>
      </c>
      <c r="I3042">
        <v>674</v>
      </c>
      <c r="L3042" t="str">
        <f t="shared" si="47"/>
        <v>Below Average</v>
      </c>
      <c r="M3042">
        <f>RANK(H3042,H:H,0)</f>
        <v>2790</v>
      </c>
    </row>
    <row r="3043" spans="1:13">
      <c r="A3043" t="s">
        <v>58</v>
      </c>
      <c r="B3043" t="s">
        <v>10</v>
      </c>
      <c r="C3043" t="s">
        <v>42</v>
      </c>
      <c r="D3043" s="3" t="s">
        <v>302</v>
      </c>
      <c r="E3043" s="5" t="str">
        <f>TEXT(D3043,"dd/mm/yyyy")</f>
        <v>27/01/2024</v>
      </c>
      <c r="G3043" s="5" t="str">
        <f>TEXT(E3043,"mm")</f>
        <v>27/01/2024</v>
      </c>
      <c r="H3043" s="6">
        <v>9744.5</v>
      </c>
      <c r="I3043">
        <v>225</v>
      </c>
      <c r="L3043" t="str">
        <f t="shared" si="47"/>
        <v>Above Average</v>
      </c>
      <c r="M3043">
        <f>RANK(H3043,H:H,0)</f>
        <v>623</v>
      </c>
    </row>
    <row r="3044" spans="1:13">
      <c r="A3044" t="s">
        <v>71</v>
      </c>
      <c r="B3044" t="s">
        <v>7</v>
      </c>
      <c r="C3044" t="s">
        <v>8</v>
      </c>
      <c r="D3044" s="3" t="s">
        <v>296</v>
      </c>
      <c r="E3044" s="5" t="str">
        <f>TEXT(D3044,"dd/mm/yyyy")</f>
        <v>26/05/2024</v>
      </c>
      <c r="G3044" s="5" t="str">
        <f>TEXT(E3044,"mm")</f>
        <v>26/05/2024</v>
      </c>
      <c r="H3044" s="6">
        <v>5414.75</v>
      </c>
      <c r="I3044">
        <v>325</v>
      </c>
      <c r="L3044" t="str">
        <f t="shared" si="47"/>
        <v>Below Average</v>
      </c>
      <c r="M3044">
        <f>RANK(H3044,H:H,0)</f>
        <v>1591</v>
      </c>
    </row>
    <row r="3045" spans="1:13">
      <c r="A3045" t="s">
        <v>28</v>
      </c>
      <c r="B3045" t="s">
        <v>32</v>
      </c>
      <c r="C3045" t="s">
        <v>100</v>
      </c>
      <c r="D3045" s="3" t="s">
        <v>298</v>
      </c>
      <c r="E3045" s="5" t="str">
        <f>TEXT(D3045,"dd/mm/yyyy")</f>
        <v>14/04/2024</v>
      </c>
      <c r="G3045" s="5" t="str">
        <f>TEXT(E3045,"mm")</f>
        <v>14/04/2024</v>
      </c>
      <c r="H3045" s="6">
        <v>1898.07</v>
      </c>
      <c r="I3045">
        <v>22</v>
      </c>
      <c r="L3045" t="str">
        <f t="shared" si="47"/>
        <v>Below Average</v>
      </c>
      <c r="M3045">
        <f>RANK(H3045,H:H,0)</f>
        <v>2664</v>
      </c>
    </row>
    <row r="3046" spans="1:13">
      <c r="A3046" t="s">
        <v>77</v>
      </c>
      <c r="B3046" t="s">
        <v>15</v>
      </c>
      <c r="C3046" t="s">
        <v>20</v>
      </c>
      <c r="D3046" s="4">
        <v>45299</v>
      </c>
      <c r="E3046" s="5" t="str">
        <f>TEXT(D3046,"dd/mm/yyyy")</f>
        <v>08/01/2024</v>
      </c>
      <c r="F3046" s="4"/>
      <c r="G3046" s="5" t="str">
        <f>TEXT(E3046,"mm")</f>
        <v>08</v>
      </c>
      <c r="H3046" s="6">
        <v>4911.08</v>
      </c>
      <c r="I3046">
        <v>163</v>
      </c>
      <c r="L3046" t="str">
        <f t="shared" si="47"/>
        <v>Below Average</v>
      </c>
      <c r="M3046">
        <f>RANK(H3046,H:H,0)</f>
        <v>1726</v>
      </c>
    </row>
    <row r="3047" spans="1:13">
      <c r="A3047" t="s">
        <v>34</v>
      </c>
      <c r="B3047" t="s">
        <v>15</v>
      </c>
      <c r="C3047" t="s">
        <v>36</v>
      </c>
      <c r="D3047" s="3" t="s">
        <v>289</v>
      </c>
      <c r="E3047" s="5" t="str">
        <f>TEXT(D3047,"dd/mm/yyyy")</f>
        <v>22/08/2024</v>
      </c>
      <c r="G3047" s="5" t="str">
        <f>TEXT(E3047,"mm")</f>
        <v>22/08/2024</v>
      </c>
      <c r="H3047" s="6">
        <v>11293.17</v>
      </c>
      <c r="I3047">
        <v>219</v>
      </c>
      <c r="L3047" t="str">
        <f t="shared" si="47"/>
        <v>Above Average</v>
      </c>
      <c r="M3047">
        <f>RANK(H3047,H:H,0)</f>
        <v>418</v>
      </c>
    </row>
    <row r="3048" spans="1:13">
      <c r="A3048" t="s">
        <v>40</v>
      </c>
      <c r="B3048" t="s">
        <v>10</v>
      </c>
      <c r="C3048" t="s">
        <v>20</v>
      </c>
      <c r="D3048" s="3" t="s">
        <v>284</v>
      </c>
      <c r="E3048" s="5" t="str">
        <f>TEXT(D3048,"dd/mm/yyyy")</f>
        <v>22/07/2024</v>
      </c>
      <c r="G3048" s="5" t="str">
        <f>TEXT(E3048,"mm")</f>
        <v>22/07/2024</v>
      </c>
      <c r="H3048" s="6">
        <v>12398.37</v>
      </c>
      <c r="I3048">
        <v>161</v>
      </c>
      <c r="L3048" t="str">
        <f t="shared" si="47"/>
        <v>Above Average</v>
      </c>
      <c r="M3048">
        <f>RANK(H3048,H:H,0)</f>
        <v>311</v>
      </c>
    </row>
    <row r="3049" spans="1:13">
      <c r="A3049" t="s">
        <v>53</v>
      </c>
      <c r="B3049" t="s">
        <v>32</v>
      </c>
      <c r="C3049" t="s">
        <v>57</v>
      </c>
      <c r="D3049" s="3" t="s">
        <v>365</v>
      </c>
      <c r="E3049" s="5" t="str">
        <f>TEXT(D3049,"dd/mm/yyyy")</f>
        <v>28/04/2024</v>
      </c>
      <c r="G3049" s="5" t="str">
        <f>TEXT(E3049,"mm")</f>
        <v>28/04/2024</v>
      </c>
      <c r="H3049" s="6">
        <v>1508.57</v>
      </c>
      <c r="I3049">
        <v>28</v>
      </c>
      <c r="L3049" t="str">
        <f t="shared" si="47"/>
        <v>Below Average</v>
      </c>
      <c r="M3049">
        <f>RANK(H3049,H:H,0)</f>
        <v>2807</v>
      </c>
    </row>
    <row r="3050" spans="1:13">
      <c r="A3050" t="s">
        <v>70</v>
      </c>
      <c r="B3050" t="s">
        <v>15</v>
      </c>
      <c r="C3050" t="s">
        <v>65</v>
      </c>
      <c r="D3050" s="3" t="s">
        <v>277</v>
      </c>
      <c r="E3050" s="5" t="str">
        <f>TEXT(D3050,"dd/mm/yyyy")</f>
        <v>30/05/2024</v>
      </c>
      <c r="G3050" s="5" t="str">
        <f>TEXT(E3050,"mm")</f>
        <v>30/05/2024</v>
      </c>
      <c r="H3050" s="6">
        <v>5869.09</v>
      </c>
      <c r="I3050">
        <v>354</v>
      </c>
      <c r="L3050" t="str">
        <f t="shared" si="47"/>
        <v>Below Average</v>
      </c>
      <c r="M3050">
        <f>RANK(H3050,H:H,0)</f>
        <v>1467</v>
      </c>
    </row>
    <row r="3051" spans="1:13">
      <c r="A3051" t="s">
        <v>83</v>
      </c>
      <c r="B3051" t="s">
        <v>32</v>
      </c>
      <c r="C3051" t="s">
        <v>46</v>
      </c>
      <c r="D3051" s="3" t="s">
        <v>347</v>
      </c>
      <c r="E3051" s="5" t="str">
        <f>TEXT(D3051,"dd/mm/yyyy")</f>
        <v>21/07/2024</v>
      </c>
      <c r="G3051" s="5" t="str">
        <f>TEXT(E3051,"mm")</f>
        <v>21/07/2024</v>
      </c>
      <c r="H3051" s="6">
        <v>2770.47</v>
      </c>
      <c r="I3051">
        <v>159</v>
      </c>
      <c r="L3051" t="str">
        <f t="shared" si="47"/>
        <v>Below Average</v>
      </c>
      <c r="M3051">
        <f>RANK(H3051,H:H,0)</f>
        <v>2383</v>
      </c>
    </row>
    <row r="3052" spans="1:13">
      <c r="A3052" t="s">
        <v>14</v>
      </c>
      <c r="B3052" t="s">
        <v>7</v>
      </c>
      <c r="C3052" t="s">
        <v>90</v>
      </c>
      <c r="D3052" s="4">
        <v>45330</v>
      </c>
      <c r="E3052" s="5" t="str">
        <f>TEXT(D3052,"dd/mm/yyyy")</f>
        <v>08/02/2024</v>
      </c>
      <c r="F3052" s="4"/>
      <c r="G3052" s="5" t="str">
        <f>TEXT(E3052,"mm")</f>
        <v>08</v>
      </c>
      <c r="H3052" s="6">
        <v>3541.73</v>
      </c>
      <c r="I3052">
        <v>494</v>
      </c>
      <c r="L3052" t="str">
        <f t="shared" si="47"/>
        <v>Below Average</v>
      </c>
      <c r="M3052">
        <f>RANK(H3052,H:H,0)</f>
        <v>2130</v>
      </c>
    </row>
    <row r="3053" spans="1:13">
      <c r="A3053" t="s">
        <v>28</v>
      </c>
      <c r="B3053" t="s">
        <v>25</v>
      </c>
      <c r="C3053" t="s">
        <v>100</v>
      </c>
      <c r="D3053" s="3" t="s">
        <v>280</v>
      </c>
      <c r="E3053" s="5" t="str">
        <f>TEXT(D3053,"dd/mm/yyyy")</f>
        <v>15/06/2024</v>
      </c>
      <c r="G3053" s="5" t="str">
        <f>TEXT(E3053,"mm")</f>
        <v>15/06/2024</v>
      </c>
      <c r="H3053" s="6">
        <v>7624.41</v>
      </c>
      <c r="I3053">
        <v>139</v>
      </c>
      <c r="L3053" t="str">
        <f t="shared" si="47"/>
        <v>Above Average</v>
      </c>
      <c r="M3053">
        <f>RANK(H3053,H:H,0)</f>
        <v>1033</v>
      </c>
    </row>
    <row r="3054" spans="1:13">
      <c r="A3054" t="s">
        <v>19</v>
      </c>
      <c r="B3054" t="s">
        <v>10</v>
      </c>
      <c r="C3054" t="s">
        <v>11</v>
      </c>
      <c r="D3054" s="4">
        <v>45419</v>
      </c>
      <c r="E3054" s="5" t="str">
        <f>TEXT(D3054,"dd/mm/yyyy")</f>
        <v>07/05/2024</v>
      </c>
      <c r="F3054" s="4"/>
      <c r="G3054" s="5" t="str">
        <f>TEXT(E3054,"mm")</f>
        <v>07</v>
      </c>
      <c r="H3054" s="6">
        <v>9928.42</v>
      </c>
      <c r="I3054">
        <v>130</v>
      </c>
      <c r="L3054" t="str">
        <f t="shared" si="47"/>
        <v>Above Average</v>
      </c>
      <c r="M3054">
        <f>RANK(H3054,H:H,0)</f>
        <v>592</v>
      </c>
    </row>
    <row r="3055" spans="1:13">
      <c r="A3055" t="s">
        <v>55</v>
      </c>
      <c r="B3055" t="s">
        <v>25</v>
      </c>
      <c r="C3055" t="s">
        <v>18</v>
      </c>
      <c r="D3055" s="4">
        <v>45630</v>
      </c>
      <c r="E3055" s="5" t="str">
        <f>TEXT(D3055,"dd/mm/yyyy")</f>
        <v>04/12/2024</v>
      </c>
      <c r="F3055" s="4"/>
      <c r="G3055" s="5" t="str">
        <f>TEXT(E3055,"mm")</f>
        <v>04</v>
      </c>
      <c r="H3055" s="6">
        <v>7.67</v>
      </c>
      <c r="I3055">
        <v>548</v>
      </c>
      <c r="L3055" t="str">
        <f t="shared" si="47"/>
        <v>Below Average</v>
      </c>
      <c r="M3055">
        <f>RANK(H3055,H:H,0)</f>
        <v>3280</v>
      </c>
    </row>
    <row r="3056" spans="1:13">
      <c r="A3056" t="s">
        <v>12</v>
      </c>
      <c r="B3056" t="s">
        <v>15</v>
      </c>
      <c r="C3056" t="s">
        <v>100</v>
      </c>
      <c r="D3056" s="3" t="s">
        <v>304</v>
      </c>
      <c r="E3056" s="5" t="str">
        <f>TEXT(D3056,"dd/mm/yyyy")</f>
        <v>18/08/2024</v>
      </c>
      <c r="G3056" s="5" t="str">
        <f>TEXT(E3056,"mm")</f>
        <v>18/08/2024</v>
      </c>
      <c r="H3056" s="6">
        <v>1624.86</v>
      </c>
      <c r="I3056">
        <v>103</v>
      </c>
      <c r="L3056" t="str">
        <f t="shared" si="47"/>
        <v>Below Average</v>
      </c>
      <c r="M3056">
        <f>RANK(H3056,H:H,0)</f>
        <v>2762</v>
      </c>
    </row>
    <row r="3057" spans="1:13">
      <c r="A3057" t="s">
        <v>14</v>
      </c>
      <c r="B3057" t="s">
        <v>7</v>
      </c>
      <c r="C3057" t="s">
        <v>26</v>
      </c>
      <c r="D3057" s="4">
        <v>45627</v>
      </c>
      <c r="E3057" s="5" t="str">
        <f>TEXT(D3057,"dd/mm/yyyy")</f>
        <v>01/12/2024</v>
      </c>
      <c r="F3057" s="4"/>
      <c r="G3057" s="5" t="str">
        <f>TEXT(E3057,"mm")</f>
        <v>01</v>
      </c>
      <c r="H3057" s="6">
        <v>6301.56</v>
      </c>
      <c r="I3057">
        <v>287</v>
      </c>
      <c r="L3057" t="str">
        <f t="shared" si="47"/>
        <v>Above Average</v>
      </c>
      <c r="M3057">
        <f>RANK(H3057,H:H,0)</f>
        <v>1358</v>
      </c>
    </row>
    <row r="3058" spans="1:13">
      <c r="A3058" t="s">
        <v>22</v>
      </c>
      <c r="B3058" t="s">
        <v>35</v>
      </c>
      <c r="C3058" t="s">
        <v>59</v>
      </c>
      <c r="D3058" s="4">
        <v>45604</v>
      </c>
      <c r="E3058" s="5" t="str">
        <f>TEXT(D3058,"dd/mm/yyyy")</f>
        <v>08/11/2024</v>
      </c>
      <c r="F3058" s="4"/>
      <c r="G3058" s="5" t="str">
        <f>TEXT(E3058,"mm")</f>
        <v>08</v>
      </c>
      <c r="H3058" s="6">
        <v>8578.4</v>
      </c>
      <c r="I3058">
        <v>15</v>
      </c>
      <c r="L3058" t="str">
        <f t="shared" si="47"/>
        <v>Above Average</v>
      </c>
      <c r="M3058">
        <f>RANK(H3058,H:H,0)</f>
        <v>816</v>
      </c>
    </row>
    <row r="3059" spans="1:13">
      <c r="A3059" t="s">
        <v>6</v>
      </c>
      <c r="B3059" t="s">
        <v>15</v>
      </c>
      <c r="C3059" t="s">
        <v>50</v>
      </c>
      <c r="D3059" s="3" t="s">
        <v>270</v>
      </c>
      <c r="E3059" s="5" t="str">
        <f>TEXT(D3059,"dd/mm/yyyy")</f>
        <v>13/01/2024</v>
      </c>
      <c r="G3059" s="5" t="str">
        <f>TEXT(E3059,"mm")</f>
        <v>13/01/2024</v>
      </c>
      <c r="H3059" s="6">
        <v>5573.57</v>
      </c>
      <c r="I3059">
        <v>372</v>
      </c>
      <c r="L3059" t="str">
        <f t="shared" si="47"/>
        <v>Below Average</v>
      </c>
      <c r="M3059">
        <f>RANK(H3059,H:H,0)</f>
        <v>1551</v>
      </c>
    </row>
    <row r="3060" spans="1:13">
      <c r="A3060" t="s">
        <v>53</v>
      </c>
      <c r="B3060" t="s">
        <v>7</v>
      </c>
      <c r="C3060" t="s">
        <v>87</v>
      </c>
      <c r="D3060" s="3" t="s">
        <v>322</v>
      </c>
      <c r="E3060" s="5" t="str">
        <f>TEXT(D3060,"dd/mm/yyyy")</f>
        <v>29/04/2024</v>
      </c>
      <c r="G3060" s="5" t="str">
        <f>TEXT(E3060,"mm")</f>
        <v>29/04/2024</v>
      </c>
      <c r="H3060" s="6">
        <v>3465.68</v>
      </c>
      <c r="I3060">
        <v>133</v>
      </c>
      <c r="L3060" t="str">
        <f t="shared" si="47"/>
        <v>Below Average</v>
      </c>
      <c r="M3060">
        <f>RANK(H3060,H:H,0)</f>
        <v>2152</v>
      </c>
    </row>
    <row r="3061" spans="1:13">
      <c r="A3061" t="s">
        <v>29</v>
      </c>
      <c r="B3061" t="s">
        <v>25</v>
      </c>
      <c r="C3061" t="s">
        <v>23</v>
      </c>
      <c r="D3061" s="4">
        <v>45480</v>
      </c>
      <c r="E3061" s="5" t="str">
        <f>TEXT(D3061,"dd/mm/yyyy")</f>
        <v>07/07/2024</v>
      </c>
      <c r="F3061" s="4"/>
      <c r="G3061" s="5" t="str">
        <f>TEXT(E3061,"mm")</f>
        <v>07</v>
      </c>
      <c r="H3061" s="6">
        <v>1245.9100000000001</v>
      </c>
      <c r="I3061">
        <v>90</v>
      </c>
      <c r="L3061" t="str">
        <f t="shared" si="47"/>
        <v>Below Average</v>
      </c>
      <c r="M3061">
        <f>RANK(H3061,H:H,0)</f>
        <v>2894</v>
      </c>
    </row>
    <row r="3062" spans="1:13">
      <c r="A3062" t="s">
        <v>77</v>
      </c>
      <c r="B3062" t="s">
        <v>25</v>
      </c>
      <c r="C3062" t="s">
        <v>8</v>
      </c>
      <c r="D3062" s="4">
        <v>45599</v>
      </c>
      <c r="E3062" s="5" t="str">
        <f>TEXT(D3062,"dd/mm/yyyy")</f>
        <v>03/11/2024</v>
      </c>
      <c r="F3062" s="4"/>
      <c r="G3062" s="5" t="str">
        <f>TEXT(E3062,"mm")</f>
        <v>03</v>
      </c>
      <c r="H3062" s="6">
        <v>8888.61</v>
      </c>
      <c r="I3062">
        <v>4</v>
      </c>
      <c r="L3062" t="str">
        <f t="shared" si="47"/>
        <v>Above Average</v>
      </c>
      <c r="M3062">
        <f>RANK(H3062,H:H,0)</f>
        <v>762</v>
      </c>
    </row>
    <row r="3063" spans="1:13">
      <c r="A3063" t="s">
        <v>77</v>
      </c>
      <c r="B3063" t="s">
        <v>7</v>
      </c>
      <c r="C3063" t="s">
        <v>100</v>
      </c>
      <c r="D3063" s="3" t="s">
        <v>274</v>
      </c>
      <c r="E3063" s="5" t="str">
        <f>TEXT(D3063,"dd/mm/yyyy")</f>
        <v>16/02/2024</v>
      </c>
      <c r="G3063" s="5" t="str">
        <f>TEXT(E3063,"mm")</f>
        <v>16/02/2024</v>
      </c>
      <c r="H3063" s="6">
        <v>5931.82</v>
      </c>
      <c r="I3063">
        <v>243</v>
      </c>
      <c r="L3063" t="str">
        <f t="shared" si="47"/>
        <v>Below Average</v>
      </c>
      <c r="M3063">
        <f>RANK(H3063,H:H,0)</f>
        <v>1448</v>
      </c>
    </row>
    <row r="3064" spans="1:13">
      <c r="A3064" t="s">
        <v>31</v>
      </c>
      <c r="B3064" t="s">
        <v>15</v>
      </c>
      <c r="C3064" t="s">
        <v>42</v>
      </c>
      <c r="D3064" s="4">
        <v>45474</v>
      </c>
      <c r="E3064" s="5" t="str">
        <f>TEXT(D3064,"dd/mm/yyyy")</f>
        <v>01/07/2024</v>
      </c>
      <c r="F3064" s="4"/>
      <c r="G3064" s="5" t="str">
        <f>TEXT(E3064,"mm")</f>
        <v>01</v>
      </c>
      <c r="H3064" s="6">
        <v>2620.66</v>
      </c>
      <c r="I3064">
        <v>34</v>
      </c>
      <c r="L3064" t="str">
        <f t="shared" si="47"/>
        <v>Below Average</v>
      </c>
      <c r="M3064">
        <f>RANK(H3064,H:H,0)</f>
        <v>2434</v>
      </c>
    </row>
    <row r="3065" spans="1:13">
      <c r="A3065" t="s">
        <v>41</v>
      </c>
      <c r="B3065" t="s">
        <v>25</v>
      </c>
      <c r="C3065" t="s">
        <v>38</v>
      </c>
      <c r="D3065" s="4">
        <v>45627</v>
      </c>
      <c r="E3065" s="5" t="str">
        <f>TEXT(D3065,"dd/mm/yyyy")</f>
        <v>01/12/2024</v>
      </c>
      <c r="F3065" s="4"/>
      <c r="G3065" s="5" t="str">
        <f>TEXT(E3065,"mm")</f>
        <v>01</v>
      </c>
      <c r="H3065" s="6">
        <v>1284.3699999999999</v>
      </c>
      <c r="I3065">
        <v>560</v>
      </c>
      <c r="L3065" t="str">
        <f t="shared" si="47"/>
        <v>Below Average</v>
      </c>
      <c r="M3065">
        <f>RANK(H3065,H:H,0)</f>
        <v>2881</v>
      </c>
    </row>
    <row r="3066" spans="1:13">
      <c r="A3066" t="s">
        <v>41</v>
      </c>
      <c r="B3066" t="s">
        <v>10</v>
      </c>
      <c r="C3066" t="s">
        <v>36</v>
      </c>
      <c r="D3066" s="4">
        <v>45541</v>
      </c>
      <c r="E3066" s="5" t="str">
        <f>TEXT(D3066,"dd/mm/yyyy")</f>
        <v>06/09/2024</v>
      </c>
      <c r="F3066" s="4"/>
      <c r="G3066" s="5" t="str">
        <f>TEXT(E3066,"mm")</f>
        <v>06</v>
      </c>
      <c r="H3066" s="6">
        <v>11033.61</v>
      </c>
      <c r="I3066">
        <v>155</v>
      </c>
      <c r="L3066" t="str">
        <f t="shared" si="47"/>
        <v>Above Average</v>
      </c>
      <c r="M3066">
        <f>RANK(H3066,H:H,0)</f>
        <v>435</v>
      </c>
    </row>
    <row r="3067" spans="1:13">
      <c r="A3067" t="s">
        <v>67</v>
      </c>
      <c r="B3067" t="s">
        <v>10</v>
      </c>
      <c r="C3067" t="s">
        <v>36</v>
      </c>
      <c r="D3067" s="3" t="s">
        <v>295</v>
      </c>
      <c r="E3067" s="5" t="str">
        <f>TEXT(D3067,"dd/mm/yyyy")</f>
        <v>16/05/2024</v>
      </c>
      <c r="G3067" s="5" t="str">
        <f>TEXT(E3067,"mm")</f>
        <v>16/05/2024</v>
      </c>
      <c r="H3067" s="6">
        <v>2413.0500000000002</v>
      </c>
      <c r="I3067">
        <v>82</v>
      </c>
      <c r="L3067" t="str">
        <f t="shared" si="47"/>
        <v>Below Average</v>
      </c>
      <c r="M3067">
        <f>RANK(H3067,H:H,0)</f>
        <v>2511</v>
      </c>
    </row>
    <row r="3068" spans="1:13">
      <c r="A3068" t="s">
        <v>12</v>
      </c>
      <c r="B3068" t="s">
        <v>7</v>
      </c>
      <c r="C3068" t="s">
        <v>11</v>
      </c>
      <c r="D3068" s="3" t="s">
        <v>348</v>
      </c>
      <c r="E3068" s="5" t="str">
        <f>TEXT(D3068,"dd/mm/yyyy")</f>
        <v>23/06/2024</v>
      </c>
      <c r="G3068" s="5" t="str">
        <f>TEXT(E3068,"mm")</f>
        <v>23/06/2024</v>
      </c>
      <c r="H3068" s="6">
        <v>13136.08</v>
      </c>
      <c r="I3068">
        <v>90</v>
      </c>
      <c r="L3068" t="str">
        <f t="shared" si="47"/>
        <v>Above Average</v>
      </c>
      <c r="M3068">
        <f>RANK(H3068,H:H,0)</f>
        <v>256</v>
      </c>
    </row>
    <row r="3069" spans="1:13">
      <c r="A3069" t="s">
        <v>45</v>
      </c>
      <c r="B3069" t="s">
        <v>7</v>
      </c>
      <c r="C3069" t="s">
        <v>73</v>
      </c>
      <c r="D3069" s="3" t="s">
        <v>313</v>
      </c>
      <c r="E3069" s="5" t="str">
        <f>TEXT(D3069,"dd/mm/yyyy")</f>
        <v>28/01/2024</v>
      </c>
      <c r="G3069" s="5" t="str">
        <f>TEXT(E3069,"mm")</f>
        <v>28/01/2024</v>
      </c>
      <c r="H3069" s="6">
        <v>14297.82</v>
      </c>
      <c r="I3069">
        <v>211</v>
      </c>
      <c r="L3069" t="str">
        <f t="shared" si="47"/>
        <v>Above Average</v>
      </c>
      <c r="M3069">
        <f>RANK(H3069,H:H,0)</f>
        <v>191</v>
      </c>
    </row>
    <row r="3070" spans="1:13">
      <c r="A3070" t="s">
        <v>79</v>
      </c>
      <c r="B3070" t="s">
        <v>7</v>
      </c>
      <c r="C3070" t="s">
        <v>8</v>
      </c>
      <c r="D3070" s="3" t="s">
        <v>366</v>
      </c>
      <c r="E3070" s="5" t="str">
        <f>TEXT(D3070,"dd/mm/yyyy")</f>
        <v>14/07/2024</v>
      </c>
      <c r="G3070" s="5" t="str">
        <f>TEXT(E3070,"mm")</f>
        <v>14/07/2024</v>
      </c>
      <c r="H3070" s="6">
        <v>2837.65</v>
      </c>
      <c r="I3070">
        <v>212</v>
      </c>
      <c r="L3070" t="str">
        <f t="shared" si="47"/>
        <v>Below Average</v>
      </c>
      <c r="M3070">
        <f>RANK(H3070,H:H,0)</f>
        <v>2357</v>
      </c>
    </row>
    <row r="3071" spans="1:13">
      <c r="A3071" t="s">
        <v>31</v>
      </c>
      <c r="B3071" t="s">
        <v>35</v>
      </c>
      <c r="C3071" t="s">
        <v>38</v>
      </c>
      <c r="D3071" s="3" t="s">
        <v>360</v>
      </c>
      <c r="E3071" s="5" t="str">
        <f>TEXT(D3071,"dd/mm/yyyy")</f>
        <v>18/04/2024</v>
      </c>
      <c r="G3071" s="5" t="str">
        <f>TEXT(E3071,"mm")</f>
        <v>18/04/2024</v>
      </c>
      <c r="H3071" s="6">
        <v>7496.03</v>
      </c>
      <c r="I3071">
        <v>259</v>
      </c>
      <c r="L3071" t="str">
        <f t="shared" si="47"/>
        <v>Above Average</v>
      </c>
      <c r="M3071">
        <f>RANK(H3071,H:H,0)</f>
        <v>1063</v>
      </c>
    </row>
    <row r="3072" spans="1:13">
      <c r="A3072" t="s">
        <v>19</v>
      </c>
      <c r="B3072" t="s">
        <v>32</v>
      </c>
      <c r="C3072" t="s">
        <v>46</v>
      </c>
      <c r="D3072" s="3" t="s">
        <v>333</v>
      </c>
      <c r="E3072" s="5" t="str">
        <f>TEXT(D3072,"dd/mm/yyyy")</f>
        <v>14/06/2024</v>
      </c>
      <c r="G3072" s="5" t="str">
        <f>TEXT(E3072,"mm")</f>
        <v>14/06/2024</v>
      </c>
      <c r="H3072" s="6">
        <v>1815.29</v>
      </c>
      <c r="I3072">
        <v>79</v>
      </c>
      <c r="L3072" t="str">
        <f t="shared" si="47"/>
        <v>Below Average</v>
      </c>
      <c r="M3072">
        <f>RANK(H3072,H:H,0)</f>
        <v>2697</v>
      </c>
    </row>
    <row r="3073" spans="1:13">
      <c r="A3073" t="s">
        <v>19</v>
      </c>
      <c r="B3073" t="s">
        <v>7</v>
      </c>
      <c r="C3073" t="s">
        <v>33</v>
      </c>
      <c r="D3073" s="3" t="s">
        <v>287</v>
      </c>
      <c r="E3073" s="5" t="str">
        <f>TEXT(D3073,"dd/mm/yyyy")</f>
        <v>15/04/2024</v>
      </c>
      <c r="G3073" s="5" t="str">
        <f>TEXT(E3073,"mm")</f>
        <v>15/04/2024</v>
      </c>
      <c r="H3073" s="6">
        <v>8250.0300000000007</v>
      </c>
      <c r="I3073">
        <v>228</v>
      </c>
      <c r="L3073" t="str">
        <f t="shared" si="47"/>
        <v>Above Average</v>
      </c>
      <c r="M3073">
        <f>RANK(H3073,H:H,0)</f>
        <v>885</v>
      </c>
    </row>
    <row r="3074" spans="1:13">
      <c r="A3074" t="s">
        <v>48</v>
      </c>
      <c r="B3074" t="s">
        <v>35</v>
      </c>
      <c r="C3074" t="s">
        <v>13</v>
      </c>
      <c r="D3074" s="3" t="s">
        <v>286</v>
      </c>
      <c r="E3074" s="5" t="str">
        <f>TEXT(D3074,"dd/mm/yyyy")</f>
        <v>19/05/2024</v>
      </c>
      <c r="G3074" s="5" t="str">
        <f>TEXT(E3074,"mm")</f>
        <v>19/05/2024</v>
      </c>
      <c r="H3074" s="6">
        <v>5605.82</v>
      </c>
      <c r="I3074">
        <v>64</v>
      </c>
      <c r="L3074" t="str">
        <f t="shared" si="47"/>
        <v>Below Average</v>
      </c>
      <c r="M3074">
        <f>RANK(H3074,H:H,0)</f>
        <v>1540</v>
      </c>
    </row>
    <row r="3075" spans="1:13">
      <c r="A3075" t="s">
        <v>12</v>
      </c>
      <c r="B3075" t="s">
        <v>10</v>
      </c>
      <c r="C3075" t="s">
        <v>59</v>
      </c>
      <c r="D3075" s="3" t="s">
        <v>327</v>
      </c>
      <c r="E3075" s="5" t="str">
        <f>TEXT(D3075,"dd/mm/yyyy")</f>
        <v>13/04/2024</v>
      </c>
      <c r="G3075" s="5" t="str">
        <f>TEXT(E3075,"mm")</f>
        <v>13/04/2024</v>
      </c>
      <c r="H3075" s="6">
        <v>1563.39</v>
      </c>
      <c r="I3075">
        <v>179</v>
      </c>
      <c r="L3075" t="str">
        <f t="shared" ref="L3075:L3138" si="48">IF(H3075&gt;6030.34,"Above Average","Below Average")</f>
        <v>Below Average</v>
      </c>
      <c r="M3075">
        <f>RANK(H3075,H:H,0)</f>
        <v>2783</v>
      </c>
    </row>
    <row r="3076" spans="1:13">
      <c r="A3076" t="s">
        <v>53</v>
      </c>
      <c r="B3076" t="s">
        <v>35</v>
      </c>
      <c r="C3076" t="s">
        <v>75</v>
      </c>
      <c r="D3076" s="3" t="s">
        <v>318</v>
      </c>
      <c r="E3076" s="5" t="str">
        <f>TEXT(D3076,"dd/mm/yyyy")</f>
        <v>15/08/2024</v>
      </c>
      <c r="G3076" s="5" t="str">
        <f>TEXT(E3076,"mm")</f>
        <v>15/08/2024</v>
      </c>
      <c r="H3076" s="6">
        <v>3997.02</v>
      </c>
      <c r="I3076">
        <v>411</v>
      </c>
      <c r="L3076" t="str">
        <f t="shared" si="48"/>
        <v>Below Average</v>
      </c>
      <c r="M3076">
        <f>RANK(H3076,H:H,0)</f>
        <v>1987</v>
      </c>
    </row>
    <row r="3077" spans="1:13">
      <c r="A3077" t="s">
        <v>64</v>
      </c>
      <c r="B3077" t="s">
        <v>10</v>
      </c>
      <c r="C3077" t="s">
        <v>75</v>
      </c>
      <c r="D3077" s="3" t="s">
        <v>289</v>
      </c>
      <c r="E3077" s="5" t="str">
        <f>TEXT(D3077,"dd/mm/yyyy")</f>
        <v>22/08/2024</v>
      </c>
      <c r="G3077" s="5" t="str">
        <f>TEXT(E3077,"mm")</f>
        <v>22/08/2024</v>
      </c>
      <c r="H3077" s="6">
        <v>3284.22</v>
      </c>
      <c r="I3077">
        <v>230</v>
      </c>
      <c r="L3077" t="str">
        <f t="shared" si="48"/>
        <v>Below Average</v>
      </c>
      <c r="M3077">
        <f>RANK(H3077,H:H,0)</f>
        <v>2214</v>
      </c>
    </row>
    <row r="3078" spans="1:13">
      <c r="A3078" t="s">
        <v>64</v>
      </c>
      <c r="B3078" t="s">
        <v>25</v>
      </c>
      <c r="C3078" t="s">
        <v>87</v>
      </c>
      <c r="D3078" s="3" t="s">
        <v>340</v>
      </c>
      <c r="E3078" s="5" t="str">
        <f>TEXT(D3078,"dd/mm/yyyy")</f>
        <v>22/04/2024</v>
      </c>
      <c r="G3078" s="5" t="str">
        <f>TEXT(E3078,"mm")</f>
        <v>22/04/2024</v>
      </c>
      <c r="H3078" s="6">
        <v>4609.67</v>
      </c>
      <c r="I3078">
        <v>58</v>
      </c>
      <c r="L3078" t="str">
        <f t="shared" si="48"/>
        <v>Below Average</v>
      </c>
      <c r="M3078">
        <f>RANK(H3078,H:H,0)</f>
        <v>1820</v>
      </c>
    </row>
    <row r="3079" spans="1:13">
      <c r="A3079" t="s">
        <v>55</v>
      </c>
      <c r="B3079" t="s">
        <v>7</v>
      </c>
      <c r="C3079" t="s">
        <v>75</v>
      </c>
      <c r="D3079" s="4">
        <v>45359</v>
      </c>
      <c r="E3079" s="5" t="str">
        <f>TEXT(D3079,"dd/mm/yyyy")</f>
        <v>08/03/2024</v>
      </c>
      <c r="F3079" s="4"/>
      <c r="G3079" s="5" t="str">
        <f>TEXT(E3079,"mm")</f>
        <v>08</v>
      </c>
      <c r="H3079" s="6">
        <v>9412.06</v>
      </c>
      <c r="I3079">
        <v>123</v>
      </c>
      <c r="L3079" t="str">
        <f t="shared" si="48"/>
        <v>Above Average</v>
      </c>
      <c r="M3079">
        <f>RANK(H3079,H:H,0)</f>
        <v>672</v>
      </c>
    </row>
    <row r="3080" spans="1:13">
      <c r="A3080" t="s">
        <v>58</v>
      </c>
      <c r="B3080" t="s">
        <v>25</v>
      </c>
      <c r="C3080" t="s">
        <v>42</v>
      </c>
      <c r="D3080" s="4">
        <v>45383</v>
      </c>
      <c r="E3080" s="5" t="str">
        <f>TEXT(D3080,"dd/mm/yyyy")</f>
        <v>01/04/2024</v>
      </c>
      <c r="F3080" s="4"/>
      <c r="G3080" s="5" t="str">
        <f>TEXT(E3080,"mm")</f>
        <v>01</v>
      </c>
      <c r="H3080" s="6">
        <v>427.36</v>
      </c>
      <c r="I3080">
        <v>249</v>
      </c>
      <c r="L3080" t="str">
        <f t="shared" si="48"/>
        <v>Below Average</v>
      </c>
      <c r="M3080">
        <f>RANK(H3080,H:H,0)</f>
        <v>3158</v>
      </c>
    </row>
    <row r="3081" spans="1:13">
      <c r="A3081" t="s">
        <v>70</v>
      </c>
      <c r="B3081" t="s">
        <v>35</v>
      </c>
      <c r="C3081" t="s">
        <v>23</v>
      </c>
      <c r="D3081" s="3" t="s">
        <v>270</v>
      </c>
      <c r="E3081" s="5" t="str">
        <f>TEXT(D3081,"dd/mm/yyyy")</f>
        <v>13/01/2024</v>
      </c>
      <c r="G3081" s="5" t="str">
        <f>TEXT(E3081,"mm")</f>
        <v>13/01/2024</v>
      </c>
      <c r="H3081" s="6">
        <v>19449.02</v>
      </c>
      <c r="I3081">
        <v>204</v>
      </c>
      <c r="L3081" t="str">
        <f t="shared" si="48"/>
        <v>Above Average</v>
      </c>
      <c r="M3081">
        <f>RANK(H3081,H:H,0)</f>
        <v>22</v>
      </c>
    </row>
    <row r="3082" spans="1:13">
      <c r="A3082" t="s">
        <v>9</v>
      </c>
      <c r="B3082" t="s">
        <v>15</v>
      </c>
      <c r="C3082" t="s">
        <v>87</v>
      </c>
      <c r="D3082" s="4">
        <v>45601</v>
      </c>
      <c r="E3082" s="5" t="str">
        <f>TEXT(D3082,"dd/mm/yyyy")</f>
        <v>05/11/2024</v>
      </c>
      <c r="F3082" s="4"/>
      <c r="G3082" s="5" t="str">
        <f>TEXT(E3082,"mm")</f>
        <v>05</v>
      </c>
      <c r="H3082" s="6">
        <v>14122.44</v>
      </c>
      <c r="I3082">
        <v>32</v>
      </c>
      <c r="L3082" t="str">
        <f t="shared" si="48"/>
        <v>Above Average</v>
      </c>
      <c r="M3082">
        <f>RANK(H3082,H:H,0)</f>
        <v>202</v>
      </c>
    </row>
    <row r="3083" spans="1:13">
      <c r="A3083" t="s">
        <v>53</v>
      </c>
      <c r="B3083" t="s">
        <v>25</v>
      </c>
      <c r="C3083" t="s">
        <v>13</v>
      </c>
      <c r="D3083" s="3" t="s">
        <v>274</v>
      </c>
      <c r="E3083" s="5" t="str">
        <f>TEXT(D3083,"dd/mm/yyyy")</f>
        <v>16/02/2024</v>
      </c>
      <c r="G3083" s="5" t="str">
        <f>TEXT(E3083,"mm")</f>
        <v>16/02/2024</v>
      </c>
      <c r="H3083" s="6">
        <v>2257.14</v>
      </c>
      <c r="I3083">
        <v>231</v>
      </c>
      <c r="L3083" t="str">
        <f t="shared" si="48"/>
        <v>Below Average</v>
      </c>
      <c r="M3083">
        <f>RANK(H3083,H:H,0)</f>
        <v>2566</v>
      </c>
    </row>
    <row r="3084" spans="1:13">
      <c r="A3084" t="s">
        <v>55</v>
      </c>
      <c r="B3084" t="s">
        <v>7</v>
      </c>
      <c r="C3084" t="s">
        <v>90</v>
      </c>
      <c r="D3084" s="3" t="s">
        <v>325</v>
      </c>
      <c r="E3084" s="5" t="str">
        <f>TEXT(D3084,"dd/mm/yyyy")</f>
        <v>20/05/2024</v>
      </c>
      <c r="G3084" s="5" t="str">
        <f>TEXT(E3084,"mm")</f>
        <v>20/05/2024</v>
      </c>
      <c r="H3084" s="6">
        <v>11334.21</v>
      </c>
      <c r="I3084">
        <v>72</v>
      </c>
      <c r="L3084" t="str">
        <f t="shared" si="48"/>
        <v>Above Average</v>
      </c>
      <c r="M3084">
        <f>RANK(H3084,H:H,0)</f>
        <v>410</v>
      </c>
    </row>
    <row r="3085" spans="1:13">
      <c r="A3085" t="s">
        <v>6</v>
      </c>
      <c r="B3085" t="s">
        <v>7</v>
      </c>
      <c r="C3085" t="s">
        <v>38</v>
      </c>
      <c r="D3085" s="4">
        <v>45353</v>
      </c>
      <c r="E3085" s="5" t="str">
        <f>TEXT(D3085,"dd/mm/yyyy")</f>
        <v>02/03/2024</v>
      </c>
      <c r="F3085" s="4"/>
      <c r="G3085" s="5" t="str">
        <f>TEXT(E3085,"mm")</f>
        <v>02</v>
      </c>
      <c r="H3085" s="6">
        <v>7865.93</v>
      </c>
      <c r="I3085">
        <v>436</v>
      </c>
      <c r="L3085" t="str">
        <f t="shared" si="48"/>
        <v>Above Average</v>
      </c>
      <c r="M3085">
        <f>RANK(H3085,H:H,0)</f>
        <v>980</v>
      </c>
    </row>
    <row r="3086" spans="1:13">
      <c r="A3086" t="s">
        <v>41</v>
      </c>
      <c r="B3086" t="s">
        <v>10</v>
      </c>
      <c r="C3086" t="s">
        <v>60</v>
      </c>
      <c r="D3086" s="4">
        <v>45448</v>
      </c>
      <c r="E3086" s="5" t="str">
        <f>TEXT(D3086,"dd/mm/yyyy")</f>
        <v>05/06/2024</v>
      </c>
      <c r="F3086" s="4"/>
      <c r="G3086" s="5" t="str">
        <f>TEXT(E3086,"mm")</f>
        <v>05</v>
      </c>
      <c r="H3086" s="6">
        <v>11462.32</v>
      </c>
      <c r="I3086">
        <v>172</v>
      </c>
      <c r="L3086" t="str">
        <f t="shared" si="48"/>
        <v>Above Average</v>
      </c>
      <c r="M3086">
        <f>RANK(H3086,H:H,0)</f>
        <v>400</v>
      </c>
    </row>
    <row r="3087" spans="1:13">
      <c r="A3087" t="s">
        <v>22</v>
      </c>
      <c r="B3087" t="s">
        <v>7</v>
      </c>
      <c r="C3087" t="s">
        <v>75</v>
      </c>
      <c r="D3087" s="3" t="s">
        <v>283</v>
      </c>
      <c r="E3087" s="5" t="str">
        <f>TEXT(D3087,"dd/mm/yyyy")</f>
        <v>30/06/2024</v>
      </c>
      <c r="G3087" s="5" t="str">
        <f>TEXT(E3087,"mm")</f>
        <v>30/06/2024</v>
      </c>
      <c r="H3087" s="6">
        <v>6154.53</v>
      </c>
      <c r="I3087">
        <v>132</v>
      </c>
      <c r="L3087" t="str">
        <f t="shared" si="48"/>
        <v>Above Average</v>
      </c>
      <c r="M3087">
        <f>RANK(H3087,H:H,0)</f>
        <v>1394</v>
      </c>
    </row>
    <row r="3088" spans="1:13">
      <c r="A3088" t="s">
        <v>22</v>
      </c>
      <c r="B3088" t="s">
        <v>7</v>
      </c>
      <c r="C3088" t="s">
        <v>18</v>
      </c>
      <c r="D3088" s="3" t="s">
        <v>345</v>
      </c>
      <c r="E3088" s="5" t="str">
        <f>TEXT(D3088,"dd/mm/yyyy")</f>
        <v>22/03/2024</v>
      </c>
      <c r="G3088" s="5" t="str">
        <f>TEXT(E3088,"mm")</f>
        <v>22/03/2024</v>
      </c>
      <c r="H3088" s="6">
        <v>867.5</v>
      </c>
      <c r="I3088">
        <v>143</v>
      </c>
      <c r="L3088" t="str">
        <f t="shared" si="48"/>
        <v>Below Average</v>
      </c>
      <c r="M3088">
        <f>RANK(H3088,H:H,0)</f>
        <v>3012</v>
      </c>
    </row>
    <row r="3089" spans="1:13">
      <c r="A3089" t="s">
        <v>71</v>
      </c>
      <c r="B3089" t="s">
        <v>35</v>
      </c>
      <c r="C3089" t="s">
        <v>33</v>
      </c>
      <c r="D3089" s="3" t="s">
        <v>276</v>
      </c>
      <c r="E3089" s="5" t="str">
        <f>TEXT(D3089,"dd/mm/yyyy")</f>
        <v>17/02/2024</v>
      </c>
      <c r="G3089" s="5" t="str">
        <f>TEXT(E3089,"mm")</f>
        <v>17/02/2024</v>
      </c>
      <c r="H3089" s="6">
        <v>9056.1</v>
      </c>
      <c r="I3089">
        <v>58</v>
      </c>
      <c r="L3089" t="str">
        <f t="shared" si="48"/>
        <v>Above Average</v>
      </c>
      <c r="M3089">
        <f>RANK(H3089,H:H,0)</f>
        <v>728</v>
      </c>
    </row>
    <row r="3090" spans="1:13">
      <c r="A3090" t="s">
        <v>6</v>
      </c>
      <c r="B3090" t="s">
        <v>7</v>
      </c>
      <c r="C3090" t="s">
        <v>11</v>
      </c>
      <c r="D3090" s="4">
        <v>45480</v>
      </c>
      <c r="E3090" s="5" t="str">
        <f>TEXT(D3090,"dd/mm/yyyy")</f>
        <v>07/07/2024</v>
      </c>
      <c r="F3090" s="4"/>
      <c r="G3090" s="5" t="str">
        <f>TEXT(E3090,"mm")</f>
        <v>07</v>
      </c>
      <c r="H3090" s="6">
        <v>6569.4</v>
      </c>
      <c r="I3090">
        <v>66</v>
      </c>
      <c r="L3090" t="str">
        <f t="shared" si="48"/>
        <v>Above Average</v>
      </c>
      <c r="M3090">
        <f>RANK(H3090,H:H,0)</f>
        <v>1288</v>
      </c>
    </row>
    <row r="3091" spans="1:13">
      <c r="A3091" t="s">
        <v>19</v>
      </c>
      <c r="B3091" t="s">
        <v>7</v>
      </c>
      <c r="C3091" t="s">
        <v>100</v>
      </c>
      <c r="D3091" s="3" t="s">
        <v>314</v>
      </c>
      <c r="E3091" s="5" t="str">
        <f>TEXT(D3091,"dd/mm/yyyy")</f>
        <v>16/03/2024</v>
      </c>
      <c r="G3091" s="5" t="str">
        <f>TEXT(E3091,"mm")</f>
        <v>16/03/2024</v>
      </c>
      <c r="H3091" s="6">
        <v>7431</v>
      </c>
      <c r="I3091">
        <v>180</v>
      </c>
      <c r="L3091" t="str">
        <f t="shared" si="48"/>
        <v>Above Average</v>
      </c>
      <c r="M3091">
        <f>RANK(H3091,H:H,0)</f>
        <v>1083</v>
      </c>
    </row>
    <row r="3092" spans="1:13">
      <c r="A3092" t="s">
        <v>70</v>
      </c>
      <c r="B3092" t="s">
        <v>7</v>
      </c>
      <c r="C3092" t="s">
        <v>20</v>
      </c>
      <c r="D3092" s="4">
        <v>45634</v>
      </c>
      <c r="E3092" s="5" t="str">
        <f>TEXT(D3092,"dd/mm/yyyy")</f>
        <v>08/12/2024</v>
      </c>
      <c r="F3092" s="4"/>
      <c r="G3092" s="5" t="str">
        <f>TEXT(E3092,"mm")</f>
        <v>08</v>
      </c>
      <c r="H3092" s="6">
        <v>3672.65</v>
      </c>
      <c r="I3092">
        <v>124</v>
      </c>
      <c r="L3092" t="str">
        <f t="shared" si="48"/>
        <v>Below Average</v>
      </c>
      <c r="M3092">
        <f>RANK(H3092,H:H,0)</f>
        <v>2080</v>
      </c>
    </row>
    <row r="3093" spans="1:13">
      <c r="A3093" t="s">
        <v>12</v>
      </c>
      <c r="B3093" t="s">
        <v>25</v>
      </c>
      <c r="C3093" t="s">
        <v>23</v>
      </c>
      <c r="D3093" s="3" t="s">
        <v>330</v>
      </c>
      <c r="E3093" s="5" t="str">
        <f>TEXT(D3093,"dd/mm/yyyy")</f>
        <v>21/01/2024</v>
      </c>
      <c r="G3093" s="5" t="str">
        <f>TEXT(E3093,"mm")</f>
        <v>21/01/2024</v>
      </c>
      <c r="H3093" s="6">
        <v>6464.8</v>
      </c>
      <c r="I3093">
        <v>189</v>
      </c>
      <c r="L3093" t="str">
        <f t="shared" si="48"/>
        <v>Above Average</v>
      </c>
      <c r="M3093">
        <f>RANK(H3093,H:H,0)</f>
        <v>1316</v>
      </c>
    </row>
    <row r="3094" spans="1:13">
      <c r="A3094" t="s">
        <v>19</v>
      </c>
      <c r="B3094" t="s">
        <v>15</v>
      </c>
      <c r="C3094" t="s">
        <v>26</v>
      </c>
      <c r="D3094" s="4">
        <v>45448</v>
      </c>
      <c r="E3094" s="5" t="str">
        <f>TEXT(D3094,"dd/mm/yyyy")</f>
        <v>05/06/2024</v>
      </c>
      <c r="F3094" s="4"/>
      <c r="G3094" s="5" t="str">
        <f>TEXT(E3094,"mm")</f>
        <v>05</v>
      </c>
      <c r="H3094" s="6">
        <v>813.58</v>
      </c>
      <c r="I3094">
        <v>163</v>
      </c>
      <c r="L3094" t="str">
        <f t="shared" si="48"/>
        <v>Below Average</v>
      </c>
      <c r="M3094">
        <f>RANK(H3094,H:H,0)</f>
        <v>3023</v>
      </c>
    </row>
    <row r="3095" spans="1:13">
      <c r="A3095" t="s">
        <v>19</v>
      </c>
      <c r="B3095" t="s">
        <v>35</v>
      </c>
      <c r="C3095" t="s">
        <v>26</v>
      </c>
      <c r="D3095" s="3" t="s">
        <v>349</v>
      </c>
      <c r="E3095" s="5" t="str">
        <f>TEXT(D3095,"dd/mm/yyyy")</f>
        <v>24/06/2024</v>
      </c>
      <c r="G3095" s="5" t="str">
        <f>TEXT(E3095,"mm")</f>
        <v>24/06/2024</v>
      </c>
      <c r="H3095" s="6">
        <v>7301.81</v>
      </c>
      <c r="I3095">
        <v>134</v>
      </c>
      <c r="L3095" t="str">
        <f t="shared" si="48"/>
        <v>Above Average</v>
      </c>
      <c r="M3095">
        <f>RANK(H3095,H:H,0)</f>
        <v>1109</v>
      </c>
    </row>
    <row r="3096" spans="1:13">
      <c r="A3096" t="s">
        <v>31</v>
      </c>
      <c r="B3096" t="s">
        <v>32</v>
      </c>
      <c r="C3096" t="s">
        <v>59</v>
      </c>
      <c r="D3096" s="4">
        <v>45417</v>
      </c>
      <c r="E3096" s="5" t="str">
        <f>TEXT(D3096,"dd/mm/yyyy")</f>
        <v>05/05/2024</v>
      </c>
      <c r="F3096" s="4"/>
      <c r="G3096" s="5" t="str">
        <f>TEXT(E3096,"mm")</f>
        <v>05</v>
      </c>
      <c r="H3096" s="6">
        <v>8523.42</v>
      </c>
      <c r="I3096">
        <v>171</v>
      </c>
      <c r="L3096" t="str">
        <f t="shared" si="48"/>
        <v>Above Average</v>
      </c>
      <c r="M3096">
        <f>RANK(H3096,H:H,0)</f>
        <v>827</v>
      </c>
    </row>
    <row r="3097" spans="1:13">
      <c r="A3097" t="s">
        <v>29</v>
      </c>
      <c r="B3097" t="s">
        <v>25</v>
      </c>
      <c r="C3097" t="s">
        <v>20</v>
      </c>
      <c r="D3097" s="3" t="s">
        <v>338</v>
      </c>
      <c r="E3097" s="5" t="str">
        <f>TEXT(D3097,"dd/mm/yyyy")</f>
        <v>25/03/2024</v>
      </c>
      <c r="G3097" s="5" t="str">
        <f>TEXT(E3097,"mm")</f>
        <v>25/03/2024</v>
      </c>
      <c r="H3097" s="6">
        <v>3822.64</v>
      </c>
      <c r="I3097">
        <v>85</v>
      </c>
      <c r="L3097" t="str">
        <f t="shared" si="48"/>
        <v>Below Average</v>
      </c>
      <c r="M3097">
        <f>RANK(H3097,H:H,0)</f>
        <v>2032</v>
      </c>
    </row>
    <row r="3098" spans="1:13">
      <c r="A3098" t="s">
        <v>48</v>
      </c>
      <c r="B3098" t="s">
        <v>15</v>
      </c>
      <c r="C3098" t="s">
        <v>90</v>
      </c>
      <c r="D3098" s="3" t="s">
        <v>273</v>
      </c>
      <c r="E3098" s="5" t="str">
        <f>TEXT(D3098,"dd/mm/yyyy")</f>
        <v>14/02/2024</v>
      </c>
      <c r="G3098" s="5" t="str">
        <f>TEXT(E3098,"mm")</f>
        <v>14/02/2024</v>
      </c>
      <c r="H3098" s="6">
        <v>10219.39</v>
      </c>
      <c r="I3098">
        <v>139</v>
      </c>
      <c r="L3098" t="str">
        <f t="shared" si="48"/>
        <v>Above Average</v>
      </c>
      <c r="M3098">
        <f>RANK(H3098,H:H,0)</f>
        <v>548</v>
      </c>
    </row>
    <row r="3099" spans="1:13">
      <c r="A3099" t="s">
        <v>48</v>
      </c>
      <c r="B3099" t="s">
        <v>25</v>
      </c>
      <c r="C3099" t="s">
        <v>11</v>
      </c>
      <c r="D3099" s="4">
        <v>45631</v>
      </c>
      <c r="E3099" s="5" t="str">
        <f>TEXT(D3099,"dd/mm/yyyy")</f>
        <v>05/12/2024</v>
      </c>
      <c r="F3099" s="4"/>
      <c r="G3099" s="5" t="str">
        <f>TEXT(E3099,"mm")</f>
        <v>05</v>
      </c>
      <c r="H3099" s="6">
        <v>5798.43</v>
      </c>
      <c r="I3099">
        <v>206</v>
      </c>
      <c r="L3099" t="str">
        <f t="shared" si="48"/>
        <v>Below Average</v>
      </c>
      <c r="M3099">
        <f>RANK(H3099,H:H,0)</f>
        <v>1489</v>
      </c>
    </row>
    <row r="3100" spans="1:13">
      <c r="A3100" t="s">
        <v>31</v>
      </c>
      <c r="B3100" t="s">
        <v>25</v>
      </c>
      <c r="C3100" t="s">
        <v>18</v>
      </c>
      <c r="D3100" s="3" t="s">
        <v>267</v>
      </c>
      <c r="E3100" s="5" t="str">
        <f>TEXT(D3100,"dd/mm/yyyy")</f>
        <v>25/01/2024</v>
      </c>
      <c r="G3100" s="5" t="str">
        <f>TEXT(E3100,"mm")</f>
        <v>25/01/2024</v>
      </c>
      <c r="H3100" s="6">
        <v>4487.01</v>
      </c>
      <c r="I3100">
        <v>184</v>
      </c>
      <c r="L3100" t="str">
        <f t="shared" si="48"/>
        <v>Below Average</v>
      </c>
      <c r="M3100">
        <f>RANK(H3100,H:H,0)</f>
        <v>1855</v>
      </c>
    </row>
    <row r="3101" spans="1:13">
      <c r="A3101" t="s">
        <v>83</v>
      </c>
      <c r="B3101" t="s">
        <v>7</v>
      </c>
      <c r="C3101" t="s">
        <v>11</v>
      </c>
      <c r="D3101" s="3" t="s">
        <v>294</v>
      </c>
      <c r="E3101" s="5" t="str">
        <f>TEXT(D3101,"dd/mm/yyyy")</f>
        <v>28/06/2024</v>
      </c>
      <c r="G3101" s="5" t="str">
        <f>TEXT(E3101,"mm")</f>
        <v>28/06/2024</v>
      </c>
      <c r="H3101" s="6">
        <v>17237.669999999998</v>
      </c>
      <c r="I3101">
        <v>13</v>
      </c>
      <c r="L3101" t="str">
        <f t="shared" si="48"/>
        <v>Above Average</v>
      </c>
      <c r="M3101">
        <f>RANK(H3101,H:H,0)</f>
        <v>61</v>
      </c>
    </row>
    <row r="3102" spans="1:13">
      <c r="A3102" t="s">
        <v>58</v>
      </c>
      <c r="B3102" t="s">
        <v>15</v>
      </c>
      <c r="C3102" t="s">
        <v>38</v>
      </c>
      <c r="D3102" s="3" t="s">
        <v>301</v>
      </c>
      <c r="E3102" s="5" t="str">
        <f>TEXT(D3102,"dd/mm/yyyy")</f>
        <v>13/07/2024</v>
      </c>
      <c r="G3102" s="5" t="str">
        <f>TEXT(E3102,"mm")</f>
        <v>13/07/2024</v>
      </c>
      <c r="H3102" s="6">
        <v>7497.22</v>
      </c>
      <c r="I3102">
        <v>184</v>
      </c>
      <c r="L3102" t="str">
        <f t="shared" si="48"/>
        <v>Above Average</v>
      </c>
      <c r="M3102">
        <f>RANK(H3102,H:H,0)</f>
        <v>1062</v>
      </c>
    </row>
    <row r="3103" spans="1:13">
      <c r="A3103" t="s">
        <v>45</v>
      </c>
      <c r="B3103" t="s">
        <v>32</v>
      </c>
      <c r="C3103" t="s">
        <v>46</v>
      </c>
      <c r="D3103" s="3" t="s">
        <v>295</v>
      </c>
      <c r="E3103" s="5" t="str">
        <f>TEXT(D3103,"dd/mm/yyyy")</f>
        <v>16/05/2024</v>
      </c>
      <c r="G3103" s="5" t="str">
        <f>TEXT(E3103,"mm")</f>
        <v>16/05/2024</v>
      </c>
      <c r="H3103" s="6">
        <v>3034.06</v>
      </c>
      <c r="I3103">
        <v>245</v>
      </c>
      <c r="L3103" t="str">
        <f t="shared" si="48"/>
        <v>Below Average</v>
      </c>
      <c r="M3103">
        <f>RANK(H3103,H:H,0)</f>
        <v>2293</v>
      </c>
    </row>
    <row r="3104" spans="1:13">
      <c r="A3104" t="s">
        <v>14</v>
      </c>
      <c r="B3104" t="s">
        <v>10</v>
      </c>
      <c r="C3104" t="s">
        <v>23</v>
      </c>
      <c r="D3104" s="3" t="s">
        <v>278</v>
      </c>
      <c r="E3104" s="5" t="str">
        <f>TEXT(D3104,"dd/mm/yyyy")</f>
        <v>14/03/2024</v>
      </c>
      <c r="G3104" s="5" t="str">
        <f>TEXT(E3104,"mm")</f>
        <v>14/03/2024</v>
      </c>
      <c r="H3104" s="6">
        <v>6795.06</v>
      </c>
      <c r="I3104">
        <v>177</v>
      </c>
      <c r="L3104" t="str">
        <f t="shared" si="48"/>
        <v>Above Average</v>
      </c>
      <c r="M3104">
        <f>RANK(H3104,H:H,0)</f>
        <v>1239</v>
      </c>
    </row>
    <row r="3105" spans="1:13">
      <c r="A3105" t="s">
        <v>22</v>
      </c>
      <c r="B3105" t="s">
        <v>32</v>
      </c>
      <c r="C3105" t="s">
        <v>23</v>
      </c>
      <c r="D3105" s="3" t="s">
        <v>318</v>
      </c>
      <c r="E3105" s="5" t="str">
        <f>TEXT(D3105,"dd/mm/yyyy")</f>
        <v>15/08/2024</v>
      </c>
      <c r="G3105" s="5" t="str">
        <f>TEXT(E3105,"mm")</f>
        <v>15/08/2024</v>
      </c>
      <c r="H3105" s="6">
        <v>4273.09</v>
      </c>
      <c r="I3105">
        <v>280</v>
      </c>
      <c r="L3105" t="str">
        <f t="shared" si="48"/>
        <v>Below Average</v>
      </c>
      <c r="M3105">
        <f>RANK(H3105,H:H,0)</f>
        <v>1907</v>
      </c>
    </row>
    <row r="3106" spans="1:13">
      <c r="A3106" t="s">
        <v>83</v>
      </c>
      <c r="B3106" t="s">
        <v>10</v>
      </c>
      <c r="C3106" t="s">
        <v>33</v>
      </c>
      <c r="D3106" s="3" t="s">
        <v>274</v>
      </c>
      <c r="E3106" s="5" t="str">
        <f>TEXT(D3106,"dd/mm/yyyy")</f>
        <v>16/02/2024</v>
      </c>
      <c r="G3106" s="5" t="str">
        <f>TEXT(E3106,"mm")</f>
        <v>16/02/2024</v>
      </c>
      <c r="H3106" s="6">
        <v>1412.6</v>
      </c>
      <c r="I3106">
        <v>278</v>
      </c>
      <c r="L3106" t="str">
        <f t="shared" si="48"/>
        <v>Below Average</v>
      </c>
      <c r="M3106">
        <f>RANK(H3106,H:H,0)</f>
        <v>2836</v>
      </c>
    </row>
    <row r="3107" spans="1:13">
      <c r="A3107" t="s">
        <v>34</v>
      </c>
      <c r="B3107" t="s">
        <v>7</v>
      </c>
      <c r="C3107" t="s">
        <v>60</v>
      </c>
      <c r="D3107" s="3" t="s">
        <v>280</v>
      </c>
      <c r="E3107" s="5" t="str">
        <f>TEXT(D3107,"dd/mm/yyyy")</f>
        <v>15/06/2024</v>
      </c>
      <c r="G3107" s="5" t="str">
        <f>TEXT(E3107,"mm")</f>
        <v>15/06/2024</v>
      </c>
      <c r="H3107" s="6">
        <v>9852.89</v>
      </c>
      <c r="I3107">
        <v>43</v>
      </c>
      <c r="L3107" t="str">
        <f t="shared" si="48"/>
        <v>Above Average</v>
      </c>
      <c r="M3107">
        <f>RANK(H3107,H:H,0)</f>
        <v>605</v>
      </c>
    </row>
    <row r="3108" spans="1:13">
      <c r="A3108" t="s">
        <v>31</v>
      </c>
      <c r="B3108" t="s">
        <v>15</v>
      </c>
      <c r="C3108" t="s">
        <v>73</v>
      </c>
      <c r="D3108" s="3" t="s">
        <v>297</v>
      </c>
      <c r="E3108" s="5" t="str">
        <f>TEXT(D3108,"dd/mm/yyyy")</f>
        <v>27/05/2024</v>
      </c>
      <c r="G3108" s="5" t="str">
        <f>TEXT(E3108,"mm")</f>
        <v>27/05/2024</v>
      </c>
      <c r="H3108" s="6">
        <v>10744.23</v>
      </c>
      <c r="I3108">
        <v>105</v>
      </c>
      <c r="L3108" t="str">
        <f t="shared" si="48"/>
        <v>Above Average</v>
      </c>
      <c r="M3108">
        <f>RANK(H3108,H:H,0)</f>
        <v>485</v>
      </c>
    </row>
    <row r="3109" spans="1:13">
      <c r="A3109" t="s">
        <v>64</v>
      </c>
      <c r="B3109" t="s">
        <v>32</v>
      </c>
      <c r="C3109" t="s">
        <v>38</v>
      </c>
      <c r="D3109" s="3" t="s">
        <v>333</v>
      </c>
      <c r="E3109" s="5" t="str">
        <f>TEXT(D3109,"dd/mm/yyyy")</f>
        <v>14/06/2024</v>
      </c>
      <c r="G3109" s="5" t="str">
        <f>TEXT(E3109,"mm")</f>
        <v>14/06/2024</v>
      </c>
      <c r="H3109" s="6">
        <v>1213.6300000000001</v>
      </c>
      <c r="I3109">
        <v>101</v>
      </c>
      <c r="L3109" t="str">
        <f t="shared" si="48"/>
        <v>Below Average</v>
      </c>
      <c r="M3109">
        <f>RANK(H3109,H:H,0)</f>
        <v>2904</v>
      </c>
    </row>
    <row r="3110" spans="1:13">
      <c r="A3110" t="s">
        <v>64</v>
      </c>
      <c r="B3110" t="s">
        <v>10</v>
      </c>
      <c r="C3110" t="s">
        <v>36</v>
      </c>
      <c r="D3110" s="3" t="s">
        <v>310</v>
      </c>
      <c r="E3110" s="5" t="str">
        <f>TEXT(D3110,"dd/mm/yyyy")</f>
        <v>25/02/2024</v>
      </c>
      <c r="G3110" s="5" t="str">
        <f>TEXT(E3110,"mm")</f>
        <v>25/02/2024</v>
      </c>
      <c r="H3110" s="6">
        <v>4263.93</v>
      </c>
      <c r="I3110">
        <v>80</v>
      </c>
      <c r="L3110" t="str">
        <f t="shared" si="48"/>
        <v>Below Average</v>
      </c>
      <c r="M3110">
        <f>RANK(H3110,H:H,0)</f>
        <v>1911</v>
      </c>
    </row>
    <row r="3111" spans="1:13">
      <c r="A3111" t="s">
        <v>64</v>
      </c>
      <c r="B3111" t="s">
        <v>10</v>
      </c>
      <c r="C3111" t="s">
        <v>23</v>
      </c>
      <c r="D3111" s="4">
        <v>45390</v>
      </c>
      <c r="E3111" s="5" t="str">
        <f>TEXT(D3111,"dd/mm/yyyy")</f>
        <v>08/04/2024</v>
      </c>
      <c r="F3111" s="4"/>
      <c r="G3111" s="5" t="str">
        <f>TEXT(E3111,"mm")</f>
        <v>08</v>
      </c>
      <c r="H3111" s="6">
        <v>13808.46</v>
      </c>
      <c r="I3111">
        <v>270</v>
      </c>
      <c r="L3111" t="str">
        <f t="shared" si="48"/>
        <v>Above Average</v>
      </c>
      <c r="M3111">
        <f>RANK(H3111,H:H,0)</f>
        <v>216</v>
      </c>
    </row>
    <row r="3112" spans="1:13">
      <c r="A3112" t="s">
        <v>70</v>
      </c>
      <c r="B3112" t="s">
        <v>10</v>
      </c>
      <c r="C3112" t="s">
        <v>20</v>
      </c>
      <c r="D3112" s="3" t="s">
        <v>294</v>
      </c>
      <c r="E3112" s="5" t="str">
        <f>TEXT(D3112,"dd/mm/yyyy")</f>
        <v>28/06/2024</v>
      </c>
      <c r="G3112" s="5" t="str">
        <f>TEXT(E3112,"mm")</f>
        <v>28/06/2024</v>
      </c>
      <c r="H3112" s="6">
        <v>2411.9299999999998</v>
      </c>
      <c r="I3112">
        <v>248</v>
      </c>
      <c r="L3112" t="str">
        <f t="shared" si="48"/>
        <v>Below Average</v>
      </c>
      <c r="M3112">
        <f>RANK(H3112,H:H,0)</f>
        <v>2512</v>
      </c>
    </row>
    <row r="3113" spans="1:13">
      <c r="A3113" t="s">
        <v>22</v>
      </c>
      <c r="B3113" t="s">
        <v>35</v>
      </c>
      <c r="C3113" t="s">
        <v>50</v>
      </c>
      <c r="D3113" s="4">
        <v>45416</v>
      </c>
      <c r="E3113" s="5" t="str">
        <f>TEXT(D3113,"dd/mm/yyyy")</f>
        <v>04/05/2024</v>
      </c>
      <c r="F3113" s="4"/>
      <c r="G3113" s="5" t="str">
        <f>TEXT(E3113,"mm")</f>
        <v>04</v>
      </c>
      <c r="H3113" s="6">
        <v>14603.41</v>
      </c>
      <c r="I3113">
        <v>12</v>
      </c>
      <c r="L3113" t="str">
        <f t="shared" si="48"/>
        <v>Above Average</v>
      </c>
      <c r="M3113">
        <f>RANK(H3113,H:H,0)</f>
        <v>172</v>
      </c>
    </row>
    <row r="3114" spans="1:13">
      <c r="A3114" t="s">
        <v>77</v>
      </c>
      <c r="B3114" t="s">
        <v>35</v>
      </c>
      <c r="C3114" t="s">
        <v>13</v>
      </c>
      <c r="D3114" s="4">
        <v>45419</v>
      </c>
      <c r="E3114" s="5" t="str">
        <f>TEXT(D3114,"dd/mm/yyyy")</f>
        <v>07/05/2024</v>
      </c>
      <c r="F3114" s="4"/>
      <c r="G3114" s="5" t="str">
        <f>TEXT(E3114,"mm")</f>
        <v>07</v>
      </c>
      <c r="H3114" s="6">
        <v>17813.77</v>
      </c>
      <c r="I3114">
        <v>120</v>
      </c>
      <c r="L3114" t="str">
        <f t="shared" si="48"/>
        <v>Above Average</v>
      </c>
      <c r="M3114">
        <f>RANK(H3114,H:H,0)</f>
        <v>45</v>
      </c>
    </row>
    <row r="3115" spans="1:13">
      <c r="A3115" t="s">
        <v>55</v>
      </c>
      <c r="B3115" t="s">
        <v>25</v>
      </c>
      <c r="C3115" t="s">
        <v>36</v>
      </c>
      <c r="D3115" s="3" t="s">
        <v>367</v>
      </c>
      <c r="E3115" s="5" t="str">
        <f>TEXT(D3115,"dd/mm/yyyy")</f>
        <v>20/01/2024</v>
      </c>
      <c r="G3115" s="5" t="str">
        <f>TEXT(E3115,"mm")</f>
        <v>20/01/2024</v>
      </c>
      <c r="H3115" s="6">
        <v>14346.28</v>
      </c>
      <c r="I3115">
        <v>48</v>
      </c>
      <c r="L3115" t="str">
        <f t="shared" si="48"/>
        <v>Above Average</v>
      </c>
      <c r="M3115">
        <f>RANK(H3115,H:H,0)</f>
        <v>187</v>
      </c>
    </row>
    <row r="3116" spans="1:13">
      <c r="A3116" t="s">
        <v>83</v>
      </c>
      <c r="B3116" t="s">
        <v>25</v>
      </c>
      <c r="C3116" t="s">
        <v>38</v>
      </c>
      <c r="D3116" s="3" t="s">
        <v>274</v>
      </c>
      <c r="E3116" s="5" t="str">
        <f>TEXT(D3116,"dd/mm/yyyy")</f>
        <v>16/02/2024</v>
      </c>
      <c r="G3116" s="5" t="str">
        <f>TEXT(E3116,"mm")</f>
        <v>16/02/2024</v>
      </c>
      <c r="H3116" s="6">
        <v>10009.51</v>
      </c>
      <c r="I3116">
        <v>144</v>
      </c>
      <c r="L3116" t="str">
        <f t="shared" si="48"/>
        <v>Above Average</v>
      </c>
      <c r="M3116">
        <f>RANK(H3116,H:H,0)</f>
        <v>579</v>
      </c>
    </row>
    <row r="3117" spans="1:13">
      <c r="A3117" t="s">
        <v>48</v>
      </c>
      <c r="B3117" t="s">
        <v>7</v>
      </c>
      <c r="C3117" t="s">
        <v>38</v>
      </c>
      <c r="D3117" s="4">
        <v>45633</v>
      </c>
      <c r="E3117" s="5" t="str">
        <f>TEXT(D3117,"dd/mm/yyyy")</f>
        <v>07/12/2024</v>
      </c>
      <c r="F3117" s="4"/>
      <c r="G3117" s="5" t="str">
        <f>TEXT(E3117,"mm")</f>
        <v>07</v>
      </c>
      <c r="H3117" s="6">
        <v>494.27</v>
      </c>
      <c r="I3117">
        <v>186</v>
      </c>
      <c r="L3117" t="str">
        <f t="shared" si="48"/>
        <v>Below Average</v>
      </c>
      <c r="M3117">
        <f>RANK(H3117,H:H,0)</f>
        <v>3130</v>
      </c>
    </row>
    <row r="3118" spans="1:13">
      <c r="A3118" t="s">
        <v>70</v>
      </c>
      <c r="B3118" t="s">
        <v>10</v>
      </c>
      <c r="C3118" t="s">
        <v>73</v>
      </c>
      <c r="D3118" s="3" t="s">
        <v>317</v>
      </c>
      <c r="E3118" s="5" t="str">
        <f>TEXT(D3118,"dd/mm/yyyy")</f>
        <v>16/06/2024</v>
      </c>
      <c r="G3118" s="5" t="str">
        <f>TEXT(E3118,"mm")</f>
        <v>16/06/2024</v>
      </c>
      <c r="H3118" s="6">
        <v>9118.67</v>
      </c>
      <c r="I3118">
        <v>253</v>
      </c>
      <c r="L3118" t="str">
        <f t="shared" si="48"/>
        <v>Above Average</v>
      </c>
      <c r="M3118">
        <f>RANK(H3118,H:H,0)</f>
        <v>714</v>
      </c>
    </row>
    <row r="3119" spans="1:13">
      <c r="A3119" t="s">
        <v>79</v>
      </c>
      <c r="B3119" t="s">
        <v>15</v>
      </c>
      <c r="C3119" t="s">
        <v>75</v>
      </c>
      <c r="D3119" s="3" t="s">
        <v>327</v>
      </c>
      <c r="E3119" s="5" t="str">
        <f>TEXT(D3119,"dd/mm/yyyy")</f>
        <v>13/04/2024</v>
      </c>
      <c r="G3119" s="5" t="str">
        <f>TEXT(E3119,"mm")</f>
        <v>13/04/2024</v>
      </c>
      <c r="H3119" s="6">
        <v>1751.26</v>
      </c>
      <c r="I3119">
        <v>293</v>
      </c>
      <c r="L3119" t="str">
        <f t="shared" si="48"/>
        <v>Below Average</v>
      </c>
      <c r="M3119">
        <f>RANK(H3119,H:H,0)</f>
        <v>2710</v>
      </c>
    </row>
    <row r="3120" spans="1:13">
      <c r="A3120" t="s">
        <v>55</v>
      </c>
      <c r="B3120" t="s">
        <v>7</v>
      </c>
      <c r="C3120" t="s">
        <v>26</v>
      </c>
      <c r="D3120" s="3" t="s">
        <v>315</v>
      </c>
      <c r="E3120" s="5" t="str">
        <f>TEXT(D3120,"dd/mm/yyyy")</f>
        <v>21/02/2024</v>
      </c>
      <c r="G3120" s="5" t="str">
        <f>TEXT(E3120,"mm")</f>
        <v>21/02/2024</v>
      </c>
      <c r="H3120" s="6">
        <v>3402.47</v>
      </c>
      <c r="I3120">
        <v>69</v>
      </c>
      <c r="L3120" t="str">
        <f t="shared" si="48"/>
        <v>Below Average</v>
      </c>
      <c r="M3120">
        <f>RANK(H3120,H:H,0)</f>
        <v>2170</v>
      </c>
    </row>
    <row r="3121" spans="1:13">
      <c r="A3121" t="s">
        <v>45</v>
      </c>
      <c r="B3121" t="s">
        <v>35</v>
      </c>
      <c r="C3121" t="s">
        <v>75</v>
      </c>
      <c r="D3121" s="4">
        <v>45601</v>
      </c>
      <c r="E3121" s="5" t="str">
        <f>TEXT(D3121,"dd/mm/yyyy")</f>
        <v>05/11/2024</v>
      </c>
      <c r="F3121" s="4"/>
      <c r="G3121" s="5" t="str">
        <f>TEXT(E3121,"mm")</f>
        <v>05</v>
      </c>
      <c r="H3121" s="6">
        <v>6841.28</v>
      </c>
      <c r="I3121">
        <v>237</v>
      </c>
      <c r="L3121" t="str">
        <f t="shared" si="48"/>
        <v>Above Average</v>
      </c>
      <c r="M3121">
        <f>RANK(H3121,H:H,0)</f>
        <v>1220</v>
      </c>
    </row>
    <row r="3122" spans="1:13">
      <c r="A3122" t="s">
        <v>83</v>
      </c>
      <c r="B3122" t="s">
        <v>10</v>
      </c>
      <c r="C3122" t="s">
        <v>26</v>
      </c>
      <c r="D3122" s="3" t="s">
        <v>287</v>
      </c>
      <c r="E3122" s="5" t="str">
        <f>TEXT(D3122,"dd/mm/yyyy")</f>
        <v>15/04/2024</v>
      </c>
      <c r="G3122" s="5" t="str">
        <f>TEXT(E3122,"mm")</f>
        <v>15/04/2024</v>
      </c>
      <c r="H3122" s="6">
        <v>12584.46</v>
      </c>
      <c r="I3122">
        <v>328</v>
      </c>
      <c r="L3122" t="str">
        <f t="shared" si="48"/>
        <v>Above Average</v>
      </c>
      <c r="M3122">
        <f>RANK(H3122,H:H,0)</f>
        <v>292</v>
      </c>
    </row>
    <row r="3123" spans="1:13">
      <c r="A3123" t="s">
        <v>19</v>
      </c>
      <c r="B3123" t="s">
        <v>35</v>
      </c>
      <c r="C3123" t="s">
        <v>13</v>
      </c>
      <c r="D3123" s="4">
        <v>45479</v>
      </c>
      <c r="E3123" s="5" t="str">
        <f>TEXT(D3123,"dd/mm/yyyy")</f>
        <v>06/07/2024</v>
      </c>
      <c r="F3123" s="4"/>
      <c r="G3123" s="5" t="str">
        <f>TEXT(E3123,"mm")</f>
        <v>06</v>
      </c>
      <c r="H3123" s="6">
        <v>14291.3</v>
      </c>
      <c r="I3123">
        <v>179</v>
      </c>
      <c r="L3123" t="str">
        <f t="shared" si="48"/>
        <v>Above Average</v>
      </c>
      <c r="M3123">
        <f>RANK(H3123,H:H,0)</f>
        <v>192</v>
      </c>
    </row>
    <row r="3124" spans="1:13">
      <c r="A3124" t="s">
        <v>19</v>
      </c>
      <c r="B3124" t="s">
        <v>7</v>
      </c>
      <c r="C3124" t="s">
        <v>59</v>
      </c>
      <c r="D3124" s="3" t="s">
        <v>275</v>
      </c>
      <c r="E3124" s="5" t="str">
        <f>TEXT(D3124,"dd/mm/yyyy")</f>
        <v>27/06/2024</v>
      </c>
      <c r="G3124" s="5" t="str">
        <f>TEXT(E3124,"mm")</f>
        <v>27/06/2024</v>
      </c>
      <c r="H3124" s="6">
        <v>1998.41</v>
      </c>
      <c r="I3124">
        <v>303</v>
      </c>
      <c r="L3124" t="str">
        <f t="shared" si="48"/>
        <v>Below Average</v>
      </c>
      <c r="M3124">
        <f>RANK(H3124,H:H,0)</f>
        <v>2636</v>
      </c>
    </row>
    <row r="3125" spans="1:13">
      <c r="A3125" t="s">
        <v>31</v>
      </c>
      <c r="B3125" t="s">
        <v>10</v>
      </c>
      <c r="C3125" t="s">
        <v>23</v>
      </c>
      <c r="D3125" s="3" t="s">
        <v>326</v>
      </c>
      <c r="E3125" s="5" t="str">
        <f>TEXT(D3125,"dd/mm/yyyy")</f>
        <v>29/07/2024</v>
      </c>
      <c r="G3125" s="5" t="str">
        <f>TEXT(E3125,"mm")</f>
        <v>29/07/2024</v>
      </c>
      <c r="H3125" s="6">
        <v>9558.06</v>
      </c>
      <c r="I3125">
        <v>117</v>
      </c>
      <c r="L3125" t="str">
        <f t="shared" si="48"/>
        <v>Above Average</v>
      </c>
      <c r="M3125">
        <f>RANK(H3125,H:H,0)</f>
        <v>647</v>
      </c>
    </row>
    <row r="3126" spans="1:13">
      <c r="A3126" t="s">
        <v>64</v>
      </c>
      <c r="B3126" t="s">
        <v>35</v>
      </c>
      <c r="C3126" t="s">
        <v>18</v>
      </c>
      <c r="D3126" s="4">
        <v>45328</v>
      </c>
      <c r="E3126" s="5" t="str">
        <f>TEXT(D3126,"dd/mm/yyyy")</f>
        <v>06/02/2024</v>
      </c>
      <c r="F3126" s="4"/>
      <c r="G3126" s="5" t="str">
        <f>TEXT(E3126,"mm")</f>
        <v>06</v>
      </c>
      <c r="H3126" s="6">
        <v>5594.84</v>
      </c>
      <c r="I3126">
        <v>174</v>
      </c>
      <c r="L3126" t="str">
        <f t="shared" si="48"/>
        <v>Below Average</v>
      </c>
      <c r="M3126">
        <f>RANK(H3126,H:H,0)</f>
        <v>1545</v>
      </c>
    </row>
    <row r="3127" spans="1:13">
      <c r="A3127" t="s">
        <v>29</v>
      </c>
      <c r="B3127" t="s">
        <v>10</v>
      </c>
      <c r="C3127" t="s">
        <v>8</v>
      </c>
      <c r="D3127" s="3" t="s">
        <v>272</v>
      </c>
      <c r="E3127" s="5" t="str">
        <f>TEXT(D3127,"dd/mm/yyyy")</f>
        <v>26/01/2024</v>
      </c>
      <c r="G3127" s="5" t="str">
        <f>TEXT(E3127,"mm")</f>
        <v>26/01/2024</v>
      </c>
      <c r="H3127" s="6">
        <v>16520.75</v>
      </c>
      <c r="I3127">
        <v>84</v>
      </c>
      <c r="L3127" t="str">
        <f t="shared" si="48"/>
        <v>Above Average</v>
      </c>
      <c r="M3127">
        <f>RANK(H3127,H:H,0)</f>
        <v>82</v>
      </c>
    </row>
    <row r="3128" spans="1:13">
      <c r="A3128" t="s">
        <v>29</v>
      </c>
      <c r="B3128" t="s">
        <v>35</v>
      </c>
      <c r="C3128" t="s">
        <v>20</v>
      </c>
      <c r="D3128" s="4">
        <v>45325</v>
      </c>
      <c r="E3128" s="5" t="str">
        <f>TEXT(D3128,"dd/mm/yyyy")</f>
        <v>03/02/2024</v>
      </c>
      <c r="F3128" s="4"/>
      <c r="G3128" s="5" t="str">
        <f>TEXT(E3128,"mm")</f>
        <v>03</v>
      </c>
      <c r="H3128" s="6">
        <v>5545.62</v>
      </c>
      <c r="I3128">
        <v>139</v>
      </c>
      <c r="L3128" t="str">
        <f t="shared" si="48"/>
        <v>Below Average</v>
      </c>
      <c r="M3128">
        <f>RANK(H3128,H:H,0)</f>
        <v>1556</v>
      </c>
    </row>
    <row r="3129" spans="1:13">
      <c r="A3129" t="s">
        <v>9</v>
      </c>
      <c r="B3129" t="s">
        <v>15</v>
      </c>
      <c r="C3129" t="s">
        <v>100</v>
      </c>
      <c r="D3129" s="4">
        <v>45566</v>
      </c>
      <c r="E3129" s="5" t="str">
        <f>TEXT(D3129,"dd/mm/yyyy")</f>
        <v>01/10/2024</v>
      </c>
      <c r="F3129" s="4"/>
      <c r="G3129" s="5" t="str">
        <f>TEXT(E3129,"mm")</f>
        <v>01</v>
      </c>
      <c r="H3129" s="6">
        <v>8260.58</v>
      </c>
      <c r="I3129">
        <v>108</v>
      </c>
      <c r="L3129" t="str">
        <f t="shared" si="48"/>
        <v>Above Average</v>
      </c>
      <c r="M3129">
        <f>RANK(H3129,H:H,0)</f>
        <v>882</v>
      </c>
    </row>
    <row r="3130" spans="1:13">
      <c r="A3130" t="s">
        <v>41</v>
      </c>
      <c r="B3130" t="s">
        <v>32</v>
      </c>
      <c r="C3130" t="s">
        <v>100</v>
      </c>
      <c r="D3130" s="3" t="s">
        <v>275</v>
      </c>
      <c r="E3130" s="5" t="str">
        <f>TEXT(D3130,"dd/mm/yyyy")</f>
        <v>27/06/2024</v>
      </c>
      <c r="G3130" s="5" t="str">
        <f>TEXT(E3130,"mm")</f>
        <v>27/06/2024</v>
      </c>
      <c r="H3130" s="6">
        <v>2636.16</v>
      </c>
      <c r="I3130">
        <v>110</v>
      </c>
      <c r="L3130" t="str">
        <f t="shared" si="48"/>
        <v>Below Average</v>
      </c>
      <c r="M3130">
        <f>RANK(H3130,H:H,0)</f>
        <v>2429</v>
      </c>
    </row>
    <row r="3131" spans="1:13">
      <c r="A3131" t="s">
        <v>31</v>
      </c>
      <c r="B3131" t="s">
        <v>35</v>
      </c>
      <c r="C3131" t="s">
        <v>33</v>
      </c>
      <c r="D3131" s="3" t="s">
        <v>283</v>
      </c>
      <c r="E3131" s="5" t="str">
        <f>TEXT(D3131,"dd/mm/yyyy")</f>
        <v>30/06/2024</v>
      </c>
      <c r="G3131" s="5" t="str">
        <f>TEXT(E3131,"mm")</f>
        <v>30/06/2024</v>
      </c>
      <c r="H3131" s="6">
        <v>8285.3799999999992</v>
      </c>
      <c r="I3131">
        <v>18</v>
      </c>
      <c r="L3131" t="str">
        <f t="shared" si="48"/>
        <v>Above Average</v>
      </c>
      <c r="M3131">
        <f>RANK(H3131,H:H,0)</f>
        <v>873</v>
      </c>
    </row>
    <row r="3132" spans="1:13">
      <c r="A3132" t="s">
        <v>45</v>
      </c>
      <c r="B3132" t="s">
        <v>15</v>
      </c>
      <c r="C3132" t="s">
        <v>11</v>
      </c>
      <c r="D3132" s="4">
        <v>45511</v>
      </c>
      <c r="E3132" s="5" t="str">
        <f>TEXT(D3132,"dd/mm/yyyy")</f>
        <v>07/08/2024</v>
      </c>
      <c r="F3132" s="4"/>
      <c r="G3132" s="5" t="str">
        <f>TEXT(E3132,"mm")</f>
        <v>07</v>
      </c>
      <c r="H3132" s="6">
        <v>4590</v>
      </c>
      <c r="I3132">
        <v>78</v>
      </c>
      <c r="L3132" t="str">
        <f t="shared" si="48"/>
        <v>Below Average</v>
      </c>
      <c r="M3132">
        <f>RANK(H3132,H:H,0)</f>
        <v>1827</v>
      </c>
    </row>
    <row r="3133" spans="1:13">
      <c r="A3133" t="s">
        <v>19</v>
      </c>
      <c r="B3133" t="s">
        <v>10</v>
      </c>
      <c r="C3133" t="s">
        <v>50</v>
      </c>
      <c r="D3133" s="4">
        <v>45510</v>
      </c>
      <c r="E3133" s="5" t="str">
        <f>TEXT(D3133,"dd/mm/yyyy")</f>
        <v>06/08/2024</v>
      </c>
      <c r="F3133" s="4"/>
      <c r="G3133" s="5" t="str">
        <f>TEXT(E3133,"mm")</f>
        <v>06</v>
      </c>
      <c r="H3133" s="6">
        <v>13189.14</v>
      </c>
      <c r="I3133">
        <v>95</v>
      </c>
      <c r="L3133" t="str">
        <f t="shared" si="48"/>
        <v>Above Average</v>
      </c>
      <c r="M3133">
        <f>RANK(H3133,H:H,0)</f>
        <v>253</v>
      </c>
    </row>
    <row r="3134" spans="1:13">
      <c r="A3134" t="s">
        <v>14</v>
      </c>
      <c r="B3134" t="s">
        <v>7</v>
      </c>
      <c r="C3134" t="s">
        <v>60</v>
      </c>
      <c r="D3134" s="3" t="s">
        <v>304</v>
      </c>
      <c r="E3134" s="5" t="str">
        <f>TEXT(D3134,"dd/mm/yyyy")</f>
        <v>18/08/2024</v>
      </c>
      <c r="G3134" s="5" t="str">
        <f>TEXT(E3134,"mm")</f>
        <v>18/08/2024</v>
      </c>
      <c r="H3134" s="6">
        <v>3768.3</v>
      </c>
      <c r="I3134">
        <v>212</v>
      </c>
      <c r="L3134" t="str">
        <f t="shared" si="48"/>
        <v>Below Average</v>
      </c>
      <c r="M3134">
        <f>RANK(H3134,H:H,0)</f>
        <v>2046</v>
      </c>
    </row>
    <row r="3135" spans="1:13">
      <c r="A3135" t="s">
        <v>55</v>
      </c>
      <c r="B3135" t="s">
        <v>15</v>
      </c>
      <c r="C3135" t="s">
        <v>23</v>
      </c>
      <c r="D3135" s="4">
        <v>45508</v>
      </c>
      <c r="E3135" s="5" t="str">
        <f>TEXT(D3135,"dd/mm/yyyy")</f>
        <v>04/08/2024</v>
      </c>
      <c r="F3135" s="4"/>
      <c r="G3135" s="5" t="str">
        <f>TEXT(E3135,"mm")</f>
        <v>04</v>
      </c>
      <c r="H3135" s="6">
        <v>7962.71</v>
      </c>
      <c r="I3135">
        <v>293</v>
      </c>
      <c r="L3135" t="str">
        <f t="shared" si="48"/>
        <v>Above Average</v>
      </c>
      <c r="M3135">
        <f>RANK(H3135,H:H,0)</f>
        <v>945</v>
      </c>
    </row>
    <row r="3136" spans="1:13">
      <c r="A3136" t="s">
        <v>64</v>
      </c>
      <c r="B3136" t="s">
        <v>35</v>
      </c>
      <c r="C3136" t="s">
        <v>57</v>
      </c>
      <c r="D3136" s="4">
        <v>45512</v>
      </c>
      <c r="E3136" s="5" t="str">
        <f>TEXT(D3136,"dd/mm/yyyy")</f>
        <v>08/08/2024</v>
      </c>
      <c r="F3136" s="4"/>
      <c r="G3136" s="5" t="str">
        <f>TEXT(E3136,"mm")</f>
        <v>08</v>
      </c>
      <c r="H3136" s="6">
        <v>3665.13</v>
      </c>
      <c r="I3136">
        <v>191</v>
      </c>
      <c r="L3136" t="str">
        <f t="shared" si="48"/>
        <v>Below Average</v>
      </c>
      <c r="M3136">
        <f>RANK(H3136,H:H,0)</f>
        <v>2083</v>
      </c>
    </row>
    <row r="3137" spans="1:13">
      <c r="A3137" t="s">
        <v>64</v>
      </c>
      <c r="B3137" t="s">
        <v>7</v>
      </c>
      <c r="C3137" t="s">
        <v>46</v>
      </c>
      <c r="D3137" s="3" t="s">
        <v>300</v>
      </c>
      <c r="E3137" s="5" t="str">
        <f>TEXT(D3137,"dd/mm/yyyy")</f>
        <v>26/08/2024</v>
      </c>
      <c r="G3137" s="5" t="str">
        <f>TEXT(E3137,"mm")</f>
        <v>26/08/2024</v>
      </c>
      <c r="H3137" s="6">
        <v>334.81</v>
      </c>
      <c r="I3137">
        <v>66</v>
      </c>
      <c r="L3137" t="str">
        <f t="shared" si="48"/>
        <v>Below Average</v>
      </c>
      <c r="M3137">
        <f>RANK(H3137,H:H,0)</f>
        <v>3178</v>
      </c>
    </row>
    <row r="3138" spans="1:13">
      <c r="A3138" t="s">
        <v>19</v>
      </c>
      <c r="B3138" t="s">
        <v>35</v>
      </c>
      <c r="C3138" t="s">
        <v>57</v>
      </c>
      <c r="D3138" s="3" t="s">
        <v>328</v>
      </c>
      <c r="E3138" s="5" t="str">
        <f>TEXT(D3138,"dd/mm/yyyy")</f>
        <v>14/01/2024</v>
      </c>
      <c r="G3138" s="5" t="str">
        <f>TEXT(E3138,"mm")</f>
        <v>14/01/2024</v>
      </c>
      <c r="H3138" s="6">
        <v>2187.5</v>
      </c>
      <c r="I3138">
        <v>159</v>
      </c>
      <c r="L3138" t="str">
        <f t="shared" si="48"/>
        <v>Below Average</v>
      </c>
      <c r="M3138">
        <f>RANK(H3138,H:H,0)</f>
        <v>2584</v>
      </c>
    </row>
    <row r="3139" spans="1:13">
      <c r="A3139" t="s">
        <v>58</v>
      </c>
      <c r="B3139" t="s">
        <v>32</v>
      </c>
      <c r="C3139" t="s">
        <v>87</v>
      </c>
      <c r="D3139" s="4">
        <v>45604</v>
      </c>
      <c r="E3139" s="5" t="str">
        <f>TEXT(D3139,"dd/mm/yyyy")</f>
        <v>08/11/2024</v>
      </c>
      <c r="F3139" s="4"/>
      <c r="G3139" s="5" t="str">
        <f>TEXT(E3139,"mm")</f>
        <v>08</v>
      </c>
      <c r="H3139" s="6">
        <v>18481.73</v>
      </c>
      <c r="I3139">
        <v>295</v>
      </c>
      <c r="L3139" t="str">
        <f t="shared" ref="L3139:L3202" si="49">IF(H3139&gt;6030.34,"Above Average","Below Average")</f>
        <v>Above Average</v>
      </c>
      <c r="M3139">
        <f>RANK(H3139,H:H,0)</f>
        <v>35</v>
      </c>
    </row>
    <row r="3140" spans="1:13">
      <c r="A3140" t="s">
        <v>77</v>
      </c>
      <c r="B3140" t="s">
        <v>32</v>
      </c>
      <c r="C3140" t="s">
        <v>65</v>
      </c>
      <c r="D3140" s="3" t="s">
        <v>332</v>
      </c>
      <c r="E3140" s="5" t="str">
        <f>TEXT(D3140,"dd/mm/yyyy")</f>
        <v>31/05/2024</v>
      </c>
      <c r="G3140" s="5" t="str">
        <f>TEXT(E3140,"mm")</f>
        <v>31/05/2024</v>
      </c>
      <c r="H3140" s="6">
        <v>11863.69</v>
      </c>
      <c r="I3140">
        <v>24</v>
      </c>
      <c r="L3140" t="str">
        <f t="shared" si="49"/>
        <v>Above Average</v>
      </c>
      <c r="M3140">
        <f>RANK(H3140,H:H,0)</f>
        <v>354</v>
      </c>
    </row>
    <row r="3141" spans="1:13">
      <c r="A3141" t="s">
        <v>9</v>
      </c>
      <c r="B3141" t="s">
        <v>25</v>
      </c>
      <c r="C3141" t="s">
        <v>26</v>
      </c>
      <c r="D3141" s="4">
        <v>45603</v>
      </c>
      <c r="E3141" s="5" t="str">
        <f>TEXT(D3141,"dd/mm/yyyy")</f>
        <v>07/11/2024</v>
      </c>
      <c r="F3141" s="4"/>
      <c r="G3141" s="5" t="str">
        <f>TEXT(E3141,"mm")</f>
        <v>07</v>
      </c>
      <c r="H3141" s="6">
        <v>4332.41</v>
      </c>
      <c r="I3141">
        <v>10</v>
      </c>
      <c r="L3141" t="str">
        <f t="shared" si="49"/>
        <v>Below Average</v>
      </c>
      <c r="M3141">
        <f>RANK(H3141,H:H,0)</f>
        <v>1898</v>
      </c>
    </row>
    <row r="3142" spans="1:13">
      <c r="A3142" t="s">
        <v>37</v>
      </c>
      <c r="B3142" t="s">
        <v>35</v>
      </c>
      <c r="C3142" t="s">
        <v>90</v>
      </c>
      <c r="D3142" s="4">
        <v>45325</v>
      </c>
      <c r="E3142" s="5" t="str">
        <f>TEXT(D3142,"dd/mm/yyyy")</f>
        <v>03/02/2024</v>
      </c>
      <c r="F3142" s="4"/>
      <c r="G3142" s="5" t="str">
        <f>TEXT(E3142,"mm")</f>
        <v>03</v>
      </c>
      <c r="H3142" s="6">
        <v>3653.33</v>
      </c>
      <c r="I3142">
        <v>327</v>
      </c>
      <c r="L3142" t="str">
        <f t="shared" si="49"/>
        <v>Below Average</v>
      </c>
      <c r="M3142">
        <f>RANK(H3142,H:H,0)</f>
        <v>2087</v>
      </c>
    </row>
    <row r="3143" spans="1:13">
      <c r="A3143" t="s">
        <v>77</v>
      </c>
      <c r="B3143" t="s">
        <v>15</v>
      </c>
      <c r="C3143" t="s">
        <v>73</v>
      </c>
      <c r="D3143" s="3" t="s">
        <v>301</v>
      </c>
      <c r="E3143" s="5" t="str">
        <f>TEXT(D3143,"dd/mm/yyyy")</f>
        <v>13/07/2024</v>
      </c>
      <c r="G3143" s="5" t="str">
        <f>TEXT(E3143,"mm")</f>
        <v>13/07/2024</v>
      </c>
      <c r="H3143" s="6">
        <v>7023.94</v>
      </c>
      <c r="I3143">
        <v>89</v>
      </c>
      <c r="L3143" t="str">
        <f t="shared" si="49"/>
        <v>Above Average</v>
      </c>
      <c r="M3143">
        <f>RANK(H3143,H:H,0)</f>
        <v>1174</v>
      </c>
    </row>
    <row r="3144" spans="1:13">
      <c r="A3144" t="s">
        <v>29</v>
      </c>
      <c r="B3144" t="s">
        <v>7</v>
      </c>
      <c r="C3144" t="s">
        <v>50</v>
      </c>
      <c r="D3144" s="4">
        <v>45359</v>
      </c>
      <c r="E3144" s="5" t="str">
        <f>TEXT(D3144,"dd/mm/yyyy")</f>
        <v>08/03/2024</v>
      </c>
      <c r="F3144" s="4"/>
      <c r="G3144" s="5" t="str">
        <f>TEXT(E3144,"mm")</f>
        <v>08</v>
      </c>
      <c r="H3144" s="6">
        <v>10001.950000000001</v>
      </c>
      <c r="I3144">
        <v>132</v>
      </c>
      <c r="L3144" t="str">
        <f t="shared" si="49"/>
        <v>Above Average</v>
      </c>
      <c r="M3144">
        <f>RANK(H3144,H:H,0)</f>
        <v>580</v>
      </c>
    </row>
    <row r="3145" spans="1:13">
      <c r="A3145" t="s">
        <v>48</v>
      </c>
      <c r="B3145" t="s">
        <v>7</v>
      </c>
      <c r="C3145" t="s">
        <v>13</v>
      </c>
      <c r="D3145" s="4">
        <v>45294</v>
      </c>
      <c r="E3145" s="5" t="str">
        <f>TEXT(D3145,"dd/mm/yyyy")</f>
        <v>03/01/2024</v>
      </c>
      <c r="F3145" s="4"/>
      <c r="G3145" s="5" t="str">
        <f>TEXT(E3145,"mm")</f>
        <v>03</v>
      </c>
      <c r="H3145" s="6">
        <v>16460.650000000001</v>
      </c>
      <c r="I3145">
        <v>171</v>
      </c>
      <c r="L3145" t="str">
        <f t="shared" si="49"/>
        <v>Above Average</v>
      </c>
      <c r="M3145">
        <f>RANK(H3145,H:H,0)</f>
        <v>85</v>
      </c>
    </row>
    <row r="3146" spans="1:13">
      <c r="A3146" t="s">
        <v>70</v>
      </c>
      <c r="B3146" t="s">
        <v>25</v>
      </c>
      <c r="C3146" t="s">
        <v>59</v>
      </c>
      <c r="D3146" s="3" t="s">
        <v>327</v>
      </c>
      <c r="E3146" s="5" t="str">
        <f>TEXT(D3146,"dd/mm/yyyy")</f>
        <v>13/04/2024</v>
      </c>
      <c r="G3146" s="5" t="str">
        <f>TEXT(E3146,"mm")</f>
        <v>13/04/2024</v>
      </c>
      <c r="H3146" s="6">
        <v>8575.27</v>
      </c>
      <c r="I3146">
        <v>165</v>
      </c>
      <c r="L3146" t="str">
        <f t="shared" si="49"/>
        <v>Above Average</v>
      </c>
      <c r="M3146">
        <f>RANK(H3146,H:H,0)</f>
        <v>817</v>
      </c>
    </row>
    <row r="3147" spans="1:13">
      <c r="A3147" t="s">
        <v>41</v>
      </c>
      <c r="B3147" t="s">
        <v>35</v>
      </c>
      <c r="C3147" t="s">
        <v>57</v>
      </c>
      <c r="D3147" s="3" t="s">
        <v>273</v>
      </c>
      <c r="E3147" s="5" t="str">
        <f>TEXT(D3147,"dd/mm/yyyy")</f>
        <v>14/02/2024</v>
      </c>
      <c r="G3147" s="5" t="str">
        <f>TEXT(E3147,"mm")</f>
        <v>14/02/2024</v>
      </c>
      <c r="H3147" s="6">
        <v>12191.42</v>
      </c>
      <c r="I3147">
        <v>177</v>
      </c>
      <c r="L3147" t="str">
        <f t="shared" si="49"/>
        <v>Above Average</v>
      </c>
      <c r="M3147">
        <f>RANK(H3147,H:H,0)</f>
        <v>329</v>
      </c>
    </row>
    <row r="3148" spans="1:13">
      <c r="A3148" t="s">
        <v>34</v>
      </c>
      <c r="B3148" t="s">
        <v>10</v>
      </c>
      <c r="C3148" t="s">
        <v>59</v>
      </c>
      <c r="D3148" s="3" t="s">
        <v>307</v>
      </c>
      <c r="E3148" s="5" t="str">
        <f>TEXT(D3148,"dd/mm/yyyy")</f>
        <v>26/07/2024</v>
      </c>
      <c r="G3148" s="5" t="str">
        <f>TEXT(E3148,"mm")</f>
        <v>26/07/2024</v>
      </c>
      <c r="H3148" s="6">
        <v>969.15</v>
      </c>
      <c r="I3148">
        <v>233</v>
      </c>
      <c r="L3148" t="str">
        <f t="shared" si="49"/>
        <v>Below Average</v>
      </c>
      <c r="M3148">
        <f>RANK(H3148,H:H,0)</f>
        <v>2983</v>
      </c>
    </row>
    <row r="3149" spans="1:13">
      <c r="A3149" t="s">
        <v>28</v>
      </c>
      <c r="B3149" t="s">
        <v>7</v>
      </c>
      <c r="C3149" t="s">
        <v>38</v>
      </c>
      <c r="D3149" s="3" t="s">
        <v>302</v>
      </c>
      <c r="E3149" s="5" t="str">
        <f>TEXT(D3149,"dd/mm/yyyy")</f>
        <v>27/01/2024</v>
      </c>
      <c r="G3149" s="5" t="str">
        <f>TEXT(E3149,"mm")</f>
        <v>27/01/2024</v>
      </c>
      <c r="H3149" s="6">
        <v>6498.96</v>
      </c>
      <c r="I3149">
        <v>143</v>
      </c>
      <c r="L3149" t="str">
        <f t="shared" si="49"/>
        <v>Above Average</v>
      </c>
      <c r="M3149">
        <f>RANK(H3149,H:H,0)</f>
        <v>1308</v>
      </c>
    </row>
    <row r="3150" spans="1:13">
      <c r="A3150" t="s">
        <v>6</v>
      </c>
      <c r="B3150" t="s">
        <v>10</v>
      </c>
      <c r="C3150" t="s">
        <v>13</v>
      </c>
      <c r="D3150" s="3" t="s">
        <v>298</v>
      </c>
      <c r="E3150" s="5" t="str">
        <f>TEXT(D3150,"dd/mm/yyyy")</f>
        <v>14/04/2024</v>
      </c>
      <c r="G3150" s="5" t="str">
        <f>TEXT(E3150,"mm")</f>
        <v>14/04/2024</v>
      </c>
      <c r="H3150" s="6">
        <v>33.68</v>
      </c>
      <c r="I3150">
        <v>487</v>
      </c>
      <c r="L3150" t="str">
        <f t="shared" si="49"/>
        <v>Below Average</v>
      </c>
      <c r="M3150">
        <f>RANK(H3150,H:H,0)</f>
        <v>3274</v>
      </c>
    </row>
    <row r="3151" spans="1:13">
      <c r="A3151" t="s">
        <v>19</v>
      </c>
      <c r="B3151" t="s">
        <v>32</v>
      </c>
      <c r="C3151" t="s">
        <v>65</v>
      </c>
      <c r="D3151" s="3" t="s">
        <v>286</v>
      </c>
      <c r="E3151" s="5" t="str">
        <f>TEXT(D3151,"dd/mm/yyyy")</f>
        <v>19/05/2024</v>
      </c>
      <c r="G3151" s="5" t="str">
        <f>TEXT(E3151,"mm")</f>
        <v>19/05/2024</v>
      </c>
      <c r="H3151" s="6">
        <v>7640.61</v>
      </c>
      <c r="I3151">
        <v>154</v>
      </c>
      <c r="L3151" t="str">
        <f t="shared" si="49"/>
        <v>Above Average</v>
      </c>
      <c r="M3151">
        <f>RANK(H3151,H:H,0)</f>
        <v>1030</v>
      </c>
    </row>
    <row r="3152" spans="1:13">
      <c r="A3152" t="s">
        <v>53</v>
      </c>
      <c r="B3152" t="s">
        <v>10</v>
      </c>
      <c r="C3152" t="s">
        <v>36</v>
      </c>
      <c r="D3152" s="4">
        <v>45537</v>
      </c>
      <c r="E3152" s="5" t="str">
        <f>TEXT(D3152,"dd/mm/yyyy")</f>
        <v>02/09/2024</v>
      </c>
      <c r="F3152" s="4"/>
      <c r="G3152" s="5" t="str">
        <f>TEXT(E3152,"mm")</f>
        <v>02</v>
      </c>
      <c r="H3152" s="6">
        <v>5596.93</v>
      </c>
      <c r="I3152">
        <v>62</v>
      </c>
      <c r="L3152" t="str">
        <f t="shared" si="49"/>
        <v>Below Average</v>
      </c>
      <c r="M3152">
        <f>RANK(H3152,H:H,0)</f>
        <v>1544</v>
      </c>
    </row>
    <row r="3153" spans="1:13">
      <c r="A3153" t="s">
        <v>28</v>
      </c>
      <c r="B3153" t="s">
        <v>7</v>
      </c>
      <c r="C3153" t="s">
        <v>50</v>
      </c>
      <c r="D3153" s="3" t="s">
        <v>306</v>
      </c>
      <c r="E3153" s="5" t="str">
        <f>TEXT(D3153,"dd/mm/yyyy")</f>
        <v>25/05/2024</v>
      </c>
      <c r="G3153" s="5" t="str">
        <f>TEXT(E3153,"mm")</f>
        <v>25/05/2024</v>
      </c>
      <c r="H3153" s="6">
        <v>2639.55</v>
      </c>
      <c r="I3153">
        <v>59</v>
      </c>
      <c r="L3153" t="str">
        <f t="shared" si="49"/>
        <v>Below Average</v>
      </c>
      <c r="M3153">
        <f>RANK(H3153,H:H,0)</f>
        <v>2424</v>
      </c>
    </row>
    <row r="3154" spans="1:13">
      <c r="A3154" t="s">
        <v>19</v>
      </c>
      <c r="B3154" t="s">
        <v>15</v>
      </c>
      <c r="C3154" t="s">
        <v>60</v>
      </c>
      <c r="D3154" s="3" t="s">
        <v>272</v>
      </c>
      <c r="E3154" s="5" t="str">
        <f>TEXT(D3154,"dd/mm/yyyy")</f>
        <v>26/01/2024</v>
      </c>
      <c r="G3154" s="5" t="str">
        <f>TEXT(E3154,"mm")</f>
        <v>26/01/2024</v>
      </c>
      <c r="H3154" s="6">
        <v>4626.87</v>
      </c>
      <c r="I3154">
        <v>78</v>
      </c>
      <c r="L3154" t="str">
        <f t="shared" si="49"/>
        <v>Below Average</v>
      </c>
      <c r="M3154">
        <f>RANK(H3154,H:H,0)</f>
        <v>1816</v>
      </c>
    </row>
    <row r="3155" spans="1:13">
      <c r="A3155" t="s">
        <v>41</v>
      </c>
      <c r="B3155" t="s">
        <v>10</v>
      </c>
      <c r="C3155" t="s">
        <v>59</v>
      </c>
      <c r="D3155" s="4">
        <v>45389</v>
      </c>
      <c r="E3155" s="5" t="str">
        <f>TEXT(D3155,"dd/mm/yyyy")</f>
        <v>07/04/2024</v>
      </c>
      <c r="F3155" s="4"/>
      <c r="G3155" s="5" t="str">
        <f>TEXT(E3155,"mm")</f>
        <v>07</v>
      </c>
      <c r="H3155" s="6">
        <v>1900.09</v>
      </c>
      <c r="I3155">
        <v>297</v>
      </c>
      <c r="L3155" t="str">
        <f t="shared" si="49"/>
        <v>Below Average</v>
      </c>
      <c r="M3155">
        <f>RANK(H3155,H:H,0)</f>
        <v>2663</v>
      </c>
    </row>
    <row r="3156" spans="1:13">
      <c r="A3156" t="s">
        <v>83</v>
      </c>
      <c r="B3156" t="s">
        <v>10</v>
      </c>
      <c r="C3156" t="s">
        <v>65</v>
      </c>
      <c r="D3156" s="3" t="s">
        <v>327</v>
      </c>
      <c r="E3156" s="5" t="str">
        <f>TEXT(D3156,"dd/mm/yyyy")</f>
        <v>13/04/2024</v>
      </c>
      <c r="G3156" s="5" t="str">
        <f>TEXT(E3156,"mm")</f>
        <v>13/04/2024</v>
      </c>
      <c r="H3156" s="6">
        <v>13315.47</v>
      </c>
      <c r="I3156">
        <v>72</v>
      </c>
      <c r="L3156" t="str">
        <f t="shared" si="49"/>
        <v>Above Average</v>
      </c>
      <c r="M3156">
        <f>RANK(H3156,H:H,0)</f>
        <v>248</v>
      </c>
    </row>
    <row r="3157" spans="1:13">
      <c r="A3157" t="s">
        <v>12</v>
      </c>
      <c r="B3157" t="s">
        <v>15</v>
      </c>
      <c r="C3157" t="s">
        <v>18</v>
      </c>
      <c r="D3157" s="3" t="s">
        <v>267</v>
      </c>
      <c r="E3157" s="5" t="str">
        <f>TEXT(D3157,"dd/mm/yyyy")</f>
        <v>25/01/2024</v>
      </c>
      <c r="G3157" s="5" t="str">
        <f>TEXT(E3157,"mm")</f>
        <v>25/01/2024</v>
      </c>
      <c r="H3157" s="6">
        <v>6359.09</v>
      </c>
      <c r="I3157">
        <v>121</v>
      </c>
      <c r="L3157" t="str">
        <f t="shared" si="49"/>
        <v>Above Average</v>
      </c>
      <c r="M3157">
        <f>RANK(H3157,H:H,0)</f>
        <v>1338</v>
      </c>
    </row>
    <row r="3158" spans="1:13">
      <c r="A3158" t="s">
        <v>71</v>
      </c>
      <c r="B3158" t="s">
        <v>32</v>
      </c>
      <c r="C3158" t="s">
        <v>11</v>
      </c>
      <c r="D3158" s="3" t="s">
        <v>320</v>
      </c>
      <c r="E3158" s="5" t="str">
        <f>TEXT(D3158,"dd/mm/yyyy")</f>
        <v>25/04/2024</v>
      </c>
      <c r="G3158" s="5" t="str">
        <f>TEXT(E3158,"mm")</f>
        <v>25/04/2024</v>
      </c>
      <c r="H3158" s="6">
        <v>2644.65</v>
      </c>
      <c r="I3158">
        <v>83</v>
      </c>
      <c r="L3158" t="str">
        <f t="shared" si="49"/>
        <v>Below Average</v>
      </c>
      <c r="M3158">
        <f>RANK(H3158,H:H,0)</f>
        <v>2423</v>
      </c>
    </row>
    <row r="3159" spans="1:13">
      <c r="A3159" t="s">
        <v>71</v>
      </c>
      <c r="B3159" t="s">
        <v>32</v>
      </c>
      <c r="C3159" t="s">
        <v>36</v>
      </c>
      <c r="D3159" s="4">
        <v>45571</v>
      </c>
      <c r="E3159" s="5" t="str">
        <f>TEXT(D3159,"dd/mm/yyyy")</f>
        <v>06/10/2024</v>
      </c>
      <c r="F3159" s="4"/>
      <c r="G3159" s="5" t="str">
        <f>TEXT(E3159,"mm")</f>
        <v>06</v>
      </c>
      <c r="H3159" s="6">
        <v>4879.55</v>
      </c>
      <c r="I3159">
        <v>427</v>
      </c>
      <c r="L3159" t="str">
        <f t="shared" si="49"/>
        <v>Below Average</v>
      </c>
      <c r="M3159">
        <f>RANK(H3159,H:H,0)</f>
        <v>1739</v>
      </c>
    </row>
    <row r="3160" spans="1:13">
      <c r="A3160" t="s">
        <v>77</v>
      </c>
      <c r="B3160" t="s">
        <v>25</v>
      </c>
      <c r="C3160" t="s">
        <v>59</v>
      </c>
      <c r="D3160" s="3" t="s">
        <v>289</v>
      </c>
      <c r="E3160" s="5" t="str">
        <f>TEXT(D3160,"dd/mm/yyyy")</f>
        <v>22/08/2024</v>
      </c>
      <c r="G3160" s="5" t="str">
        <f>TEXT(E3160,"mm")</f>
        <v>22/08/2024</v>
      </c>
      <c r="H3160" s="6">
        <v>11572.5</v>
      </c>
      <c r="I3160">
        <v>51</v>
      </c>
      <c r="L3160" t="str">
        <f t="shared" si="49"/>
        <v>Above Average</v>
      </c>
      <c r="M3160">
        <f>RANK(H3160,H:H,0)</f>
        <v>388</v>
      </c>
    </row>
    <row r="3161" spans="1:13">
      <c r="A3161" t="s">
        <v>9</v>
      </c>
      <c r="B3161" t="s">
        <v>10</v>
      </c>
      <c r="C3161" t="s">
        <v>23</v>
      </c>
      <c r="D3161" s="3" t="s">
        <v>275</v>
      </c>
      <c r="E3161" s="5" t="str">
        <f>TEXT(D3161,"dd/mm/yyyy")</f>
        <v>27/06/2024</v>
      </c>
      <c r="G3161" s="5" t="str">
        <f>TEXT(E3161,"mm")</f>
        <v>27/06/2024</v>
      </c>
      <c r="H3161" s="6">
        <v>15626.93</v>
      </c>
      <c r="I3161">
        <v>225</v>
      </c>
      <c r="L3161" t="str">
        <f t="shared" si="49"/>
        <v>Above Average</v>
      </c>
      <c r="M3161">
        <f>RANK(H3161,H:H,0)</f>
        <v>117</v>
      </c>
    </row>
    <row r="3162" spans="1:13">
      <c r="A3162" t="s">
        <v>53</v>
      </c>
      <c r="B3162" t="s">
        <v>10</v>
      </c>
      <c r="C3162" t="s">
        <v>33</v>
      </c>
      <c r="D3162" s="3" t="s">
        <v>283</v>
      </c>
      <c r="E3162" s="5" t="str">
        <f>TEXT(D3162,"dd/mm/yyyy")</f>
        <v>30/06/2024</v>
      </c>
      <c r="G3162" s="5" t="str">
        <f>TEXT(E3162,"mm")</f>
        <v>30/06/2024</v>
      </c>
      <c r="H3162" s="6">
        <v>4781.1400000000003</v>
      </c>
      <c r="I3162">
        <v>38</v>
      </c>
      <c r="L3162" t="str">
        <f t="shared" si="49"/>
        <v>Below Average</v>
      </c>
      <c r="M3162">
        <f>RANK(H3162,H:H,0)</f>
        <v>1772</v>
      </c>
    </row>
    <row r="3163" spans="1:13">
      <c r="A3163" t="s">
        <v>6</v>
      </c>
      <c r="B3163" t="s">
        <v>10</v>
      </c>
      <c r="C3163" t="s">
        <v>65</v>
      </c>
      <c r="D3163" s="3" t="s">
        <v>346</v>
      </c>
      <c r="E3163" s="5" t="str">
        <f>TEXT(D3163,"dd/mm/yyyy")</f>
        <v>30/08/2024</v>
      </c>
      <c r="G3163" s="5" t="str">
        <f>TEXT(E3163,"mm")</f>
        <v>30/08/2024</v>
      </c>
      <c r="H3163" s="6">
        <v>11793.4</v>
      </c>
      <c r="I3163">
        <v>101</v>
      </c>
      <c r="L3163" t="str">
        <f t="shared" si="49"/>
        <v>Above Average</v>
      </c>
      <c r="M3163">
        <f>RANK(H3163,H:H,0)</f>
        <v>361</v>
      </c>
    </row>
    <row r="3164" spans="1:13">
      <c r="A3164" t="s">
        <v>37</v>
      </c>
      <c r="B3164" t="s">
        <v>15</v>
      </c>
      <c r="C3164" t="s">
        <v>73</v>
      </c>
      <c r="D3164" s="3" t="s">
        <v>305</v>
      </c>
      <c r="E3164" s="5" t="str">
        <f>TEXT(D3164,"dd/mm/yyyy")</f>
        <v>23/08/2024</v>
      </c>
      <c r="G3164" s="5" t="str">
        <f>TEXT(E3164,"mm")</f>
        <v>23/08/2024</v>
      </c>
      <c r="H3164" s="6">
        <v>1061.03</v>
      </c>
      <c r="I3164">
        <v>58</v>
      </c>
      <c r="L3164" t="str">
        <f t="shared" si="49"/>
        <v>Below Average</v>
      </c>
      <c r="M3164">
        <f>RANK(H3164,H:H,0)</f>
        <v>2955</v>
      </c>
    </row>
    <row r="3165" spans="1:13">
      <c r="A3165" t="s">
        <v>71</v>
      </c>
      <c r="B3165" t="s">
        <v>25</v>
      </c>
      <c r="C3165" t="s">
        <v>20</v>
      </c>
      <c r="D3165" s="3" t="s">
        <v>300</v>
      </c>
      <c r="E3165" s="5" t="str">
        <f>TEXT(D3165,"dd/mm/yyyy")</f>
        <v>26/08/2024</v>
      </c>
      <c r="G3165" s="5" t="str">
        <f>TEXT(E3165,"mm")</f>
        <v>26/08/2024</v>
      </c>
      <c r="H3165" s="6">
        <v>2499.92</v>
      </c>
      <c r="I3165">
        <v>44</v>
      </c>
      <c r="L3165" t="str">
        <f t="shared" si="49"/>
        <v>Below Average</v>
      </c>
      <c r="M3165">
        <f>RANK(H3165,H:H,0)</f>
        <v>2472</v>
      </c>
    </row>
    <row r="3166" spans="1:13">
      <c r="A3166" t="s">
        <v>12</v>
      </c>
      <c r="B3166" t="s">
        <v>15</v>
      </c>
      <c r="C3166" t="s">
        <v>33</v>
      </c>
      <c r="D3166" s="4">
        <v>45538</v>
      </c>
      <c r="E3166" s="5" t="str">
        <f>TEXT(D3166,"dd/mm/yyyy")</f>
        <v>03/09/2024</v>
      </c>
      <c r="F3166" s="4"/>
      <c r="G3166" s="5" t="str">
        <f>TEXT(E3166,"mm")</f>
        <v>03</v>
      </c>
      <c r="H3166" s="6">
        <v>676.29</v>
      </c>
      <c r="I3166">
        <v>158</v>
      </c>
      <c r="L3166" t="str">
        <f t="shared" si="49"/>
        <v>Below Average</v>
      </c>
      <c r="M3166">
        <f>RANK(H3166,H:H,0)</f>
        <v>3076</v>
      </c>
    </row>
    <row r="3167" spans="1:13">
      <c r="A3167" t="s">
        <v>70</v>
      </c>
      <c r="B3167" t="s">
        <v>7</v>
      </c>
      <c r="C3167" t="s">
        <v>38</v>
      </c>
      <c r="D3167" s="3" t="s">
        <v>269</v>
      </c>
      <c r="E3167" s="5" t="str">
        <f>TEXT(D3167,"dd/mm/yyyy")</f>
        <v>20/04/2024</v>
      </c>
      <c r="G3167" s="5" t="str">
        <f>TEXT(E3167,"mm")</f>
        <v>20/04/2024</v>
      </c>
      <c r="H3167" s="6">
        <v>1886.06</v>
      </c>
      <c r="I3167">
        <v>23</v>
      </c>
      <c r="L3167" t="str">
        <f t="shared" si="49"/>
        <v>Below Average</v>
      </c>
      <c r="M3167">
        <f>RANK(H3167,H:H,0)</f>
        <v>2671</v>
      </c>
    </row>
    <row r="3168" spans="1:13">
      <c r="A3168" t="s">
        <v>34</v>
      </c>
      <c r="B3168" t="s">
        <v>35</v>
      </c>
      <c r="C3168" t="s">
        <v>90</v>
      </c>
      <c r="D3168" s="4">
        <v>45571</v>
      </c>
      <c r="E3168" s="5" t="str">
        <f>TEXT(D3168,"dd/mm/yyyy")</f>
        <v>06/10/2024</v>
      </c>
      <c r="F3168" s="4"/>
      <c r="G3168" s="5" t="str">
        <f>TEXT(E3168,"mm")</f>
        <v>06</v>
      </c>
      <c r="H3168" s="6">
        <v>5093.92</v>
      </c>
      <c r="I3168">
        <v>524</v>
      </c>
      <c r="L3168" t="str">
        <f t="shared" si="49"/>
        <v>Below Average</v>
      </c>
      <c r="M3168">
        <f>RANK(H3168,H:H,0)</f>
        <v>1675</v>
      </c>
    </row>
    <row r="3169" spans="1:13">
      <c r="A3169" t="s">
        <v>53</v>
      </c>
      <c r="B3169" t="s">
        <v>15</v>
      </c>
      <c r="C3169" t="s">
        <v>42</v>
      </c>
      <c r="D3169" s="4">
        <v>45506</v>
      </c>
      <c r="E3169" s="5" t="str">
        <f>TEXT(D3169,"dd/mm/yyyy")</f>
        <v>02/08/2024</v>
      </c>
      <c r="F3169" s="4"/>
      <c r="G3169" s="5" t="str">
        <f>TEXT(E3169,"mm")</f>
        <v>02</v>
      </c>
      <c r="H3169" s="6">
        <v>1018.8</v>
      </c>
      <c r="I3169">
        <v>157</v>
      </c>
      <c r="L3169" t="str">
        <f t="shared" si="49"/>
        <v>Below Average</v>
      </c>
      <c r="M3169">
        <f>RANK(H3169,H:H,0)</f>
        <v>2967</v>
      </c>
    </row>
    <row r="3170" spans="1:13">
      <c r="A3170" t="s">
        <v>28</v>
      </c>
      <c r="B3170" t="s">
        <v>15</v>
      </c>
      <c r="C3170" t="s">
        <v>59</v>
      </c>
      <c r="D3170" s="3" t="s">
        <v>309</v>
      </c>
      <c r="E3170" s="5" t="str">
        <f>TEXT(D3170,"dd/mm/yyyy")</f>
        <v>25/08/2024</v>
      </c>
      <c r="G3170" s="5" t="str">
        <f>TEXT(E3170,"mm")</f>
        <v>25/08/2024</v>
      </c>
      <c r="H3170" s="6">
        <v>5616.77</v>
      </c>
      <c r="I3170">
        <v>23</v>
      </c>
      <c r="L3170" t="str">
        <f t="shared" si="49"/>
        <v>Below Average</v>
      </c>
      <c r="M3170">
        <f>RANK(H3170,H:H,0)</f>
        <v>1536</v>
      </c>
    </row>
    <row r="3171" spans="1:13">
      <c r="A3171" t="s">
        <v>79</v>
      </c>
      <c r="B3171" t="s">
        <v>10</v>
      </c>
      <c r="C3171" t="s">
        <v>13</v>
      </c>
      <c r="D3171" s="3" t="s">
        <v>274</v>
      </c>
      <c r="E3171" s="5" t="str">
        <f>TEXT(D3171,"dd/mm/yyyy")</f>
        <v>16/02/2024</v>
      </c>
      <c r="G3171" s="5" t="str">
        <f>TEXT(E3171,"mm")</f>
        <v>16/02/2024</v>
      </c>
      <c r="H3171" s="6">
        <v>10461.82</v>
      </c>
      <c r="I3171">
        <v>78</v>
      </c>
      <c r="L3171" t="str">
        <f t="shared" si="49"/>
        <v>Above Average</v>
      </c>
      <c r="M3171">
        <f>RANK(H3171,H:H,0)</f>
        <v>515</v>
      </c>
    </row>
    <row r="3172" spans="1:13">
      <c r="A3172" t="s">
        <v>58</v>
      </c>
      <c r="B3172" t="s">
        <v>7</v>
      </c>
      <c r="C3172" t="s">
        <v>20</v>
      </c>
      <c r="D3172" s="3" t="s">
        <v>277</v>
      </c>
      <c r="E3172" s="5" t="str">
        <f>TEXT(D3172,"dd/mm/yyyy")</f>
        <v>30/05/2024</v>
      </c>
      <c r="G3172" s="5" t="str">
        <f>TEXT(E3172,"mm")</f>
        <v>30/05/2024</v>
      </c>
      <c r="H3172" s="6">
        <v>12841.79</v>
      </c>
      <c r="I3172">
        <v>26</v>
      </c>
      <c r="L3172" t="str">
        <f t="shared" si="49"/>
        <v>Above Average</v>
      </c>
      <c r="M3172">
        <f>RANK(H3172,H:H,0)</f>
        <v>277</v>
      </c>
    </row>
    <row r="3173" spans="1:13">
      <c r="A3173" t="s">
        <v>12</v>
      </c>
      <c r="B3173" t="s">
        <v>25</v>
      </c>
      <c r="C3173" t="s">
        <v>26</v>
      </c>
      <c r="D3173" s="3" t="s">
        <v>282</v>
      </c>
      <c r="E3173" s="5" t="str">
        <f>TEXT(D3173,"dd/mm/yyyy")</f>
        <v>29/06/2024</v>
      </c>
      <c r="G3173" s="5" t="str">
        <f>TEXT(E3173,"mm")</f>
        <v>29/06/2024</v>
      </c>
      <c r="H3173" s="6">
        <v>6723.42</v>
      </c>
      <c r="I3173">
        <v>67</v>
      </c>
      <c r="L3173" t="str">
        <f t="shared" si="49"/>
        <v>Above Average</v>
      </c>
      <c r="M3173">
        <f>RANK(H3173,H:H,0)</f>
        <v>1255</v>
      </c>
    </row>
    <row r="3174" spans="1:13">
      <c r="A3174" t="s">
        <v>12</v>
      </c>
      <c r="B3174" t="s">
        <v>32</v>
      </c>
      <c r="C3174" t="s">
        <v>46</v>
      </c>
      <c r="D3174" s="3" t="s">
        <v>317</v>
      </c>
      <c r="E3174" s="5" t="str">
        <f>TEXT(D3174,"dd/mm/yyyy")</f>
        <v>16/06/2024</v>
      </c>
      <c r="G3174" s="5" t="str">
        <f>TEXT(E3174,"mm")</f>
        <v>16/06/2024</v>
      </c>
      <c r="H3174" s="6">
        <v>521.35</v>
      </c>
      <c r="I3174">
        <v>127</v>
      </c>
      <c r="L3174" t="str">
        <f t="shared" si="49"/>
        <v>Below Average</v>
      </c>
      <c r="M3174">
        <f>RANK(H3174,H:H,0)</f>
        <v>3118</v>
      </c>
    </row>
    <row r="3175" spans="1:13">
      <c r="A3175" t="s">
        <v>28</v>
      </c>
      <c r="B3175" t="s">
        <v>7</v>
      </c>
      <c r="C3175" t="s">
        <v>90</v>
      </c>
      <c r="D3175" s="4">
        <v>45385</v>
      </c>
      <c r="E3175" s="5" t="str">
        <f>TEXT(D3175,"dd/mm/yyyy")</f>
        <v>03/04/2024</v>
      </c>
      <c r="F3175" s="4"/>
      <c r="G3175" s="5" t="str">
        <f>TEXT(E3175,"mm")</f>
        <v>03</v>
      </c>
      <c r="H3175" s="6">
        <v>3106.11</v>
      </c>
      <c r="I3175">
        <v>159</v>
      </c>
      <c r="L3175" t="str">
        <f t="shared" si="49"/>
        <v>Below Average</v>
      </c>
      <c r="M3175">
        <f>RANK(H3175,H:H,0)</f>
        <v>2267</v>
      </c>
    </row>
    <row r="3176" spans="1:13">
      <c r="A3176" t="s">
        <v>48</v>
      </c>
      <c r="B3176" t="s">
        <v>25</v>
      </c>
      <c r="C3176" t="s">
        <v>13</v>
      </c>
      <c r="D3176" s="3" t="s">
        <v>337</v>
      </c>
      <c r="E3176" s="5" t="str">
        <f>TEXT(D3176,"dd/mm/yyyy")</f>
        <v>15/03/2024</v>
      </c>
      <c r="G3176" s="5" t="str">
        <f>TEXT(E3176,"mm")</f>
        <v>15/03/2024</v>
      </c>
      <c r="H3176" s="6">
        <v>1684.28</v>
      </c>
      <c r="I3176">
        <v>419</v>
      </c>
      <c r="L3176" t="str">
        <f t="shared" si="49"/>
        <v>Below Average</v>
      </c>
      <c r="M3176">
        <f>RANK(H3176,H:H,0)</f>
        <v>2737</v>
      </c>
    </row>
    <row r="3177" spans="1:13">
      <c r="A3177" t="s">
        <v>48</v>
      </c>
      <c r="B3177" t="s">
        <v>25</v>
      </c>
      <c r="C3177" t="s">
        <v>26</v>
      </c>
      <c r="D3177" s="3" t="s">
        <v>302</v>
      </c>
      <c r="E3177" s="5" t="str">
        <f>TEXT(D3177,"dd/mm/yyyy")</f>
        <v>27/01/2024</v>
      </c>
      <c r="G3177" s="5" t="str">
        <f>TEXT(E3177,"mm")</f>
        <v>27/01/2024</v>
      </c>
      <c r="H3177" s="6">
        <v>11226.14</v>
      </c>
      <c r="I3177">
        <v>84</v>
      </c>
      <c r="L3177" t="str">
        <f t="shared" si="49"/>
        <v>Above Average</v>
      </c>
      <c r="M3177">
        <f>RANK(H3177,H:H,0)</f>
        <v>425</v>
      </c>
    </row>
    <row r="3178" spans="1:13">
      <c r="A3178" t="s">
        <v>41</v>
      </c>
      <c r="B3178" t="s">
        <v>35</v>
      </c>
      <c r="C3178" t="s">
        <v>38</v>
      </c>
      <c r="D3178" s="4">
        <v>45419</v>
      </c>
      <c r="E3178" s="5" t="str">
        <f>TEXT(D3178,"dd/mm/yyyy")</f>
        <v>07/05/2024</v>
      </c>
      <c r="F3178" s="4"/>
      <c r="G3178" s="5" t="str">
        <f>TEXT(E3178,"mm")</f>
        <v>07</v>
      </c>
      <c r="H3178" s="6">
        <v>1172.53</v>
      </c>
      <c r="I3178">
        <v>124</v>
      </c>
      <c r="L3178" t="str">
        <f t="shared" si="49"/>
        <v>Below Average</v>
      </c>
      <c r="M3178">
        <f>RANK(H3178,H:H,0)</f>
        <v>2912</v>
      </c>
    </row>
    <row r="3179" spans="1:13">
      <c r="A3179" t="s">
        <v>31</v>
      </c>
      <c r="B3179" t="s">
        <v>32</v>
      </c>
      <c r="C3179" t="s">
        <v>90</v>
      </c>
      <c r="D3179" s="3" t="s">
        <v>324</v>
      </c>
      <c r="E3179" s="5" t="str">
        <f>TEXT(D3179,"dd/mm/yyyy")</f>
        <v>29/03/2024</v>
      </c>
      <c r="G3179" s="5" t="str">
        <f>TEXT(E3179,"mm")</f>
        <v>29/03/2024</v>
      </c>
      <c r="H3179" s="6">
        <v>3917.13</v>
      </c>
      <c r="I3179">
        <v>287</v>
      </c>
      <c r="L3179" t="str">
        <f t="shared" si="49"/>
        <v>Below Average</v>
      </c>
      <c r="M3179">
        <f>RANK(H3179,H:H,0)</f>
        <v>2007</v>
      </c>
    </row>
    <row r="3180" spans="1:13">
      <c r="A3180" t="s">
        <v>34</v>
      </c>
      <c r="B3180" t="s">
        <v>35</v>
      </c>
      <c r="C3180" t="s">
        <v>65</v>
      </c>
      <c r="D3180" s="4">
        <v>45631</v>
      </c>
      <c r="E3180" s="5" t="str">
        <f>TEXT(D3180,"dd/mm/yyyy")</f>
        <v>05/12/2024</v>
      </c>
      <c r="F3180" s="4"/>
      <c r="G3180" s="5" t="str">
        <f>TEXT(E3180,"mm")</f>
        <v>05</v>
      </c>
      <c r="H3180" s="6">
        <v>4871.07</v>
      </c>
      <c r="I3180">
        <v>33</v>
      </c>
      <c r="L3180" t="str">
        <f t="shared" si="49"/>
        <v>Below Average</v>
      </c>
      <c r="M3180">
        <f>RANK(H3180,H:H,0)</f>
        <v>1744</v>
      </c>
    </row>
    <row r="3181" spans="1:13">
      <c r="A3181" t="s">
        <v>19</v>
      </c>
      <c r="B3181" t="s">
        <v>32</v>
      </c>
      <c r="C3181" t="s">
        <v>38</v>
      </c>
      <c r="D3181" s="4">
        <v>45599</v>
      </c>
      <c r="E3181" s="5" t="str">
        <f>TEXT(D3181,"dd/mm/yyyy")</f>
        <v>03/11/2024</v>
      </c>
      <c r="F3181" s="4"/>
      <c r="G3181" s="5" t="str">
        <f>TEXT(E3181,"mm")</f>
        <v>03</v>
      </c>
      <c r="H3181" s="6">
        <v>9306.64</v>
      </c>
      <c r="I3181">
        <v>48</v>
      </c>
      <c r="L3181" t="str">
        <f t="shared" si="49"/>
        <v>Above Average</v>
      </c>
      <c r="M3181">
        <f>RANK(H3181,H:H,0)</f>
        <v>690</v>
      </c>
    </row>
    <row r="3182" spans="1:13">
      <c r="A3182" t="s">
        <v>28</v>
      </c>
      <c r="B3182" t="s">
        <v>25</v>
      </c>
      <c r="C3182" t="s">
        <v>36</v>
      </c>
      <c r="D3182" s="4">
        <v>45603</v>
      </c>
      <c r="E3182" s="5" t="str">
        <f>TEXT(D3182,"dd/mm/yyyy")</f>
        <v>07/11/2024</v>
      </c>
      <c r="F3182" s="4"/>
      <c r="G3182" s="5" t="str">
        <f>TEXT(E3182,"mm")</f>
        <v>07</v>
      </c>
      <c r="H3182" s="6">
        <v>5270.33</v>
      </c>
      <c r="I3182">
        <v>323</v>
      </c>
      <c r="L3182" t="str">
        <f t="shared" si="49"/>
        <v>Below Average</v>
      </c>
      <c r="M3182">
        <f>RANK(H3182,H:H,0)</f>
        <v>1626</v>
      </c>
    </row>
    <row r="3183" spans="1:13">
      <c r="A3183" t="s">
        <v>22</v>
      </c>
      <c r="B3183" t="s">
        <v>25</v>
      </c>
      <c r="C3183" t="s">
        <v>75</v>
      </c>
      <c r="D3183" s="4">
        <v>45299</v>
      </c>
      <c r="E3183" s="5" t="str">
        <f>TEXT(D3183,"dd/mm/yyyy")</f>
        <v>08/01/2024</v>
      </c>
      <c r="F3183" s="4"/>
      <c r="G3183" s="5" t="str">
        <f>TEXT(E3183,"mm")</f>
        <v>08</v>
      </c>
      <c r="H3183" s="6">
        <v>14722.35</v>
      </c>
      <c r="I3183">
        <v>61</v>
      </c>
      <c r="L3183" t="str">
        <f t="shared" si="49"/>
        <v>Above Average</v>
      </c>
      <c r="M3183">
        <f>RANK(H3183,H:H,0)</f>
        <v>163</v>
      </c>
    </row>
    <row r="3184" spans="1:13">
      <c r="A3184" t="s">
        <v>22</v>
      </c>
      <c r="B3184" t="s">
        <v>7</v>
      </c>
      <c r="C3184" t="s">
        <v>50</v>
      </c>
      <c r="D3184" s="3" t="s">
        <v>274</v>
      </c>
      <c r="E3184" s="5" t="str">
        <f>TEXT(D3184,"dd/mm/yyyy")</f>
        <v>16/02/2024</v>
      </c>
      <c r="G3184" s="5" t="str">
        <f>TEXT(E3184,"mm")</f>
        <v>16/02/2024</v>
      </c>
      <c r="H3184" s="6">
        <v>13444.87</v>
      </c>
      <c r="I3184">
        <v>197</v>
      </c>
      <c r="L3184" t="str">
        <f t="shared" si="49"/>
        <v>Above Average</v>
      </c>
      <c r="M3184">
        <f>RANK(H3184,H:H,0)</f>
        <v>239</v>
      </c>
    </row>
    <row r="3185" spans="1:13">
      <c r="A3185" t="s">
        <v>48</v>
      </c>
      <c r="B3185" t="s">
        <v>32</v>
      </c>
      <c r="C3185" t="s">
        <v>23</v>
      </c>
      <c r="D3185" s="3" t="s">
        <v>327</v>
      </c>
      <c r="E3185" s="5" t="str">
        <f>TEXT(D3185,"dd/mm/yyyy")</f>
        <v>13/04/2024</v>
      </c>
      <c r="G3185" s="5" t="str">
        <f>TEXT(E3185,"mm")</f>
        <v>13/04/2024</v>
      </c>
      <c r="H3185" s="6">
        <v>14885.97</v>
      </c>
      <c r="I3185">
        <v>248</v>
      </c>
      <c r="L3185" t="str">
        <f t="shared" si="49"/>
        <v>Above Average</v>
      </c>
      <c r="M3185">
        <f>RANK(H3185,H:H,0)</f>
        <v>156</v>
      </c>
    </row>
    <row r="3186" spans="1:13">
      <c r="A3186" t="s">
        <v>19</v>
      </c>
      <c r="B3186" t="s">
        <v>10</v>
      </c>
      <c r="C3186" t="s">
        <v>75</v>
      </c>
      <c r="D3186" s="3" t="s">
        <v>273</v>
      </c>
      <c r="E3186" s="5" t="str">
        <f>TEXT(D3186,"dd/mm/yyyy")</f>
        <v>14/02/2024</v>
      </c>
      <c r="G3186" s="5" t="str">
        <f>TEXT(E3186,"mm")</f>
        <v>14/02/2024</v>
      </c>
      <c r="H3186" s="6">
        <v>53.31</v>
      </c>
      <c r="I3186">
        <v>371</v>
      </c>
      <c r="L3186" t="str">
        <f t="shared" si="49"/>
        <v>Below Average</v>
      </c>
      <c r="M3186">
        <f>RANK(H3186,H:H,0)</f>
        <v>3269</v>
      </c>
    </row>
    <row r="3187" spans="1:13">
      <c r="A3187" t="s">
        <v>83</v>
      </c>
      <c r="B3187" t="s">
        <v>15</v>
      </c>
      <c r="C3187" t="s">
        <v>13</v>
      </c>
      <c r="D3187" s="3" t="s">
        <v>278</v>
      </c>
      <c r="E3187" s="5" t="str">
        <f>TEXT(D3187,"dd/mm/yyyy")</f>
        <v>14/03/2024</v>
      </c>
      <c r="G3187" s="5" t="str">
        <f>TEXT(E3187,"mm")</f>
        <v>14/03/2024</v>
      </c>
      <c r="H3187" s="6">
        <v>11767.94</v>
      </c>
      <c r="I3187">
        <v>68</v>
      </c>
      <c r="L3187" t="str">
        <f t="shared" si="49"/>
        <v>Above Average</v>
      </c>
      <c r="M3187">
        <f>RANK(H3187,H:H,0)</f>
        <v>365</v>
      </c>
    </row>
    <row r="3188" spans="1:13">
      <c r="A3188" t="s">
        <v>19</v>
      </c>
      <c r="B3188" t="s">
        <v>15</v>
      </c>
      <c r="C3188" t="s">
        <v>50</v>
      </c>
      <c r="D3188" s="3" t="s">
        <v>357</v>
      </c>
      <c r="E3188" s="5" t="str">
        <f>TEXT(D3188,"dd/mm/yyyy")</f>
        <v>26/04/2024</v>
      </c>
      <c r="G3188" s="5" t="str">
        <f>TEXT(E3188,"mm")</f>
        <v>26/04/2024</v>
      </c>
      <c r="H3188" s="6">
        <v>12897.53</v>
      </c>
      <c r="I3188">
        <v>25</v>
      </c>
      <c r="L3188" t="str">
        <f t="shared" si="49"/>
        <v>Above Average</v>
      </c>
      <c r="M3188">
        <f>RANK(H3188,H:H,0)</f>
        <v>272</v>
      </c>
    </row>
    <row r="3189" spans="1:13">
      <c r="A3189" t="s">
        <v>6</v>
      </c>
      <c r="B3189" t="s">
        <v>35</v>
      </c>
      <c r="C3189" t="s">
        <v>60</v>
      </c>
      <c r="D3189" s="4">
        <v>45416</v>
      </c>
      <c r="E3189" s="5" t="str">
        <f>TEXT(D3189,"dd/mm/yyyy")</f>
        <v>04/05/2024</v>
      </c>
      <c r="F3189" s="4"/>
      <c r="G3189" s="5" t="str">
        <f>TEXT(E3189,"mm")</f>
        <v>04</v>
      </c>
      <c r="H3189" s="6">
        <v>3867.62</v>
      </c>
      <c r="I3189">
        <v>214</v>
      </c>
      <c r="L3189" t="str">
        <f t="shared" si="49"/>
        <v>Below Average</v>
      </c>
      <c r="M3189">
        <f>RANK(H3189,H:H,0)</f>
        <v>2019</v>
      </c>
    </row>
    <row r="3190" spans="1:13">
      <c r="A3190" t="s">
        <v>71</v>
      </c>
      <c r="B3190" t="s">
        <v>35</v>
      </c>
      <c r="C3190" t="s">
        <v>38</v>
      </c>
      <c r="D3190" s="4">
        <v>45354</v>
      </c>
      <c r="E3190" s="5" t="str">
        <f>TEXT(D3190,"dd/mm/yyyy")</f>
        <v>03/03/2024</v>
      </c>
      <c r="F3190" s="4"/>
      <c r="G3190" s="5" t="str">
        <f>TEXT(E3190,"mm")</f>
        <v>03</v>
      </c>
      <c r="H3190" s="6">
        <v>13524.05</v>
      </c>
      <c r="I3190">
        <v>253</v>
      </c>
      <c r="L3190" t="str">
        <f t="shared" si="49"/>
        <v>Above Average</v>
      </c>
      <c r="M3190">
        <f>RANK(H3190,H:H,0)</f>
        <v>233</v>
      </c>
    </row>
    <row r="3191" spans="1:13">
      <c r="A3191" t="s">
        <v>55</v>
      </c>
      <c r="B3191" t="s">
        <v>32</v>
      </c>
      <c r="C3191" t="s">
        <v>50</v>
      </c>
      <c r="D3191" s="3" t="s">
        <v>334</v>
      </c>
      <c r="E3191" s="5" t="str">
        <f>TEXT(D3191,"dd/mm/yyyy")</f>
        <v>13/06/2024</v>
      </c>
      <c r="G3191" s="5" t="str">
        <f>TEXT(E3191,"mm")</f>
        <v>13/06/2024</v>
      </c>
      <c r="H3191" s="6">
        <v>2319.1</v>
      </c>
      <c r="I3191">
        <v>189</v>
      </c>
      <c r="L3191" t="str">
        <f t="shared" si="49"/>
        <v>Below Average</v>
      </c>
      <c r="M3191">
        <f>RANK(H3191,H:H,0)</f>
        <v>2540</v>
      </c>
    </row>
    <row r="3192" spans="1:13">
      <c r="A3192" t="s">
        <v>40</v>
      </c>
      <c r="B3192" t="s">
        <v>25</v>
      </c>
      <c r="C3192" t="s">
        <v>100</v>
      </c>
      <c r="D3192" s="3" t="s">
        <v>273</v>
      </c>
      <c r="E3192" s="5" t="str">
        <f>TEXT(D3192,"dd/mm/yyyy")</f>
        <v>14/02/2024</v>
      </c>
      <c r="G3192" s="5" t="str">
        <f>TEXT(E3192,"mm")</f>
        <v>14/02/2024</v>
      </c>
      <c r="H3192" s="6">
        <v>9036.58</v>
      </c>
      <c r="I3192">
        <v>377</v>
      </c>
      <c r="L3192" t="str">
        <f t="shared" si="49"/>
        <v>Above Average</v>
      </c>
      <c r="M3192">
        <f>RANK(H3192,H:H,0)</f>
        <v>731</v>
      </c>
    </row>
    <row r="3193" spans="1:13">
      <c r="A3193" t="s">
        <v>45</v>
      </c>
      <c r="B3193" t="s">
        <v>25</v>
      </c>
      <c r="C3193" t="s">
        <v>20</v>
      </c>
      <c r="D3193" s="3" t="s">
        <v>360</v>
      </c>
      <c r="E3193" s="5" t="str">
        <f>TEXT(D3193,"dd/mm/yyyy")</f>
        <v>18/04/2024</v>
      </c>
      <c r="G3193" s="5" t="str">
        <f>TEXT(E3193,"mm")</f>
        <v>18/04/2024</v>
      </c>
      <c r="H3193" s="6">
        <v>8905.5300000000007</v>
      </c>
      <c r="I3193">
        <v>201</v>
      </c>
      <c r="L3193" t="str">
        <f t="shared" si="49"/>
        <v>Above Average</v>
      </c>
      <c r="M3193">
        <f>RANK(H3193,H:H,0)</f>
        <v>758</v>
      </c>
    </row>
    <row r="3194" spans="1:13">
      <c r="A3194" t="s">
        <v>19</v>
      </c>
      <c r="B3194" t="s">
        <v>25</v>
      </c>
      <c r="C3194" t="s">
        <v>11</v>
      </c>
      <c r="D3194" s="4">
        <v>45293</v>
      </c>
      <c r="E3194" s="5" t="str">
        <f>TEXT(D3194,"dd/mm/yyyy")</f>
        <v>02/01/2024</v>
      </c>
      <c r="F3194" s="4"/>
      <c r="G3194" s="5" t="str">
        <f>TEXT(E3194,"mm")</f>
        <v>02</v>
      </c>
      <c r="H3194" s="6">
        <v>4040.65</v>
      </c>
      <c r="I3194">
        <v>423</v>
      </c>
      <c r="L3194" t="str">
        <f t="shared" si="49"/>
        <v>Below Average</v>
      </c>
      <c r="M3194">
        <f>RANK(H3194,H:H,0)</f>
        <v>1974</v>
      </c>
    </row>
    <row r="3195" spans="1:13">
      <c r="A3195" t="s">
        <v>79</v>
      </c>
      <c r="B3195" t="s">
        <v>25</v>
      </c>
      <c r="C3195" t="s">
        <v>33</v>
      </c>
      <c r="D3195" s="4">
        <v>45390</v>
      </c>
      <c r="E3195" s="5" t="str">
        <f>TEXT(D3195,"dd/mm/yyyy")</f>
        <v>08/04/2024</v>
      </c>
      <c r="F3195" s="4"/>
      <c r="G3195" s="5" t="str">
        <f>TEXT(E3195,"mm")</f>
        <v>08</v>
      </c>
      <c r="H3195" s="6">
        <v>2204.17</v>
      </c>
      <c r="I3195">
        <v>145</v>
      </c>
      <c r="L3195" t="str">
        <f t="shared" si="49"/>
        <v>Below Average</v>
      </c>
      <c r="M3195">
        <f>RANK(H3195,H:H,0)</f>
        <v>2579</v>
      </c>
    </row>
    <row r="3196" spans="1:13">
      <c r="A3196" t="s">
        <v>67</v>
      </c>
      <c r="B3196" t="s">
        <v>25</v>
      </c>
      <c r="C3196" t="s">
        <v>65</v>
      </c>
      <c r="D3196" s="4">
        <v>45416</v>
      </c>
      <c r="E3196" s="5" t="str">
        <f>TEXT(D3196,"dd/mm/yyyy")</f>
        <v>04/05/2024</v>
      </c>
      <c r="F3196" s="4"/>
      <c r="G3196" s="5" t="str">
        <f>TEXT(E3196,"mm")</f>
        <v>04</v>
      </c>
      <c r="H3196" s="6">
        <v>7037.21</v>
      </c>
      <c r="I3196">
        <v>172</v>
      </c>
      <c r="L3196" t="str">
        <f t="shared" si="49"/>
        <v>Above Average</v>
      </c>
      <c r="M3196">
        <f>RANK(H3196,H:H,0)</f>
        <v>1170</v>
      </c>
    </row>
    <row r="3197" spans="1:13">
      <c r="A3197" t="s">
        <v>37</v>
      </c>
      <c r="B3197" t="s">
        <v>15</v>
      </c>
      <c r="C3197" t="s">
        <v>20</v>
      </c>
      <c r="D3197" s="3" t="s">
        <v>272</v>
      </c>
      <c r="E3197" s="5" t="str">
        <f>TEXT(D3197,"dd/mm/yyyy")</f>
        <v>26/01/2024</v>
      </c>
      <c r="G3197" s="5" t="str">
        <f>TEXT(E3197,"mm")</f>
        <v>26/01/2024</v>
      </c>
      <c r="H3197" s="6">
        <v>12285.41</v>
      </c>
      <c r="I3197">
        <v>175</v>
      </c>
      <c r="L3197" t="str">
        <f t="shared" si="49"/>
        <v>Above Average</v>
      </c>
      <c r="M3197">
        <f>RANK(H3197,H:H,0)</f>
        <v>319</v>
      </c>
    </row>
    <row r="3198" spans="1:13">
      <c r="A3198" t="s">
        <v>55</v>
      </c>
      <c r="B3198" t="s">
        <v>7</v>
      </c>
      <c r="C3198" t="s">
        <v>23</v>
      </c>
      <c r="D3198" s="3" t="s">
        <v>330</v>
      </c>
      <c r="E3198" s="5" t="str">
        <f>TEXT(D3198,"dd/mm/yyyy")</f>
        <v>21/01/2024</v>
      </c>
      <c r="G3198" s="5" t="str">
        <f>TEXT(E3198,"mm")</f>
        <v>21/01/2024</v>
      </c>
      <c r="H3198" s="6">
        <v>21812.86</v>
      </c>
      <c r="I3198">
        <v>183</v>
      </c>
      <c r="L3198" t="str">
        <f t="shared" si="49"/>
        <v>Above Average</v>
      </c>
      <c r="M3198">
        <f>RANK(H3198,H:H,0)</f>
        <v>9</v>
      </c>
    </row>
    <row r="3199" spans="1:13">
      <c r="A3199" t="s">
        <v>55</v>
      </c>
      <c r="B3199" t="s">
        <v>35</v>
      </c>
      <c r="C3199" t="s">
        <v>23</v>
      </c>
      <c r="D3199" s="3" t="s">
        <v>289</v>
      </c>
      <c r="E3199" s="5" t="str">
        <f>TEXT(D3199,"dd/mm/yyyy")</f>
        <v>22/08/2024</v>
      </c>
      <c r="G3199" s="5" t="str">
        <f>TEXT(E3199,"mm")</f>
        <v>22/08/2024</v>
      </c>
      <c r="H3199" s="6">
        <v>6707.97</v>
      </c>
      <c r="I3199">
        <v>187</v>
      </c>
      <c r="L3199" t="str">
        <f t="shared" si="49"/>
        <v>Above Average</v>
      </c>
      <c r="M3199">
        <f>RANK(H3199,H:H,0)</f>
        <v>1259</v>
      </c>
    </row>
    <row r="3200" spans="1:13">
      <c r="A3200" t="s">
        <v>55</v>
      </c>
      <c r="B3200" t="s">
        <v>7</v>
      </c>
      <c r="C3200" t="s">
        <v>38</v>
      </c>
      <c r="D3200" s="3" t="s">
        <v>302</v>
      </c>
      <c r="E3200" s="5" t="str">
        <f>TEXT(D3200,"dd/mm/yyyy")</f>
        <v>27/01/2024</v>
      </c>
      <c r="G3200" s="5" t="str">
        <f>TEXT(E3200,"mm")</f>
        <v>27/01/2024</v>
      </c>
      <c r="H3200" s="6">
        <v>2513.58</v>
      </c>
      <c r="I3200">
        <v>226</v>
      </c>
      <c r="L3200" t="str">
        <f t="shared" si="49"/>
        <v>Below Average</v>
      </c>
      <c r="M3200">
        <f>RANK(H3200,H:H,0)</f>
        <v>2467</v>
      </c>
    </row>
    <row r="3201" spans="1:13">
      <c r="A3201" t="s">
        <v>29</v>
      </c>
      <c r="B3201" t="s">
        <v>7</v>
      </c>
      <c r="C3201" t="s">
        <v>26</v>
      </c>
      <c r="D3201" s="3" t="s">
        <v>274</v>
      </c>
      <c r="E3201" s="5" t="str">
        <f>TEXT(D3201,"dd/mm/yyyy")</f>
        <v>16/02/2024</v>
      </c>
      <c r="G3201" s="5" t="str">
        <f>TEXT(E3201,"mm")</f>
        <v>16/02/2024</v>
      </c>
      <c r="H3201" s="6">
        <v>11491.21</v>
      </c>
      <c r="I3201">
        <v>71</v>
      </c>
      <c r="L3201" t="str">
        <f t="shared" si="49"/>
        <v>Above Average</v>
      </c>
      <c r="M3201">
        <f>RANK(H3201,H:H,0)</f>
        <v>399</v>
      </c>
    </row>
    <row r="3202" spans="1:13">
      <c r="A3202" t="s">
        <v>79</v>
      </c>
      <c r="B3202" t="s">
        <v>32</v>
      </c>
      <c r="C3202" t="s">
        <v>73</v>
      </c>
      <c r="D3202" s="4">
        <v>45352</v>
      </c>
      <c r="E3202" s="5" t="str">
        <f>TEXT(D3202,"dd/mm/yyyy")</f>
        <v>01/03/2024</v>
      </c>
      <c r="F3202" s="4"/>
      <c r="G3202" s="5" t="str">
        <f>TEXT(E3202,"mm")</f>
        <v>01</v>
      </c>
      <c r="H3202" s="6">
        <v>3762.58</v>
      </c>
      <c r="I3202">
        <v>49</v>
      </c>
      <c r="L3202" t="str">
        <f t="shared" si="49"/>
        <v>Below Average</v>
      </c>
      <c r="M3202">
        <f>RANK(H3202,H:H,0)</f>
        <v>2051</v>
      </c>
    </row>
    <row r="3203" spans="1:13">
      <c r="A3203" t="s">
        <v>37</v>
      </c>
      <c r="B3203" t="s">
        <v>32</v>
      </c>
      <c r="C3203" t="s">
        <v>59</v>
      </c>
      <c r="D3203" s="3" t="s">
        <v>285</v>
      </c>
      <c r="E3203" s="5" t="str">
        <f>TEXT(D3203,"dd/mm/yyyy")</f>
        <v>24/08/2024</v>
      </c>
      <c r="G3203" s="5" t="str">
        <f>TEXT(E3203,"mm")</f>
        <v>24/08/2024</v>
      </c>
      <c r="H3203" s="6">
        <v>5158.01</v>
      </c>
      <c r="I3203">
        <v>2</v>
      </c>
      <c r="L3203" t="str">
        <f t="shared" ref="L3203:L3266" si="50">IF(H3203&gt;6030.34,"Above Average","Below Average")</f>
        <v>Below Average</v>
      </c>
      <c r="M3203">
        <f>RANK(H3203,H:H,0)</f>
        <v>1658</v>
      </c>
    </row>
    <row r="3204" spans="1:13">
      <c r="A3204" t="s">
        <v>19</v>
      </c>
      <c r="B3204" t="s">
        <v>32</v>
      </c>
      <c r="C3204" t="s">
        <v>50</v>
      </c>
      <c r="D3204" s="4">
        <v>45475</v>
      </c>
      <c r="E3204" s="5" t="str">
        <f>TEXT(D3204,"dd/mm/yyyy")</f>
        <v>02/07/2024</v>
      </c>
      <c r="F3204" s="4"/>
      <c r="G3204" s="5" t="str">
        <f>TEXT(E3204,"mm")</f>
        <v>02</v>
      </c>
      <c r="H3204" s="6">
        <v>6660.69</v>
      </c>
      <c r="I3204">
        <v>418</v>
      </c>
      <c r="L3204" t="str">
        <f t="shared" si="50"/>
        <v>Above Average</v>
      </c>
      <c r="M3204">
        <f>RANK(H3204,H:H,0)</f>
        <v>1270</v>
      </c>
    </row>
    <row r="3205" spans="1:13">
      <c r="A3205" t="s">
        <v>34</v>
      </c>
      <c r="B3205" t="s">
        <v>15</v>
      </c>
      <c r="C3205" t="s">
        <v>18</v>
      </c>
      <c r="D3205" s="4">
        <v>45598</v>
      </c>
      <c r="E3205" s="5" t="str">
        <f>TEXT(D3205,"dd/mm/yyyy")</f>
        <v>02/11/2024</v>
      </c>
      <c r="F3205" s="4"/>
      <c r="G3205" s="5" t="str">
        <f>TEXT(E3205,"mm")</f>
        <v>02</v>
      </c>
      <c r="H3205" s="6">
        <v>4786.05</v>
      </c>
      <c r="I3205">
        <v>107</v>
      </c>
      <c r="L3205" t="str">
        <f t="shared" si="50"/>
        <v>Below Average</v>
      </c>
      <c r="M3205">
        <f>RANK(H3205,H:H,0)</f>
        <v>1771</v>
      </c>
    </row>
    <row r="3206" spans="1:13">
      <c r="A3206" t="s">
        <v>55</v>
      </c>
      <c r="B3206" t="s">
        <v>35</v>
      </c>
      <c r="C3206" t="s">
        <v>42</v>
      </c>
      <c r="D3206" s="3" t="s">
        <v>324</v>
      </c>
      <c r="E3206" s="5" t="str">
        <f>TEXT(D3206,"dd/mm/yyyy")</f>
        <v>29/03/2024</v>
      </c>
      <c r="G3206" s="5" t="str">
        <f>TEXT(E3206,"mm")</f>
        <v>29/03/2024</v>
      </c>
      <c r="H3206" s="6">
        <v>6797.67</v>
      </c>
      <c r="I3206">
        <v>82</v>
      </c>
      <c r="L3206" t="str">
        <f t="shared" si="50"/>
        <v>Above Average</v>
      </c>
      <c r="M3206">
        <f>RANK(H3206,H:H,0)</f>
        <v>1237</v>
      </c>
    </row>
    <row r="3207" spans="1:13">
      <c r="A3207" t="s">
        <v>40</v>
      </c>
      <c r="B3207" t="s">
        <v>32</v>
      </c>
      <c r="C3207" t="s">
        <v>13</v>
      </c>
      <c r="D3207" s="3" t="s">
        <v>280</v>
      </c>
      <c r="E3207" s="5" t="str">
        <f>TEXT(D3207,"dd/mm/yyyy")</f>
        <v>15/06/2024</v>
      </c>
      <c r="G3207" s="5" t="str">
        <f>TEXT(E3207,"mm")</f>
        <v>15/06/2024</v>
      </c>
      <c r="H3207" s="6">
        <v>782.24</v>
      </c>
      <c r="I3207">
        <v>348</v>
      </c>
      <c r="L3207" t="str">
        <f t="shared" si="50"/>
        <v>Below Average</v>
      </c>
      <c r="M3207">
        <f>RANK(H3207,H:H,0)</f>
        <v>3035</v>
      </c>
    </row>
    <row r="3208" spans="1:13">
      <c r="A3208" t="s">
        <v>58</v>
      </c>
      <c r="B3208" t="s">
        <v>7</v>
      </c>
      <c r="C3208" t="s">
        <v>18</v>
      </c>
      <c r="D3208" s="3" t="s">
        <v>357</v>
      </c>
      <c r="E3208" s="5" t="str">
        <f>TEXT(D3208,"dd/mm/yyyy")</f>
        <v>26/04/2024</v>
      </c>
      <c r="G3208" s="5" t="str">
        <f>TEXT(E3208,"mm")</f>
        <v>26/04/2024</v>
      </c>
      <c r="H3208" s="6">
        <v>653.1</v>
      </c>
      <c r="I3208">
        <v>136</v>
      </c>
      <c r="L3208" t="str">
        <f t="shared" si="50"/>
        <v>Below Average</v>
      </c>
      <c r="M3208">
        <f>RANK(H3208,H:H,0)</f>
        <v>3083</v>
      </c>
    </row>
    <row r="3209" spans="1:13">
      <c r="A3209" t="s">
        <v>28</v>
      </c>
      <c r="B3209" t="s">
        <v>15</v>
      </c>
      <c r="C3209" t="s">
        <v>42</v>
      </c>
      <c r="D3209" s="3" t="s">
        <v>292</v>
      </c>
      <c r="E3209" s="5" t="str">
        <f>TEXT(D3209,"dd/mm/yyyy")</f>
        <v>15/07/2024</v>
      </c>
      <c r="G3209" s="5" t="str">
        <f>TEXT(E3209,"mm")</f>
        <v>15/07/2024</v>
      </c>
      <c r="H3209" s="6">
        <v>4768.88</v>
      </c>
      <c r="I3209">
        <v>281</v>
      </c>
      <c r="L3209" t="str">
        <f t="shared" si="50"/>
        <v>Below Average</v>
      </c>
      <c r="M3209">
        <f>RANK(H3209,H:H,0)</f>
        <v>1777</v>
      </c>
    </row>
    <row r="3210" spans="1:13">
      <c r="A3210" t="s">
        <v>41</v>
      </c>
      <c r="B3210" t="s">
        <v>10</v>
      </c>
      <c r="C3210" t="s">
        <v>42</v>
      </c>
      <c r="D3210" s="3" t="s">
        <v>348</v>
      </c>
      <c r="E3210" s="5" t="str">
        <f>TEXT(D3210,"dd/mm/yyyy")</f>
        <v>23/06/2024</v>
      </c>
      <c r="G3210" s="5" t="str">
        <f>TEXT(E3210,"mm")</f>
        <v>23/06/2024</v>
      </c>
      <c r="H3210" s="6">
        <v>1123.57</v>
      </c>
      <c r="I3210">
        <v>19</v>
      </c>
      <c r="L3210" t="str">
        <f t="shared" si="50"/>
        <v>Below Average</v>
      </c>
      <c r="M3210">
        <f>RANK(H3210,H:H,0)</f>
        <v>2932</v>
      </c>
    </row>
    <row r="3211" spans="1:13">
      <c r="A3211" t="s">
        <v>58</v>
      </c>
      <c r="B3211" t="s">
        <v>15</v>
      </c>
      <c r="C3211" t="s">
        <v>87</v>
      </c>
      <c r="D3211" s="4">
        <v>45597</v>
      </c>
      <c r="E3211" s="5" t="str">
        <f>TEXT(D3211,"dd/mm/yyyy")</f>
        <v>01/11/2024</v>
      </c>
      <c r="F3211" s="4"/>
      <c r="G3211" s="5" t="str">
        <f>TEXT(E3211,"mm")</f>
        <v>01</v>
      </c>
      <c r="H3211" s="6">
        <v>16435.38</v>
      </c>
      <c r="I3211">
        <v>425</v>
      </c>
      <c r="L3211" t="str">
        <f t="shared" si="50"/>
        <v>Above Average</v>
      </c>
      <c r="M3211">
        <f>RANK(H3211,H:H,0)</f>
        <v>87</v>
      </c>
    </row>
    <row r="3212" spans="1:13">
      <c r="A3212" t="s">
        <v>41</v>
      </c>
      <c r="B3212" t="s">
        <v>7</v>
      </c>
      <c r="C3212" t="s">
        <v>26</v>
      </c>
      <c r="D3212" s="4">
        <v>45537</v>
      </c>
      <c r="E3212" s="5" t="str">
        <f>TEXT(D3212,"dd/mm/yyyy")</f>
        <v>02/09/2024</v>
      </c>
      <c r="F3212" s="4"/>
      <c r="G3212" s="5" t="str">
        <f>TEXT(E3212,"mm")</f>
        <v>02</v>
      </c>
      <c r="H3212" s="6">
        <v>2922.18</v>
      </c>
      <c r="I3212">
        <v>289</v>
      </c>
      <c r="L3212" t="str">
        <f t="shared" si="50"/>
        <v>Below Average</v>
      </c>
      <c r="M3212">
        <f>RANK(H3212,H:H,0)</f>
        <v>2338</v>
      </c>
    </row>
    <row r="3213" spans="1:13">
      <c r="A3213" t="s">
        <v>9</v>
      </c>
      <c r="B3213" t="s">
        <v>7</v>
      </c>
      <c r="C3213" t="s">
        <v>65</v>
      </c>
      <c r="D3213" s="4">
        <v>45449</v>
      </c>
      <c r="E3213" s="5" t="str">
        <f>TEXT(D3213,"dd/mm/yyyy")</f>
        <v>06/06/2024</v>
      </c>
      <c r="F3213" s="4"/>
      <c r="G3213" s="5" t="str">
        <f>TEXT(E3213,"mm")</f>
        <v>06</v>
      </c>
      <c r="H3213" s="6">
        <v>12123.84</v>
      </c>
      <c r="I3213">
        <v>222</v>
      </c>
      <c r="L3213" t="str">
        <f t="shared" si="50"/>
        <v>Above Average</v>
      </c>
      <c r="M3213">
        <f>RANK(H3213,H:H,0)</f>
        <v>336</v>
      </c>
    </row>
    <row r="3214" spans="1:13">
      <c r="A3214" t="s">
        <v>79</v>
      </c>
      <c r="B3214" t="s">
        <v>7</v>
      </c>
      <c r="C3214" t="s">
        <v>90</v>
      </c>
      <c r="D3214" s="4">
        <v>45573</v>
      </c>
      <c r="E3214" s="5" t="str">
        <f>TEXT(D3214,"dd/mm/yyyy")</f>
        <v>08/10/2024</v>
      </c>
      <c r="F3214" s="4"/>
      <c r="G3214" s="5" t="str">
        <f>TEXT(E3214,"mm")</f>
        <v>08</v>
      </c>
      <c r="H3214" s="6">
        <v>6448.87</v>
      </c>
      <c r="I3214">
        <v>244</v>
      </c>
      <c r="L3214" t="str">
        <f t="shared" si="50"/>
        <v>Above Average</v>
      </c>
      <c r="M3214">
        <f>RANK(H3214,H:H,0)</f>
        <v>1321</v>
      </c>
    </row>
    <row r="3215" spans="1:13">
      <c r="A3215" t="s">
        <v>64</v>
      </c>
      <c r="B3215" t="s">
        <v>15</v>
      </c>
      <c r="C3215" t="s">
        <v>18</v>
      </c>
      <c r="D3215" s="4">
        <v>45383</v>
      </c>
      <c r="E3215" s="5" t="str">
        <f>TEXT(D3215,"dd/mm/yyyy")</f>
        <v>01/04/2024</v>
      </c>
      <c r="F3215" s="4"/>
      <c r="G3215" s="5" t="str">
        <f>TEXT(E3215,"mm")</f>
        <v>01</v>
      </c>
      <c r="H3215" s="6">
        <v>2587.61</v>
      </c>
      <c r="I3215">
        <v>44</v>
      </c>
      <c r="L3215" t="str">
        <f t="shared" si="50"/>
        <v>Below Average</v>
      </c>
      <c r="M3215">
        <f>RANK(H3215,H:H,0)</f>
        <v>2443</v>
      </c>
    </row>
    <row r="3216" spans="1:13">
      <c r="A3216" t="s">
        <v>67</v>
      </c>
      <c r="B3216" t="s">
        <v>35</v>
      </c>
      <c r="C3216" t="s">
        <v>100</v>
      </c>
      <c r="D3216" s="4">
        <v>45508</v>
      </c>
      <c r="E3216" s="5" t="str">
        <f>TEXT(D3216,"dd/mm/yyyy")</f>
        <v>04/08/2024</v>
      </c>
      <c r="F3216" s="4"/>
      <c r="G3216" s="5" t="str">
        <f>TEXT(E3216,"mm")</f>
        <v>04</v>
      </c>
      <c r="H3216" s="6">
        <v>12109</v>
      </c>
      <c r="I3216">
        <v>16</v>
      </c>
      <c r="L3216" t="str">
        <f t="shared" si="50"/>
        <v>Above Average</v>
      </c>
      <c r="M3216">
        <f>RANK(H3216,H:H,0)</f>
        <v>337</v>
      </c>
    </row>
    <row r="3217" spans="1:13">
      <c r="A3217" t="s">
        <v>31</v>
      </c>
      <c r="B3217" t="s">
        <v>7</v>
      </c>
      <c r="C3217" t="s">
        <v>46</v>
      </c>
      <c r="D3217" s="4">
        <v>45325</v>
      </c>
      <c r="E3217" s="5" t="str">
        <f>TEXT(D3217,"dd/mm/yyyy")</f>
        <v>03/02/2024</v>
      </c>
      <c r="F3217" s="4"/>
      <c r="G3217" s="5" t="str">
        <f>TEXT(E3217,"mm")</f>
        <v>03</v>
      </c>
      <c r="H3217" s="6">
        <v>4482.33</v>
      </c>
      <c r="I3217">
        <v>467</v>
      </c>
      <c r="L3217" t="str">
        <f t="shared" si="50"/>
        <v>Below Average</v>
      </c>
      <c r="M3217">
        <f>RANK(H3217,H:H,0)</f>
        <v>1858</v>
      </c>
    </row>
    <row r="3218" spans="1:13">
      <c r="A3218" t="s">
        <v>9</v>
      </c>
      <c r="B3218" t="s">
        <v>35</v>
      </c>
      <c r="C3218" t="s">
        <v>38</v>
      </c>
      <c r="D3218" s="3" t="s">
        <v>280</v>
      </c>
      <c r="E3218" s="5" t="str">
        <f>TEXT(D3218,"dd/mm/yyyy")</f>
        <v>15/06/2024</v>
      </c>
      <c r="G3218" s="5" t="str">
        <f>TEXT(E3218,"mm")</f>
        <v>15/06/2024</v>
      </c>
      <c r="H3218" s="6">
        <v>5294.88</v>
      </c>
      <c r="I3218">
        <v>679</v>
      </c>
      <c r="L3218" t="str">
        <f t="shared" si="50"/>
        <v>Below Average</v>
      </c>
      <c r="M3218">
        <f>RANK(H3218,H:H,0)</f>
        <v>1619</v>
      </c>
    </row>
    <row r="3219" spans="1:13">
      <c r="A3219" t="s">
        <v>6</v>
      </c>
      <c r="B3219" t="s">
        <v>15</v>
      </c>
      <c r="C3219" t="s">
        <v>23</v>
      </c>
      <c r="D3219" s="3" t="s">
        <v>273</v>
      </c>
      <c r="E3219" s="5" t="str">
        <f>TEXT(D3219,"dd/mm/yyyy")</f>
        <v>14/02/2024</v>
      </c>
      <c r="G3219" s="5" t="str">
        <f>TEXT(E3219,"mm")</f>
        <v>14/02/2024</v>
      </c>
      <c r="H3219" s="6">
        <v>5512.57</v>
      </c>
      <c r="I3219">
        <v>46</v>
      </c>
      <c r="L3219" t="str">
        <f t="shared" si="50"/>
        <v>Below Average</v>
      </c>
      <c r="M3219">
        <f>RANK(H3219,H:H,0)</f>
        <v>1562</v>
      </c>
    </row>
    <row r="3220" spans="1:13">
      <c r="A3220" t="s">
        <v>53</v>
      </c>
      <c r="B3220" t="s">
        <v>7</v>
      </c>
      <c r="C3220" t="s">
        <v>23</v>
      </c>
      <c r="D3220" s="4">
        <v>45419</v>
      </c>
      <c r="E3220" s="5" t="str">
        <f>TEXT(D3220,"dd/mm/yyyy")</f>
        <v>07/05/2024</v>
      </c>
      <c r="F3220" s="4"/>
      <c r="G3220" s="5" t="str">
        <f>TEXT(E3220,"mm")</f>
        <v>07</v>
      </c>
      <c r="H3220" s="6">
        <v>3707.27</v>
      </c>
      <c r="I3220">
        <v>392</v>
      </c>
      <c r="L3220" t="str">
        <f t="shared" si="50"/>
        <v>Below Average</v>
      </c>
      <c r="M3220">
        <f>RANK(H3220,H:H,0)</f>
        <v>2071</v>
      </c>
    </row>
    <row r="3221" spans="1:13">
      <c r="A3221" t="s">
        <v>31</v>
      </c>
      <c r="B3221" t="s">
        <v>10</v>
      </c>
      <c r="C3221" t="s">
        <v>8</v>
      </c>
      <c r="D3221" s="4">
        <v>45627</v>
      </c>
      <c r="E3221" s="5" t="str">
        <f>TEXT(D3221,"dd/mm/yyyy")</f>
        <v>01/12/2024</v>
      </c>
      <c r="F3221" s="4"/>
      <c r="G3221" s="5" t="str">
        <f>TEXT(E3221,"mm")</f>
        <v>01</v>
      </c>
      <c r="H3221" s="6">
        <v>7899.01</v>
      </c>
      <c r="I3221">
        <v>461</v>
      </c>
      <c r="L3221" t="str">
        <f t="shared" si="50"/>
        <v>Above Average</v>
      </c>
      <c r="M3221">
        <f>RANK(H3221,H:H,0)</f>
        <v>971</v>
      </c>
    </row>
    <row r="3222" spans="1:13">
      <c r="A3222" t="s">
        <v>48</v>
      </c>
      <c r="B3222" t="s">
        <v>10</v>
      </c>
      <c r="C3222" t="s">
        <v>8</v>
      </c>
      <c r="D3222" s="4">
        <v>45354</v>
      </c>
      <c r="E3222" s="5" t="str">
        <f>TEXT(D3222,"dd/mm/yyyy")</f>
        <v>03/03/2024</v>
      </c>
      <c r="F3222" s="4"/>
      <c r="G3222" s="5" t="str">
        <f>TEXT(E3222,"mm")</f>
        <v>03</v>
      </c>
      <c r="H3222" s="6">
        <v>9813.42</v>
      </c>
      <c r="I3222">
        <v>100</v>
      </c>
      <c r="L3222" t="str">
        <f t="shared" si="50"/>
        <v>Above Average</v>
      </c>
      <c r="M3222">
        <f>RANK(H3222,H:H,0)</f>
        <v>611</v>
      </c>
    </row>
    <row r="3223" spans="1:13">
      <c r="A3223" t="s">
        <v>6</v>
      </c>
      <c r="B3223" t="s">
        <v>25</v>
      </c>
      <c r="C3223" t="s">
        <v>46</v>
      </c>
      <c r="D3223" s="3" t="s">
        <v>293</v>
      </c>
      <c r="E3223" s="5" t="str">
        <f>TEXT(D3223,"dd/mm/yyyy")</f>
        <v>18/05/2024</v>
      </c>
      <c r="G3223" s="5" t="str">
        <f>TEXT(E3223,"mm")</f>
        <v>18/05/2024</v>
      </c>
      <c r="H3223" s="6">
        <v>2845.74</v>
      </c>
      <c r="I3223">
        <v>197</v>
      </c>
      <c r="L3223" t="str">
        <f t="shared" si="50"/>
        <v>Below Average</v>
      </c>
      <c r="M3223">
        <f>RANK(H3223,H:H,0)</f>
        <v>2355</v>
      </c>
    </row>
    <row r="3224" spans="1:13">
      <c r="A3224" t="s">
        <v>22</v>
      </c>
      <c r="B3224" t="s">
        <v>10</v>
      </c>
      <c r="C3224" t="s">
        <v>90</v>
      </c>
      <c r="D3224" s="3" t="s">
        <v>271</v>
      </c>
      <c r="E3224" s="5" t="str">
        <f>TEXT(D3224,"dd/mm/yyyy")</f>
        <v>28/07/2024</v>
      </c>
      <c r="G3224" s="5" t="str">
        <f>TEXT(E3224,"mm")</f>
        <v>28/07/2024</v>
      </c>
      <c r="H3224" s="6">
        <v>2941.72</v>
      </c>
      <c r="I3224">
        <v>220</v>
      </c>
      <c r="L3224" t="str">
        <f t="shared" si="50"/>
        <v>Below Average</v>
      </c>
      <c r="M3224">
        <f>RANK(H3224,H:H,0)</f>
        <v>2326</v>
      </c>
    </row>
    <row r="3225" spans="1:13">
      <c r="A3225" t="s">
        <v>48</v>
      </c>
      <c r="B3225" t="s">
        <v>7</v>
      </c>
      <c r="C3225" t="s">
        <v>60</v>
      </c>
      <c r="D3225" s="4">
        <v>45475</v>
      </c>
      <c r="E3225" s="5" t="str">
        <f>TEXT(D3225,"dd/mm/yyyy")</f>
        <v>02/07/2024</v>
      </c>
      <c r="F3225" s="4"/>
      <c r="G3225" s="5" t="str">
        <f>TEXT(E3225,"mm")</f>
        <v>02</v>
      </c>
      <c r="H3225" s="6">
        <v>1969.62</v>
      </c>
      <c r="I3225">
        <v>114</v>
      </c>
      <c r="L3225" t="str">
        <f t="shared" si="50"/>
        <v>Below Average</v>
      </c>
      <c r="M3225">
        <f>RANK(H3225,H:H,0)</f>
        <v>2641</v>
      </c>
    </row>
    <row r="3226" spans="1:13">
      <c r="A3226" t="s">
        <v>67</v>
      </c>
      <c r="B3226" t="s">
        <v>10</v>
      </c>
      <c r="C3226" t="s">
        <v>33</v>
      </c>
      <c r="D3226" s="3" t="s">
        <v>277</v>
      </c>
      <c r="E3226" s="5" t="str">
        <f>TEXT(D3226,"dd/mm/yyyy")</f>
        <v>30/05/2024</v>
      </c>
      <c r="G3226" s="5" t="str">
        <f>TEXT(E3226,"mm")</f>
        <v>30/05/2024</v>
      </c>
      <c r="H3226" s="6">
        <v>339.64</v>
      </c>
      <c r="I3226">
        <v>452</v>
      </c>
      <c r="L3226" t="str">
        <f t="shared" si="50"/>
        <v>Below Average</v>
      </c>
      <c r="M3226">
        <f>RANK(H3226,H:H,0)</f>
        <v>3176</v>
      </c>
    </row>
    <row r="3227" spans="1:13">
      <c r="A3227" t="s">
        <v>34</v>
      </c>
      <c r="B3227" t="s">
        <v>15</v>
      </c>
      <c r="C3227" t="s">
        <v>73</v>
      </c>
      <c r="D3227" s="3" t="s">
        <v>320</v>
      </c>
      <c r="E3227" s="5" t="str">
        <f>TEXT(D3227,"dd/mm/yyyy")</f>
        <v>25/04/2024</v>
      </c>
      <c r="G3227" s="5" t="str">
        <f>TEXT(E3227,"mm")</f>
        <v>25/04/2024</v>
      </c>
      <c r="H3227" s="6">
        <v>8818.17</v>
      </c>
      <c r="I3227">
        <v>29</v>
      </c>
      <c r="L3227" t="str">
        <f t="shared" si="50"/>
        <v>Above Average</v>
      </c>
      <c r="M3227">
        <f>RANK(H3227,H:H,0)</f>
        <v>777</v>
      </c>
    </row>
    <row r="3228" spans="1:13">
      <c r="A3228" t="s">
        <v>41</v>
      </c>
      <c r="B3228" t="s">
        <v>35</v>
      </c>
      <c r="C3228" t="s">
        <v>11</v>
      </c>
      <c r="D3228" s="3" t="s">
        <v>274</v>
      </c>
      <c r="E3228" s="5" t="str">
        <f>TEXT(D3228,"dd/mm/yyyy")</f>
        <v>16/02/2024</v>
      </c>
      <c r="G3228" s="5" t="str">
        <f>TEXT(E3228,"mm")</f>
        <v>16/02/2024</v>
      </c>
      <c r="H3228" s="6">
        <v>6829.86</v>
      </c>
      <c r="I3228">
        <v>46</v>
      </c>
      <c r="L3228" t="str">
        <f t="shared" si="50"/>
        <v>Above Average</v>
      </c>
      <c r="M3228">
        <f>RANK(H3228,H:H,0)</f>
        <v>1229</v>
      </c>
    </row>
    <row r="3229" spans="1:13">
      <c r="A3229" t="s">
        <v>70</v>
      </c>
      <c r="B3229" t="s">
        <v>15</v>
      </c>
      <c r="C3229" t="s">
        <v>38</v>
      </c>
      <c r="D3229" s="4">
        <v>45387</v>
      </c>
      <c r="E3229" s="5" t="str">
        <f>TEXT(D3229,"dd/mm/yyyy")</f>
        <v>05/04/2024</v>
      </c>
      <c r="F3229" s="4"/>
      <c r="G3229" s="5" t="str">
        <f>TEXT(E3229,"mm")</f>
        <v>05</v>
      </c>
      <c r="H3229" s="6">
        <v>1370.19</v>
      </c>
      <c r="I3229">
        <v>58</v>
      </c>
      <c r="L3229" t="str">
        <f t="shared" si="50"/>
        <v>Below Average</v>
      </c>
      <c r="M3229">
        <f>RANK(H3229,H:H,0)</f>
        <v>2853</v>
      </c>
    </row>
    <row r="3230" spans="1:13">
      <c r="A3230" t="s">
        <v>9</v>
      </c>
      <c r="B3230" t="s">
        <v>35</v>
      </c>
      <c r="C3230" t="s">
        <v>100</v>
      </c>
      <c r="D3230" s="4">
        <v>45328</v>
      </c>
      <c r="E3230" s="5" t="str">
        <f>TEXT(D3230,"dd/mm/yyyy")</f>
        <v>06/02/2024</v>
      </c>
      <c r="F3230" s="4"/>
      <c r="G3230" s="5" t="str">
        <f>TEXT(E3230,"mm")</f>
        <v>06</v>
      </c>
      <c r="H3230" s="6">
        <v>7731.47</v>
      </c>
      <c r="I3230">
        <v>77</v>
      </c>
      <c r="L3230" t="str">
        <f t="shared" si="50"/>
        <v>Above Average</v>
      </c>
      <c r="M3230">
        <f>RANK(H3230,H:H,0)</f>
        <v>1003</v>
      </c>
    </row>
    <row r="3231" spans="1:13">
      <c r="A3231" t="s">
        <v>58</v>
      </c>
      <c r="B3231" t="s">
        <v>32</v>
      </c>
      <c r="C3231" t="s">
        <v>90</v>
      </c>
      <c r="D3231" s="4">
        <v>45603</v>
      </c>
      <c r="E3231" s="5" t="str">
        <f>TEXT(D3231,"dd/mm/yyyy")</f>
        <v>07/11/2024</v>
      </c>
      <c r="F3231" s="4"/>
      <c r="G3231" s="5" t="str">
        <f>TEXT(E3231,"mm")</f>
        <v>07</v>
      </c>
      <c r="H3231" s="6">
        <v>2757.16</v>
      </c>
      <c r="I3231">
        <v>463</v>
      </c>
      <c r="L3231" t="str">
        <f t="shared" si="50"/>
        <v>Below Average</v>
      </c>
      <c r="M3231">
        <f>RANK(H3231,H:H,0)</f>
        <v>2389</v>
      </c>
    </row>
    <row r="3232" spans="1:13">
      <c r="A3232" t="s">
        <v>41</v>
      </c>
      <c r="B3232" t="s">
        <v>25</v>
      </c>
      <c r="C3232" t="s">
        <v>50</v>
      </c>
      <c r="D3232" s="4">
        <v>45479</v>
      </c>
      <c r="E3232" s="5" t="str">
        <f>TEXT(D3232,"dd/mm/yyyy")</f>
        <v>06/07/2024</v>
      </c>
      <c r="F3232" s="4"/>
      <c r="G3232" s="5" t="str">
        <f>TEXT(E3232,"mm")</f>
        <v>06</v>
      </c>
      <c r="H3232" s="6">
        <v>70.19</v>
      </c>
      <c r="I3232">
        <v>63</v>
      </c>
      <c r="L3232" t="str">
        <f t="shared" si="50"/>
        <v>Below Average</v>
      </c>
      <c r="M3232">
        <f>RANK(H3232,H:H,0)</f>
        <v>3259</v>
      </c>
    </row>
    <row r="3233" spans="1:13">
      <c r="A3233" t="s">
        <v>14</v>
      </c>
      <c r="B3233" t="s">
        <v>7</v>
      </c>
      <c r="C3233" t="s">
        <v>65</v>
      </c>
      <c r="D3233" s="4">
        <v>45450</v>
      </c>
      <c r="E3233" s="5" t="str">
        <f>TEXT(D3233,"dd/mm/yyyy")</f>
        <v>07/06/2024</v>
      </c>
      <c r="F3233" s="4"/>
      <c r="G3233" s="5" t="str">
        <f>TEXT(E3233,"mm")</f>
        <v>07</v>
      </c>
      <c r="H3233" s="6">
        <v>10817.45</v>
      </c>
      <c r="I3233">
        <v>151</v>
      </c>
      <c r="L3233" t="str">
        <f t="shared" si="50"/>
        <v>Above Average</v>
      </c>
      <c r="M3233">
        <f>RANK(H3233,H:H,0)</f>
        <v>469</v>
      </c>
    </row>
    <row r="3234" spans="1:13">
      <c r="A3234" t="s">
        <v>53</v>
      </c>
      <c r="B3234" t="s">
        <v>10</v>
      </c>
      <c r="C3234" t="s">
        <v>73</v>
      </c>
      <c r="D3234" s="3" t="s">
        <v>280</v>
      </c>
      <c r="E3234" s="5" t="str">
        <f>TEXT(D3234,"dd/mm/yyyy")</f>
        <v>15/06/2024</v>
      </c>
      <c r="G3234" s="5" t="str">
        <f>TEXT(E3234,"mm")</f>
        <v>15/06/2024</v>
      </c>
      <c r="H3234" s="6">
        <v>11595.41</v>
      </c>
      <c r="I3234">
        <v>153</v>
      </c>
      <c r="L3234" t="str">
        <f t="shared" si="50"/>
        <v>Above Average</v>
      </c>
      <c r="M3234">
        <f>RANK(H3234,H:H,0)</f>
        <v>387</v>
      </c>
    </row>
    <row r="3235" spans="1:13">
      <c r="A3235" t="s">
        <v>79</v>
      </c>
      <c r="B3235" t="s">
        <v>10</v>
      </c>
      <c r="C3235" t="s">
        <v>8</v>
      </c>
      <c r="D3235" s="3" t="s">
        <v>298</v>
      </c>
      <c r="E3235" s="5" t="str">
        <f>TEXT(D3235,"dd/mm/yyyy")</f>
        <v>14/04/2024</v>
      </c>
      <c r="G3235" s="5" t="str">
        <f>TEXT(E3235,"mm")</f>
        <v>14/04/2024</v>
      </c>
      <c r="H3235" s="6">
        <v>1375.22</v>
      </c>
      <c r="I3235">
        <v>231</v>
      </c>
      <c r="L3235" t="str">
        <f t="shared" si="50"/>
        <v>Below Average</v>
      </c>
      <c r="M3235">
        <f>RANK(H3235,H:H,0)</f>
        <v>2849</v>
      </c>
    </row>
    <row r="3236" spans="1:13">
      <c r="A3236" t="s">
        <v>71</v>
      </c>
      <c r="B3236" t="s">
        <v>10</v>
      </c>
      <c r="C3236" t="s">
        <v>38</v>
      </c>
      <c r="D3236" s="4">
        <v>45512</v>
      </c>
      <c r="E3236" s="5" t="str">
        <f>TEXT(D3236,"dd/mm/yyyy")</f>
        <v>08/08/2024</v>
      </c>
      <c r="F3236" s="4"/>
      <c r="G3236" s="5" t="str">
        <f>TEXT(E3236,"mm")</f>
        <v>08</v>
      </c>
      <c r="H3236" s="6">
        <v>503.52</v>
      </c>
      <c r="I3236">
        <v>167</v>
      </c>
      <c r="L3236" t="str">
        <f t="shared" si="50"/>
        <v>Below Average</v>
      </c>
      <c r="M3236">
        <f>RANK(H3236,H:H,0)</f>
        <v>3126</v>
      </c>
    </row>
    <row r="3237" spans="1:13">
      <c r="A3237" t="s">
        <v>40</v>
      </c>
      <c r="B3237" t="s">
        <v>7</v>
      </c>
      <c r="C3237" t="s">
        <v>38</v>
      </c>
      <c r="D3237" s="3" t="s">
        <v>324</v>
      </c>
      <c r="E3237" s="5" t="str">
        <f>TEXT(D3237,"dd/mm/yyyy")</f>
        <v>29/03/2024</v>
      </c>
      <c r="G3237" s="5" t="str">
        <f>TEXT(E3237,"mm")</f>
        <v>29/03/2024</v>
      </c>
      <c r="H3237" s="6">
        <v>1135.1600000000001</v>
      </c>
      <c r="I3237">
        <v>27</v>
      </c>
      <c r="L3237" t="str">
        <f t="shared" si="50"/>
        <v>Below Average</v>
      </c>
      <c r="M3237">
        <f>RANK(H3237,H:H,0)</f>
        <v>2924</v>
      </c>
    </row>
    <row r="3238" spans="1:13">
      <c r="A3238" t="s">
        <v>45</v>
      </c>
      <c r="B3238" t="s">
        <v>15</v>
      </c>
      <c r="C3238" t="s">
        <v>42</v>
      </c>
      <c r="D3238" s="4">
        <v>45389</v>
      </c>
      <c r="E3238" s="5" t="str">
        <f>TEXT(D3238,"dd/mm/yyyy")</f>
        <v>07/04/2024</v>
      </c>
      <c r="F3238" s="4"/>
      <c r="G3238" s="5" t="str">
        <f>TEXT(E3238,"mm")</f>
        <v>07</v>
      </c>
      <c r="H3238" s="6">
        <v>4375.45</v>
      </c>
      <c r="I3238">
        <v>79</v>
      </c>
      <c r="L3238" t="str">
        <f t="shared" si="50"/>
        <v>Below Average</v>
      </c>
      <c r="M3238">
        <f>RANK(H3238,H:H,0)</f>
        <v>1883</v>
      </c>
    </row>
    <row r="3239" spans="1:13">
      <c r="A3239" t="s">
        <v>83</v>
      </c>
      <c r="B3239" t="s">
        <v>10</v>
      </c>
      <c r="C3239" t="s">
        <v>20</v>
      </c>
      <c r="D3239" s="3" t="s">
        <v>274</v>
      </c>
      <c r="E3239" s="5" t="str">
        <f>TEXT(D3239,"dd/mm/yyyy")</f>
        <v>16/02/2024</v>
      </c>
      <c r="G3239" s="5" t="str">
        <f>TEXT(E3239,"mm")</f>
        <v>16/02/2024</v>
      </c>
      <c r="H3239" s="6">
        <v>536.74</v>
      </c>
      <c r="I3239">
        <v>102</v>
      </c>
      <c r="L3239" t="str">
        <f t="shared" si="50"/>
        <v>Below Average</v>
      </c>
      <c r="M3239">
        <f>RANK(H3239,H:H,0)</f>
        <v>3117</v>
      </c>
    </row>
    <row r="3240" spans="1:13">
      <c r="A3240" t="s">
        <v>29</v>
      </c>
      <c r="B3240" t="s">
        <v>35</v>
      </c>
      <c r="C3240" t="s">
        <v>50</v>
      </c>
      <c r="D3240" s="4">
        <v>45327</v>
      </c>
      <c r="E3240" s="5" t="str">
        <f>TEXT(D3240,"dd/mm/yyyy")</f>
        <v>05/02/2024</v>
      </c>
      <c r="F3240" s="4"/>
      <c r="G3240" s="5" t="str">
        <f>TEXT(E3240,"mm")</f>
        <v>05</v>
      </c>
      <c r="H3240" s="6">
        <v>2702.08</v>
      </c>
      <c r="I3240">
        <v>164</v>
      </c>
      <c r="L3240" t="str">
        <f t="shared" si="50"/>
        <v>Below Average</v>
      </c>
      <c r="M3240">
        <f>RANK(H3240,H:H,0)</f>
        <v>2403</v>
      </c>
    </row>
    <row r="3241" spans="1:13">
      <c r="A3241" t="s">
        <v>9</v>
      </c>
      <c r="B3241" t="s">
        <v>10</v>
      </c>
      <c r="C3241" t="s">
        <v>36</v>
      </c>
      <c r="D3241" s="3" t="s">
        <v>347</v>
      </c>
      <c r="E3241" s="5" t="str">
        <f>TEXT(D3241,"dd/mm/yyyy")</f>
        <v>21/07/2024</v>
      </c>
      <c r="G3241" s="5" t="str">
        <f>TEXT(E3241,"mm")</f>
        <v>21/07/2024</v>
      </c>
      <c r="H3241" s="6">
        <v>11064.27</v>
      </c>
      <c r="I3241">
        <v>104</v>
      </c>
      <c r="L3241" t="str">
        <f t="shared" si="50"/>
        <v>Above Average</v>
      </c>
      <c r="M3241">
        <f>RANK(H3241,H:H,0)</f>
        <v>434</v>
      </c>
    </row>
    <row r="3242" spans="1:13">
      <c r="A3242" t="s">
        <v>22</v>
      </c>
      <c r="B3242" t="s">
        <v>15</v>
      </c>
      <c r="C3242" t="s">
        <v>20</v>
      </c>
      <c r="D3242" s="3" t="s">
        <v>304</v>
      </c>
      <c r="E3242" s="5" t="str">
        <f>TEXT(D3242,"dd/mm/yyyy")</f>
        <v>18/08/2024</v>
      </c>
      <c r="G3242" s="5" t="str">
        <f>TEXT(E3242,"mm")</f>
        <v>18/08/2024</v>
      </c>
      <c r="H3242" s="6">
        <v>8861.83</v>
      </c>
      <c r="I3242">
        <v>226</v>
      </c>
      <c r="L3242" t="str">
        <f t="shared" si="50"/>
        <v>Above Average</v>
      </c>
      <c r="M3242">
        <f>RANK(H3242,H:H,0)</f>
        <v>766</v>
      </c>
    </row>
    <row r="3243" spans="1:13">
      <c r="A3243" t="s">
        <v>55</v>
      </c>
      <c r="B3243" t="s">
        <v>32</v>
      </c>
      <c r="C3243" t="s">
        <v>11</v>
      </c>
      <c r="D3243" s="3" t="s">
        <v>353</v>
      </c>
      <c r="E3243" s="5" t="str">
        <f>TEXT(D3243,"dd/mm/yyyy")</f>
        <v>22/06/2024</v>
      </c>
      <c r="G3243" s="5" t="str">
        <f>TEXT(E3243,"mm")</f>
        <v>22/06/2024</v>
      </c>
      <c r="H3243" s="6">
        <v>564.66999999999996</v>
      </c>
      <c r="I3243">
        <v>256</v>
      </c>
      <c r="L3243" t="str">
        <f t="shared" si="50"/>
        <v>Below Average</v>
      </c>
      <c r="M3243">
        <f>RANK(H3243,H:H,0)</f>
        <v>3109</v>
      </c>
    </row>
    <row r="3244" spans="1:13">
      <c r="A3244" t="s">
        <v>71</v>
      </c>
      <c r="B3244" t="s">
        <v>7</v>
      </c>
      <c r="C3244" t="s">
        <v>13</v>
      </c>
      <c r="D3244" s="3" t="s">
        <v>290</v>
      </c>
      <c r="E3244" s="5" t="str">
        <f>TEXT(D3244,"dd/mm/yyyy")</f>
        <v>19/07/2024</v>
      </c>
      <c r="G3244" s="5" t="str">
        <f>TEXT(E3244,"mm")</f>
        <v>19/07/2024</v>
      </c>
      <c r="H3244" s="6">
        <v>5267.69</v>
      </c>
      <c r="I3244">
        <v>120</v>
      </c>
      <c r="L3244" t="str">
        <f t="shared" si="50"/>
        <v>Below Average</v>
      </c>
      <c r="M3244">
        <f>RANK(H3244,H:H,0)</f>
        <v>1627</v>
      </c>
    </row>
    <row r="3245" spans="1:13">
      <c r="A3245" t="s">
        <v>77</v>
      </c>
      <c r="B3245" t="s">
        <v>7</v>
      </c>
      <c r="C3245" t="s">
        <v>13</v>
      </c>
      <c r="D3245" s="4">
        <v>45634</v>
      </c>
      <c r="E3245" s="5" t="str">
        <f>TEXT(D3245,"dd/mm/yyyy")</f>
        <v>08/12/2024</v>
      </c>
      <c r="F3245" s="4"/>
      <c r="G3245" s="5" t="str">
        <f>TEXT(E3245,"mm")</f>
        <v>08</v>
      </c>
      <c r="H3245" s="6">
        <v>8698.4699999999993</v>
      </c>
      <c r="I3245">
        <v>89</v>
      </c>
      <c r="L3245" t="str">
        <f t="shared" si="50"/>
        <v>Above Average</v>
      </c>
      <c r="M3245">
        <f>RANK(H3245,H:H,0)</f>
        <v>797</v>
      </c>
    </row>
    <row r="3246" spans="1:13">
      <c r="A3246" t="s">
        <v>77</v>
      </c>
      <c r="B3246" t="s">
        <v>32</v>
      </c>
      <c r="C3246" t="s">
        <v>75</v>
      </c>
      <c r="D3246" s="4">
        <v>45479</v>
      </c>
      <c r="E3246" s="5" t="str">
        <f>TEXT(D3246,"dd/mm/yyyy")</f>
        <v>06/07/2024</v>
      </c>
      <c r="F3246" s="4"/>
      <c r="G3246" s="5" t="str">
        <f>TEXT(E3246,"mm")</f>
        <v>06</v>
      </c>
      <c r="H3246" s="6">
        <v>6025.6</v>
      </c>
      <c r="I3246">
        <v>137</v>
      </c>
      <c r="L3246" t="str">
        <f t="shared" si="50"/>
        <v>Below Average</v>
      </c>
      <c r="M3246">
        <f>RANK(H3246,H:H,0)</f>
        <v>1429</v>
      </c>
    </row>
    <row r="3247" spans="1:13">
      <c r="A3247" t="s">
        <v>40</v>
      </c>
      <c r="B3247" t="s">
        <v>35</v>
      </c>
      <c r="C3247" t="s">
        <v>13</v>
      </c>
      <c r="D3247" s="4">
        <v>45507</v>
      </c>
      <c r="E3247" s="5" t="str">
        <f>TEXT(D3247,"dd/mm/yyyy")</f>
        <v>03/08/2024</v>
      </c>
      <c r="F3247" s="4"/>
      <c r="G3247" s="5" t="str">
        <f>TEXT(E3247,"mm")</f>
        <v>03</v>
      </c>
      <c r="H3247" s="6">
        <v>7032.54</v>
      </c>
      <c r="I3247">
        <v>87</v>
      </c>
      <c r="L3247" t="str">
        <f t="shared" si="50"/>
        <v>Above Average</v>
      </c>
      <c r="M3247">
        <f>RANK(H3247,H:H,0)</f>
        <v>1172</v>
      </c>
    </row>
    <row r="3248" spans="1:13">
      <c r="A3248" t="s">
        <v>83</v>
      </c>
      <c r="B3248" t="s">
        <v>15</v>
      </c>
      <c r="C3248" t="s">
        <v>75</v>
      </c>
      <c r="D3248" s="4">
        <v>45508</v>
      </c>
      <c r="E3248" s="5" t="str">
        <f>TEXT(D3248,"dd/mm/yyyy")</f>
        <v>04/08/2024</v>
      </c>
      <c r="F3248" s="4"/>
      <c r="G3248" s="5" t="str">
        <f>TEXT(E3248,"mm")</f>
        <v>04</v>
      </c>
      <c r="H3248" s="6">
        <v>1572.79</v>
      </c>
      <c r="I3248">
        <v>176</v>
      </c>
      <c r="L3248" t="str">
        <f t="shared" si="50"/>
        <v>Below Average</v>
      </c>
      <c r="M3248">
        <f>RANK(H3248,H:H,0)</f>
        <v>2782</v>
      </c>
    </row>
    <row r="3249" spans="1:13">
      <c r="A3249" t="s">
        <v>48</v>
      </c>
      <c r="B3249" t="s">
        <v>35</v>
      </c>
      <c r="C3249" t="s">
        <v>36</v>
      </c>
      <c r="D3249" s="4">
        <v>45448</v>
      </c>
      <c r="E3249" s="5" t="str">
        <f>TEXT(D3249,"dd/mm/yyyy")</f>
        <v>05/06/2024</v>
      </c>
      <c r="F3249" s="4"/>
      <c r="G3249" s="5" t="str">
        <f>TEXT(E3249,"mm")</f>
        <v>05</v>
      </c>
      <c r="H3249" s="6">
        <v>857.34</v>
      </c>
      <c r="I3249">
        <v>197</v>
      </c>
      <c r="L3249" t="str">
        <f t="shared" si="50"/>
        <v>Below Average</v>
      </c>
      <c r="M3249">
        <f>RANK(H3249,H:H,0)</f>
        <v>3014</v>
      </c>
    </row>
    <row r="3250" spans="1:13">
      <c r="A3250" t="s">
        <v>45</v>
      </c>
      <c r="B3250" t="s">
        <v>10</v>
      </c>
      <c r="C3250" t="s">
        <v>38</v>
      </c>
      <c r="D3250" s="3" t="s">
        <v>332</v>
      </c>
      <c r="E3250" s="5" t="str">
        <f>TEXT(D3250,"dd/mm/yyyy")</f>
        <v>31/05/2024</v>
      </c>
      <c r="G3250" s="5" t="str">
        <f>TEXT(E3250,"mm")</f>
        <v>31/05/2024</v>
      </c>
      <c r="H3250" s="6">
        <v>4899.47</v>
      </c>
      <c r="I3250">
        <v>11</v>
      </c>
      <c r="L3250" t="str">
        <f t="shared" si="50"/>
        <v>Below Average</v>
      </c>
      <c r="M3250">
        <f>RANK(H3250,H:H,0)</f>
        <v>1733</v>
      </c>
    </row>
    <row r="3251" spans="1:13">
      <c r="A3251" t="s">
        <v>9</v>
      </c>
      <c r="B3251" t="s">
        <v>15</v>
      </c>
      <c r="C3251" t="s">
        <v>8</v>
      </c>
      <c r="D3251" s="3" t="s">
        <v>270</v>
      </c>
      <c r="E3251" s="5" t="str">
        <f>TEXT(D3251,"dd/mm/yyyy")</f>
        <v>13/01/2024</v>
      </c>
      <c r="G3251" s="5" t="str">
        <f>TEXT(E3251,"mm")</f>
        <v>13/01/2024</v>
      </c>
      <c r="H3251" s="6">
        <v>2924.06</v>
      </c>
      <c r="I3251">
        <v>295</v>
      </c>
      <c r="L3251" t="str">
        <f t="shared" si="50"/>
        <v>Below Average</v>
      </c>
      <c r="M3251">
        <f>RANK(H3251,H:H,0)</f>
        <v>2337</v>
      </c>
    </row>
    <row r="3252" spans="1:13">
      <c r="A3252" t="s">
        <v>58</v>
      </c>
      <c r="B3252" t="s">
        <v>32</v>
      </c>
      <c r="C3252" t="s">
        <v>100</v>
      </c>
      <c r="D3252" s="3" t="s">
        <v>337</v>
      </c>
      <c r="E3252" s="5" t="str">
        <f>TEXT(D3252,"dd/mm/yyyy")</f>
        <v>15/03/2024</v>
      </c>
      <c r="G3252" s="5" t="str">
        <f>TEXT(E3252,"mm")</f>
        <v>15/03/2024</v>
      </c>
      <c r="H3252" s="6">
        <v>730.06</v>
      </c>
      <c r="I3252">
        <v>78</v>
      </c>
      <c r="L3252" t="str">
        <f t="shared" si="50"/>
        <v>Below Average</v>
      </c>
      <c r="M3252">
        <f>RANK(H3252,H:H,0)</f>
        <v>3051</v>
      </c>
    </row>
    <row r="3253" spans="1:13">
      <c r="A3253" t="s">
        <v>67</v>
      </c>
      <c r="B3253" t="s">
        <v>35</v>
      </c>
      <c r="C3253" t="s">
        <v>13</v>
      </c>
      <c r="D3253" s="3" t="s">
        <v>274</v>
      </c>
      <c r="E3253" s="5" t="str">
        <f>TEXT(D3253,"dd/mm/yyyy")</f>
        <v>16/02/2024</v>
      </c>
      <c r="G3253" s="5" t="str">
        <f>TEXT(E3253,"mm")</f>
        <v>16/02/2024</v>
      </c>
      <c r="H3253" s="6">
        <v>1348.05</v>
      </c>
      <c r="I3253">
        <v>332</v>
      </c>
      <c r="L3253" t="str">
        <f t="shared" si="50"/>
        <v>Below Average</v>
      </c>
      <c r="M3253">
        <f>RANK(H3253,H:H,0)</f>
        <v>2862</v>
      </c>
    </row>
    <row r="3254" spans="1:13">
      <c r="A3254" t="s">
        <v>12</v>
      </c>
      <c r="B3254" t="s">
        <v>32</v>
      </c>
      <c r="C3254" t="s">
        <v>100</v>
      </c>
      <c r="D3254" s="3" t="s">
        <v>328</v>
      </c>
      <c r="E3254" s="5" t="str">
        <f>TEXT(D3254,"dd/mm/yyyy")</f>
        <v>14/01/2024</v>
      </c>
      <c r="G3254" s="5" t="str">
        <f>TEXT(E3254,"mm")</f>
        <v>14/01/2024</v>
      </c>
      <c r="H3254" s="6">
        <v>8561.59</v>
      </c>
      <c r="I3254">
        <v>204</v>
      </c>
      <c r="L3254" t="str">
        <f t="shared" si="50"/>
        <v>Above Average</v>
      </c>
      <c r="M3254">
        <f>RANK(H3254,H:H,0)</f>
        <v>820</v>
      </c>
    </row>
    <row r="3255" spans="1:13">
      <c r="A3255" t="s">
        <v>29</v>
      </c>
      <c r="B3255" t="s">
        <v>15</v>
      </c>
      <c r="C3255" t="s">
        <v>59</v>
      </c>
      <c r="D3255" s="3" t="s">
        <v>354</v>
      </c>
      <c r="E3255" s="5" t="str">
        <f>TEXT(D3255,"dd/mm/yyyy")</f>
        <v>21/03/2024</v>
      </c>
      <c r="G3255" s="5" t="str">
        <f>TEXT(E3255,"mm")</f>
        <v>21/03/2024</v>
      </c>
      <c r="H3255" s="6">
        <v>7326.91</v>
      </c>
      <c r="I3255">
        <v>102</v>
      </c>
      <c r="L3255" t="str">
        <f t="shared" si="50"/>
        <v>Above Average</v>
      </c>
      <c r="M3255">
        <f>RANK(H3255,H:H,0)</f>
        <v>1103</v>
      </c>
    </row>
    <row r="3256" spans="1:13">
      <c r="A3256" t="s">
        <v>45</v>
      </c>
      <c r="B3256" t="s">
        <v>35</v>
      </c>
      <c r="C3256" t="s">
        <v>38</v>
      </c>
      <c r="D3256" s="3" t="s">
        <v>350</v>
      </c>
      <c r="E3256" s="5" t="str">
        <f>TEXT(D3256,"dd/mm/yyyy")</f>
        <v>17/05/2024</v>
      </c>
      <c r="G3256" s="5" t="str">
        <f>TEXT(E3256,"mm")</f>
        <v>17/05/2024</v>
      </c>
      <c r="H3256" s="6">
        <v>8196.93</v>
      </c>
      <c r="I3256">
        <v>340</v>
      </c>
      <c r="L3256" t="str">
        <f t="shared" si="50"/>
        <v>Above Average</v>
      </c>
      <c r="M3256">
        <f>RANK(H3256,H:H,0)</f>
        <v>894</v>
      </c>
    </row>
    <row r="3257" spans="1:13">
      <c r="A3257" t="s">
        <v>71</v>
      </c>
      <c r="B3257" t="s">
        <v>25</v>
      </c>
      <c r="C3257" t="s">
        <v>11</v>
      </c>
      <c r="D3257" s="4">
        <v>45512</v>
      </c>
      <c r="E3257" s="5" t="str">
        <f>TEXT(D3257,"dd/mm/yyyy")</f>
        <v>08/08/2024</v>
      </c>
      <c r="F3257" s="4"/>
      <c r="G3257" s="5" t="str">
        <f>TEXT(E3257,"mm")</f>
        <v>08</v>
      </c>
      <c r="H3257" s="6">
        <v>17841.919999999998</v>
      </c>
      <c r="I3257">
        <v>53</v>
      </c>
      <c r="L3257" t="str">
        <f t="shared" si="50"/>
        <v>Above Average</v>
      </c>
      <c r="M3257">
        <f>RANK(H3257,H:H,0)</f>
        <v>44</v>
      </c>
    </row>
    <row r="3258" spans="1:13">
      <c r="A3258" t="s">
        <v>77</v>
      </c>
      <c r="B3258" t="s">
        <v>35</v>
      </c>
      <c r="C3258" t="s">
        <v>46</v>
      </c>
      <c r="D3258" s="3" t="s">
        <v>357</v>
      </c>
      <c r="E3258" s="5" t="str">
        <f>TEXT(D3258,"dd/mm/yyyy")</f>
        <v>26/04/2024</v>
      </c>
      <c r="G3258" s="5" t="str">
        <f>TEXT(E3258,"mm")</f>
        <v>26/04/2024</v>
      </c>
      <c r="H3258" s="6">
        <v>4285.13</v>
      </c>
      <c r="I3258">
        <v>87</v>
      </c>
      <c r="L3258" t="str">
        <f t="shared" si="50"/>
        <v>Below Average</v>
      </c>
      <c r="M3258">
        <f>RANK(H3258,H:H,0)</f>
        <v>1905</v>
      </c>
    </row>
    <row r="3259" spans="1:13">
      <c r="A3259" t="s">
        <v>77</v>
      </c>
      <c r="B3259" t="s">
        <v>15</v>
      </c>
      <c r="C3259" t="s">
        <v>100</v>
      </c>
      <c r="D3259" s="3" t="s">
        <v>287</v>
      </c>
      <c r="E3259" s="5" t="str">
        <f>TEXT(D3259,"dd/mm/yyyy")</f>
        <v>15/04/2024</v>
      </c>
      <c r="G3259" s="5" t="str">
        <f>TEXT(E3259,"mm")</f>
        <v>15/04/2024</v>
      </c>
      <c r="H3259" s="6">
        <v>4196.2299999999996</v>
      </c>
      <c r="I3259">
        <v>256</v>
      </c>
      <c r="L3259" t="str">
        <f t="shared" si="50"/>
        <v>Below Average</v>
      </c>
      <c r="M3259">
        <f>RANK(H3259,H:H,0)</f>
        <v>1929</v>
      </c>
    </row>
    <row r="3260" spans="1:13">
      <c r="A3260" t="s">
        <v>19</v>
      </c>
      <c r="B3260" t="s">
        <v>35</v>
      </c>
      <c r="C3260" t="s">
        <v>36</v>
      </c>
      <c r="D3260" s="3" t="s">
        <v>286</v>
      </c>
      <c r="E3260" s="5" t="str">
        <f>TEXT(D3260,"dd/mm/yyyy")</f>
        <v>19/05/2024</v>
      </c>
      <c r="G3260" s="5" t="str">
        <f>TEXT(E3260,"mm")</f>
        <v>19/05/2024</v>
      </c>
      <c r="H3260" s="6">
        <v>6409.31</v>
      </c>
      <c r="I3260">
        <v>621</v>
      </c>
      <c r="L3260" t="str">
        <f t="shared" si="50"/>
        <v>Above Average</v>
      </c>
      <c r="M3260">
        <f>RANK(H3260,H:H,0)</f>
        <v>1331</v>
      </c>
    </row>
    <row r="3261" spans="1:13">
      <c r="A3261" t="s">
        <v>58</v>
      </c>
      <c r="B3261" t="s">
        <v>35</v>
      </c>
      <c r="C3261" t="s">
        <v>38</v>
      </c>
      <c r="D3261" s="4">
        <v>45566</v>
      </c>
      <c r="E3261" s="5" t="str">
        <f>TEXT(D3261,"dd/mm/yyyy")</f>
        <v>01/10/2024</v>
      </c>
      <c r="F3261" s="4"/>
      <c r="G3261" s="5" t="str">
        <f>TEXT(E3261,"mm")</f>
        <v>01</v>
      </c>
      <c r="H3261" s="6">
        <v>3010.07</v>
      </c>
      <c r="I3261">
        <v>24</v>
      </c>
      <c r="L3261" t="str">
        <f t="shared" si="50"/>
        <v>Below Average</v>
      </c>
      <c r="M3261">
        <f>RANK(H3261,H:H,0)</f>
        <v>2303</v>
      </c>
    </row>
    <row r="3262" spans="1:13">
      <c r="A3262" t="s">
        <v>34</v>
      </c>
      <c r="B3262" t="s">
        <v>25</v>
      </c>
      <c r="C3262" t="s">
        <v>23</v>
      </c>
      <c r="D3262" s="4">
        <v>45387</v>
      </c>
      <c r="E3262" s="5" t="str">
        <f>TEXT(D3262,"dd/mm/yyyy")</f>
        <v>05/04/2024</v>
      </c>
      <c r="F3262" s="4"/>
      <c r="G3262" s="5" t="str">
        <f>TEXT(E3262,"mm")</f>
        <v>05</v>
      </c>
      <c r="H3262" s="6">
        <v>567.91</v>
      </c>
      <c r="I3262">
        <v>225</v>
      </c>
      <c r="L3262" t="str">
        <f t="shared" si="50"/>
        <v>Below Average</v>
      </c>
      <c r="M3262">
        <f>RANK(H3262,H:H,0)</f>
        <v>3108</v>
      </c>
    </row>
    <row r="3263" spans="1:13">
      <c r="A3263" t="s">
        <v>45</v>
      </c>
      <c r="B3263" t="s">
        <v>35</v>
      </c>
      <c r="C3263" t="s">
        <v>59</v>
      </c>
      <c r="D3263" s="4">
        <v>45416</v>
      </c>
      <c r="E3263" s="5" t="str">
        <f>TEXT(D3263,"dd/mm/yyyy")</f>
        <v>04/05/2024</v>
      </c>
      <c r="F3263" s="4"/>
      <c r="G3263" s="5" t="str">
        <f>TEXT(E3263,"mm")</f>
        <v>04</v>
      </c>
      <c r="H3263" s="6">
        <v>6948.79</v>
      </c>
      <c r="I3263">
        <v>292</v>
      </c>
      <c r="L3263" t="str">
        <f t="shared" si="50"/>
        <v>Above Average</v>
      </c>
      <c r="M3263">
        <f>RANK(H3263,H:H,0)</f>
        <v>1196</v>
      </c>
    </row>
    <row r="3264" spans="1:13">
      <c r="A3264" t="s">
        <v>67</v>
      </c>
      <c r="B3264" t="s">
        <v>10</v>
      </c>
      <c r="C3264" t="s">
        <v>23</v>
      </c>
      <c r="D3264" s="3" t="s">
        <v>358</v>
      </c>
      <c r="E3264" s="5" t="str">
        <f>TEXT(D3264,"dd/mm/yyyy")</f>
        <v>17/01/2024</v>
      </c>
      <c r="G3264" s="5" t="str">
        <f>TEXT(E3264,"mm")</f>
        <v>17/01/2024</v>
      </c>
      <c r="H3264" s="6">
        <v>1009.28</v>
      </c>
      <c r="I3264">
        <v>69</v>
      </c>
      <c r="L3264" t="str">
        <f t="shared" si="50"/>
        <v>Below Average</v>
      </c>
      <c r="M3264">
        <f>RANK(H3264,H:H,0)</f>
        <v>2972</v>
      </c>
    </row>
    <row r="3265" spans="1:13">
      <c r="A3265" t="s">
        <v>45</v>
      </c>
      <c r="B3265" t="s">
        <v>10</v>
      </c>
      <c r="C3265" t="s">
        <v>50</v>
      </c>
      <c r="D3265" s="3" t="s">
        <v>345</v>
      </c>
      <c r="E3265" s="5" t="str">
        <f>TEXT(D3265,"dd/mm/yyyy")</f>
        <v>22/03/2024</v>
      </c>
      <c r="G3265" s="5" t="str">
        <f>TEXT(E3265,"mm")</f>
        <v>22/03/2024</v>
      </c>
      <c r="H3265" s="6">
        <v>12049.05</v>
      </c>
      <c r="I3265">
        <v>180</v>
      </c>
      <c r="L3265" t="str">
        <f t="shared" si="50"/>
        <v>Above Average</v>
      </c>
      <c r="M3265">
        <f>RANK(H3265,H:H,0)</f>
        <v>343</v>
      </c>
    </row>
    <row r="3266" spans="1:13">
      <c r="A3266" t="s">
        <v>79</v>
      </c>
      <c r="B3266" t="s">
        <v>15</v>
      </c>
      <c r="C3266" t="s">
        <v>59</v>
      </c>
      <c r="D3266" s="4">
        <v>45419</v>
      </c>
      <c r="E3266" s="5" t="str">
        <f>TEXT(D3266,"dd/mm/yyyy")</f>
        <v>07/05/2024</v>
      </c>
      <c r="F3266" s="4"/>
      <c r="G3266" s="5" t="str">
        <f>TEXT(E3266,"mm")</f>
        <v>07</v>
      </c>
      <c r="H3266" s="6">
        <v>6969.38</v>
      </c>
      <c r="I3266">
        <v>102</v>
      </c>
      <c r="L3266" t="str">
        <f t="shared" si="50"/>
        <v>Above Average</v>
      </c>
      <c r="M3266">
        <f>RANK(H3266,H:H,0)</f>
        <v>1193</v>
      </c>
    </row>
    <row r="3267" spans="1:13">
      <c r="A3267" t="s">
        <v>19</v>
      </c>
      <c r="B3267" t="s">
        <v>35</v>
      </c>
      <c r="C3267" t="s">
        <v>33</v>
      </c>
      <c r="D3267" s="3" t="s">
        <v>265</v>
      </c>
      <c r="E3267" s="5" t="str">
        <f>TEXT(D3267,"dd/mm/yyyy")</f>
        <v>27/04/2024</v>
      </c>
      <c r="G3267" s="5" t="str">
        <f>TEXT(E3267,"mm")</f>
        <v>27/04/2024</v>
      </c>
      <c r="H3267" s="6">
        <v>10257.74</v>
      </c>
      <c r="I3267">
        <v>328</v>
      </c>
      <c r="L3267" t="str">
        <f t="shared" ref="L3267:L3283" si="51">IF(H3267&gt;6030.34,"Above Average","Below Average")</f>
        <v>Above Average</v>
      </c>
      <c r="M3267">
        <f>RANK(H3267,H:H,0)</f>
        <v>542</v>
      </c>
    </row>
    <row r="3268" spans="1:13">
      <c r="A3268" t="s">
        <v>55</v>
      </c>
      <c r="B3268" t="s">
        <v>35</v>
      </c>
      <c r="C3268" t="s">
        <v>65</v>
      </c>
      <c r="D3268" s="4">
        <v>45634</v>
      </c>
      <c r="E3268" s="5" t="str">
        <f>TEXT(D3268,"dd/mm/yyyy")</f>
        <v>08/12/2024</v>
      </c>
      <c r="F3268" s="4"/>
      <c r="G3268" s="5" t="str">
        <f>TEXT(E3268,"mm")</f>
        <v>08</v>
      </c>
      <c r="H3268" s="6">
        <v>7220.35</v>
      </c>
      <c r="I3268">
        <v>71</v>
      </c>
      <c r="L3268" t="str">
        <f t="shared" si="51"/>
        <v>Above Average</v>
      </c>
      <c r="M3268">
        <f>RANK(H3268,H:H,0)</f>
        <v>1126</v>
      </c>
    </row>
    <row r="3269" spans="1:13">
      <c r="A3269" t="s">
        <v>14</v>
      </c>
      <c r="B3269" t="s">
        <v>7</v>
      </c>
      <c r="C3269" t="s">
        <v>87</v>
      </c>
      <c r="D3269" s="4">
        <v>45599</v>
      </c>
      <c r="E3269" s="5" t="str">
        <f>TEXT(D3269,"dd/mm/yyyy")</f>
        <v>03/11/2024</v>
      </c>
      <c r="F3269" s="4"/>
      <c r="G3269" s="5" t="str">
        <f>TEXT(E3269,"mm")</f>
        <v>03</v>
      </c>
      <c r="H3269" s="6">
        <v>783.35</v>
      </c>
      <c r="I3269">
        <v>273</v>
      </c>
      <c r="L3269" t="str">
        <f t="shared" si="51"/>
        <v>Below Average</v>
      </c>
      <c r="M3269">
        <f>RANK(H3269,H:H,0)</f>
        <v>3034</v>
      </c>
    </row>
    <row r="3270" spans="1:13">
      <c r="A3270" t="s">
        <v>6</v>
      </c>
      <c r="B3270" t="s">
        <v>7</v>
      </c>
      <c r="C3270" t="s">
        <v>57</v>
      </c>
      <c r="D3270" s="3" t="s">
        <v>336</v>
      </c>
      <c r="E3270" s="5" t="str">
        <f>TEXT(D3270,"dd/mm/yyyy")</f>
        <v>13/05/2024</v>
      </c>
      <c r="G3270" s="5" t="str">
        <f>TEXT(E3270,"mm")</f>
        <v>13/05/2024</v>
      </c>
      <c r="H3270" s="6">
        <v>9434.44</v>
      </c>
      <c r="I3270">
        <v>221</v>
      </c>
      <c r="L3270" t="str">
        <f t="shared" si="51"/>
        <v>Above Average</v>
      </c>
      <c r="M3270">
        <f>RANK(H3270,H:H,0)</f>
        <v>668</v>
      </c>
    </row>
    <row r="3271" spans="1:13">
      <c r="A3271" t="s">
        <v>58</v>
      </c>
      <c r="B3271" t="s">
        <v>32</v>
      </c>
      <c r="C3271" t="s">
        <v>18</v>
      </c>
      <c r="D3271" s="4">
        <v>45631</v>
      </c>
      <c r="E3271" s="5" t="str">
        <f>TEXT(D3271,"dd/mm/yyyy")</f>
        <v>05/12/2024</v>
      </c>
      <c r="F3271" s="4"/>
      <c r="G3271" s="5" t="str">
        <f>TEXT(E3271,"mm")</f>
        <v>05</v>
      </c>
      <c r="H3271" s="6">
        <v>12755.99</v>
      </c>
      <c r="I3271">
        <v>99</v>
      </c>
      <c r="L3271" t="str">
        <f t="shared" si="51"/>
        <v>Above Average</v>
      </c>
      <c r="M3271">
        <f>RANK(H3271,H:H,0)</f>
        <v>281</v>
      </c>
    </row>
    <row r="3272" spans="1:13">
      <c r="A3272" t="s">
        <v>28</v>
      </c>
      <c r="B3272" t="s">
        <v>32</v>
      </c>
      <c r="C3272" t="s">
        <v>73</v>
      </c>
      <c r="D3272" s="4">
        <v>45627</v>
      </c>
      <c r="E3272" s="5" t="str">
        <f>TEXT(D3272,"dd/mm/yyyy")</f>
        <v>01/12/2024</v>
      </c>
      <c r="F3272" s="4"/>
      <c r="G3272" s="5" t="str">
        <f>TEXT(E3272,"mm")</f>
        <v>01</v>
      </c>
      <c r="H3272" s="6">
        <v>807.26</v>
      </c>
      <c r="I3272">
        <v>198</v>
      </c>
      <c r="L3272" t="str">
        <f t="shared" si="51"/>
        <v>Below Average</v>
      </c>
      <c r="M3272">
        <f>RANK(H3272,H:H,0)</f>
        <v>3025</v>
      </c>
    </row>
    <row r="3273" spans="1:13">
      <c r="A3273" t="s">
        <v>77</v>
      </c>
      <c r="B3273" t="s">
        <v>25</v>
      </c>
      <c r="C3273" t="s">
        <v>46</v>
      </c>
      <c r="D3273" s="3" t="s">
        <v>324</v>
      </c>
      <c r="E3273" s="5" t="str">
        <f>TEXT(D3273,"dd/mm/yyyy")</f>
        <v>29/03/2024</v>
      </c>
      <c r="G3273" s="5" t="str">
        <f>TEXT(E3273,"mm")</f>
        <v>29/03/2024</v>
      </c>
      <c r="H3273" s="6">
        <v>13541.21</v>
      </c>
      <c r="I3273">
        <v>434</v>
      </c>
      <c r="L3273" t="str">
        <f t="shared" si="51"/>
        <v>Above Average</v>
      </c>
      <c r="M3273">
        <f>RANK(H3273,H:H,0)</f>
        <v>231</v>
      </c>
    </row>
    <row r="3274" spans="1:13">
      <c r="A3274" t="s">
        <v>45</v>
      </c>
      <c r="B3274" t="s">
        <v>10</v>
      </c>
      <c r="C3274" t="s">
        <v>26</v>
      </c>
      <c r="D3274" s="3" t="s">
        <v>278</v>
      </c>
      <c r="E3274" s="5" t="str">
        <f>TEXT(D3274,"dd/mm/yyyy")</f>
        <v>14/03/2024</v>
      </c>
      <c r="G3274" s="5" t="str">
        <f>TEXT(E3274,"mm")</f>
        <v>14/03/2024</v>
      </c>
      <c r="H3274" s="6">
        <v>9976.2199999999993</v>
      </c>
      <c r="I3274">
        <v>12</v>
      </c>
      <c r="L3274" t="str">
        <f t="shared" si="51"/>
        <v>Above Average</v>
      </c>
      <c r="M3274">
        <f>RANK(H3274,H:H,0)</f>
        <v>586</v>
      </c>
    </row>
    <row r="3275" spans="1:13">
      <c r="A3275" t="s">
        <v>31</v>
      </c>
      <c r="B3275" t="s">
        <v>25</v>
      </c>
      <c r="C3275" t="s">
        <v>20</v>
      </c>
      <c r="D3275" s="3" t="s">
        <v>281</v>
      </c>
      <c r="E3275" s="5" t="str">
        <f>TEXT(D3275,"dd/mm/yyyy")</f>
        <v>24/05/2024</v>
      </c>
      <c r="G3275" s="5" t="str">
        <f>TEXT(E3275,"mm")</f>
        <v>24/05/2024</v>
      </c>
      <c r="H3275" s="6">
        <v>9152.7199999999993</v>
      </c>
      <c r="I3275">
        <v>208</v>
      </c>
      <c r="L3275" t="str">
        <f t="shared" si="51"/>
        <v>Above Average</v>
      </c>
      <c r="M3275">
        <f>RANK(H3275,H:H,0)</f>
        <v>711</v>
      </c>
    </row>
    <row r="3276" spans="1:13">
      <c r="A3276" t="s">
        <v>58</v>
      </c>
      <c r="B3276" t="s">
        <v>35</v>
      </c>
      <c r="C3276" t="s">
        <v>42</v>
      </c>
      <c r="D3276" s="3" t="s">
        <v>313</v>
      </c>
      <c r="E3276" s="5" t="str">
        <f>TEXT(D3276,"dd/mm/yyyy")</f>
        <v>28/01/2024</v>
      </c>
      <c r="G3276" s="5" t="str">
        <f>TEXT(E3276,"mm")</f>
        <v>28/01/2024</v>
      </c>
      <c r="H3276" s="6">
        <v>9251.3700000000008</v>
      </c>
      <c r="I3276">
        <v>79</v>
      </c>
      <c r="L3276" t="str">
        <f t="shared" si="51"/>
        <v>Above Average</v>
      </c>
      <c r="M3276">
        <f>RANK(H3276,H:H,0)</f>
        <v>698</v>
      </c>
    </row>
    <row r="3277" spans="1:13">
      <c r="A3277" t="s">
        <v>41</v>
      </c>
      <c r="B3277" t="s">
        <v>10</v>
      </c>
      <c r="C3277" t="s">
        <v>65</v>
      </c>
      <c r="D3277" s="3" t="s">
        <v>281</v>
      </c>
      <c r="E3277" s="5" t="str">
        <f>TEXT(D3277,"dd/mm/yyyy")</f>
        <v>24/05/2024</v>
      </c>
      <c r="G3277" s="5" t="str">
        <f>TEXT(E3277,"mm")</f>
        <v>24/05/2024</v>
      </c>
      <c r="H3277" s="6">
        <v>3634.26</v>
      </c>
      <c r="I3277">
        <v>100</v>
      </c>
      <c r="L3277" t="str">
        <f t="shared" si="51"/>
        <v>Below Average</v>
      </c>
      <c r="M3277">
        <f>RANK(H3277,H:H,0)</f>
        <v>2094</v>
      </c>
    </row>
    <row r="3278" spans="1:13">
      <c r="A3278" t="s">
        <v>28</v>
      </c>
      <c r="B3278" t="s">
        <v>15</v>
      </c>
      <c r="C3278" t="s">
        <v>13</v>
      </c>
      <c r="D3278" s="3" t="s">
        <v>343</v>
      </c>
      <c r="E3278" s="5" t="str">
        <f>TEXT(D3278,"dd/mm/yyyy")</f>
        <v>19/08/2024</v>
      </c>
      <c r="G3278" s="5" t="str">
        <f>TEXT(E3278,"mm")</f>
        <v>19/08/2024</v>
      </c>
      <c r="H3278" s="6">
        <v>352.51</v>
      </c>
      <c r="I3278">
        <v>196</v>
      </c>
      <c r="L3278" t="str">
        <f t="shared" si="51"/>
        <v>Below Average</v>
      </c>
      <c r="M3278">
        <f>RANK(H3278,H:H,0)</f>
        <v>3172</v>
      </c>
    </row>
    <row r="3279" spans="1:13">
      <c r="A3279" t="s">
        <v>37</v>
      </c>
      <c r="B3279" t="s">
        <v>15</v>
      </c>
      <c r="C3279" t="s">
        <v>50</v>
      </c>
      <c r="D3279" s="3" t="s">
        <v>350</v>
      </c>
      <c r="E3279" s="5" t="str">
        <f>TEXT(D3279,"dd/mm/yyyy")</f>
        <v>17/05/2024</v>
      </c>
      <c r="G3279" s="5" t="str">
        <f>TEXT(E3279,"mm")</f>
        <v>17/05/2024</v>
      </c>
      <c r="H3279" s="6">
        <v>5303.58</v>
      </c>
      <c r="I3279">
        <v>354</v>
      </c>
      <c r="L3279" t="str">
        <f t="shared" si="51"/>
        <v>Below Average</v>
      </c>
      <c r="M3279">
        <f>RANK(H3279,H:H,0)</f>
        <v>1615</v>
      </c>
    </row>
    <row r="3280" spans="1:13">
      <c r="A3280" t="s">
        <v>6</v>
      </c>
      <c r="B3280" t="s">
        <v>32</v>
      </c>
      <c r="C3280" t="s">
        <v>59</v>
      </c>
      <c r="D3280" s="4">
        <v>45479</v>
      </c>
      <c r="E3280" s="5" t="str">
        <f>TEXT(D3280,"dd/mm/yyyy")</f>
        <v>06/07/2024</v>
      </c>
      <c r="F3280" s="4"/>
      <c r="G3280" s="5" t="str">
        <f>TEXT(E3280,"mm")</f>
        <v>06</v>
      </c>
      <c r="H3280" s="6">
        <v>7339.32</v>
      </c>
      <c r="I3280">
        <v>121</v>
      </c>
      <c r="L3280" t="str">
        <f t="shared" si="51"/>
        <v>Above Average</v>
      </c>
      <c r="M3280">
        <f>RANK(H3280,H:H,0)</f>
        <v>1102</v>
      </c>
    </row>
    <row r="3281" spans="1:13">
      <c r="A3281" t="s">
        <v>83</v>
      </c>
      <c r="B3281" t="s">
        <v>35</v>
      </c>
      <c r="C3281" t="s">
        <v>42</v>
      </c>
      <c r="D3281" s="3" t="s">
        <v>307</v>
      </c>
      <c r="E3281" s="5" t="str">
        <f>TEXT(D3281,"dd/mm/yyyy")</f>
        <v>26/07/2024</v>
      </c>
      <c r="G3281" s="5" t="str">
        <f>TEXT(E3281,"mm")</f>
        <v>26/07/2024</v>
      </c>
      <c r="H3281" s="6">
        <v>616.09</v>
      </c>
      <c r="I3281">
        <v>238</v>
      </c>
      <c r="L3281" t="str">
        <f t="shared" si="51"/>
        <v>Below Average</v>
      </c>
      <c r="M3281">
        <f>RANK(H3281,H:H,0)</f>
        <v>3094</v>
      </c>
    </row>
    <row r="3282" spans="1:13">
      <c r="A3282" t="s">
        <v>79</v>
      </c>
      <c r="B3282" t="s">
        <v>10</v>
      </c>
      <c r="C3282" t="s">
        <v>36</v>
      </c>
      <c r="D3282" s="3" t="s">
        <v>271</v>
      </c>
      <c r="E3282" s="5" t="str">
        <f>TEXT(D3282,"dd/mm/yyyy")</f>
        <v>28/07/2024</v>
      </c>
      <c r="G3282" s="5" t="str">
        <f>TEXT(E3282,"mm")</f>
        <v>28/07/2024</v>
      </c>
      <c r="H3282" s="6">
        <v>2504.62</v>
      </c>
      <c r="I3282">
        <v>397</v>
      </c>
      <c r="L3282" t="str">
        <f t="shared" si="51"/>
        <v>Below Average</v>
      </c>
      <c r="M3282">
        <f>RANK(H3282,H:H,0)</f>
        <v>2471</v>
      </c>
    </row>
    <row r="3283" spans="1:13">
      <c r="A3283" t="s">
        <v>37</v>
      </c>
      <c r="B3283" t="s">
        <v>10</v>
      </c>
      <c r="C3283" t="s">
        <v>100</v>
      </c>
      <c r="D3283" s="3" t="s">
        <v>342</v>
      </c>
      <c r="E3283" s="5" t="str">
        <f>TEXT(D3283,"dd/mm/yyyy")</f>
        <v>23/05/2024</v>
      </c>
      <c r="G3283" s="5" t="str">
        <f>TEXT(E3283,"mm")</f>
        <v>23/05/2024</v>
      </c>
      <c r="H3283" s="6">
        <v>5915.87</v>
      </c>
      <c r="I3283">
        <v>355</v>
      </c>
      <c r="L3283" t="str">
        <f t="shared" si="51"/>
        <v>Below Average</v>
      </c>
      <c r="M3283">
        <f>RANK(H3283,H:H,0)</f>
        <v>1454</v>
      </c>
    </row>
    <row r="3284" spans="1:13">
      <c r="F3284" s="6"/>
      <c r="G3284"/>
      <c r="H3284"/>
    </row>
    <row r="3285" spans="1:13">
      <c r="F3285" s="6"/>
      <c r="G3285"/>
      <c r="H3285"/>
    </row>
    <row r="3286" spans="1:13">
      <c r="F3286" s="6"/>
      <c r="G3286"/>
      <c r="H3286"/>
    </row>
    <row r="3287" spans="1:13">
      <c r="F3287" s="6"/>
      <c r="G3287"/>
      <c r="H3287"/>
    </row>
    <row r="3288" spans="1:13">
      <c r="F3288" s="6"/>
      <c r="G3288"/>
      <c r="H3288"/>
    </row>
    <row r="3289" spans="1:13">
      <c r="F3289" s="6"/>
      <c r="G3289"/>
      <c r="H3289"/>
    </row>
    <row r="3290" spans="1:13">
      <c r="F3290" s="6"/>
      <c r="G3290"/>
      <c r="H3290"/>
    </row>
    <row r="3291" spans="1:13">
      <c r="F3291" s="6"/>
      <c r="G3291"/>
      <c r="H3291"/>
    </row>
    <row r="3292" spans="1:13">
      <c r="F3292" s="6"/>
      <c r="G3292"/>
      <c r="H3292"/>
    </row>
    <row r="3293" spans="1:13">
      <c r="F3293" s="6"/>
      <c r="G3293"/>
      <c r="H3293"/>
    </row>
    <row r="3294" spans="1:13">
      <c r="F3294" s="6"/>
      <c r="G3294"/>
      <c r="H3294"/>
    </row>
    <row r="3295" spans="1:13">
      <c r="F3295" s="6"/>
      <c r="G3295"/>
      <c r="H3295"/>
    </row>
    <row r="3296" spans="1:13">
      <c r="F3296" s="6"/>
      <c r="G3296"/>
      <c r="H3296"/>
    </row>
    <row r="3297" spans="6:8">
      <c r="F3297" s="6"/>
      <c r="G3297"/>
      <c r="H3297"/>
    </row>
    <row r="3298" spans="6:8">
      <c r="F3298" s="6"/>
      <c r="G3298"/>
      <c r="H3298"/>
    </row>
    <row r="3299" spans="6:8">
      <c r="F3299" s="6"/>
      <c r="G3299"/>
      <c r="H3299"/>
    </row>
    <row r="3300" spans="6:8">
      <c r="F3300" s="6"/>
      <c r="G3300"/>
      <c r="H3300"/>
    </row>
    <row r="3301" spans="6:8">
      <c r="F3301" s="6"/>
      <c r="G3301"/>
      <c r="H3301"/>
    </row>
    <row r="3302" spans="6:8">
      <c r="F3302" s="6"/>
      <c r="G3302"/>
      <c r="H3302"/>
    </row>
    <row r="3303" spans="6:8">
      <c r="F3303" s="6"/>
      <c r="G3303"/>
      <c r="H3303"/>
    </row>
    <row r="3304" spans="6:8">
      <c r="F3304" s="6"/>
      <c r="G3304"/>
      <c r="H3304"/>
    </row>
    <row r="3305" spans="6:8">
      <c r="F3305" s="6"/>
      <c r="G3305"/>
      <c r="H3305"/>
    </row>
    <row r="3306" spans="6:8">
      <c r="F3306" s="6"/>
      <c r="G3306"/>
      <c r="H3306"/>
    </row>
    <row r="3307" spans="6:8">
      <c r="F3307" s="6"/>
      <c r="G3307"/>
      <c r="H3307"/>
    </row>
    <row r="3308" spans="6:8">
      <c r="F3308" s="6"/>
      <c r="G3308"/>
      <c r="H3308"/>
    </row>
    <row r="3309" spans="6:8">
      <c r="F3309" s="6"/>
      <c r="G3309"/>
      <c r="H3309"/>
    </row>
    <row r="3310" spans="6:8">
      <c r="F3310" s="6"/>
      <c r="G3310"/>
      <c r="H3310"/>
    </row>
    <row r="3311" spans="6:8">
      <c r="F3311" s="6"/>
      <c r="G3311"/>
      <c r="H3311"/>
    </row>
    <row r="3312" spans="6:8">
      <c r="F3312" s="6"/>
      <c r="G3312"/>
      <c r="H3312"/>
    </row>
    <row r="3313" spans="6:8">
      <c r="F3313" s="6"/>
      <c r="G3313"/>
      <c r="H3313"/>
    </row>
    <row r="3314" spans="6:8">
      <c r="F3314" s="6"/>
      <c r="G3314"/>
      <c r="H3314"/>
    </row>
    <row r="3315" spans="6:8">
      <c r="F3315" s="6"/>
      <c r="G3315"/>
      <c r="H3315"/>
    </row>
    <row r="3316" spans="6:8">
      <c r="F3316" s="6"/>
      <c r="G3316"/>
      <c r="H3316"/>
    </row>
    <row r="3317" spans="6:8">
      <c r="F3317" s="6"/>
      <c r="G3317"/>
      <c r="H3317"/>
    </row>
    <row r="3318" spans="6:8">
      <c r="F3318" s="6"/>
      <c r="G3318"/>
      <c r="H3318"/>
    </row>
    <row r="3319" spans="6:8">
      <c r="F3319" s="6"/>
      <c r="G3319"/>
      <c r="H3319"/>
    </row>
    <row r="3320" spans="6:8">
      <c r="F3320" s="6"/>
      <c r="G3320"/>
      <c r="H3320"/>
    </row>
    <row r="3321" spans="6:8">
      <c r="F3321" s="6"/>
      <c r="G3321"/>
      <c r="H3321"/>
    </row>
    <row r="3322" spans="6:8">
      <c r="F3322" s="6"/>
      <c r="G3322"/>
      <c r="H3322"/>
    </row>
    <row r="3323" spans="6:8">
      <c r="F3323" s="6"/>
      <c r="G3323"/>
      <c r="H3323"/>
    </row>
    <row r="3324" spans="6:8">
      <c r="F3324" s="6"/>
      <c r="G3324"/>
      <c r="H3324"/>
    </row>
    <row r="3325" spans="6:8">
      <c r="F3325" s="6"/>
      <c r="G3325"/>
      <c r="H3325"/>
    </row>
    <row r="3326" spans="6:8">
      <c r="F3326" s="6"/>
      <c r="G3326"/>
      <c r="H3326"/>
    </row>
    <row r="3327" spans="6:8">
      <c r="F3327" s="6"/>
      <c r="G3327"/>
      <c r="H3327"/>
    </row>
    <row r="3328" spans="6:8">
      <c r="F3328" s="6"/>
      <c r="G3328"/>
      <c r="H3328"/>
    </row>
    <row r="3329" spans="6:8">
      <c r="F3329" s="6"/>
      <c r="G3329"/>
      <c r="H3329"/>
    </row>
    <row r="3330" spans="6:8">
      <c r="F3330" s="6"/>
      <c r="G3330"/>
      <c r="H3330"/>
    </row>
    <row r="3331" spans="6:8">
      <c r="F3331" s="6"/>
      <c r="G3331"/>
      <c r="H3331"/>
    </row>
    <row r="3332" spans="6:8">
      <c r="F3332" s="6"/>
      <c r="G3332"/>
      <c r="H3332"/>
    </row>
    <row r="3333" spans="6:8">
      <c r="F3333" s="6"/>
      <c r="G3333"/>
      <c r="H3333"/>
    </row>
    <row r="3334" spans="6:8">
      <c r="F3334" s="6"/>
      <c r="G3334"/>
      <c r="H3334"/>
    </row>
    <row r="3335" spans="6:8">
      <c r="F3335" s="6"/>
      <c r="G3335"/>
      <c r="H3335"/>
    </row>
    <row r="3336" spans="6:8">
      <c r="F3336" s="6"/>
      <c r="G3336"/>
      <c r="H3336"/>
    </row>
    <row r="3337" spans="6:8">
      <c r="F3337" s="6"/>
      <c r="G3337"/>
      <c r="H3337"/>
    </row>
    <row r="3338" spans="6:8">
      <c r="F3338" s="6"/>
      <c r="G3338"/>
      <c r="H3338"/>
    </row>
    <row r="3339" spans="6:8">
      <c r="F3339" s="6"/>
      <c r="G3339"/>
      <c r="H3339"/>
    </row>
    <row r="3340" spans="6:8">
      <c r="F3340" s="6"/>
      <c r="G3340"/>
      <c r="H3340"/>
    </row>
    <row r="3341" spans="6:8">
      <c r="F3341" s="6"/>
      <c r="G3341"/>
      <c r="H3341"/>
    </row>
    <row r="3342" spans="6:8">
      <c r="F3342" s="6"/>
      <c r="G3342"/>
      <c r="H3342"/>
    </row>
    <row r="3343" spans="6:8">
      <c r="F3343" s="6"/>
      <c r="G3343"/>
      <c r="H3343"/>
    </row>
    <row r="3344" spans="6:8">
      <c r="F3344" s="6"/>
      <c r="G3344"/>
      <c r="H3344"/>
    </row>
    <row r="3345" spans="6:8">
      <c r="F3345" s="6"/>
      <c r="G3345"/>
      <c r="H3345"/>
    </row>
    <row r="3346" spans="6:8">
      <c r="F3346" s="6"/>
      <c r="G3346"/>
      <c r="H3346"/>
    </row>
    <row r="3347" spans="6:8">
      <c r="F3347" s="6"/>
      <c r="G3347"/>
      <c r="H3347"/>
    </row>
    <row r="3348" spans="6:8">
      <c r="F3348" s="6"/>
      <c r="G3348"/>
      <c r="H3348"/>
    </row>
    <row r="3349" spans="6:8">
      <c r="F3349" s="6"/>
      <c r="G3349"/>
      <c r="H3349"/>
    </row>
    <row r="3350" spans="6:8">
      <c r="F3350" s="6"/>
      <c r="G3350"/>
      <c r="H3350"/>
    </row>
    <row r="3351" spans="6:8">
      <c r="F3351" s="6"/>
      <c r="G3351"/>
      <c r="H3351"/>
    </row>
    <row r="3352" spans="6:8">
      <c r="F3352" s="6"/>
      <c r="G3352"/>
      <c r="H3352"/>
    </row>
    <row r="3353" spans="6:8">
      <c r="F3353" s="6"/>
      <c r="G3353"/>
      <c r="H3353"/>
    </row>
    <row r="3354" spans="6:8">
      <c r="F3354" s="6"/>
      <c r="G3354"/>
      <c r="H3354"/>
    </row>
    <row r="3355" spans="6:8">
      <c r="F3355" s="6"/>
      <c r="G3355"/>
      <c r="H3355"/>
    </row>
    <row r="3356" spans="6:8">
      <c r="F3356" s="6"/>
      <c r="G3356"/>
      <c r="H3356"/>
    </row>
    <row r="3357" spans="6:8">
      <c r="F3357" s="6"/>
      <c r="G3357"/>
      <c r="H3357"/>
    </row>
    <row r="3358" spans="6:8">
      <c r="F3358" s="6"/>
      <c r="G3358"/>
      <c r="H3358"/>
    </row>
    <row r="3359" spans="6:8">
      <c r="F3359" s="6"/>
      <c r="G3359"/>
      <c r="H3359"/>
    </row>
    <row r="3360" spans="6:8">
      <c r="F3360" s="6"/>
      <c r="G3360"/>
      <c r="H3360"/>
    </row>
    <row r="3361" spans="6:8">
      <c r="F3361" s="6"/>
      <c r="G3361"/>
      <c r="H3361"/>
    </row>
    <row r="3362" spans="6:8">
      <c r="F3362" s="6"/>
      <c r="G3362"/>
      <c r="H3362"/>
    </row>
    <row r="3363" spans="6:8">
      <c r="F3363" s="6"/>
      <c r="G3363"/>
      <c r="H3363"/>
    </row>
    <row r="3364" spans="6:8">
      <c r="F3364" s="6"/>
      <c r="G3364"/>
      <c r="H3364"/>
    </row>
    <row r="3365" spans="6:8">
      <c r="F3365" s="6"/>
      <c r="G3365"/>
      <c r="H3365"/>
    </row>
    <row r="3366" spans="6:8">
      <c r="F3366" s="6"/>
      <c r="G3366"/>
      <c r="H3366"/>
    </row>
    <row r="3367" spans="6:8">
      <c r="F3367" s="6"/>
      <c r="G3367"/>
      <c r="H3367"/>
    </row>
    <row r="3368" spans="6:8">
      <c r="F3368" s="6"/>
      <c r="G3368"/>
      <c r="H3368"/>
    </row>
    <row r="3369" spans="6:8">
      <c r="F3369" s="6"/>
      <c r="G3369"/>
      <c r="H3369"/>
    </row>
    <row r="3370" spans="6:8">
      <c r="F3370" s="6"/>
      <c r="G3370"/>
      <c r="H3370"/>
    </row>
    <row r="3371" spans="6:8">
      <c r="F3371" s="6"/>
      <c r="G3371"/>
      <c r="H3371"/>
    </row>
    <row r="3372" spans="6:8">
      <c r="F3372" s="6"/>
      <c r="G3372"/>
      <c r="H3372"/>
    </row>
    <row r="3373" spans="6:8">
      <c r="F3373" s="6"/>
      <c r="G3373"/>
      <c r="H3373"/>
    </row>
    <row r="3374" spans="6:8">
      <c r="F3374" s="6"/>
      <c r="G3374"/>
      <c r="H3374"/>
    </row>
    <row r="3375" spans="6:8">
      <c r="F3375" s="6"/>
      <c r="G3375"/>
      <c r="H3375"/>
    </row>
    <row r="3376" spans="6:8">
      <c r="F3376" s="6"/>
      <c r="G3376"/>
      <c r="H3376"/>
    </row>
    <row r="3377" spans="6:8">
      <c r="F3377" s="6"/>
      <c r="G3377"/>
      <c r="H3377"/>
    </row>
    <row r="3378" spans="6:8">
      <c r="F3378" s="6"/>
      <c r="G3378"/>
      <c r="H3378"/>
    </row>
    <row r="3379" spans="6:8">
      <c r="F3379" s="6"/>
      <c r="G3379"/>
      <c r="H3379"/>
    </row>
    <row r="3380" spans="6:8">
      <c r="F3380" s="6"/>
      <c r="G3380"/>
      <c r="H3380"/>
    </row>
    <row r="3381" spans="6:8">
      <c r="F3381" s="6"/>
      <c r="G3381"/>
      <c r="H3381"/>
    </row>
    <row r="3382" spans="6:8">
      <c r="F3382" s="6"/>
      <c r="G3382"/>
      <c r="H3382"/>
    </row>
    <row r="3383" spans="6:8">
      <c r="F3383" s="6"/>
      <c r="G3383"/>
      <c r="H3383"/>
    </row>
    <row r="3384" spans="6:8">
      <c r="F3384" s="6"/>
      <c r="G3384"/>
      <c r="H3384"/>
    </row>
    <row r="3385" spans="6:8">
      <c r="F3385" s="6"/>
      <c r="G3385"/>
      <c r="H3385"/>
    </row>
    <row r="3386" spans="6:8">
      <c r="F3386" s="6"/>
      <c r="G3386"/>
      <c r="H3386"/>
    </row>
    <row r="3387" spans="6:8">
      <c r="F3387" s="6"/>
      <c r="G3387"/>
      <c r="H3387"/>
    </row>
    <row r="3388" spans="6:8">
      <c r="F3388" s="6"/>
      <c r="G3388"/>
      <c r="H3388"/>
    </row>
    <row r="3389" spans="6:8">
      <c r="F3389" s="6"/>
      <c r="G3389"/>
      <c r="H3389"/>
    </row>
    <row r="3390" spans="6:8">
      <c r="F3390" s="6"/>
      <c r="G3390"/>
      <c r="H3390"/>
    </row>
    <row r="3391" spans="6:8">
      <c r="F3391" s="6"/>
      <c r="G3391"/>
      <c r="H3391"/>
    </row>
    <row r="3392" spans="6:8">
      <c r="F3392" s="6"/>
      <c r="G3392"/>
      <c r="H3392"/>
    </row>
    <row r="3393" spans="6:8">
      <c r="F3393" s="6"/>
      <c r="G3393"/>
      <c r="H3393"/>
    </row>
    <row r="3394" spans="6:8">
      <c r="F3394" s="6"/>
      <c r="G3394"/>
      <c r="H3394"/>
    </row>
    <row r="3395" spans="6:8">
      <c r="F3395" s="6"/>
      <c r="G3395"/>
      <c r="H3395"/>
    </row>
    <row r="3396" spans="6:8">
      <c r="F3396" s="6"/>
      <c r="G3396"/>
      <c r="H3396"/>
    </row>
    <row r="3397" spans="6:8">
      <c r="F3397" s="6"/>
      <c r="G3397"/>
      <c r="H3397"/>
    </row>
    <row r="3398" spans="6:8">
      <c r="F3398" s="6"/>
      <c r="G3398"/>
      <c r="H3398"/>
    </row>
    <row r="3399" spans="6:8">
      <c r="F3399" s="6"/>
      <c r="G3399"/>
      <c r="H3399"/>
    </row>
    <row r="3400" spans="6:8">
      <c r="F3400" s="6"/>
      <c r="G3400"/>
      <c r="H3400"/>
    </row>
    <row r="3401" spans="6:8">
      <c r="F3401" s="6"/>
      <c r="G3401"/>
      <c r="H3401"/>
    </row>
    <row r="3402" spans="6:8">
      <c r="F3402" s="6"/>
      <c r="G3402"/>
      <c r="H3402"/>
    </row>
    <row r="3403" spans="6:8">
      <c r="F3403" s="6"/>
      <c r="G3403"/>
      <c r="H3403"/>
    </row>
    <row r="3404" spans="6:8">
      <c r="F3404" s="6"/>
      <c r="G3404"/>
      <c r="H3404"/>
    </row>
    <row r="3405" spans="6:8">
      <c r="F3405" s="6"/>
      <c r="G3405"/>
      <c r="H3405"/>
    </row>
    <row r="3406" spans="6:8">
      <c r="F3406" s="6"/>
      <c r="G3406"/>
      <c r="H3406"/>
    </row>
    <row r="3407" spans="6:8">
      <c r="F3407" s="6"/>
      <c r="G3407"/>
      <c r="H3407"/>
    </row>
    <row r="3408" spans="6:8">
      <c r="F3408" s="6"/>
      <c r="G3408"/>
      <c r="H3408"/>
    </row>
    <row r="3409" spans="6:8">
      <c r="F3409" s="6"/>
      <c r="G3409"/>
      <c r="H3409"/>
    </row>
    <row r="3410" spans="6:8">
      <c r="F3410" s="6"/>
      <c r="G3410"/>
      <c r="H3410"/>
    </row>
    <row r="3411" spans="6:8">
      <c r="F3411" s="6"/>
      <c r="G3411"/>
      <c r="H3411"/>
    </row>
    <row r="3412" spans="6:8">
      <c r="F3412" s="6"/>
      <c r="G3412"/>
      <c r="H3412"/>
    </row>
    <row r="3413" spans="6:8">
      <c r="F3413" s="6"/>
      <c r="G3413"/>
      <c r="H3413"/>
    </row>
    <row r="3414" spans="6:8">
      <c r="F3414" s="6"/>
      <c r="G3414"/>
      <c r="H3414"/>
    </row>
    <row r="3415" spans="6:8">
      <c r="F3415" s="6"/>
      <c r="G3415"/>
      <c r="H3415"/>
    </row>
    <row r="3416" spans="6:8">
      <c r="F3416" s="6"/>
      <c r="G3416"/>
      <c r="H3416"/>
    </row>
    <row r="3417" spans="6:8">
      <c r="F3417" s="6"/>
      <c r="G3417"/>
      <c r="H3417"/>
    </row>
    <row r="3418" spans="6:8">
      <c r="F3418" s="6"/>
      <c r="G3418"/>
      <c r="H3418"/>
    </row>
    <row r="3419" spans="6:8">
      <c r="F3419" s="6"/>
      <c r="G3419"/>
      <c r="H3419"/>
    </row>
    <row r="3420" spans="6:8">
      <c r="F3420" s="6"/>
      <c r="G3420"/>
      <c r="H3420"/>
    </row>
    <row r="3421" spans="6:8">
      <c r="F3421" s="6"/>
      <c r="G3421"/>
      <c r="H3421"/>
    </row>
    <row r="3422" spans="6:8">
      <c r="F3422" s="6"/>
      <c r="G3422"/>
      <c r="H3422"/>
    </row>
    <row r="3423" spans="6:8">
      <c r="F3423" s="6"/>
      <c r="G3423"/>
      <c r="H3423"/>
    </row>
    <row r="3424" spans="6:8">
      <c r="F3424" s="6"/>
      <c r="G3424"/>
      <c r="H3424"/>
    </row>
    <row r="3425" spans="6:8">
      <c r="F3425" s="6"/>
      <c r="G3425"/>
      <c r="H3425"/>
    </row>
    <row r="3426" spans="6:8">
      <c r="F3426" s="6"/>
      <c r="G3426"/>
      <c r="H3426"/>
    </row>
    <row r="3427" spans="6:8">
      <c r="F3427" s="6"/>
      <c r="G3427"/>
      <c r="H3427"/>
    </row>
    <row r="3428" spans="6:8">
      <c r="F3428" s="6"/>
      <c r="G3428"/>
      <c r="H3428"/>
    </row>
    <row r="3429" spans="6:8">
      <c r="F3429" s="6"/>
      <c r="G3429"/>
      <c r="H3429"/>
    </row>
    <row r="3430" spans="6:8">
      <c r="F3430" s="6"/>
      <c r="G3430"/>
      <c r="H3430"/>
    </row>
    <row r="3431" spans="6:8">
      <c r="F3431" s="6"/>
      <c r="G3431"/>
      <c r="H3431"/>
    </row>
    <row r="3432" spans="6:8">
      <c r="F3432" s="6"/>
      <c r="G3432"/>
      <c r="H3432"/>
    </row>
    <row r="3433" spans="6:8">
      <c r="F3433" s="6"/>
      <c r="G3433"/>
      <c r="H3433"/>
    </row>
    <row r="3434" spans="6:8">
      <c r="F3434" s="6"/>
      <c r="G3434"/>
      <c r="H3434"/>
    </row>
    <row r="3435" spans="6:8">
      <c r="F3435" s="6"/>
      <c r="G3435"/>
      <c r="H3435"/>
    </row>
    <row r="3436" spans="6:8">
      <c r="F3436" s="6"/>
      <c r="G3436"/>
      <c r="H3436"/>
    </row>
    <row r="3437" spans="6:8">
      <c r="F3437" s="6"/>
      <c r="G3437"/>
      <c r="H3437"/>
    </row>
    <row r="3438" spans="6:8">
      <c r="F3438" s="6"/>
      <c r="G3438"/>
      <c r="H3438"/>
    </row>
    <row r="3439" spans="6:8">
      <c r="F3439" s="6"/>
      <c r="G3439"/>
      <c r="H3439"/>
    </row>
    <row r="3440" spans="6:8">
      <c r="F3440" s="6"/>
      <c r="G3440"/>
      <c r="H3440"/>
    </row>
    <row r="3441" spans="6:8">
      <c r="F3441" s="6"/>
      <c r="G3441"/>
      <c r="H3441"/>
    </row>
    <row r="3442" spans="6:8">
      <c r="F3442" s="6"/>
      <c r="G3442"/>
      <c r="H3442"/>
    </row>
    <row r="3443" spans="6:8">
      <c r="F3443" s="6"/>
      <c r="G3443"/>
      <c r="H3443"/>
    </row>
    <row r="3444" spans="6:8">
      <c r="F3444" s="6"/>
      <c r="G3444"/>
      <c r="H3444"/>
    </row>
    <row r="3445" spans="6:8">
      <c r="F3445" s="6"/>
      <c r="G3445"/>
      <c r="H3445"/>
    </row>
    <row r="3446" spans="6:8">
      <c r="F3446" s="6"/>
      <c r="G3446"/>
      <c r="H3446"/>
    </row>
    <row r="3447" spans="6:8">
      <c r="F3447" s="6"/>
      <c r="G3447"/>
      <c r="H3447"/>
    </row>
    <row r="3448" spans="6:8">
      <c r="F3448" s="6"/>
      <c r="G3448"/>
      <c r="H3448"/>
    </row>
    <row r="3449" spans="6:8">
      <c r="F3449" s="6"/>
      <c r="G3449"/>
      <c r="H3449"/>
    </row>
    <row r="3450" spans="6:8">
      <c r="F3450" s="6"/>
      <c r="G3450"/>
      <c r="H3450"/>
    </row>
    <row r="3451" spans="6:8">
      <c r="F3451" s="6"/>
      <c r="G3451"/>
      <c r="H3451"/>
    </row>
    <row r="3452" spans="6:8">
      <c r="F3452" s="6"/>
      <c r="G3452"/>
      <c r="H3452"/>
    </row>
    <row r="3453" spans="6:8">
      <c r="F3453" s="6"/>
      <c r="G3453"/>
      <c r="H3453"/>
    </row>
    <row r="3454" spans="6:8">
      <c r="F3454" s="6"/>
      <c r="G3454"/>
      <c r="H3454"/>
    </row>
    <row r="3455" spans="6:8">
      <c r="F3455" s="6"/>
      <c r="G3455"/>
      <c r="H3455"/>
    </row>
    <row r="3456" spans="6:8">
      <c r="F3456" s="6"/>
      <c r="G3456"/>
      <c r="H3456"/>
    </row>
    <row r="3457" spans="6:8">
      <c r="F3457" s="6"/>
      <c r="G3457"/>
      <c r="H3457"/>
    </row>
    <row r="3458" spans="6:8">
      <c r="F3458" s="6"/>
      <c r="G3458"/>
      <c r="H3458"/>
    </row>
    <row r="3459" spans="6:8">
      <c r="F3459" s="6"/>
      <c r="G3459"/>
      <c r="H3459"/>
    </row>
    <row r="3460" spans="6:8">
      <c r="F3460" s="6"/>
      <c r="G3460"/>
      <c r="H3460"/>
    </row>
    <row r="3461" spans="6:8">
      <c r="F3461" s="6"/>
      <c r="G3461"/>
      <c r="H3461"/>
    </row>
    <row r="3462" spans="6:8">
      <c r="F3462" s="6"/>
      <c r="G3462"/>
      <c r="H3462"/>
    </row>
    <row r="3463" spans="6:8">
      <c r="F3463" s="6"/>
      <c r="G3463"/>
      <c r="H3463"/>
    </row>
    <row r="3464" spans="6:8">
      <c r="F3464" s="6"/>
      <c r="G3464"/>
      <c r="H3464"/>
    </row>
    <row r="3465" spans="6:8">
      <c r="F3465" s="6"/>
      <c r="G3465"/>
      <c r="H3465"/>
    </row>
    <row r="3466" spans="6:8">
      <c r="F3466" s="6"/>
      <c r="G3466"/>
      <c r="H3466"/>
    </row>
    <row r="3467" spans="6:8">
      <c r="F3467" s="6"/>
      <c r="G3467"/>
      <c r="H3467"/>
    </row>
    <row r="3468" spans="6:8">
      <c r="F3468" s="6"/>
      <c r="G3468"/>
      <c r="H3468"/>
    </row>
    <row r="3469" spans="6:8">
      <c r="F3469" s="6"/>
      <c r="G3469"/>
      <c r="H3469"/>
    </row>
    <row r="3470" spans="6:8">
      <c r="F3470" s="6"/>
      <c r="G3470"/>
      <c r="H3470"/>
    </row>
    <row r="3471" spans="6:8">
      <c r="F3471" s="6"/>
      <c r="G3471"/>
      <c r="H3471"/>
    </row>
    <row r="3472" spans="6:8">
      <c r="F3472" s="6"/>
      <c r="G3472"/>
      <c r="H3472"/>
    </row>
    <row r="3473" spans="6:8">
      <c r="F3473" s="6"/>
      <c r="G3473"/>
      <c r="H3473"/>
    </row>
    <row r="3474" spans="6:8">
      <c r="F3474" s="6"/>
      <c r="G3474"/>
      <c r="H3474"/>
    </row>
    <row r="3475" spans="6:8">
      <c r="F3475" s="6"/>
      <c r="G3475"/>
      <c r="H3475"/>
    </row>
    <row r="3476" spans="6:8">
      <c r="F3476" s="6"/>
      <c r="G3476"/>
      <c r="H3476"/>
    </row>
    <row r="3477" spans="6:8">
      <c r="F3477" s="6"/>
      <c r="G3477"/>
      <c r="H3477"/>
    </row>
    <row r="3478" spans="6:8">
      <c r="F3478" s="6"/>
      <c r="G3478"/>
      <c r="H3478"/>
    </row>
    <row r="3479" spans="6:8">
      <c r="F3479" s="6"/>
      <c r="G3479"/>
      <c r="H3479"/>
    </row>
    <row r="3480" spans="6:8">
      <c r="F3480" s="6"/>
      <c r="G3480"/>
      <c r="H3480"/>
    </row>
    <row r="3481" spans="6:8">
      <c r="F3481" s="6"/>
      <c r="G3481"/>
      <c r="H3481"/>
    </row>
    <row r="3482" spans="6:8">
      <c r="F3482" s="6"/>
      <c r="G3482"/>
      <c r="H3482"/>
    </row>
    <row r="3483" spans="6:8">
      <c r="F3483" s="6"/>
      <c r="G3483"/>
      <c r="H3483"/>
    </row>
    <row r="3484" spans="6:8">
      <c r="F3484" s="6"/>
      <c r="G3484"/>
      <c r="H3484"/>
    </row>
    <row r="3485" spans="6:8">
      <c r="F3485" s="6"/>
      <c r="G3485"/>
      <c r="H3485"/>
    </row>
    <row r="3486" spans="6:8">
      <c r="F3486" s="6"/>
      <c r="G3486"/>
      <c r="H3486"/>
    </row>
    <row r="3487" spans="6:8">
      <c r="F3487" s="6"/>
      <c r="G3487"/>
      <c r="H3487"/>
    </row>
    <row r="3488" spans="6:8">
      <c r="F3488" s="6"/>
      <c r="G3488"/>
      <c r="H3488"/>
    </row>
    <row r="3489" spans="6:8">
      <c r="F3489" s="6"/>
      <c r="G3489"/>
      <c r="H3489"/>
    </row>
    <row r="3490" spans="6:8">
      <c r="F3490" s="6"/>
      <c r="G3490"/>
      <c r="H3490"/>
    </row>
    <row r="3491" spans="6:8">
      <c r="F3491" s="6"/>
      <c r="G3491"/>
      <c r="H3491"/>
    </row>
    <row r="3492" spans="6:8">
      <c r="F3492" s="6"/>
      <c r="G3492"/>
      <c r="H3492"/>
    </row>
    <row r="3493" spans="6:8">
      <c r="F3493" s="6"/>
      <c r="G3493"/>
      <c r="H3493"/>
    </row>
    <row r="3494" spans="6:8">
      <c r="F3494" s="6"/>
      <c r="G3494"/>
      <c r="H3494"/>
    </row>
    <row r="3495" spans="6:8">
      <c r="F3495" s="6"/>
      <c r="G3495"/>
      <c r="H3495"/>
    </row>
    <row r="3496" spans="6:8">
      <c r="F3496" s="6"/>
      <c r="G3496"/>
      <c r="H3496"/>
    </row>
    <row r="3497" spans="6:8">
      <c r="F3497" s="6"/>
      <c r="G3497"/>
      <c r="H3497"/>
    </row>
    <row r="3498" spans="6:8">
      <c r="F3498" s="6"/>
      <c r="G3498"/>
      <c r="H3498"/>
    </row>
    <row r="3499" spans="6:8">
      <c r="F3499" s="6"/>
      <c r="G3499"/>
      <c r="H3499"/>
    </row>
    <row r="3500" spans="6:8">
      <c r="F3500" s="6"/>
      <c r="G3500"/>
      <c r="H3500"/>
    </row>
    <row r="3501" spans="6:8">
      <c r="F3501" s="6"/>
      <c r="G3501"/>
      <c r="H3501"/>
    </row>
    <row r="3502" spans="6:8">
      <c r="F3502" s="6"/>
      <c r="G3502"/>
      <c r="H3502"/>
    </row>
    <row r="3503" spans="6:8">
      <c r="F3503" s="6"/>
      <c r="G3503"/>
      <c r="H3503"/>
    </row>
    <row r="3504" spans="6:8">
      <c r="F3504" s="6"/>
      <c r="G3504"/>
      <c r="H3504"/>
    </row>
    <row r="3505" spans="6:8">
      <c r="F3505" s="6"/>
      <c r="G3505"/>
      <c r="H3505"/>
    </row>
    <row r="3506" spans="6:8">
      <c r="F3506" s="6"/>
      <c r="G3506"/>
      <c r="H3506"/>
    </row>
    <row r="3507" spans="6:8">
      <c r="F3507" s="6"/>
      <c r="G3507"/>
      <c r="H3507"/>
    </row>
    <row r="3508" spans="6:8">
      <c r="F3508" s="6"/>
      <c r="G3508"/>
      <c r="H3508"/>
    </row>
    <row r="3509" spans="6:8">
      <c r="F3509" s="6"/>
      <c r="G3509"/>
      <c r="H3509"/>
    </row>
    <row r="3510" spans="6:8">
      <c r="F3510" s="6"/>
      <c r="G3510"/>
      <c r="H3510"/>
    </row>
    <row r="3511" spans="6:8">
      <c r="F3511" s="6"/>
      <c r="G3511"/>
      <c r="H3511"/>
    </row>
    <row r="3512" spans="6:8">
      <c r="F3512" s="6"/>
      <c r="G3512"/>
      <c r="H3512"/>
    </row>
    <row r="3513" spans="6:8">
      <c r="F3513" s="6"/>
      <c r="G3513"/>
      <c r="H3513"/>
    </row>
    <row r="3514" spans="6:8">
      <c r="F3514" s="6"/>
      <c r="G3514"/>
      <c r="H3514"/>
    </row>
    <row r="3515" spans="6:8">
      <c r="F3515" s="6"/>
      <c r="G3515"/>
      <c r="H3515"/>
    </row>
    <row r="3516" spans="6:8">
      <c r="F3516" s="6"/>
      <c r="G3516"/>
      <c r="H3516"/>
    </row>
    <row r="3517" spans="6:8">
      <c r="F3517" s="6"/>
      <c r="G3517"/>
      <c r="H3517"/>
    </row>
    <row r="3518" spans="6:8">
      <c r="F3518" s="6"/>
      <c r="G3518"/>
      <c r="H3518"/>
    </row>
    <row r="3519" spans="6:8">
      <c r="F3519" s="6"/>
      <c r="G3519"/>
      <c r="H3519"/>
    </row>
    <row r="3520" spans="6:8">
      <c r="F3520" s="6"/>
      <c r="G3520"/>
      <c r="H3520"/>
    </row>
    <row r="3521" spans="6:8">
      <c r="F3521" s="6"/>
      <c r="G3521"/>
      <c r="H3521"/>
    </row>
    <row r="3522" spans="6:8">
      <c r="F3522" s="6"/>
      <c r="G3522"/>
      <c r="H3522"/>
    </row>
    <row r="3523" spans="6:8">
      <c r="F3523" s="6"/>
      <c r="G3523"/>
      <c r="H3523"/>
    </row>
    <row r="3524" spans="6:8">
      <c r="F3524" s="6"/>
      <c r="G3524"/>
      <c r="H3524"/>
    </row>
    <row r="3525" spans="6:8">
      <c r="F3525" s="6"/>
      <c r="G3525"/>
      <c r="H3525"/>
    </row>
    <row r="3526" spans="6:8">
      <c r="F3526" s="6"/>
      <c r="G3526"/>
      <c r="H3526"/>
    </row>
    <row r="3527" spans="6:8">
      <c r="F3527" s="6"/>
      <c r="G3527"/>
      <c r="H3527"/>
    </row>
    <row r="3528" spans="6:8">
      <c r="F3528" s="6"/>
      <c r="G3528"/>
      <c r="H3528"/>
    </row>
    <row r="3529" spans="6:8">
      <c r="F3529" s="6"/>
      <c r="G3529"/>
      <c r="H3529"/>
    </row>
    <row r="3530" spans="6:8">
      <c r="F3530" s="6"/>
      <c r="G3530"/>
      <c r="H3530"/>
    </row>
    <row r="3531" spans="6:8">
      <c r="F3531" s="6"/>
      <c r="G3531"/>
      <c r="H3531"/>
    </row>
    <row r="3532" spans="6:8">
      <c r="F3532" s="6"/>
      <c r="G3532"/>
      <c r="H3532"/>
    </row>
    <row r="3533" spans="6:8">
      <c r="F3533" s="6"/>
      <c r="G3533"/>
      <c r="H3533"/>
    </row>
    <row r="3534" spans="6:8">
      <c r="F3534" s="6"/>
      <c r="G3534"/>
      <c r="H3534"/>
    </row>
    <row r="3535" spans="6:8">
      <c r="F3535" s="6"/>
      <c r="G3535"/>
      <c r="H3535"/>
    </row>
    <row r="3536" spans="6:8">
      <c r="F3536" s="6"/>
      <c r="G3536"/>
      <c r="H3536"/>
    </row>
    <row r="3537" spans="6:8">
      <c r="F3537" s="6"/>
      <c r="G3537"/>
      <c r="H3537"/>
    </row>
    <row r="3538" spans="6:8">
      <c r="F3538" s="6"/>
      <c r="G3538"/>
      <c r="H3538"/>
    </row>
    <row r="3539" spans="6:8">
      <c r="F3539" s="6"/>
      <c r="G3539"/>
      <c r="H3539"/>
    </row>
    <row r="3540" spans="6:8">
      <c r="F3540" s="6"/>
      <c r="G3540"/>
      <c r="H3540"/>
    </row>
    <row r="3541" spans="6:8">
      <c r="F3541" s="6"/>
      <c r="G3541"/>
      <c r="H3541"/>
    </row>
    <row r="3542" spans="6:8">
      <c r="F3542" s="6"/>
      <c r="G3542"/>
      <c r="H3542"/>
    </row>
    <row r="3543" spans="6:8">
      <c r="F3543" s="6"/>
      <c r="G3543"/>
      <c r="H3543"/>
    </row>
    <row r="3544" spans="6:8">
      <c r="F3544" s="6"/>
      <c r="G3544"/>
      <c r="H3544"/>
    </row>
    <row r="3545" spans="6:8">
      <c r="F3545" s="6"/>
      <c r="G3545"/>
      <c r="H3545"/>
    </row>
    <row r="3546" spans="6:8">
      <c r="F3546" s="6"/>
      <c r="G3546"/>
      <c r="H3546"/>
    </row>
    <row r="3547" spans="6:8">
      <c r="F3547" s="6"/>
      <c r="G3547"/>
      <c r="H3547"/>
    </row>
    <row r="3548" spans="6:8">
      <c r="F3548" s="6"/>
      <c r="G3548"/>
      <c r="H3548"/>
    </row>
    <row r="3549" spans="6:8">
      <c r="F3549" s="6"/>
      <c r="G3549"/>
      <c r="H3549"/>
    </row>
    <row r="3550" spans="6:8">
      <c r="F3550" s="6"/>
      <c r="G3550"/>
      <c r="H3550"/>
    </row>
    <row r="3551" spans="6:8">
      <c r="F3551" s="6"/>
      <c r="G3551"/>
      <c r="H3551"/>
    </row>
    <row r="3552" spans="6:8">
      <c r="F3552" s="6"/>
      <c r="G3552"/>
      <c r="H3552"/>
    </row>
    <row r="3553" spans="6:8">
      <c r="F3553" s="6"/>
      <c r="G3553"/>
      <c r="H3553"/>
    </row>
    <row r="3554" spans="6:8">
      <c r="F3554" s="6"/>
      <c r="G3554"/>
      <c r="H3554"/>
    </row>
    <row r="3555" spans="6:8">
      <c r="F3555" s="6"/>
      <c r="G3555"/>
      <c r="H3555"/>
    </row>
    <row r="3556" spans="6:8">
      <c r="F3556" s="6"/>
      <c r="G3556"/>
      <c r="H3556"/>
    </row>
    <row r="3557" spans="6:8">
      <c r="F3557" s="6"/>
      <c r="G3557"/>
      <c r="H3557"/>
    </row>
    <row r="3558" spans="6:8">
      <c r="F3558" s="6"/>
      <c r="G3558"/>
      <c r="H3558"/>
    </row>
    <row r="3559" spans="6:8">
      <c r="F3559" s="6"/>
      <c r="G3559"/>
      <c r="H3559"/>
    </row>
    <row r="3560" spans="6:8">
      <c r="F3560" s="6"/>
      <c r="G3560"/>
      <c r="H3560"/>
    </row>
    <row r="3561" spans="6:8">
      <c r="F3561" s="6"/>
      <c r="G3561"/>
      <c r="H3561"/>
    </row>
    <row r="3562" spans="6:8">
      <c r="F3562" s="6"/>
      <c r="G3562"/>
      <c r="H3562"/>
    </row>
    <row r="3563" spans="6:8">
      <c r="F3563" s="6"/>
      <c r="G3563"/>
      <c r="H3563"/>
    </row>
    <row r="3564" spans="6:8">
      <c r="F3564" s="6"/>
      <c r="G3564"/>
      <c r="H3564"/>
    </row>
    <row r="3565" spans="6:8">
      <c r="F3565" s="6"/>
      <c r="G3565"/>
      <c r="H3565"/>
    </row>
    <row r="3566" spans="6:8">
      <c r="F3566" s="6"/>
      <c r="G3566"/>
      <c r="H3566"/>
    </row>
    <row r="3567" spans="6:8">
      <c r="F3567" s="6"/>
      <c r="G3567"/>
      <c r="H3567"/>
    </row>
    <row r="3568" spans="6:8">
      <c r="F3568" s="6"/>
      <c r="G3568"/>
      <c r="H3568"/>
    </row>
    <row r="3569" spans="6:8">
      <c r="F3569" s="6"/>
      <c r="G3569"/>
      <c r="H3569"/>
    </row>
    <row r="3570" spans="6:8">
      <c r="F3570" s="6"/>
      <c r="G3570"/>
      <c r="H3570"/>
    </row>
    <row r="3571" spans="6:8">
      <c r="F3571" s="6"/>
      <c r="G3571"/>
      <c r="H3571"/>
    </row>
    <row r="3572" spans="6:8">
      <c r="F3572" s="6"/>
      <c r="G3572"/>
      <c r="H3572"/>
    </row>
    <row r="3573" spans="6:8">
      <c r="F3573" s="6"/>
      <c r="G3573"/>
      <c r="H3573"/>
    </row>
    <row r="3574" spans="6:8">
      <c r="F3574" s="6"/>
      <c r="G3574"/>
      <c r="H3574"/>
    </row>
    <row r="3575" spans="6:8">
      <c r="F3575" s="6"/>
      <c r="G3575"/>
      <c r="H3575"/>
    </row>
    <row r="3576" spans="6:8">
      <c r="F3576" s="6"/>
      <c r="G3576"/>
      <c r="H3576"/>
    </row>
    <row r="3577" spans="6:8">
      <c r="F3577" s="6"/>
      <c r="G3577"/>
      <c r="H3577"/>
    </row>
    <row r="3578" spans="6:8">
      <c r="F3578" s="6"/>
      <c r="G3578"/>
      <c r="H3578"/>
    </row>
    <row r="3579" spans="6:8">
      <c r="F3579" s="6"/>
      <c r="G3579"/>
      <c r="H3579"/>
    </row>
    <row r="3580" spans="6:8">
      <c r="F3580" s="6"/>
      <c r="G3580"/>
      <c r="H3580"/>
    </row>
    <row r="3581" spans="6:8">
      <c r="F3581" s="6"/>
      <c r="G3581"/>
      <c r="H3581"/>
    </row>
    <row r="3582" spans="6:8">
      <c r="F3582" s="6"/>
      <c r="G3582"/>
      <c r="H3582"/>
    </row>
    <row r="3583" spans="6:8">
      <c r="F3583" s="6"/>
      <c r="G3583"/>
      <c r="H3583"/>
    </row>
    <row r="3584" spans="6:8">
      <c r="F3584" s="6"/>
      <c r="G3584"/>
      <c r="H3584"/>
    </row>
    <row r="3585" spans="6:8">
      <c r="F3585" s="6"/>
      <c r="G3585"/>
      <c r="H3585"/>
    </row>
    <row r="3586" spans="6:8">
      <c r="F3586" s="6"/>
      <c r="G3586"/>
      <c r="H3586"/>
    </row>
    <row r="3587" spans="6:8">
      <c r="F3587" s="6"/>
      <c r="G3587"/>
      <c r="H3587"/>
    </row>
    <row r="3588" spans="6:8">
      <c r="F3588" s="6"/>
      <c r="G3588"/>
      <c r="H3588"/>
    </row>
    <row r="3589" spans="6:8">
      <c r="F3589" s="6"/>
      <c r="G3589"/>
      <c r="H3589"/>
    </row>
    <row r="3590" spans="6:8">
      <c r="F3590" s="6"/>
      <c r="G3590"/>
      <c r="H3590"/>
    </row>
    <row r="3591" spans="6:8">
      <c r="F3591" s="6"/>
      <c r="G3591"/>
      <c r="H3591"/>
    </row>
    <row r="3592" spans="6:8">
      <c r="F3592" s="6"/>
      <c r="G3592"/>
      <c r="H3592"/>
    </row>
    <row r="3593" spans="6:8">
      <c r="F3593" s="6"/>
      <c r="G3593"/>
      <c r="H3593"/>
    </row>
    <row r="3594" spans="6:8">
      <c r="F3594" s="6"/>
      <c r="G3594"/>
      <c r="H3594"/>
    </row>
    <row r="3595" spans="6:8">
      <c r="F3595" s="6"/>
      <c r="G3595"/>
      <c r="H3595"/>
    </row>
    <row r="3596" spans="6:8">
      <c r="F3596" s="6"/>
      <c r="G3596"/>
      <c r="H3596"/>
    </row>
    <row r="3597" spans="6:8">
      <c r="F3597" s="6"/>
      <c r="G3597"/>
      <c r="H3597"/>
    </row>
    <row r="3598" spans="6:8">
      <c r="F3598" s="6"/>
      <c r="G3598"/>
      <c r="H3598"/>
    </row>
    <row r="3599" spans="6:8">
      <c r="F3599" s="6"/>
      <c r="G3599"/>
      <c r="H3599"/>
    </row>
    <row r="3600" spans="6:8">
      <c r="F3600" s="6"/>
      <c r="G3600"/>
      <c r="H3600"/>
    </row>
    <row r="3601" spans="6:8">
      <c r="F3601" s="6"/>
      <c r="G3601"/>
      <c r="H3601"/>
    </row>
    <row r="3602" spans="6:8">
      <c r="F3602" s="6"/>
      <c r="G3602"/>
      <c r="H3602"/>
    </row>
    <row r="3603" spans="6:8">
      <c r="F3603" s="6"/>
      <c r="G3603"/>
      <c r="H3603"/>
    </row>
    <row r="3604" spans="6:8">
      <c r="F3604" s="6"/>
      <c r="G3604"/>
      <c r="H3604"/>
    </row>
    <row r="3605" spans="6:8">
      <c r="F3605" s="6"/>
      <c r="G3605"/>
      <c r="H3605"/>
    </row>
    <row r="3606" spans="6:8">
      <c r="F3606" s="6"/>
      <c r="G3606"/>
      <c r="H3606"/>
    </row>
    <row r="3607" spans="6:8">
      <c r="F3607" s="6"/>
      <c r="G3607"/>
      <c r="H3607"/>
    </row>
    <row r="3608" spans="6:8">
      <c r="F3608" s="6"/>
      <c r="G3608"/>
      <c r="H3608"/>
    </row>
    <row r="3609" spans="6:8">
      <c r="F3609" s="6"/>
      <c r="G3609"/>
      <c r="H3609"/>
    </row>
    <row r="3610" spans="6:8">
      <c r="F3610" s="6"/>
      <c r="G3610"/>
      <c r="H3610"/>
    </row>
    <row r="3611" spans="6:8">
      <c r="F3611" s="6"/>
      <c r="G3611"/>
      <c r="H3611"/>
    </row>
    <row r="3612" spans="6:8">
      <c r="F3612" s="6"/>
      <c r="G3612"/>
      <c r="H3612"/>
    </row>
    <row r="3613" spans="6:8">
      <c r="F3613" s="6"/>
      <c r="G3613"/>
      <c r="H3613"/>
    </row>
    <row r="3614" spans="6:8">
      <c r="F3614" s="6"/>
      <c r="G3614"/>
      <c r="H3614"/>
    </row>
    <row r="3615" spans="6:8">
      <c r="F3615" s="6"/>
      <c r="G3615"/>
      <c r="H3615"/>
    </row>
    <row r="3616" spans="6:8">
      <c r="F3616" s="6"/>
      <c r="G3616"/>
      <c r="H3616"/>
    </row>
    <row r="3617" spans="6:8">
      <c r="F3617" s="6"/>
      <c r="G3617"/>
      <c r="H3617"/>
    </row>
    <row r="3618" spans="6:8">
      <c r="F3618" s="6"/>
      <c r="G3618"/>
      <c r="H3618"/>
    </row>
    <row r="3619" spans="6:8">
      <c r="F3619" s="6"/>
      <c r="G3619"/>
      <c r="H3619"/>
    </row>
    <row r="3620" spans="6:8">
      <c r="F3620" s="6"/>
      <c r="G3620"/>
      <c r="H3620"/>
    </row>
    <row r="3621" spans="6:8">
      <c r="F3621" s="6"/>
      <c r="G3621"/>
      <c r="H3621"/>
    </row>
    <row r="3622" spans="6:8">
      <c r="F3622" s="6"/>
      <c r="G3622"/>
      <c r="H3622"/>
    </row>
    <row r="3623" spans="6:8">
      <c r="F3623" s="6"/>
      <c r="G3623"/>
      <c r="H3623"/>
    </row>
    <row r="3624" spans="6:8">
      <c r="F3624" s="6"/>
      <c r="G3624"/>
      <c r="H3624"/>
    </row>
    <row r="3625" spans="6:8">
      <c r="F3625" s="6"/>
      <c r="G3625"/>
      <c r="H3625"/>
    </row>
    <row r="3626" spans="6:8">
      <c r="F3626" s="6"/>
      <c r="G3626"/>
      <c r="H3626"/>
    </row>
    <row r="3627" spans="6:8">
      <c r="F3627" s="6"/>
      <c r="G3627"/>
      <c r="H3627"/>
    </row>
    <row r="3628" spans="6:8">
      <c r="F3628" s="6"/>
      <c r="G3628"/>
      <c r="H3628"/>
    </row>
    <row r="3629" spans="6:8">
      <c r="F3629" s="6"/>
      <c r="G3629"/>
      <c r="H3629"/>
    </row>
    <row r="3630" spans="6:8">
      <c r="F3630" s="6"/>
      <c r="G3630"/>
      <c r="H3630"/>
    </row>
    <row r="3631" spans="6:8">
      <c r="F3631" s="6"/>
      <c r="G3631"/>
      <c r="H3631"/>
    </row>
    <row r="3632" spans="6:8">
      <c r="F3632" s="6"/>
      <c r="G3632"/>
      <c r="H3632"/>
    </row>
    <row r="3633" spans="6:8">
      <c r="F3633" s="6"/>
      <c r="G3633"/>
      <c r="H3633"/>
    </row>
    <row r="3634" spans="6:8">
      <c r="F3634" s="6"/>
      <c r="G3634"/>
      <c r="H3634"/>
    </row>
    <row r="3635" spans="6:8">
      <c r="F3635" s="6"/>
      <c r="G3635"/>
      <c r="H3635"/>
    </row>
    <row r="3636" spans="6:8">
      <c r="F3636" s="6"/>
      <c r="G3636"/>
      <c r="H3636"/>
    </row>
    <row r="3637" spans="6:8">
      <c r="F3637" s="6"/>
      <c r="G3637"/>
      <c r="H3637"/>
    </row>
    <row r="3638" spans="6:8">
      <c r="F3638" s="6"/>
      <c r="G3638"/>
      <c r="H3638"/>
    </row>
    <row r="3639" spans="6:8">
      <c r="F3639" s="6"/>
      <c r="G3639"/>
      <c r="H3639"/>
    </row>
    <row r="3640" spans="6:8">
      <c r="F3640" s="6"/>
      <c r="G3640"/>
      <c r="H3640"/>
    </row>
    <row r="3641" spans="6:8">
      <c r="F3641" s="6"/>
      <c r="G3641"/>
      <c r="H3641"/>
    </row>
    <row r="3642" spans="6:8">
      <c r="F3642" s="6"/>
      <c r="G3642"/>
      <c r="H3642"/>
    </row>
    <row r="3643" spans="6:8">
      <c r="F3643" s="6"/>
      <c r="G3643"/>
      <c r="H3643"/>
    </row>
    <row r="3644" spans="6:8">
      <c r="F3644" s="6"/>
      <c r="G3644"/>
      <c r="H3644"/>
    </row>
    <row r="3645" spans="6:8">
      <c r="F3645" s="6"/>
      <c r="G3645"/>
      <c r="H3645"/>
    </row>
    <row r="3646" spans="6:8">
      <c r="F3646" s="6"/>
      <c r="G3646"/>
      <c r="H3646"/>
    </row>
    <row r="3647" spans="6:8">
      <c r="F3647" s="6"/>
      <c r="G3647"/>
      <c r="H3647"/>
    </row>
    <row r="3648" spans="6:8">
      <c r="F3648" s="6"/>
      <c r="G3648"/>
      <c r="H3648"/>
    </row>
    <row r="3649" spans="6:8">
      <c r="F3649" s="6"/>
      <c r="G3649"/>
      <c r="H3649"/>
    </row>
    <row r="3650" spans="6:8">
      <c r="F3650" s="6"/>
      <c r="G3650"/>
      <c r="H3650"/>
    </row>
    <row r="3651" spans="6:8">
      <c r="F3651" s="6"/>
      <c r="G3651"/>
      <c r="H3651"/>
    </row>
    <row r="3652" spans="6:8">
      <c r="F3652" s="6"/>
      <c r="G3652"/>
      <c r="H3652"/>
    </row>
    <row r="3653" spans="6:8">
      <c r="F3653" s="6"/>
      <c r="G3653"/>
      <c r="H3653"/>
    </row>
    <row r="3654" spans="6:8">
      <c r="F3654" s="6"/>
      <c r="G3654"/>
      <c r="H3654"/>
    </row>
    <row r="3655" spans="6:8">
      <c r="F3655" s="6"/>
      <c r="G3655"/>
      <c r="H3655"/>
    </row>
    <row r="3656" spans="6:8">
      <c r="F3656" s="6"/>
      <c r="G3656"/>
      <c r="H3656"/>
    </row>
    <row r="3657" spans="6:8">
      <c r="F3657" s="6"/>
      <c r="G3657"/>
      <c r="H3657"/>
    </row>
    <row r="3658" spans="6:8">
      <c r="F3658" s="6"/>
      <c r="G3658"/>
      <c r="H3658"/>
    </row>
    <row r="3659" spans="6:8">
      <c r="F3659" s="6"/>
      <c r="G3659"/>
      <c r="H3659"/>
    </row>
    <row r="3660" spans="6:8">
      <c r="F3660" s="6"/>
      <c r="G3660"/>
      <c r="H3660"/>
    </row>
    <row r="3661" spans="6:8">
      <c r="F3661" s="6"/>
      <c r="G3661"/>
      <c r="H3661"/>
    </row>
    <row r="3662" spans="6:8">
      <c r="F3662" s="6"/>
      <c r="G3662"/>
      <c r="H3662"/>
    </row>
    <row r="3663" spans="6:8">
      <c r="F3663" s="6"/>
      <c r="G3663"/>
      <c r="H3663"/>
    </row>
    <row r="3664" spans="6:8">
      <c r="F3664" s="6"/>
      <c r="G3664"/>
      <c r="H3664"/>
    </row>
    <row r="3665" spans="6:8">
      <c r="F3665" s="6"/>
      <c r="G3665"/>
      <c r="H3665"/>
    </row>
    <row r="3666" spans="6:8">
      <c r="F3666" s="6"/>
      <c r="G3666"/>
      <c r="H3666"/>
    </row>
    <row r="3667" spans="6:8">
      <c r="F3667" s="6"/>
      <c r="G3667"/>
      <c r="H3667"/>
    </row>
    <row r="3668" spans="6:8">
      <c r="F3668" s="6"/>
      <c r="G3668"/>
      <c r="H3668"/>
    </row>
    <row r="3669" spans="6:8">
      <c r="F3669" s="6"/>
      <c r="G3669"/>
      <c r="H3669"/>
    </row>
    <row r="3670" spans="6:8">
      <c r="F3670" s="6"/>
      <c r="G3670"/>
      <c r="H3670"/>
    </row>
    <row r="3671" spans="6:8">
      <c r="F3671" s="6"/>
      <c r="G3671"/>
      <c r="H3671"/>
    </row>
    <row r="3672" spans="6:8">
      <c r="F3672" s="6"/>
      <c r="G3672"/>
      <c r="H3672"/>
    </row>
    <row r="3673" spans="6:8">
      <c r="F3673" s="6"/>
      <c r="G3673"/>
      <c r="H3673"/>
    </row>
    <row r="3674" spans="6:8">
      <c r="F3674" s="6"/>
      <c r="G3674"/>
      <c r="H3674"/>
    </row>
    <row r="3675" spans="6:8">
      <c r="F3675" s="6"/>
      <c r="G3675"/>
      <c r="H3675"/>
    </row>
    <row r="3676" spans="6:8">
      <c r="F3676" s="6"/>
      <c r="G3676"/>
      <c r="H3676"/>
    </row>
    <row r="3677" spans="6:8">
      <c r="F3677" s="6"/>
      <c r="G3677"/>
      <c r="H3677"/>
    </row>
    <row r="3678" spans="6:8">
      <c r="F3678" s="6"/>
      <c r="G3678"/>
      <c r="H3678"/>
    </row>
    <row r="3679" spans="6:8">
      <c r="F3679" s="6"/>
      <c r="G3679"/>
      <c r="H3679"/>
    </row>
    <row r="3680" spans="6:8">
      <c r="F3680" s="6"/>
      <c r="G3680"/>
      <c r="H3680"/>
    </row>
    <row r="3681" spans="6:8">
      <c r="F3681" s="6"/>
      <c r="G3681"/>
      <c r="H3681"/>
    </row>
    <row r="3682" spans="6:8">
      <c r="F3682" s="6"/>
      <c r="G3682"/>
      <c r="H3682"/>
    </row>
    <row r="3683" spans="6:8">
      <c r="F3683" s="6"/>
      <c r="G3683"/>
      <c r="H3683"/>
    </row>
    <row r="3684" spans="6:8">
      <c r="F3684" s="6"/>
      <c r="G3684"/>
      <c r="H3684"/>
    </row>
    <row r="3685" spans="6:8">
      <c r="F3685" s="6"/>
      <c r="G3685"/>
      <c r="H3685"/>
    </row>
    <row r="3686" spans="6:8">
      <c r="F3686" s="6"/>
      <c r="G3686"/>
      <c r="H3686"/>
    </row>
    <row r="3687" spans="6:8">
      <c r="F3687" s="6"/>
      <c r="G3687"/>
      <c r="H3687"/>
    </row>
    <row r="3688" spans="6:8">
      <c r="F3688" s="6"/>
      <c r="G3688"/>
      <c r="H3688"/>
    </row>
    <row r="3689" spans="6:8">
      <c r="F3689" s="6"/>
      <c r="G3689"/>
      <c r="H3689"/>
    </row>
    <row r="3690" spans="6:8">
      <c r="F3690" s="6"/>
      <c r="G3690"/>
      <c r="H3690"/>
    </row>
    <row r="3691" spans="6:8">
      <c r="F3691" s="6"/>
      <c r="G3691"/>
      <c r="H3691"/>
    </row>
    <row r="3692" spans="6:8">
      <c r="F3692" s="6"/>
      <c r="G3692"/>
      <c r="H3692"/>
    </row>
    <row r="3693" spans="6:8">
      <c r="F3693" s="6"/>
      <c r="G3693"/>
      <c r="H3693"/>
    </row>
    <row r="3694" spans="6:8">
      <c r="F3694" s="6"/>
      <c r="G3694"/>
      <c r="H3694"/>
    </row>
    <row r="3695" spans="6:8">
      <c r="F3695" s="6"/>
      <c r="G3695"/>
      <c r="H3695"/>
    </row>
    <row r="3696" spans="6:8">
      <c r="F3696" s="6"/>
      <c r="G3696"/>
      <c r="H3696"/>
    </row>
    <row r="3697" spans="6:8">
      <c r="F3697" s="6"/>
      <c r="G3697"/>
      <c r="H3697"/>
    </row>
    <row r="3698" spans="6:8">
      <c r="F3698" s="6"/>
      <c r="G3698"/>
      <c r="H3698"/>
    </row>
    <row r="3699" spans="6:8">
      <c r="F3699" s="6"/>
      <c r="G3699"/>
      <c r="H3699"/>
    </row>
    <row r="3700" spans="6:8">
      <c r="F3700" s="6"/>
      <c r="G3700"/>
      <c r="H3700"/>
    </row>
    <row r="3701" spans="6:8">
      <c r="F3701" s="6"/>
      <c r="G3701"/>
      <c r="H3701"/>
    </row>
    <row r="3702" spans="6:8">
      <c r="F3702" s="6"/>
      <c r="G3702"/>
      <c r="H3702"/>
    </row>
    <row r="3703" spans="6:8">
      <c r="F3703" s="6"/>
      <c r="G3703"/>
      <c r="H3703"/>
    </row>
    <row r="3704" spans="6:8">
      <c r="F3704" s="6"/>
      <c r="G3704"/>
      <c r="H3704"/>
    </row>
    <row r="3705" spans="6:8">
      <c r="F3705" s="6"/>
      <c r="G3705"/>
      <c r="H3705"/>
    </row>
    <row r="3706" spans="6:8">
      <c r="F3706" s="6"/>
      <c r="G3706"/>
      <c r="H3706"/>
    </row>
    <row r="3707" spans="6:8">
      <c r="F3707" s="6"/>
      <c r="G3707"/>
      <c r="H3707"/>
    </row>
    <row r="3708" spans="6:8">
      <c r="F3708" s="6"/>
      <c r="G3708"/>
      <c r="H3708"/>
    </row>
    <row r="3709" spans="6:8">
      <c r="F3709" s="6"/>
      <c r="G3709"/>
      <c r="H3709"/>
    </row>
    <row r="3710" spans="6:8">
      <c r="F3710" s="6"/>
      <c r="G3710"/>
      <c r="H3710"/>
    </row>
    <row r="3711" spans="6:8">
      <c r="F3711" s="6"/>
      <c r="G3711"/>
      <c r="H3711"/>
    </row>
    <row r="3712" spans="6:8">
      <c r="F3712" s="6"/>
      <c r="G3712"/>
      <c r="H3712"/>
    </row>
    <row r="3713" spans="6:8">
      <c r="F3713" s="6"/>
      <c r="G3713"/>
      <c r="H3713"/>
    </row>
    <row r="3714" spans="6:8">
      <c r="F3714" s="6"/>
      <c r="G3714"/>
      <c r="H3714"/>
    </row>
    <row r="3715" spans="6:8">
      <c r="F3715" s="6"/>
      <c r="G3715"/>
      <c r="H3715"/>
    </row>
    <row r="3716" spans="6:8">
      <c r="F3716" s="6"/>
      <c r="G3716"/>
      <c r="H3716"/>
    </row>
    <row r="3717" spans="6:8">
      <c r="F3717" s="6"/>
      <c r="G3717"/>
      <c r="H3717"/>
    </row>
    <row r="3718" spans="6:8">
      <c r="F3718" s="6"/>
      <c r="G3718"/>
      <c r="H3718"/>
    </row>
    <row r="3719" spans="6:8">
      <c r="F3719" s="6"/>
      <c r="G3719"/>
      <c r="H3719"/>
    </row>
    <row r="3720" spans="6:8">
      <c r="F3720" s="6"/>
      <c r="G3720"/>
      <c r="H3720"/>
    </row>
    <row r="3721" spans="6:8">
      <c r="F3721" s="6"/>
      <c r="G3721"/>
      <c r="H3721"/>
    </row>
    <row r="3722" spans="6:8">
      <c r="F3722" s="6"/>
      <c r="G3722"/>
      <c r="H3722"/>
    </row>
    <row r="3723" spans="6:8">
      <c r="F3723" s="6"/>
      <c r="G3723"/>
      <c r="H3723"/>
    </row>
    <row r="3724" spans="6:8">
      <c r="F3724" s="6"/>
      <c r="G3724"/>
      <c r="H3724"/>
    </row>
    <row r="3725" spans="6:8">
      <c r="F3725" s="6"/>
      <c r="G3725"/>
      <c r="H3725"/>
    </row>
    <row r="3726" spans="6:8">
      <c r="F3726" s="6"/>
      <c r="G3726"/>
      <c r="H3726"/>
    </row>
    <row r="3727" spans="6:8">
      <c r="F3727" s="6"/>
      <c r="G3727"/>
      <c r="H3727"/>
    </row>
    <row r="3728" spans="6:8">
      <c r="F3728" s="6"/>
      <c r="G3728"/>
      <c r="H3728"/>
    </row>
    <row r="3729" spans="6:8">
      <c r="F3729" s="6"/>
      <c r="G3729"/>
      <c r="H3729"/>
    </row>
    <row r="3730" spans="6:8">
      <c r="F3730" s="6"/>
      <c r="G3730"/>
      <c r="H3730"/>
    </row>
    <row r="3731" spans="6:8">
      <c r="F3731" s="6"/>
      <c r="G3731"/>
      <c r="H3731"/>
    </row>
    <row r="3732" spans="6:8">
      <c r="F3732" s="6"/>
      <c r="G3732"/>
      <c r="H3732"/>
    </row>
    <row r="3733" spans="6:8">
      <c r="F3733" s="6"/>
      <c r="G3733"/>
      <c r="H3733"/>
    </row>
    <row r="3734" spans="6:8">
      <c r="F3734" s="6"/>
      <c r="G3734"/>
      <c r="H3734"/>
    </row>
    <row r="3735" spans="6:8">
      <c r="F3735" s="6"/>
      <c r="G3735"/>
      <c r="H3735"/>
    </row>
    <row r="3736" spans="6:8">
      <c r="F3736" s="6"/>
      <c r="G3736"/>
      <c r="H3736"/>
    </row>
    <row r="3737" spans="6:8">
      <c r="F3737" s="6"/>
      <c r="G3737"/>
      <c r="H3737"/>
    </row>
    <row r="3738" spans="6:8">
      <c r="F3738" s="6"/>
      <c r="G3738"/>
      <c r="H3738"/>
    </row>
    <row r="3739" spans="6:8">
      <c r="F3739" s="6"/>
      <c r="G3739"/>
      <c r="H3739"/>
    </row>
    <row r="3740" spans="6:8">
      <c r="F3740" s="6"/>
      <c r="G3740"/>
      <c r="H3740"/>
    </row>
    <row r="3741" spans="6:8">
      <c r="F3741" s="6"/>
      <c r="G3741"/>
      <c r="H3741"/>
    </row>
    <row r="3742" spans="6:8">
      <c r="F3742" s="6"/>
      <c r="G3742"/>
      <c r="H3742"/>
    </row>
    <row r="3743" spans="6:8">
      <c r="F3743" s="6"/>
      <c r="G3743"/>
      <c r="H3743"/>
    </row>
    <row r="3744" spans="6:8">
      <c r="F3744" s="6"/>
      <c r="G3744"/>
      <c r="H3744"/>
    </row>
    <row r="3745" spans="6:8">
      <c r="F3745" s="6"/>
      <c r="G3745"/>
      <c r="H3745"/>
    </row>
    <row r="3746" spans="6:8">
      <c r="F3746" s="6"/>
      <c r="G3746"/>
      <c r="H3746"/>
    </row>
    <row r="3747" spans="6:8">
      <c r="F3747" s="6"/>
      <c r="G3747"/>
      <c r="H3747"/>
    </row>
    <row r="3748" spans="6:8">
      <c r="F3748" s="6"/>
      <c r="G3748"/>
      <c r="H3748"/>
    </row>
    <row r="3749" spans="6:8">
      <c r="F3749" s="6"/>
      <c r="G3749"/>
      <c r="H3749"/>
    </row>
    <row r="3750" spans="6:8">
      <c r="F3750" s="6"/>
      <c r="G3750"/>
      <c r="H3750"/>
    </row>
    <row r="3751" spans="6:8">
      <c r="F3751" s="6"/>
      <c r="G3751"/>
      <c r="H3751"/>
    </row>
    <row r="3752" spans="6:8">
      <c r="F3752" s="6"/>
      <c r="G3752"/>
      <c r="H3752"/>
    </row>
    <row r="3753" spans="6:8">
      <c r="F3753" s="6"/>
      <c r="G3753"/>
      <c r="H3753"/>
    </row>
    <row r="3754" spans="6:8">
      <c r="F3754" s="6"/>
      <c r="G3754"/>
      <c r="H3754"/>
    </row>
    <row r="3755" spans="6:8">
      <c r="F3755" s="6"/>
      <c r="G3755"/>
      <c r="H3755"/>
    </row>
    <row r="3756" spans="6:8">
      <c r="F3756" s="6"/>
      <c r="G3756"/>
      <c r="H3756"/>
    </row>
    <row r="3757" spans="6:8">
      <c r="F3757" s="6"/>
      <c r="G3757"/>
      <c r="H3757"/>
    </row>
    <row r="3758" spans="6:8">
      <c r="F3758" s="6"/>
      <c r="G3758"/>
      <c r="H3758"/>
    </row>
    <row r="3759" spans="6:8">
      <c r="F3759" s="6"/>
      <c r="G3759"/>
      <c r="H3759"/>
    </row>
    <row r="3760" spans="6:8">
      <c r="F3760" s="6"/>
      <c r="G3760"/>
      <c r="H3760"/>
    </row>
    <row r="3761" spans="6:8">
      <c r="F3761" s="6"/>
      <c r="G3761"/>
      <c r="H3761"/>
    </row>
    <row r="3762" spans="6:8">
      <c r="F3762" s="6"/>
      <c r="G3762"/>
      <c r="H3762"/>
    </row>
    <row r="3763" spans="6:8">
      <c r="F3763" s="6"/>
      <c r="G3763"/>
      <c r="H3763"/>
    </row>
    <row r="3764" spans="6:8">
      <c r="F3764" s="6"/>
      <c r="G3764"/>
      <c r="H3764"/>
    </row>
    <row r="3765" spans="6:8">
      <c r="F3765" s="6"/>
      <c r="G3765"/>
      <c r="H3765"/>
    </row>
    <row r="3766" spans="6:8">
      <c r="F3766" s="6"/>
      <c r="G3766"/>
      <c r="H3766"/>
    </row>
    <row r="3767" spans="6:8">
      <c r="F3767" s="6"/>
      <c r="G3767"/>
      <c r="H3767"/>
    </row>
    <row r="3768" spans="6:8">
      <c r="F3768" s="6"/>
      <c r="G3768"/>
      <c r="H3768"/>
    </row>
    <row r="3769" spans="6:8">
      <c r="F3769" s="6"/>
      <c r="G3769"/>
      <c r="H3769"/>
    </row>
    <row r="3770" spans="6:8">
      <c r="F3770" s="6"/>
      <c r="G3770"/>
      <c r="H3770"/>
    </row>
    <row r="3771" spans="6:8">
      <c r="F3771" s="6"/>
      <c r="G3771"/>
      <c r="H3771"/>
    </row>
    <row r="3772" spans="6:8">
      <c r="F3772" s="6"/>
      <c r="G3772"/>
      <c r="H3772"/>
    </row>
    <row r="3773" spans="6:8">
      <c r="F3773" s="6"/>
      <c r="G3773"/>
      <c r="H3773"/>
    </row>
    <row r="3774" spans="6:8">
      <c r="F3774" s="6"/>
      <c r="G3774"/>
      <c r="H3774"/>
    </row>
    <row r="3775" spans="6:8">
      <c r="F3775" s="6"/>
      <c r="G3775"/>
      <c r="H3775"/>
    </row>
    <row r="3776" spans="6:8">
      <c r="F3776" s="6"/>
      <c r="G3776"/>
      <c r="H3776"/>
    </row>
    <row r="3777" spans="6:8">
      <c r="F3777" s="6"/>
      <c r="G3777"/>
      <c r="H3777"/>
    </row>
    <row r="3778" spans="6:8">
      <c r="F3778" s="6"/>
      <c r="G3778"/>
      <c r="H3778"/>
    </row>
    <row r="3779" spans="6:8">
      <c r="F3779" s="6"/>
      <c r="G3779"/>
      <c r="H3779"/>
    </row>
    <row r="3780" spans="6:8">
      <c r="F3780" s="6"/>
      <c r="G3780"/>
      <c r="H3780"/>
    </row>
    <row r="3781" spans="6:8">
      <c r="F3781" s="6"/>
      <c r="G3781"/>
      <c r="H3781"/>
    </row>
    <row r="3782" spans="6:8">
      <c r="F3782" s="6"/>
      <c r="G3782"/>
      <c r="H3782"/>
    </row>
    <row r="3783" spans="6:8">
      <c r="F3783" s="6"/>
      <c r="G3783"/>
      <c r="H3783"/>
    </row>
    <row r="3784" spans="6:8">
      <c r="F3784" s="6"/>
      <c r="G3784"/>
      <c r="H3784"/>
    </row>
    <row r="3785" spans="6:8">
      <c r="F3785" s="6"/>
      <c r="G3785"/>
      <c r="H3785"/>
    </row>
    <row r="3786" spans="6:8">
      <c r="F3786" s="6"/>
      <c r="G3786"/>
      <c r="H3786"/>
    </row>
    <row r="3787" spans="6:8">
      <c r="F3787" s="6"/>
      <c r="G3787"/>
      <c r="H3787"/>
    </row>
    <row r="3788" spans="6:8">
      <c r="F3788" s="6"/>
      <c r="G3788"/>
      <c r="H3788"/>
    </row>
    <row r="3789" spans="6:8">
      <c r="F3789" s="6"/>
      <c r="G3789"/>
      <c r="H3789"/>
    </row>
    <row r="3790" spans="6:8">
      <c r="F3790" s="6"/>
      <c r="G3790"/>
      <c r="H3790"/>
    </row>
    <row r="3791" spans="6:8">
      <c r="F3791" s="6"/>
      <c r="G3791"/>
      <c r="H3791"/>
    </row>
    <row r="3792" spans="6:8">
      <c r="F3792" s="6"/>
      <c r="G3792"/>
      <c r="H3792"/>
    </row>
    <row r="3793" spans="6:8">
      <c r="F3793" s="6"/>
      <c r="G3793"/>
      <c r="H3793"/>
    </row>
    <row r="3794" spans="6:8">
      <c r="F3794" s="6"/>
      <c r="G3794"/>
      <c r="H3794"/>
    </row>
    <row r="3795" spans="6:8">
      <c r="F3795" s="6"/>
      <c r="G3795"/>
      <c r="H3795"/>
    </row>
    <row r="3796" spans="6:8">
      <c r="F3796" s="6"/>
      <c r="G3796"/>
      <c r="H3796"/>
    </row>
    <row r="3797" spans="6:8">
      <c r="F3797" s="6"/>
      <c r="G3797"/>
      <c r="H3797"/>
    </row>
    <row r="3798" spans="6:8">
      <c r="F3798" s="6"/>
      <c r="G3798"/>
      <c r="H3798"/>
    </row>
    <row r="3799" spans="6:8">
      <c r="F3799" s="6"/>
      <c r="G3799"/>
      <c r="H3799"/>
    </row>
    <row r="3800" spans="6:8">
      <c r="F3800" s="6"/>
      <c r="G3800"/>
      <c r="H3800"/>
    </row>
    <row r="3801" spans="6:8">
      <c r="F3801" s="6"/>
      <c r="G3801"/>
      <c r="H3801"/>
    </row>
    <row r="3802" spans="6:8">
      <c r="F3802" s="6"/>
      <c r="G3802"/>
      <c r="H3802"/>
    </row>
    <row r="3803" spans="6:8">
      <c r="F3803" s="6"/>
      <c r="G3803"/>
      <c r="H3803"/>
    </row>
    <row r="3804" spans="6:8">
      <c r="F3804" s="6"/>
      <c r="G3804"/>
      <c r="H3804"/>
    </row>
    <row r="3805" spans="6:8">
      <c r="F3805" s="6"/>
      <c r="G3805"/>
      <c r="H3805"/>
    </row>
    <row r="3806" spans="6:8">
      <c r="F3806" s="6"/>
      <c r="G3806"/>
      <c r="H3806"/>
    </row>
    <row r="3807" spans="6:8">
      <c r="F3807" s="6"/>
      <c r="G3807"/>
      <c r="H3807"/>
    </row>
    <row r="3808" spans="6:8">
      <c r="F3808" s="6"/>
      <c r="G3808"/>
      <c r="H3808"/>
    </row>
    <row r="3809" spans="6:8">
      <c r="F3809" s="6"/>
      <c r="G3809"/>
      <c r="H3809"/>
    </row>
    <row r="3810" spans="6:8">
      <c r="F3810" s="6"/>
      <c r="G3810"/>
      <c r="H3810"/>
    </row>
    <row r="3811" spans="6:8">
      <c r="F3811" s="6"/>
      <c r="G3811"/>
      <c r="H3811"/>
    </row>
    <row r="3812" spans="6:8">
      <c r="F3812" s="6"/>
      <c r="G3812"/>
      <c r="H3812"/>
    </row>
    <row r="3813" spans="6:8">
      <c r="F3813" s="6"/>
      <c r="G3813"/>
      <c r="H3813"/>
    </row>
    <row r="3814" spans="6:8">
      <c r="F3814" s="6"/>
      <c r="G3814"/>
      <c r="H3814"/>
    </row>
    <row r="3815" spans="6:8">
      <c r="F3815" s="6"/>
      <c r="G3815"/>
      <c r="H3815"/>
    </row>
    <row r="3816" spans="6:8">
      <c r="F3816" s="6"/>
      <c r="G3816"/>
      <c r="H3816"/>
    </row>
    <row r="3817" spans="6:8">
      <c r="F3817" s="6"/>
      <c r="G3817"/>
      <c r="H3817"/>
    </row>
    <row r="3818" spans="6:8">
      <c r="F3818" s="6"/>
      <c r="G3818"/>
      <c r="H3818"/>
    </row>
    <row r="3819" spans="6:8">
      <c r="F3819" s="6"/>
      <c r="G3819"/>
      <c r="H3819"/>
    </row>
    <row r="3820" spans="6:8">
      <c r="F3820" s="6"/>
      <c r="G3820"/>
      <c r="H3820"/>
    </row>
    <row r="3821" spans="6:8">
      <c r="F3821" s="6"/>
      <c r="G3821"/>
      <c r="H3821"/>
    </row>
    <row r="3822" spans="6:8">
      <c r="F3822" s="6"/>
      <c r="G3822"/>
      <c r="H3822"/>
    </row>
    <row r="3823" spans="6:8">
      <c r="F3823" s="6"/>
      <c r="G3823"/>
      <c r="H3823"/>
    </row>
    <row r="3824" spans="6:8">
      <c r="F3824" s="6"/>
      <c r="G3824"/>
      <c r="H3824"/>
    </row>
    <row r="3825" spans="6:8">
      <c r="F3825" s="6"/>
      <c r="G3825"/>
      <c r="H3825"/>
    </row>
    <row r="3826" spans="6:8">
      <c r="F3826" s="6"/>
      <c r="G3826"/>
      <c r="H3826"/>
    </row>
    <row r="3827" spans="6:8">
      <c r="F3827" s="6"/>
      <c r="G3827"/>
      <c r="H3827"/>
    </row>
    <row r="3828" spans="6:8">
      <c r="F3828" s="6"/>
      <c r="G3828"/>
      <c r="H3828"/>
    </row>
    <row r="3829" spans="6:8">
      <c r="F3829" s="6"/>
      <c r="G3829"/>
      <c r="H3829"/>
    </row>
    <row r="3830" spans="6:8">
      <c r="F3830" s="6"/>
      <c r="G3830"/>
      <c r="H3830"/>
    </row>
    <row r="3831" spans="6:8">
      <c r="F3831" s="6"/>
      <c r="G3831"/>
      <c r="H3831"/>
    </row>
    <row r="3832" spans="6:8">
      <c r="F3832" s="6"/>
      <c r="G3832"/>
      <c r="H3832"/>
    </row>
    <row r="3833" spans="6:8">
      <c r="F3833" s="6"/>
      <c r="G3833"/>
      <c r="H3833"/>
    </row>
    <row r="3834" spans="6:8">
      <c r="F3834" s="6"/>
      <c r="G3834"/>
      <c r="H3834"/>
    </row>
    <row r="3835" spans="6:8">
      <c r="F3835" s="6"/>
      <c r="G3835"/>
      <c r="H3835"/>
    </row>
    <row r="3836" spans="6:8">
      <c r="F3836" s="6"/>
      <c r="G3836"/>
      <c r="H3836"/>
    </row>
    <row r="3837" spans="6:8">
      <c r="F3837" s="6"/>
      <c r="G3837"/>
      <c r="H3837"/>
    </row>
    <row r="3838" spans="6:8">
      <c r="F3838" s="6"/>
      <c r="G3838"/>
      <c r="H3838"/>
    </row>
    <row r="3839" spans="6:8">
      <c r="F3839" s="6"/>
      <c r="G3839"/>
      <c r="H3839"/>
    </row>
    <row r="3840" spans="6:8">
      <c r="F3840" s="6"/>
      <c r="G3840"/>
      <c r="H3840"/>
    </row>
    <row r="3841" spans="6:8">
      <c r="F3841" s="6"/>
      <c r="G3841"/>
      <c r="H3841"/>
    </row>
    <row r="3842" spans="6:8">
      <c r="F3842" s="6"/>
      <c r="G3842"/>
      <c r="H3842"/>
    </row>
    <row r="3843" spans="6:8">
      <c r="F3843" s="6"/>
      <c r="G3843"/>
      <c r="H3843"/>
    </row>
    <row r="3844" spans="6:8">
      <c r="F3844" s="6"/>
      <c r="G3844"/>
      <c r="H3844"/>
    </row>
    <row r="3845" spans="6:8">
      <c r="F3845" s="6"/>
      <c r="G3845"/>
      <c r="H3845"/>
    </row>
    <row r="3846" spans="6:8">
      <c r="F3846" s="6"/>
      <c r="G3846"/>
      <c r="H3846"/>
    </row>
    <row r="3847" spans="6:8">
      <c r="F3847" s="6"/>
      <c r="G3847"/>
      <c r="H3847"/>
    </row>
    <row r="3848" spans="6:8">
      <c r="F3848" s="6"/>
      <c r="G3848"/>
      <c r="H3848"/>
    </row>
    <row r="3849" spans="6:8">
      <c r="F3849" s="6"/>
      <c r="G3849"/>
      <c r="H3849"/>
    </row>
    <row r="3850" spans="6:8">
      <c r="F3850" s="6"/>
      <c r="G3850"/>
      <c r="H3850"/>
    </row>
    <row r="3851" spans="6:8">
      <c r="F3851" s="6"/>
      <c r="G3851"/>
      <c r="H3851"/>
    </row>
    <row r="3852" spans="6:8">
      <c r="F3852" s="6"/>
      <c r="G3852"/>
      <c r="H3852"/>
    </row>
    <row r="3853" spans="6:8">
      <c r="F3853" s="6"/>
      <c r="G3853"/>
      <c r="H3853"/>
    </row>
    <row r="3854" spans="6:8">
      <c r="F3854" s="6"/>
      <c r="G3854"/>
      <c r="H3854"/>
    </row>
    <row r="3855" spans="6:8">
      <c r="F3855" s="6"/>
      <c r="G3855"/>
      <c r="H3855"/>
    </row>
    <row r="3856" spans="6:8">
      <c r="F3856" s="6"/>
      <c r="G3856"/>
      <c r="H3856"/>
    </row>
    <row r="3857" spans="6:8">
      <c r="F3857" s="6"/>
      <c r="G3857"/>
      <c r="H3857"/>
    </row>
    <row r="3858" spans="6:8">
      <c r="F3858" s="6"/>
      <c r="G3858"/>
      <c r="H3858"/>
    </row>
    <row r="3859" spans="6:8">
      <c r="F3859" s="6"/>
      <c r="G3859"/>
      <c r="H3859"/>
    </row>
    <row r="3860" spans="6:8">
      <c r="F3860" s="6"/>
      <c r="G3860"/>
      <c r="H3860"/>
    </row>
    <row r="3861" spans="6:8">
      <c r="F3861" s="6"/>
      <c r="G3861"/>
      <c r="H3861"/>
    </row>
    <row r="3862" spans="6:8">
      <c r="F3862" s="6"/>
      <c r="G3862"/>
      <c r="H3862"/>
    </row>
    <row r="3863" spans="6:8">
      <c r="F3863" s="6"/>
      <c r="G3863"/>
      <c r="H3863"/>
    </row>
    <row r="3864" spans="6:8">
      <c r="F3864" s="6"/>
      <c r="G3864"/>
      <c r="H3864"/>
    </row>
    <row r="3865" spans="6:8">
      <c r="F3865" s="6"/>
      <c r="G3865"/>
      <c r="H3865"/>
    </row>
    <row r="3866" spans="6:8">
      <c r="F3866" s="6"/>
      <c r="G3866"/>
      <c r="H3866"/>
    </row>
    <row r="3867" spans="6:8">
      <c r="F3867" s="6"/>
      <c r="G3867"/>
      <c r="H3867"/>
    </row>
    <row r="3868" spans="6:8">
      <c r="F3868" s="6"/>
      <c r="G3868"/>
      <c r="H3868"/>
    </row>
    <row r="3869" spans="6:8">
      <c r="F3869" s="6"/>
      <c r="G3869"/>
      <c r="H3869"/>
    </row>
    <row r="3870" spans="6:8">
      <c r="F3870" s="6"/>
      <c r="G3870"/>
      <c r="H3870"/>
    </row>
    <row r="3871" spans="6:8">
      <c r="F3871" s="6"/>
      <c r="G3871"/>
      <c r="H3871"/>
    </row>
    <row r="3872" spans="6:8">
      <c r="F3872" s="6"/>
      <c r="G3872"/>
      <c r="H3872"/>
    </row>
    <row r="3873" spans="6:8">
      <c r="F3873" s="6"/>
      <c r="G3873"/>
      <c r="H3873"/>
    </row>
    <row r="3874" spans="6:8">
      <c r="F3874" s="6"/>
      <c r="G3874"/>
      <c r="H3874"/>
    </row>
    <row r="3875" spans="6:8">
      <c r="F3875" s="6"/>
      <c r="G3875"/>
      <c r="H3875"/>
    </row>
    <row r="3876" spans="6:8">
      <c r="F3876" s="6"/>
      <c r="G3876"/>
      <c r="H3876"/>
    </row>
    <row r="3877" spans="6:8">
      <c r="F3877" s="6"/>
      <c r="G3877"/>
      <c r="H3877"/>
    </row>
    <row r="3878" spans="6:8">
      <c r="F3878" s="6"/>
      <c r="G3878"/>
      <c r="H3878"/>
    </row>
    <row r="3879" spans="6:8">
      <c r="F3879" s="6"/>
      <c r="G3879"/>
      <c r="H3879"/>
    </row>
    <row r="3880" spans="6:8">
      <c r="F3880" s="6"/>
      <c r="G3880"/>
      <c r="H3880"/>
    </row>
    <row r="3881" spans="6:8">
      <c r="F3881" s="6"/>
      <c r="G3881"/>
      <c r="H3881"/>
    </row>
    <row r="3882" spans="6:8">
      <c r="F3882" s="6"/>
      <c r="G3882"/>
      <c r="H3882"/>
    </row>
    <row r="3883" spans="6:8">
      <c r="F3883" s="6"/>
      <c r="G3883"/>
      <c r="H3883"/>
    </row>
    <row r="3884" spans="6:8">
      <c r="F3884" s="6"/>
      <c r="G3884"/>
      <c r="H3884"/>
    </row>
    <row r="3885" spans="6:8">
      <c r="F3885" s="6"/>
      <c r="G3885"/>
      <c r="H3885"/>
    </row>
    <row r="3886" spans="6:8">
      <c r="F3886" s="6"/>
      <c r="G3886"/>
      <c r="H3886"/>
    </row>
    <row r="3887" spans="6:8">
      <c r="F3887" s="6"/>
      <c r="G3887"/>
      <c r="H3887"/>
    </row>
    <row r="3888" spans="6:8">
      <c r="F3888" s="6"/>
      <c r="G3888"/>
      <c r="H3888"/>
    </row>
    <row r="3889" spans="6:8">
      <c r="F3889" s="6"/>
      <c r="G3889"/>
      <c r="H3889"/>
    </row>
    <row r="3890" spans="6:8">
      <c r="F3890" s="6"/>
      <c r="G3890"/>
      <c r="H3890"/>
    </row>
    <row r="3891" spans="6:8">
      <c r="F3891" s="6"/>
      <c r="G3891"/>
      <c r="H3891"/>
    </row>
    <row r="3892" spans="6:8">
      <c r="F3892" s="6"/>
      <c r="G3892"/>
      <c r="H3892"/>
    </row>
    <row r="3893" spans="6:8">
      <c r="F3893" s="6"/>
      <c r="G3893"/>
      <c r="H3893"/>
    </row>
    <row r="3894" spans="6:8">
      <c r="F3894" s="6"/>
      <c r="G3894"/>
      <c r="H3894"/>
    </row>
    <row r="3895" spans="6:8">
      <c r="F3895" s="6"/>
      <c r="G3895"/>
      <c r="H3895"/>
    </row>
    <row r="3896" spans="6:8">
      <c r="F3896" s="6"/>
      <c r="G3896"/>
      <c r="H3896"/>
    </row>
    <row r="3897" spans="6:8">
      <c r="F3897" s="6"/>
      <c r="G3897"/>
      <c r="H3897"/>
    </row>
    <row r="3898" spans="6:8">
      <c r="F3898" s="6"/>
      <c r="G3898"/>
      <c r="H3898"/>
    </row>
    <row r="3899" spans="6:8">
      <c r="F3899" s="6"/>
      <c r="G3899"/>
      <c r="H3899"/>
    </row>
    <row r="3900" spans="6:8">
      <c r="F3900" s="6"/>
      <c r="G3900"/>
      <c r="H3900"/>
    </row>
    <row r="3901" spans="6:8">
      <c r="F3901" s="6"/>
      <c r="G3901"/>
      <c r="H3901"/>
    </row>
    <row r="3902" spans="6:8">
      <c r="F3902" s="6"/>
      <c r="G3902"/>
      <c r="H3902"/>
    </row>
    <row r="3903" spans="6:8">
      <c r="F3903" s="6"/>
      <c r="G3903"/>
      <c r="H3903"/>
    </row>
    <row r="3904" spans="6:8">
      <c r="F3904" s="6"/>
      <c r="G3904"/>
      <c r="H3904"/>
    </row>
    <row r="3905" spans="6:8">
      <c r="F3905" s="6"/>
      <c r="G3905"/>
      <c r="H3905"/>
    </row>
    <row r="3906" spans="6:8">
      <c r="F3906" s="6"/>
      <c r="G3906"/>
      <c r="H3906"/>
    </row>
    <row r="3907" spans="6:8">
      <c r="F3907" s="6"/>
      <c r="G3907"/>
      <c r="H3907"/>
    </row>
    <row r="3908" spans="6:8">
      <c r="F3908" s="6"/>
      <c r="G3908"/>
      <c r="H3908"/>
    </row>
    <row r="3909" spans="6:8">
      <c r="F3909" s="6"/>
      <c r="G3909"/>
      <c r="H3909"/>
    </row>
    <row r="3910" spans="6:8">
      <c r="F3910" s="6"/>
      <c r="G3910"/>
      <c r="H3910"/>
    </row>
    <row r="3911" spans="6:8">
      <c r="F3911" s="6"/>
      <c r="G3911"/>
      <c r="H3911"/>
    </row>
    <row r="3912" spans="6:8">
      <c r="F3912" s="6"/>
      <c r="G3912"/>
      <c r="H3912"/>
    </row>
    <row r="3913" spans="6:8">
      <c r="F3913" s="6"/>
      <c r="G3913"/>
      <c r="H3913"/>
    </row>
    <row r="3914" spans="6:8">
      <c r="F3914" s="6"/>
      <c r="G3914"/>
      <c r="H3914"/>
    </row>
    <row r="3915" spans="6:8">
      <c r="F3915" s="6"/>
      <c r="G3915"/>
      <c r="H3915"/>
    </row>
    <row r="3916" spans="6:8">
      <c r="F3916" s="6"/>
      <c r="G3916"/>
      <c r="H3916"/>
    </row>
    <row r="3917" spans="6:8">
      <c r="F3917" s="6"/>
      <c r="G3917"/>
      <c r="H3917"/>
    </row>
    <row r="3918" spans="6:8">
      <c r="F3918" s="6"/>
      <c r="G3918"/>
      <c r="H3918"/>
    </row>
    <row r="3919" spans="6:8">
      <c r="F3919" s="6"/>
      <c r="G3919"/>
      <c r="H3919"/>
    </row>
    <row r="3920" spans="6:8">
      <c r="F3920" s="6"/>
      <c r="G3920"/>
      <c r="H3920"/>
    </row>
    <row r="3921" spans="6:8">
      <c r="F3921" s="6"/>
      <c r="G3921"/>
      <c r="H3921"/>
    </row>
    <row r="3922" spans="6:8">
      <c r="F3922" s="6"/>
      <c r="G3922"/>
      <c r="H3922"/>
    </row>
    <row r="3923" spans="6:8">
      <c r="F3923" s="6"/>
      <c r="G3923"/>
      <c r="H3923"/>
    </row>
    <row r="3924" spans="6:8">
      <c r="F3924" s="6"/>
      <c r="G3924"/>
      <c r="H3924"/>
    </row>
    <row r="3925" spans="6:8">
      <c r="F3925" s="6"/>
      <c r="G3925"/>
      <c r="H3925"/>
    </row>
    <row r="3926" spans="6:8">
      <c r="F3926" s="6"/>
      <c r="G3926"/>
      <c r="H3926"/>
    </row>
    <row r="3927" spans="6:8">
      <c r="F3927" s="6"/>
      <c r="G3927"/>
      <c r="H3927"/>
    </row>
    <row r="3928" spans="6:8">
      <c r="F3928" s="6"/>
      <c r="G3928"/>
      <c r="H3928"/>
    </row>
    <row r="3929" spans="6:8">
      <c r="F3929" s="6"/>
      <c r="G3929"/>
      <c r="H3929"/>
    </row>
    <row r="3930" spans="6:8">
      <c r="F3930" s="6"/>
      <c r="G3930"/>
      <c r="H3930"/>
    </row>
    <row r="3931" spans="6:8">
      <c r="F3931" s="6"/>
      <c r="G3931"/>
      <c r="H3931"/>
    </row>
    <row r="3932" spans="6:8">
      <c r="F3932" s="6"/>
      <c r="G3932"/>
      <c r="H3932"/>
    </row>
    <row r="3933" spans="6:8">
      <c r="F3933" s="6"/>
      <c r="G3933"/>
      <c r="H3933"/>
    </row>
    <row r="3934" spans="6:8">
      <c r="F3934" s="6"/>
      <c r="G3934"/>
      <c r="H3934"/>
    </row>
    <row r="3935" spans="6:8">
      <c r="F3935" s="6"/>
      <c r="G3935"/>
      <c r="H3935"/>
    </row>
    <row r="3936" spans="6:8">
      <c r="F3936" s="6"/>
      <c r="G3936"/>
      <c r="H3936"/>
    </row>
    <row r="3937" spans="6:8">
      <c r="F3937" s="6"/>
      <c r="G3937"/>
      <c r="H3937"/>
    </row>
    <row r="3938" spans="6:8">
      <c r="F3938" s="6"/>
      <c r="G3938"/>
      <c r="H3938"/>
    </row>
    <row r="3939" spans="6:8">
      <c r="F3939" s="6"/>
      <c r="G3939"/>
      <c r="H3939"/>
    </row>
    <row r="3940" spans="6:8">
      <c r="F3940" s="6"/>
      <c r="G3940"/>
      <c r="H3940"/>
    </row>
    <row r="3941" spans="6:8">
      <c r="F3941" s="6"/>
      <c r="G3941"/>
      <c r="H3941"/>
    </row>
    <row r="3942" spans="6:8">
      <c r="F3942" s="6"/>
      <c r="G3942"/>
      <c r="H3942"/>
    </row>
    <row r="3943" spans="6:8">
      <c r="F3943" s="6"/>
      <c r="G3943"/>
      <c r="H3943"/>
    </row>
    <row r="3944" spans="6:8">
      <c r="F3944" s="6"/>
      <c r="G3944"/>
      <c r="H3944"/>
    </row>
    <row r="3945" spans="6:8">
      <c r="F3945" s="6"/>
      <c r="G3945"/>
      <c r="H3945"/>
    </row>
    <row r="3946" spans="6:8">
      <c r="F3946" s="6"/>
      <c r="G3946"/>
      <c r="H3946"/>
    </row>
    <row r="3947" spans="6:8">
      <c r="F3947" s="6"/>
      <c r="G3947"/>
      <c r="H3947"/>
    </row>
    <row r="3948" spans="6:8">
      <c r="F3948" s="6"/>
      <c r="G3948"/>
      <c r="H3948"/>
    </row>
    <row r="3949" spans="6:8">
      <c r="F3949" s="6"/>
      <c r="G3949"/>
      <c r="H3949"/>
    </row>
    <row r="3950" spans="6:8">
      <c r="F3950" s="6"/>
      <c r="G3950"/>
      <c r="H3950"/>
    </row>
    <row r="3951" spans="6:8">
      <c r="F3951" s="6"/>
      <c r="G3951"/>
      <c r="H3951"/>
    </row>
    <row r="3952" spans="6:8">
      <c r="F3952" s="6"/>
      <c r="G3952"/>
      <c r="H3952"/>
    </row>
    <row r="3953" spans="6:8">
      <c r="F3953" s="6"/>
      <c r="G3953"/>
      <c r="H3953"/>
    </row>
    <row r="3954" spans="6:8">
      <c r="F3954" s="6"/>
      <c r="G3954"/>
      <c r="H3954"/>
    </row>
    <row r="3955" spans="6:8">
      <c r="F3955" s="6"/>
      <c r="G3955"/>
      <c r="H3955"/>
    </row>
    <row r="3956" spans="6:8">
      <c r="F3956" s="6"/>
      <c r="G3956"/>
      <c r="H3956"/>
    </row>
    <row r="3957" spans="6:8">
      <c r="F3957" s="6"/>
      <c r="G3957"/>
      <c r="H3957"/>
    </row>
    <row r="3958" spans="6:8">
      <c r="F3958" s="6"/>
      <c r="G3958"/>
      <c r="H3958"/>
    </row>
    <row r="3959" spans="6:8">
      <c r="F3959" s="6"/>
      <c r="G3959"/>
      <c r="H3959"/>
    </row>
    <row r="3960" spans="6:8">
      <c r="F3960" s="6"/>
      <c r="G3960"/>
      <c r="H3960"/>
    </row>
    <row r="3961" spans="6:8">
      <c r="F3961" s="6"/>
      <c r="G3961"/>
      <c r="H3961"/>
    </row>
    <row r="3962" spans="6:8">
      <c r="F3962" s="6"/>
      <c r="G3962"/>
      <c r="H3962"/>
    </row>
    <row r="3963" spans="6:8">
      <c r="F3963" s="6"/>
      <c r="G3963"/>
      <c r="H3963"/>
    </row>
    <row r="3964" spans="6:8">
      <c r="F3964" s="6"/>
      <c r="G3964"/>
      <c r="H3964"/>
    </row>
    <row r="3965" spans="6:8">
      <c r="F3965" s="6"/>
      <c r="G3965"/>
      <c r="H3965"/>
    </row>
    <row r="3966" spans="6:8">
      <c r="F3966" s="6"/>
      <c r="G3966"/>
      <c r="H3966"/>
    </row>
    <row r="3967" spans="6:8">
      <c r="F3967" s="6"/>
      <c r="G3967"/>
      <c r="H3967"/>
    </row>
    <row r="3968" spans="6:8">
      <c r="F3968" s="6"/>
      <c r="G3968"/>
      <c r="H3968"/>
    </row>
    <row r="3969" spans="6:8">
      <c r="F3969" s="6"/>
      <c r="G3969"/>
      <c r="H3969"/>
    </row>
    <row r="3970" spans="6:8">
      <c r="F3970" s="6"/>
      <c r="G3970"/>
      <c r="H3970"/>
    </row>
    <row r="3971" spans="6:8">
      <c r="F3971" s="6"/>
      <c r="G3971"/>
      <c r="H3971"/>
    </row>
    <row r="3972" spans="6:8">
      <c r="F3972" s="6"/>
      <c r="G3972"/>
      <c r="H3972"/>
    </row>
    <row r="3973" spans="6:8">
      <c r="F3973" s="6"/>
      <c r="G3973"/>
      <c r="H3973"/>
    </row>
    <row r="3974" spans="6:8">
      <c r="F3974" s="6"/>
      <c r="G3974"/>
      <c r="H3974"/>
    </row>
    <row r="3975" spans="6:8">
      <c r="F3975" s="6"/>
      <c r="G3975"/>
      <c r="H3975"/>
    </row>
    <row r="3976" spans="6:8">
      <c r="F3976" s="6"/>
      <c r="G3976"/>
      <c r="H3976"/>
    </row>
    <row r="3977" spans="6:8">
      <c r="F3977" s="6"/>
      <c r="G3977"/>
      <c r="H3977"/>
    </row>
    <row r="3978" spans="6:8">
      <c r="F3978" s="6"/>
      <c r="G3978"/>
      <c r="H3978"/>
    </row>
    <row r="3979" spans="6:8">
      <c r="F3979" s="6"/>
      <c r="G3979"/>
      <c r="H3979"/>
    </row>
    <row r="3980" spans="6:8">
      <c r="F3980" s="6"/>
      <c r="G3980"/>
      <c r="H3980"/>
    </row>
    <row r="3981" spans="6:8">
      <c r="F3981" s="6"/>
      <c r="G3981"/>
      <c r="H3981"/>
    </row>
    <row r="3982" spans="6:8">
      <c r="F3982" s="6"/>
      <c r="G3982"/>
      <c r="H3982"/>
    </row>
    <row r="3983" spans="6:8">
      <c r="F3983" s="6"/>
      <c r="G3983"/>
      <c r="H3983"/>
    </row>
    <row r="3984" spans="6:8">
      <c r="F3984" s="6"/>
      <c r="G3984"/>
      <c r="H3984"/>
    </row>
    <row r="3985" spans="6:8">
      <c r="F3985" s="6"/>
      <c r="G3985"/>
      <c r="H3985"/>
    </row>
    <row r="3986" spans="6:8">
      <c r="F3986" s="6"/>
      <c r="G3986"/>
      <c r="H3986"/>
    </row>
    <row r="3987" spans="6:8">
      <c r="F3987" s="6"/>
      <c r="G3987"/>
      <c r="H3987"/>
    </row>
    <row r="3988" spans="6:8">
      <c r="F3988" s="6"/>
      <c r="G3988"/>
      <c r="H3988"/>
    </row>
    <row r="3989" spans="6:8">
      <c r="F3989" s="6"/>
      <c r="G3989"/>
      <c r="H3989"/>
    </row>
    <row r="3990" spans="6:8">
      <c r="F3990" s="6"/>
      <c r="G3990"/>
      <c r="H3990"/>
    </row>
    <row r="3991" spans="6:8">
      <c r="F3991" s="6"/>
      <c r="G3991"/>
      <c r="H3991"/>
    </row>
    <row r="3992" spans="6:8">
      <c r="F3992" s="6"/>
      <c r="G3992"/>
      <c r="H3992"/>
    </row>
    <row r="3993" spans="6:8">
      <c r="F3993" s="6"/>
      <c r="G3993"/>
      <c r="H3993"/>
    </row>
    <row r="3994" spans="6:8">
      <c r="F3994" s="6"/>
      <c r="G3994"/>
      <c r="H3994"/>
    </row>
    <row r="3995" spans="6:8">
      <c r="F3995" s="6"/>
      <c r="G3995"/>
      <c r="H3995"/>
    </row>
    <row r="3996" spans="6:8">
      <c r="F3996" s="6"/>
      <c r="G3996"/>
      <c r="H3996"/>
    </row>
    <row r="3997" spans="6:8">
      <c r="F3997" s="6"/>
      <c r="G3997"/>
      <c r="H3997"/>
    </row>
    <row r="3998" spans="6:8">
      <c r="F3998" s="6"/>
      <c r="G3998"/>
      <c r="H3998"/>
    </row>
    <row r="3999" spans="6:8">
      <c r="F3999" s="6"/>
      <c r="G3999"/>
      <c r="H3999"/>
    </row>
    <row r="4000" spans="6:8">
      <c r="F4000" s="6"/>
      <c r="G4000"/>
      <c r="H4000"/>
    </row>
    <row r="4001" spans="6:8">
      <c r="F4001" s="6"/>
      <c r="G4001"/>
      <c r="H4001"/>
    </row>
    <row r="4002" spans="6:8">
      <c r="F4002" s="6"/>
      <c r="G4002"/>
      <c r="H4002"/>
    </row>
    <row r="4003" spans="6:8">
      <c r="F4003" s="6"/>
      <c r="G4003"/>
      <c r="H4003"/>
    </row>
    <row r="4004" spans="6:8">
      <c r="F4004" s="6"/>
      <c r="G4004"/>
      <c r="H4004"/>
    </row>
    <row r="4005" spans="6:8">
      <c r="F4005" s="6"/>
      <c r="G4005"/>
      <c r="H4005"/>
    </row>
    <row r="4006" spans="6:8">
      <c r="F4006" s="6"/>
      <c r="G4006"/>
      <c r="H4006"/>
    </row>
    <row r="4007" spans="6:8">
      <c r="F4007" s="6"/>
      <c r="G4007"/>
      <c r="H4007"/>
    </row>
    <row r="4008" spans="6:8">
      <c r="F4008" s="6"/>
      <c r="G4008"/>
      <c r="H4008"/>
    </row>
    <row r="4009" spans="6:8">
      <c r="F4009" s="6"/>
      <c r="G4009"/>
      <c r="H4009"/>
    </row>
    <row r="4010" spans="6:8">
      <c r="F4010" s="6"/>
      <c r="G4010"/>
      <c r="H4010"/>
    </row>
    <row r="4011" spans="6:8">
      <c r="F4011" s="6"/>
      <c r="G4011"/>
      <c r="H4011"/>
    </row>
    <row r="4012" spans="6:8">
      <c r="F4012" s="6"/>
      <c r="G4012"/>
      <c r="H4012"/>
    </row>
    <row r="4013" spans="6:8">
      <c r="F4013" s="6"/>
      <c r="G4013"/>
      <c r="H4013"/>
    </row>
    <row r="4014" spans="6:8">
      <c r="F4014" s="6"/>
      <c r="G4014"/>
      <c r="H4014"/>
    </row>
    <row r="4015" spans="6:8">
      <c r="F4015" s="6"/>
      <c r="G4015"/>
      <c r="H4015"/>
    </row>
    <row r="4016" spans="6:8">
      <c r="F4016" s="6"/>
      <c r="G4016"/>
      <c r="H4016"/>
    </row>
    <row r="4017" spans="6:8">
      <c r="F4017" s="6"/>
      <c r="G4017"/>
      <c r="H4017"/>
    </row>
    <row r="4018" spans="6:8">
      <c r="F4018" s="6"/>
      <c r="G4018"/>
      <c r="H4018"/>
    </row>
    <row r="4019" spans="6:8">
      <c r="F4019" s="6"/>
      <c r="G4019"/>
      <c r="H4019"/>
    </row>
    <row r="4020" spans="6:8">
      <c r="F4020" s="6"/>
      <c r="G4020"/>
      <c r="H4020"/>
    </row>
    <row r="4021" spans="6:8">
      <c r="F4021" s="6"/>
      <c r="G4021"/>
      <c r="H4021"/>
    </row>
    <row r="4022" spans="6:8">
      <c r="F4022" s="6"/>
      <c r="G4022"/>
      <c r="H4022"/>
    </row>
    <row r="4023" spans="6:8">
      <c r="F4023" s="6"/>
      <c r="G4023"/>
      <c r="H4023"/>
    </row>
    <row r="4024" spans="6:8">
      <c r="F4024" s="6"/>
      <c r="G4024"/>
      <c r="H4024"/>
    </row>
    <row r="4025" spans="6:8">
      <c r="F4025" s="6"/>
      <c r="G4025"/>
      <c r="H4025"/>
    </row>
    <row r="4026" spans="6:8">
      <c r="F4026" s="6"/>
      <c r="G4026"/>
      <c r="H4026"/>
    </row>
    <row r="4027" spans="6:8">
      <c r="F4027" s="6"/>
      <c r="G4027"/>
      <c r="H4027"/>
    </row>
    <row r="4028" spans="6:8">
      <c r="F4028" s="6"/>
      <c r="G4028"/>
      <c r="H4028"/>
    </row>
    <row r="4029" spans="6:8">
      <c r="F4029" s="6"/>
      <c r="G4029"/>
      <c r="H4029"/>
    </row>
    <row r="4030" spans="6:8">
      <c r="F4030" s="6"/>
      <c r="G4030"/>
      <c r="H4030"/>
    </row>
    <row r="4031" spans="6:8">
      <c r="F4031" s="6"/>
      <c r="G4031"/>
      <c r="H4031"/>
    </row>
    <row r="4032" spans="6:8">
      <c r="F4032" s="6"/>
      <c r="G4032"/>
      <c r="H4032"/>
    </row>
    <row r="4033" spans="6:8">
      <c r="F4033" s="6"/>
      <c r="G4033"/>
      <c r="H4033"/>
    </row>
    <row r="4034" spans="6:8">
      <c r="F4034" s="6"/>
      <c r="G4034"/>
      <c r="H4034"/>
    </row>
    <row r="4035" spans="6:8">
      <c r="F4035" s="6"/>
      <c r="G4035"/>
      <c r="H4035"/>
    </row>
    <row r="4036" spans="6:8">
      <c r="F4036" s="6"/>
      <c r="G4036"/>
      <c r="H4036"/>
    </row>
    <row r="4037" spans="6:8">
      <c r="F4037" s="6"/>
      <c r="G4037"/>
      <c r="H4037"/>
    </row>
    <row r="4038" spans="6:8">
      <c r="F4038" s="6"/>
      <c r="G4038"/>
      <c r="H4038"/>
    </row>
    <row r="4039" spans="6:8">
      <c r="F4039" s="6"/>
      <c r="G4039"/>
      <c r="H4039"/>
    </row>
    <row r="4040" spans="6:8">
      <c r="F4040" s="6"/>
      <c r="G4040"/>
      <c r="H4040"/>
    </row>
    <row r="4041" spans="6:8">
      <c r="F4041" s="6"/>
      <c r="G4041"/>
      <c r="H4041"/>
    </row>
    <row r="4042" spans="6:8">
      <c r="F4042" s="6"/>
      <c r="G4042"/>
      <c r="H4042"/>
    </row>
    <row r="4043" spans="6:8">
      <c r="F4043" s="6"/>
      <c r="G4043"/>
      <c r="H4043"/>
    </row>
    <row r="4044" spans="6:8">
      <c r="F4044" s="6"/>
      <c r="G4044"/>
      <c r="H4044"/>
    </row>
    <row r="4045" spans="6:8">
      <c r="F4045" s="6"/>
      <c r="G4045"/>
      <c r="H4045"/>
    </row>
    <row r="4046" spans="6:8">
      <c r="F4046" s="6"/>
      <c r="G4046"/>
      <c r="H4046"/>
    </row>
    <row r="4047" spans="6:8">
      <c r="F4047" s="6"/>
      <c r="G4047"/>
      <c r="H4047"/>
    </row>
    <row r="4048" spans="6:8">
      <c r="F4048" s="6"/>
      <c r="G4048"/>
      <c r="H4048"/>
    </row>
    <row r="4049" spans="6:8">
      <c r="F4049" s="6"/>
      <c r="G4049"/>
      <c r="H4049"/>
    </row>
    <row r="4050" spans="6:8">
      <c r="F4050" s="6"/>
      <c r="G4050"/>
      <c r="H4050"/>
    </row>
    <row r="4051" spans="6:8">
      <c r="F4051" s="6"/>
      <c r="G4051"/>
      <c r="H4051"/>
    </row>
    <row r="4052" spans="6:8">
      <c r="F4052" s="6"/>
      <c r="G4052"/>
      <c r="H4052"/>
    </row>
    <row r="4053" spans="6:8">
      <c r="F4053" s="6"/>
      <c r="G4053"/>
      <c r="H4053"/>
    </row>
    <row r="4054" spans="6:8">
      <c r="F4054" s="6"/>
      <c r="G4054"/>
      <c r="H4054"/>
    </row>
    <row r="4055" spans="6:8">
      <c r="F4055" s="6"/>
      <c r="G4055"/>
      <c r="H4055"/>
    </row>
    <row r="4056" spans="6:8">
      <c r="F4056" s="6"/>
      <c r="G4056"/>
      <c r="H4056"/>
    </row>
    <row r="4057" spans="6:8">
      <c r="F4057" s="6"/>
      <c r="G4057"/>
      <c r="H4057"/>
    </row>
    <row r="4058" spans="6:8">
      <c r="F4058" s="6"/>
      <c r="G4058"/>
      <c r="H4058"/>
    </row>
    <row r="4059" spans="6:8">
      <c r="F4059" s="6"/>
      <c r="G4059"/>
      <c r="H4059"/>
    </row>
    <row r="4060" spans="6:8">
      <c r="F4060" s="6"/>
      <c r="G4060"/>
      <c r="H4060"/>
    </row>
    <row r="4061" spans="6:8">
      <c r="F4061" s="6"/>
      <c r="G4061"/>
      <c r="H4061"/>
    </row>
    <row r="4062" spans="6:8">
      <c r="F4062" s="6"/>
      <c r="G4062"/>
      <c r="H4062"/>
    </row>
    <row r="4063" spans="6:8">
      <c r="F4063" s="6"/>
      <c r="G4063"/>
      <c r="H4063"/>
    </row>
    <row r="4064" spans="6:8">
      <c r="F4064" s="6"/>
      <c r="G4064"/>
      <c r="H4064"/>
    </row>
    <row r="4065" spans="6:8">
      <c r="F4065" s="6"/>
      <c r="G4065"/>
      <c r="H4065"/>
    </row>
    <row r="4066" spans="6:8">
      <c r="F4066" s="6"/>
      <c r="G4066"/>
      <c r="H4066"/>
    </row>
    <row r="4067" spans="6:8">
      <c r="F4067" s="6"/>
      <c r="G4067"/>
      <c r="H4067"/>
    </row>
    <row r="4068" spans="6:8">
      <c r="F4068" s="6"/>
      <c r="G4068"/>
      <c r="H4068"/>
    </row>
    <row r="4069" spans="6:8">
      <c r="F4069" s="6"/>
      <c r="G4069"/>
      <c r="H4069"/>
    </row>
    <row r="4070" spans="6:8">
      <c r="F4070" s="6"/>
      <c r="G4070"/>
      <c r="H4070"/>
    </row>
    <row r="4071" spans="6:8">
      <c r="F4071" s="6"/>
      <c r="G4071"/>
      <c r="H4071"/>
    </row>
    <row r="4072" spans="6:8">
      <c r="F4072" s="6"/>
      <c r="G4072"/>
      <c r="H4072"/>
    </row>
    <row r="4073" spans="6:8">
      <c r="F4073" s="6"/>
      <c r="G4073"/>
      <c r="H4073"/>
    </row>
    <row r="4074" spans="6:8">
      <c r="F4074" s="6"/>
      <c r="G4074"/>
      <c r="H4074"/>
    </row>
    <row r="4075" spans="6:8">
      <c r="F4075" s="6"/>
      <c r="G4075"/>
      <c r="H4075"/>
    </row>
    <row r="4076" spans="6:8">
      <c r="F4076" s="6"/>
      <c r="G4076"/>
      <c r="H4076"/>
    </row>
    <row r="4077" spans="6:8">
      <c r="F4077" s="6"/>
      <c r="G4077"/>
      <c r="H4077"/>
    </row>
    <row r="4078" spans="6:8">
      <c r="F4078" s="6"/>
      <c r="G4078"/>
      <c r="H4078"/>
    </row>
    <row r="4079" spans="6:8">
      <c r="F4079" s="6"/>
      <c r="G4079"/>
      <c r="H4079"/>
    </row>
    <row r="4080" spans="6:8">
      <c r="F4080" s="6"/>
      <c r="G4080"/>
      <c r="H4080"/>
    </row>
    <row r="4081" spans="6:8">
      <c r="F4081" s="6"/>
      <c r="G4081"/>
      <c r="H4081"/>
    </row>
    <row r="4082" spans="6:8">
      <c r="F4082" s="6"/>
      <c r="G4082"/>
      <c r="H4082"/>
    </row>
    <row r="4083" spans="6:8">
      <c r="F4083" s="6"/>
      <c r="G4083"/>
      <c r="H4083"/>
    </row>
    <row r="4084" spans="6:8">
      <c r="F4084" s="6"/>
      <c r="G4084"/>
      <c r="H4084"/>
    </row>
    <row r="4085" spans="6:8">
      <c r="F4085" s="6"/>
      <c r="G4085"/>
      <c r="H4085"/>
    </row>
    <row r="4086" spans="6:8">
      <c r="F4086" s="6"/>
      <c r="G4086"/>
      <c r="H4086"/>
    </row>
    <row r="4087" spans="6:8">
      <c r="F4087" s="6"/>
      <c r="G4087"/>
      <c r="H4087"/>
    </row>
    <row r="4088" spans="6:8">
      <c r="F4088" s="6"/>
      <c r="G4088"/>
      <c r="H4088"/>
    </row>
    <row r="4089" spans="6:8">
      <c r="F4089" s="6"/>
      <c r="G4089"/>
      <c r="H4089"/>
    </row>
    <row r="4090" spans="6:8">
      <c r="F4090" s="6"/>
      <c r="G4090"/>
      <c r="H4090"/>
    </row>
    <row r="4091" spans="6:8">
      <c r="F4091" s="6"/>
      <c r="G4091"/>
      <c r="H4091"/>
    </row>
    <row r="4092" spans="6:8">
      <c r="F4092" s="6"/>
      <c r="G4092"/>
      <c r="H4092"/>
    </row>
    <row r="4093" spans="6:8">
      <c r="F4093" s="6"/>
      <c r="G4093"/>
      <c r="H4093"/>
    </row>
    <row r="4094" spans="6:8">
      <c r="F4094" s="6"/>
      <c r="G4094"/>
      <c r="H4094"/>
    </row>
    <row r="4095" spans="6:8">
      <c r="F4095" s="6"/>
      <c r="G4095"/>
      <c r="H4095"/>
    </row>
    <row r="4096" spans="6:8">
      <c r="F4096" s="6"/>
      <c r="G4096"/>
      <c r="H4096"/>
    </row>
    <row r="4097" spans="6:8">
      <c r="F4097" s="6"/>
      <c r="G4097"/>
      <c r="H4097"/>
    </row>
    <row r="4098" spans="6:8">
      <c r="F4098" s="6"/>
      <c r="G4098"/>
      <c r="H4098"/>
    </row>
    <row r="4099" spans="6:8">
      <c r="F4099" s="6"/>
      <c r="G4099"/>
      <c r="H4099"/>
    </row>
    <row r="4100" spans="6:8">
      <c r="F4100" s="6"/>
      <c r="G4100"/>
      <c r="H4100"/>
    </row>
    <row r="4101" spans="6:8">
      <c r="F4101" s="6"/>
      <c r="G4101"/>
      <c r="H4101"/>
    </row>
    <row r="4102" spans="6:8">
      <c r="F4102" s="6"/>
      <c r="G4102"/>
      <c r="H4102"/>
    </row>
    <row r="4103" spans="6:8">
      <c r="F4103" s="6"/>
      <c r="G4103"/>
      <c r="H4103"/>
    </row>
    <row r="4104" spans="6:8">
      <c r="F4104" s="6"/>
      <c r="G4104"/>
      <c r="H4104"/>
    </row>
    <row r="4105" spans="6:8">
      <c r="F4105" s="6"/>
      <c r="G4105"/>
      <c r="H4105"/>
    </row>
    <row r="4106" spans="6:8">
      <c r="F4106" s="6"/>
      <c r="G4106"/>
      <c r="H4106"/>
    </row>
    <row r="4107" spans="6:8">
      <c r="F4107" s="6"/>
      <c r="G4107"/>
      <c r="H4107"/>
    </row>
    <row r="4108" spans="6:8">
      <c r="F4108" s="6"/>
      <c r="G4108"/>
      <c r="H4108"/>
    </row>
    <row r="4109" spans="6:8">
      <c r="F4109" s="6"/>
      <c r="G4109"/>
      <c r="H4109"/>
    </row>
    <row r="4110" spans="6:8">
      <c r="F4110" s="6"/>
      <c r="G4110"/>
      <c r="H4110"/>
    </row>
    <row r="4111" spans="6:8">
      <c r="F4111" s="6"/>
      <c r="G4111"/>
      <c r="H4111"/>
    </row>
    <row r="4112" spans="6:8">
      <c r="F4112" s="6"/>
      <c r="G4112"/>
      <c r="H4112"/>
    </row>
    <row r="4113" spans="6:8">
      <c r="F4113" s="6"/>
      <c r="G4113"/>
      <c r="H4113"/>
    </row>
    <row r="4114" spans="6:8">
      <c r="F4114" s="6"/>
      <c r="G4114"/>
      <c r="H4114"/>
    </row>
    <row r="4115" spans="6:8">
      <c r="F4115" s="6"/>
      <c r="G4115"/>
      <c r="H4115"/>
    </row>
    <row r="4116" spans="6:8">
      <c r="F4116" s="6"/>
      <c r="G4116"/>
      <c r="H4116"/>
    </row>
    <row r="4117" spans="6:8">
      <c r="F4117" s="6"/>
      <c r="G4117"/>
      <c r="H4117"/>
    </row>
    <row r="4118" spans="6:8">
      <c r="F4118" s="6"/>
      <c r="G4118"/>
      <c r="H4118"/>
    </row>
    <row r="4119" spans="6:8">
      <c r="F4119" s="6"/>
      <c r="G4119"/>
      <c r="H4119"/>
    </row>
    <row r="4120" spans="6:8">
      <c r="F4120" s="6"/>
      <c r="G4120"/>
      <c r="H4120"/>
    </row>
    <row r="4121" spans="6:8">
      <c r="F4121" s="6"/>
      <c r="G4121"/>
      <c r="H4121"/>
    </row>
    <row r="4122" spans="6:8">
      <c r="F4122" s="6"/>
      <c r="G4122"/>
      <c r="H4122"/>
    </row>
    <row r="4123" spans="6:8">
      <c r="F4123" s="6"/>
      <c r="G4123"/>
      <c r="H4123"/>
    </row>
    <row r="4124" spans="6:8">
      <c r="F4124" s="6"/>
      <c r="G4124"/>
      <c r="H4124"/>
    </row>
    <row r="4125" spans="6:8">
      <c r="F4125" s="6"/>
      <c r="G4125"/>
      <c r="H4125"/>
    </row>
    <row r="4126" spans="6:8">
      <c r="F4126" s="6"/>
      <c r="G4126"/>
      <c r="H4126"/>
    </row>
    <row r="4127" spans="6:8">
      <c r="F4127" s="6"/>
      <c r="G4127"/>
      <c r="H4127"/>
    </row>
    <row r="4128" spans="6:8">
      <c r="F4128" s="6"/>
      <c r="G4128"/>
      <c r="H4128"/>
    </row>
    <row r="4129" spans="6:8">
      <c r="F4129" s="6"/>
      <c r="G4129"/>
      <c r="H4129"/>
    </row>
    <row r="4130" spans="6:8">
      <c r="F4130" s="6"/>
      <c r="G4130"/>
      <c r="H4130"/>
    </row>
    <row r="4131" spans="6:8">
      <c r="F4131" s="6"/>
      <c r="G4131"/>
      <c r="H4131"/>
    </row>
    <row r="4132" spans="6:8">
      <c r="F4132" s="6"/>
      <c r="G4132"/>
      <c r="H4132"/>
    </row>
    <row r="4133" spans="6:8">
      <c r="F4133" s="6"/>
      <c r="G4133"/>
      <c r="H4133"/>
    </row>
    <row r="4134" spans="6:8">
      <c r="F4134" s="6"/>
      <c r="G4134"/>
      <c r="H4134"/>
    </row>
    <row r="4135" spans="6:8">
      <c r="F4135" s="6"/>
      <c r="G4135"/>
      <c r="H4135"/>
    </row>
    <row r="4136" spans="6:8">
      <c r="F4136" s="6"/>
      <c r="G4136"/>
      <c r="H4136"/>
    </row>
    <row r="4137" spans="6:8">
      <c r="F4137" s="6"/>
      <c r="G4137"/>
      <c r="H4137"/>
    </row>
    <row r="4138" spans="6:8">
      <c r="F4138" s="6"/>
      <c r="G4138"/>
      <c r="H4138"/>
    </row>
    <row r="4139" spans="6:8">
      <c r="F4139" s="6"/>
      <c r="G4139"/>
      <c r="H4139"/>
    </row>
    <row r="4140" spans="6:8">
      <c r="F4140" s="6"/>
      <c r="G4140"/>
      <c r="H4140"/>
    </row>
    <row r="4141" spans="6:8">
      <c r="F4141" s="6"/>
      <c r="G4141"/>
      <c r="H4141"/>
    </row>
    <row r="4142" spans="6:8">
      <c r="F4142" s="6"/>
      <c r="G4142"/>
      <c r="H4142"/>
    </row>
    <row r="4143" spans="6:8">
      <c r="F4143" s="6"/>
      <c r="G4143"/>
      <c r="H4143"/>
    </row>
    <row r="4144" spans="6:8">
      <c r="F4144" s="6"/>
      <c r="G4144"/>
      <c r="H4144"/>
    </row>
    <row r="4145" spans="6:8">
      <c r="F4145" s="6"/>
      <c r="G4145"/>
      <c r="H4145"/>
    </row>
    <row r="4146" spans="6:8">
      <c r="F4146" s="6"/>
      <c r="G4146"/>
      <c r="H4146"/>
    </row>
    <row r="4147" spans="6:8">
      <c r="F4147" s="6"/>
      <c r="G4147"/>
      <c r="H4147"/>
    </row>
    <row r="4148" spans="6:8">
      <c r="F4148" s="6"/>
      <c r="G4148"/>
      <c r="H4148"/>
    </row>
    <row r="4149" spans="6:8">
      <c r="F4149" s="6"/>
      <c r="G4149"/>
      <c r="H4149"/>
    </row>
    <row r="4150" spans="6:8">
      <c r="F4150" s="6"/>
      <c r="G4150"/>
      <c r="H4150"/>
    </row>
    <row r="4151" spans="6:8">
      <c r="F4151" s="6"/>
      <c r="G4151"/>
      <c r="H4151"/>
    </row>
    <row r="4152" spans="6:8">
      <c r="F4152" s="6"/>
      <c r="G4152"/>
      <c r="H4152"/>
    </row>
    <row r="4153" spans="6:8">
      <c r="F4153" s="6"/>
      <c r="G4153"/>
      <c r="H4153"/>
    </row>
    <row r="4154" spans="6:8">
      <c r="F4154" s="6"/>
      <c r="G4154"/>
      <c r="H4154"/>
    </row>
    <row r="4155" spans="6:8">
      <c r="F4155" s="6"/>
      <c r="G4155"/>
      <c r="H4155"/>
    </row>
    <row r="4156" spans="6:8">
      <c r="F4156" s="6"/>
      <c r="G4156"/>
      <c r="H4156"/>
    </row>
    <row r="4157" spans="6:8">
      <c r="F4157" s="6"/>
      <c r="G4157"/>
      <c r="H4157"/>
    </row>
    <row r="4158" spans="6:8">
      <c r="F4158" s="6"/>
      <c r="G4158"/>
      <c r="H4158"/>
    </row>
    <row r="4159" spans="6:8">
      <c r="F4159" s="6"/>
      <c r="G4159"/>
      <c r="H4159"/>
    </row>
    <row r="4160" spans="6:8">
      <c r="F4160" s="6"/>
      <c r="G4160"/>
      <c r="H4160"/>
    </row>
    <row r="4161" spans="6:8">
      <c r="F4161" s="6"/>
      <c r="G4161"/>
      <c r="H4161"/>
    </row>
    <row r="4162" spans="6:8">
      <c r="F4162" s="6"/>
      <c r="G4162"/>
      <c r="H4162"/>
    </row>
    <row r="4163" spans="6:8">
      <c r="F4163" s="6"/>
      <c r="G4163"/>
      <c r="H4163"/>
    </row>
    <row r="4164" spans="6:8">
      <c r="F4164" s="6"/>
      <c r="G4164"/>
      <c r="H4164"/>
    </row>
    <row r="4165" spans="6:8">
      <c r="F4165" s="6"/>
      <c r="G4165"/>
      <c r="H4165"/>
    </row>
    <row r="4166" spans="6:8">
      <c r="F4166" s="6"/>
      <c r="G4166"/>
      <c r="H4166"/>
    </row>
    <row r="4167" spans="6:8">
      <c r="F4167" s="6"/>
      <c r="G4167"/>
      <c r="H4167"/>
    </row>
    <row r="4168" spans="6:8">
      <c r="F4168" s="6"/>
      <c r="G4168"/>
      <c r="H4168"/>
    </row>
    <row r="4169" spans="6:8">
      <c r="F4169" s="6"/>
      <c r="G4169"/>
      <c r="H4169"/>
    </row>
    <row r="4170" spans="6:8">
      <c r="F4170" s="6"/>
      <c r="G4170"/>
      <c r="H4170"/>
    </row>
    <row r="4171" spans="6:8">
      <c r="F4171" s="6"/>
      <c r="G4171"/>
      <c r="H4171"/>
    </row>
    <row r="4172" spans="6:8">
      <c r="F4172" s="6"/>
      <c r="G4172"/>
      <c r="H4172"/>
    </row>
    <row r="4173" spans="6:8">
      <c r="F4173" s="6"/>
      <c r="G4173"/>
      <c r="H4173"/>
    </row>
    <row r="4174" spans="6:8">
      <c r="F4174" s="6"/>
      <c r="G4174"/>
      <c r="H4174"/>
    </row>
    <row r="4175" spans="6:8">
      <c r="F4175" s="6"/>
      <c r="G4175"/>
      <c r="H4175"/>
    </row>
    <row r="4176" spans="6:8">
      <c r="F4176" s="6"/>
      <c r="G4176"/>
      <c r="H4176"/>
    </row>
    <row r="4177" spans="6:8">
      <c r="F4177" s="6"/>
      <c r="G4177"/>
      <c r="H4177"/>
    </row>
    <row r="4178" spans="6:8">
      <c r="F4178" s="6"/>
      <c r="G4178"/>
      <c r="H4178"/>
    </row>
    <row r="4179" spans="6:8">
      <c r="F4179" s="6"/>
      <c r="G4179"/>
      <c r="H4179"/>
    </row>
    <row r="4180" spans="6:8">
      <c r="F4180" s="6"/>
      <c r="G4180"/>
      <c r="H4180"/>
    </row>
    <row r="4181" spans="6:8">
      <c r="F4181" s="6"/>
      <c r="G4181"/>
      <c r="H4181"/>
    </row>
    <row r="4182" spans="6:8">
      <c r="F4182" s="6"/>
      <c r="G4182"/>
      <c r="H4182"/>
    </row>
    <row r="4183" spans="6:8">
      <c r="F4183" s="6"/>
      <c r="G4183"/>
      <c r="H4183"/>
    </row>
    <row r="4184" spans="6:8">
      <c r="F4184" s="6"/>
      <c r="G4184"/>
      <c r="H4184"/>
    </row>
    <row r="4185" spans="6:8">
      <c r="F4185" s="6"/>
      <c r="G4185"/>
      <c r="H4185"/>
    </row>
    <row r="4186" spans="6:8">
      <c r="F4186" s="6"/>
      <c r="G4186"/>
      <c r="H4186"/>
    </row>
    <row r="4187" spans="6:8">
      <c r="F4187" s="6"/>
      <c r="G4187"/>
      <c r="H4187"/>
    </row>
    <row r="4188" spans="6:8">
      <c r="F4188" s="6"/>
      <c r="G4188"/>
      <c r="H4188"/>
    </row>
    <row r="4189" spans="6:8">
      <c r="F4189" s="6"/>
      <c r="G4189"/>
      <c r="H4189"/>
    </row>
    <row r="4190" spans="6:8">
      <c r="F4190" s="6"/>
      <c r="G4190"/>
      <c r="H4190"/>
    </row>
    <row r="4191" spans="6:8">
      <c r="F4191" s="6"/>
      <c r="G4191"/>
      <c r="H4191"/>
    </row>
    <row r="4192" spans="6:8">
      <c r="F4192" s="6"/>
      <c r="G4192"/>
      <c r="H4192"/>
    </row>
    <row r="4193" spans="6:8">
      <c r="F4193" s="6"/>
      <c r="G4193"/>
      <c r="H4193"/>
    </row>
    <row r="4194" spans="6:8">
      <c r="F4194" s="6"/>
      <c r="G4194"/>
      <c r="H4194"/>
    </row>
    <row r="4195" spans="6:8">
      <c r="F4195" s="6"/>
      <c r="G4195"/>
      <c r="H4195"/>
    </row>
    <row r="4196" spans="6:8">
      <c r="F4196" s="6"/>
      <c r="G4196"/>
      <c r="H4196"/>
    </row>
    <row r="4197" spans="6:8">
      <c r="F4197" s="6"/>
      <c r="G4197"/>
      <c r="H4197"/>
    </row>
    <row r="4198" spans="6:8">
      <c r="F4198" s="6"/>
      <c r="G4198"/>
      <c r="H4198"/>
    </row>
    <row r="4199" spans="6:8">
      <c r="F4199" s="6"/>
      <c r="G4199"/>
      <c r="H4199"/>
    </row>
    <row r="4200" spans="6:8">
      <c r="F4200" s="6"/>
      <c r="G4200"/>
      <c r="H4200"/>
    </row>
    <row r="4201" spans="6:8">
      <c r="F4201" s="6"/>
      <c r="G4201"/>
      <c r="H4201"/>
    </row>
    <row r="4202" spans="6:8">
      <c r="F4202" s="6"/>
      <c r="G4202"/>
      <c r="H4202"/>
    </row>
    <row r="4203" spans="6:8">
      <c r="F4203" s="6"/>
      <c r="G4203"/>
      <c r="H4203"/>
    </row>
    <row r="4204" spans="6:8">
      <c r="F4204" s="6"/>
      <c r="G4204"/>
      <c r="H4204"/>
    </row>
    <row r="4205" spans="6:8">
      <c r="F4205" s="6"/>
      <c r="G4205"/>
      <c r="H4205"/>
    </row>
    <row r="4206" spans="6:8">
      <c r="F4206" s="6"/>
      <c r="G4206"/>
      <c r="H4206"/>
    </row>
    <row r="4207" spans="6:8">
      <c r="F4207" s="6"/>
      <c r="G4207"/>
      <c r="H4207"/>
    </row>
    <row r="4208" spans="6:8">
      <c r="F4208" s="6"/>
      <c r="G4208"/>
      <c r="H4208"/>
    </row>
    <row r="4209" spans="6:8">
      <c r="F4209" s="6"/>
      <c r="G4209"/>
      <c r="H4209"/>
    </row>
    <row r="4210" spans="6:8">
      <c r="F4210" s="6"/>
      <c r="G4210"/>
      <c r="H4210"/>
    </row>
    <row r="4211" spans="6:8">
      <c r="F4211" s="6"/>
      <c r="G4211"/>
      <c r="H4211"/>
    </row>
    <row r="4212" spans="6:8">
      <c r="F4212" s="6"/>
      <c r="G4212"/>
      <c r="H4212"/>
    </row>
    <row r="4213" spans="6:8">
      <c r="F4213" s="6"/>
      <c r="G4213"/>
      <c r="H4213"/>
    </row>
    <row r="4214" spans="6:8">
      <c r="F4214" s="6"/>
      <c r="G4214"/>
      <c r="H4214"/>
    </row>
    <row r="4215" spans="6:8">
      <c r="F4215" s="6"/>
      <c r="G4215"/>
      <c r="H4215"/>
    </row>
    <row r="4216" spans="6:8">
      <c r="F4216" s="6"/>
      <c r="G4216"/>
      <c r="H4216"/>
    </row>
    <row r="4217" spans="6:8">
      <c r="F4217" s="6"/>
      <c r="G4217"/>
      <c r="H4217"/>
    </row>
    <row r="4218" spans="6:8">
      <c r="F4218" s="6"/>
      <c r="G4218"/>
      <c r="H4218"/>
    </row>
    <row r="4219" spans="6:8">
      <c r="F4219" s="6"/>
      <c r="G4219"/>
      <c r="H4219"/>
    </row>
    <row r="4220" spans="6:8">
      <c r="F4220" s="6"/>
      <c r="G4220"/>
      <c r="H4220"/>
    </row>
    <row r="4221" spans="6:8">
      <c r="F4221" s="6"/>
      <c r="G4221"/>
      <c r="H4221"/>
    </row>
    <row r="4222" spans="6:8">
      <c r="F4222" s="6"/>
      <c r="G4222"/>
      <c r="H4222"/>
    </row>
    <row r="4223" spans="6:8">
      <c r="F4223" s="6"/>
      <c r="G4223"/>
      <c r="H4223"/>
    </row>
    <row r="4224" spans="6:8">
      <c r="F4224" s="6"/>
      <c r="G4224"/>
      <c r="H4224"/>
    </row>
    <row r="4225" spans="6:8">
      <c r="F4225" s="6"/>
      <c r="G4225"/>
      <c r="H4225"/>
    </row>
    <row r="4226" spans="6:8">
      <c r="F4226" s="6"/>
      <c r="G4226"/>
      <c r="H4226"/>
    </row>
    <row r="4227" spans="6:8">
      <c r="F4227" s="6"/>
      <c r="G4227"/>
      <c r="H4227"/>
    </row>
    <row r="4228" spans="6:8">
      <c r="F4228" s="6"/>
      <c r="G4228"/>
      <c r="H4228"/>
    </row>
    <row r="4229" spans="6:8">
      <c r="F4229" s="6"/>
      <c r="G4229"/>
      <c r="H4229"/>
    </row>
    <row r="4230" spans="6:8">
      <c r="F4230" s="6"/>
      <c r="G4230"/>
      <c r="H4230"/>
    </row>
    <row r="4231" spans="6:8">
      <c r="F4231" s="6"/>
      <c r="G4231"/>
      <c r="H4231"/>
    </row>
    <row r="4232" spans="6:8">
      <c r="F4232" s="6"/>
      <c r="G4232"/>
      <c r="H4232"/>
    </row>
    <row r="4233" spans="6:8">
      <c r="F4233" s="6"/>
      <c r="G4233"/>
      <c r="H4233"/>
    </row>
    <row r="4234" spans="6:8">
      <c r="F4234" s="6"/>
      <c r="G4234"/>
      <c r="H4234"/>
    </row>
    <row r="4235" spans="6:8">
      <c r="F4235" s="6"/>
      <c r="G4235"/>
      <c r="H4235"/>
    </row>
    <row r="4236" spans="6:8">
      <c r="F4236" s="6"/>
      <c r="G4236"/>
      <c r="H4236"/>
    </row>
    <row r="4237" spans="6:8">
      <c r="F4237" s="6"/>
      <c r="G4237"/>
      <c r="H4237"/>
    </row>
    <row r="4238" spans="6:8">
      <c r="F4238" s="6"/>
      <c r="G4238"/>
      <c r="H4238"/>
    </row>
    <row r="4239" spans="6:8">
      <c r="F4239" s="6"/>
      <c r="G4239"/>
      <c r="H4239"/>
    </row>
    <row r="4240" spans="6:8">
      <c r="F4240" s="6"/>
      <c r="G4240"/>
      <c r="H4240"/>
    </row>
    <row r="4241" spans="6:8">
      <c r="F4241" s="6"/>
      <c r="G4241"/>
      <c r="H4241"/>
    </row>
    <row r="4242" spans="6:8">
      <c r="F4242" s="6"/>
      <c r="G4242"/>
      <c r="H4242"/>
    </row>
    <row r="4243" spans="6:8">
      <c r="F4243" s="6"/>
      <c r="G4243"/>
      <c r="H4243"/>
    </row>
    <row r="4244" spans="6:8">
      <c r="F4244" s="6"/>
      <c r="G4244"/>
      <c r="H4244"/>
    </row>
    <row r="4245" spans="6:8">
      <c r="F4245" s="6"/>
      <c r="G4245"/>
      <c r="H4245"/>
    </row>
    <row r="4246" spans="6:8">
      <c r="F4246" s="6"/>
      <c r="G4246"/>
      <c r="H4246"/>
    </row>
    <row r="4247" spans="6:8">
      <c r="F4247" s="6"/>
      <c r="G4247"/>
      <c r="H4247"/>
    </row>
    <row r="4248" spans="6:8">
      <c r="F4248" s="6"/>
      <c r="G4248"/>
      <c r="H4248"/>
    </row>
    <row r="4249" spans="6:8">
      <c r="F4249" s="6"/>
      <c r="G4249"/>
      <c r="H4249"/>
    </row>
    <row r="4250" spans="6:8">
      <c r="F4250" s="6"/>
      <c r="G4250"/>
      <c r="H4250"/>
    </row>
    <row r="4251" spans="6:8">
      <c r="F4251" s="6"/>
      <c r="G4251"/>
      <c r="H4251"/>
    </row>
    <row r="4252" spans="6:8">
      <c r="F4252" s="6"/>
      <c r="G4252"/>
      <c r="H4252"/>
    </row>
    <row r="4253" spans="6:8">
      <c r="F4253" s="6"/>
      <c r="G4253"/>
      <c r="H4253"/>
    </row>
    <row r="4254" spans="6:8">
      <c r="F4254" s="6"/>
      <c r="G4254"/>
      <c r="H4254"/>
    </row>
    <row r="4255" spans="6:8">
      <c r="F4255" s="6"/>
      <c r="G4255"/>
      <c r="H4255"/>
    </row>
    <row r="4256" spans="6:8">
      <c r="F4256" s="6"/>
      <c r="G4256"/>
      <c r="H4256"/>
    </row>
    <row r="4257" spans="6:8">
      <c r="F4257" s="6"/>
      <c r="G4257"/>
      <c r="H4257"/>
    </row>
    <row r="4258" spans="6:8">
      <c r="F4258" s="6"/>
      <c r="G4258"/>
      <c r="H4258"/>
    </row>
    <row r="4259" spans="6:8">
      <c r="F4259" s="6"/>
      <c r="G4259"/>
      <c r="H4259"/>
    </row>
    <row r="4260" spans="6:8">
      <c r="F4260" s="6"/>
      <c r="G4260"/>
      <c r="H4260"/>
    </row>
    <row r="4261" spans="6:8">
      <c r="F4261" s="6"/>
      <c r="G4261"/>
      <c r="H4261"/>
    </row>
    <row r="4262" spans="6:8">
      <c r="F4262" s="6"/>
      <c r="G4262"/>
      <c r="H4262"/>
    </row>
    <row r="4263" spans="6:8">
      <c r="F4263" s="6"/>
      <c r="G4263"/>
      <c r="H4263"/>
    </row>
    <row r="4264" spans="6:8">
      <c r="F4264" s="6"/>
      <c r="G4264"/>
      <c r="H4264"/>
    </row>
    <row r="4265" spans="6:8">
      <c r="F4265" s="6"/>
      <c r="G4265"/>
      <c r="H4265"/>
    </row>
    <row r="4266" spans="6:8">
      <c r="F4266" s="6"/>
      <c r="G4266"/>
      <c r="H4266"/>
    </row>
    <row r="4267" spans="6:8">
      <c r="F4267" s="6"/>
      <c r="G4267"/>
      <c r="H4267"/>
    </row>
    <row r="4268" spans="6:8">
      <c r="F4268" s="6"/>
      <c r="G4268"/>
      <c r="H4268"/>
    </row>
    <row r="4269" spans="6:8">
      <c r="F4269" s="6"/>
      <c r="G4269"/>
      <c r="H4269"/>
    </row>
    <row r="4270" spans="6:8">
      <c r="F4270" s="6"/>
      <c r="G4270"/>
      <c r="H4270"/>
    </row>
    <row r="4271" spans="6:8">
      <c r="F4271" s="6"/>
      <c r="G4271"/>
      <c r="H4271"/>
    </row>
    <row r="4272" spans="6:8">
      <c r="F4272" s="6"/>
      <c r="G4272"/>
      <c r="H4272"/>
    </row>
    <row r="4273" spans="6:8">
      <c r="F4273" s="6"/>
      <c r="G4273"/>
      <c r="H4273"/>
    </row>
    <row r="4274" spans="6:8">
      <c r="F4274" s="6"/>
      <c r="G4274"/>
      <c r="H4274"/>
    </row>
    <row r="4275" spans="6:8">
      <c r="F4275" s="6"/>
      <c r="G4275"/>
      <c r="H4275"/>
    </row>
    <row r="4276" spans="6:8">
      <c r="F4276" s="6"/>
      <c r="G4276"/>
      <c r="H4276"/>
    </row>
    <row r="4277" spans="6:8">
      <c r="F4277" s="6"/>
      <c r="G4277"/>
      <c r="H4277"/>
    </row>
    <row r="4278" spans="6:8">
      <c r="F4278" s="6"/>
      <c r="G4278"/>
      <c r="H4278"/>
    </row>
    <row r="4279" spans="6:8">
      <c r="F4279" s="6"/>
      <c r="G4279"/>
      <c r="H4279"/>
    </row>
    <row r="4280" spans="6:8">
      <c r="F4280" s="6"/>
      <c r="G4280"/>
      <c r="H4280"/>
    </row>
    <row r="4281" spans="6:8">
      <c r="F4281" s="6"/>
      <c r="G4281"/>
      <c r="H4281"/>
    </row>
    <row r="4282" spans="6:8">
      <c r="F4282" s="6"/>
      <c r="G4282"/>
      <c r="H4282"/>
    </row>
    <row r="4283" spans="6:8">
      <c r="F4283" s="6"/>
      <c r="G4283"/>
      <c r="H4283"/>
    </row>
    <row r="4284" spans="6:8">
      <c r="F4284" s="6"/>
      <c r="G4284"/>
      <c r="H4284"/>
    </row>
    <row r="4285" spans="6:8">
      <c r="F4285" s="6"/>
      <c r="G4285"/>
      <c r="H4285"/>
    </row>
    <row r="4286" spans="6:8">
      <c r="F4286" s="6"/>
      <c r="G4286"/>
      <c r="H4286"/>
    </row>
    <row r="4287" spans="6:8">
      <c r="F4287" s="6"/>
      <c r="G4287"/>
      <c r="H4287"/>
    </row>
    <row r="4288" spans="6:8">
      <c r="F4288" s="6"/>
      <c r="G4288"/>
      <c r="H4288"/>
    </row>
    <row r="4289" spans="6:8">
      <c r="F4289" s="6"/>
      <c r="G4289"/>
      <c r="H4289"/>
    </row>
    <row r="4290" spans="6:8">
      <c r="F4290" s="6"/>
      <c r="G4290"/>
      <c r="H4290"/>
    </row>
    <row r="4291" spans="6:8">
      <c r="F4291" s="6"/>
      <c r="G4291"/>
      <c r="H4291"/>
    </row>
    <row r="4292" spans="6:8">
      <c r="F4292" s="6"/>
      <c r="G4292"/>
      <c r="H4292"/>
    </row>
    <row r="4293" spans="6:8">
      <c r="F4293" s="6"/>
      <c r="G4293"/>
      <c r="H4293"/>
    </row>
    <row r="4294" spans="6:8">
      <c r="F4294" s="6"/>
      <c r="G4294"/>
      <c r="H4294"/>
    </row>
    <row r="4295" spans="6:8">
      <c r="F4295" s="6"/>
      <c r="G4295"/>
      <c r="H4295"/>
    </row>
    <row r="4296" spans="6:8">
      <c r="F4296" s="6"/>
      <c r="G4296"/>
      <c r="H4296"/>
    </row>
    <row r="4297" spans="6:8">
      <c r="F4297" s="6"/>
      <c r="G4297"/>
      <c r="H4297"/>
    </row>
    <row r="4298" spans="6:8">
      <c r="F4298" s="6"/>
      <c r="G4298"/>
      <c r="H4298"/>
    </row>
    <row r="4299" spans="6:8">
      <c r="F4299" s="6"/>
      <c r="G4299"/>
      <c r="H4299"/>
    </row>
    <row r="4300" spans="6:8">
      <c r="F4300" s="6"/>
      <c r="G4300"/>
      <c r="H4300"/>
    </row>
    <row r="4301" spans="6:8">
      <c r="F4301" s="6"/>
      <c r="G4301"/>
      <c r="H4301"/>
    </row>
    <row r="4302" spans="6:8">
      <c r="F4302" s="6"/>
      <c r="G4302"/>
      <c r="H4302"/>
    </row>
    <row r="4303" spans="6:8">
      <c r="F4303" s="6"/>
      <c r="G4303"/>
      <c r="H4303"/>
    </row>
    <row r="4304" spans="6:8">
      <c r="F4304" s="6"/>
      <c r="G4304"/>
      <c r="H4304"/>
    </row>
    <row r="4305" spans="6:8">
      <c r="F4305" s="6"/>
      <c r="G4305"/>
      <c r="H4305"/>
    </row>
    <row r="4306" spans="6:8">
      <c r="F4306" s="6"/>
      <c r="G4306"/>
      <c r="H4306"/>
    </row>
    <row r="4307" spans="6:8">
      <c r="F4307" s="6"/>
      <c r="G4307"/>
      <c r="H4307"/>
    </row>
    <row r="4308" spans="6:8">
      <c r="F4308" s="6"/>
      <c r="G4308"/>
      <c r="H4308"/>
    </row>
    <row r="4309" spans="6:8">
      <c r="F4309" s="6"/>
      <c r="G4309"/>
      <c r="H4309"/>
    </row>
    <row r="4310" spans="6:8">
      <c r="F4310" s="6"/>
      <c r="G4310"/>
      <c r="H4310"/>
    </row>
    <row r="4311" spans="6:8">
      <c r="F4311" s="6"/>
      <c r="G4311"/>
      <c r="H4311"/>
    </row>
    <row r="4312" spans="6:8">
      <c r="F4312" s="6"/>
      <c r="G4312"/>
      <c r="H4312"/>
    </row>
    <row r="4313" spans="6:8">
      <c r="F4313" s="6"/>
      <c r="G4313"/>
      <c r="H4313"/>
    </row>
    <row r="4314" spans="6:8">
      <c r="F4314" s="6"/>
      <c r="G4314"/>
      <c r="H4314"/>
    </row>
    <row r="4315" spans="6:8">
      <c r="F4315" s="6"/>
      <c r="G4315"/>
      <c r="H4315"/>
    </row>
    <row r="4316" spans="6:8">
      <c r="F4316" s="6"/>
      <c r="G4316"/>
      <c r="H4316"/>
    </row>
    <row r="4317" spans="6:8">
      <c r="F4317" s="6"/>
      <c r="G4317"/>
      <c r="H4317"/>
    </row>
    <row r="4318" spans="6:8">
      <c r="F4318" s="6"/>
      <c r="G4318"/>
      <c r="H4318"/>
    </row>
    <row r="4319" spans="6:8">
      <c r="F4319" s="6"/>
      <c r="G4319"/>
      <c r="H4319"/>
    </row>
    <row r="4320" spans="6:8">
      <c r="F4320" s="6"/>
      <c r="G4320"/>
      <c r="H4320"/>
    </row>
    <row r="4321" spans="6:8">
      <c r="F4321" s="6"/>
      <c r="G4321"/>
      <c r="H4321"/>
    </row>
    <row r="4322" spans="6:8">
      <c r="F4322" s="6"/>
      <c r="G4322"/>
      <c r="H4322"/>
    </row>
    <row r="4323" spans="6:8">
      <c r="F4323" s="6"/>
      <c r="G4323"/>
      <c r="H4323"/>
    </row>
    <row r="4324" spans="6:8">
      <c r="F4324" s="6"/>
      <c r="G4324"/>
      <c r="H4324"/>
    </row>
    <row r="4325" spans="6:8">
      <c r="F4325" s="6"/>
      <c r="G4325"/>
      <c r="H4325"/>
    </row>
    <row r="4326" spans="6:8">
      <c r="F4326" s="6"/>
      <c r="G4326"/>
      <c r="H4326"/>
    </row>
    <row r="4327" spans="6:8">
      <c r="F4327" s="6"/>
      <c r="G4327"/>
      <c r="H4327"/>
    </row>
    <row r="4328" spans="6:8">
      <c r="F4328" s="6"/>
      <c r="G4328"/>
      <c r="H4328"/>
    </row>
    <row r="4329" spans="6:8">
      <c r="F4329" s="6"/>
      <c r="G4329"/>
      <c r="H4329"/>
    </row>
    <row r="4330" spans="6:8">
      <c r="F4330" s="6"/>
      <c r="G4330"/>
      <c r="H4330"/>
    </row>
    <row r="4331" spans="6:8">
      <c r="F4331" s="6"/>
      <c r="G4331"/>
      <c r="H4331"/>
    </row>
    <row r="4332" spans="6:8">
      <c r="F4332" s="6"/>
      <c r="G4332"/>
      <c r="H4332"/>
    </row>
    <row r="4333" spans="6:8">
      <c r="F4333" s="6"/>
      <c r="G4333"/>
      <c r="H4333"/>
    </row>
    <row r="4334" spans="6:8">
      <c r="F4334" s="6"/>
      <c r="G4334"/>
      <c r="H4334"/>
    </row>
    <row r="4335" spans="6:8">
      <c r="F4335" s="6"/>
      <c r="G4335"/>
      <c r="H4335"/>
    </row>
    <row r="4336" spans="6:8">
      <c r="F4336" s="6"/>
      <c r="G4336"/>
      <c r="H4336"/>
    </row>
    <row r="4337" spans="6:8">
      <c r="F4337" s="6"/>
      <c r="G4337"/>
      <c r="H4337"/>
    </row>
    <row r="4338" spans="6:8">
      <c r="F4338" s="6"/>
      <c r="G4338"/>
      <c r="H4338"/>
    </row>
    <row r="4339" spans="6:8">
      <c r="F4339" s="6"/>
      <c r="G4339"/>
      <c r="H4339"/>
    </row>
    <row r="4340" spans="6:8">
      <c r="F4340" s="6"/>
      <c r="G4340"/>
      <c r="H4340"/>
    </row>
    <row r="4341" spans="6:8">
      <c r="F4341" s="6"/>
      <c r="G4341"/>
      <c r="H4341"/>
    </row>
    <row r="4342" spans="6:8">
      <c r="F4342" s="6"/>
      <c r="G4342"/>
      <c r="H4342"/>
    </row>
    <row r="4343" spans="6:8">
      <c r="F4343" s="6"/>
      <c r="G4343"/>
      <c r="H4343"/>
    </row>
    <row r="4344" spans="6:8">
      <c r="F4344" s="6"/>
      <c r="G4344"/>
      <c r="H4344"/>
    </row>
    <row r="4345" spans="6:8">
      <c r="F4345" s="6"/>
      <c r="G4345"/>
      <c r="H4345"/>
    </row>
    <row r="4346" spans="6:8">
      <c r="F4346" s="6"/>
      <c r="G4346"/>
      <c r="H4346"/>
    </row>
    <row r="4347" spans="6:8">
      <c r="F4347" s="6"/>
      <c r="G4347"/>
      <c r="H4347"/>
    </row>
    <row r="4348" spans="6:8">
      <c r="F4348" s="6"/>
      <c r="G4348"/>
      <c r="H4348"/>
    </row>
    <row r="4349" spans="6:8">
      <c r="F4349" s="6"/>
      <c r="G4349"/>
      <c r="H4349"/>
    </row>
    <row r="4350" spans="6:8">
      <c r="F4350" s="6"/>
      <c r="G4350"/>
      <c r="H4350"/>
    </row>
    <row r="4351" spans="6:8">
      <c r="F4351" s="6"/>
      <c r="G4351"/>
      <c r="H4351"/>
    </row>
    <row r="4352" spans="6:8">
      <c r="F4352" s="6"/>
      <c r="G4352"/>
      <c r="H4352"/>
    </row>
    <row r="4353" spans="6:8">
      <c r="F4353" s="6"/>
      <c r="G4353"/>
      <c r="H4353"/>
    </row>
    <row r="4354" spans="6:8">
      <c r="F4354" s="6"/>
      <c r="G4354"/>
      <c r="H4354"/>
    </row>
    <row r="4355" spans="6:8">
      <c r="F4355" s="6"/>
      <c r="G4355"/>
      <c r="H4355"/>
    </row>
    <row r="4356" spans="6:8">
      <c r="F4356" s="6"/>
      <c r="G4356"/>
      <c r="H4356"/>
    </row>
    <row r="4357" spans="6:8">
      <c r="F4357" s="6"/>
      <c r="G4357"/>
      <c r="H4357"/>
    </row>
    <row r="4358" spans="6:8">
      <c r="F4358" s="6"/>
      <c r="G4358"/>
      <c r="H4358"/>
    </row>
    <row r="4359" spans="6:8">
      <c r="F4359" s="6"/>
      <c r="G4359"/>
      <c r="H4359"/>
    </row>
    <row r="4360" spans="6:8">
      <c r="F4360" s="6"/>
      <c r="G4360"/>
      <c r="H4360"/>
    </row>
    <row r="4361" spans="6:8">
      <c r="F4361" s="6"/>
      <c r="G4361"/>
      <c r="H4361"/>
    </row>
    <row r="4362" spans="6:8">
      <c r="F4362" s="6"/>
      <c r="G4362"/>
      <c r="H4362"/>
    </row>
    <row r="4363" spans="6:8">
      <c r="F4363" s="6"/>
      <c r="G4363"/>
      <c r="H4363"/>
    </row>
    <row r="4364" spans="6:8">
      <c r="F4364" s="6"/>
      <c r="G4364"/>
      <c r="H4364"/>
    </row>
    <row r="4365" spans="6:8">
      <c r="F4365" s="6"/>
      <c r="G4365"/>
      <c r="H4365"/>
    </row>
    <row r="4366" spans="6:8">
      <c r="F4366" s="6"/>
      <c r="G4366"/>
      <c r="H4366"/>
    </row>
    <row r="4367" spans="6:8">
      <c r="F4367" s="6"/>
      <c r="G4367"/>
      <c r="H4367"/>
    </row>
    <row r="4368" spans="6:8">
      <c r="F4368" s="6"/>
      <c r="G4368"/>
      <c r="H4368"/>
    </row>
    <row r="4369" spans="6:8">
      <c r="F4369" s="6"/>
      <c r="G4369"/>
      <c r="H4369"/>
    </row>
    <row r="4370" spans="6:8">
      <c r="F4370" s="6"/>
      <c r="G4370"/>
      <c r="H4370"/>
    </row>
    <row r="4371" spans="6:8">
      <c r="F4371" s="6"/>
      <c r="G4371"/>
      <c r="H4371"/>
    </row>
    <row r="4372" spans="6:8">
      <c r="F4372" s="6"/>
      <c r="G4372"/>
      <c r="H4372"/>
    </row>
    <row r="4373" spans="6:8">
      <c r="F4373" s="6"/>
      <c r="G4373"/>
      <c r="H4373"/>
    </row>
    <row r="4374" spans="6:8">
      <c r="F4374" s="6"/>
      <c r="G4374"/>
      <c r="H4374"/>
    </row>
    <row r="4375" spans="6:8">
      <c r="F4375" s="6"/>
      <c r="G4375"/>
      <c r="H4375"/>
    </row>
    <row r="4376" spans="6:8">
      <c r="F4376" s="6"/>
      <c r="G4376"/>
      <c r="H4376"/>
    </row>
    <row r="4377" spans="6:8">
      <c r="F4377" s="6"/>
      <c r="G4377"/>
      <c r="H4377"/>
    </row>
    <row r="4378" spans="6:8">
      <c r="F4378" s="6"/>
      <c r="G4378"/>
      <c r="H4378"/>
    </row>
    <row r="4379" spans="6:8">
      <c r="F4379" s="6"/>
      <c r="G4379"/>
      <c r="H4379"/>
    </row>
    <row r="4380" spans="6:8">
      <c r="F4380" s="6"/>
      <c r="G4380"/>
      <c r="H4380"/>
    </row>
    <row r="4381" spans="6:8">
      <c r="F4381" s="6"/>
      <c r="G4381"/>
      <c r="H4381"/>
    </row>
    <row r="4382" spans="6:8">
      <c r="F4382" s="6"/>
      <c r="G4382"/>
      <c r="H4382"/>
    </row>
    <row r="4383" spans="6:8">
      <c r="F4383" s="6"/>
      <c r="G4383"/>
      <c r="H4383"/>
    </row>
    <row r="4384" spans="6:8">
      <c r="F4384" s="6"/>
      <c r="G4384"/>
      <c r="H4384"/>
    </row>
    <row r="4385" spans="6:8">
      <c r="F4385" s="6"/>
      <c r="G4385"/>
      <c r="H4385"/>
    </row>
    <row r="4386" spans="6:8">
      <c r="F4386" s="6"/>
      <c r="G4386"/>
      <c r="H4386"/>
    </row>
    <row r="4387" spans="6:8">
      <c r="F4387" s="6"/>
      <c r="G4387"/>
      <c r="H4387"/>
    </row>
    <row r="4388" spans="6:8">
      <c r="F4388" s="6"/>
      <c r="G4388"/>
      <c r="H4388"/>
    </row>
    <row r="4389" spans="6:8">
      <c r="F4389" s="6"/>
      <c r="G4389"/>
      <c r="H4389"/>
    </row>
    <row r="4390" spans="6:8">
      <c r="F4390" s="6"/>
      <c r="G4390"/>
      <c r="H4390"/>
    </row>
    <row r="4391" spans="6:8">
      <c r="F4391" s="6"/>
      <c r="G4391"/>
      <c r="H4391"/>
    </row>
    <row r="4392" spans="6:8">
      <c r="F4392" s="6"/>
      <c r="G4392"/>
      <c r="H4392"/>
    </row>
    <row r="4393" spans="6:8">
      <c r="F4393" s="6"/>
      <c r="G4393"/>
      <c r="H4393"/>
    </row>
    <row r="4394" spans="6:8">
      <c r="F4394" s="6"/>
      <c r="G4394"/>
      <c r="H4394"/>
    </row>
    <row r="4395" spans="6:8">
      <c r="F4395" s="6"/>
      <c r="G4395"/>
      <c r="H4395"/>
    </row>
    <row r="4396" spans="6:8">
      <c r="F4396" s="6"/>
      <c r="G4396"/>
      <c r="H4396"/>
    </row>
    <row r="4397" spans="6:8">
      <c r="F4397" s="6"/>
      <c r="G4397"/>
      <c r="H4397"/>
    </row>
    <row r="4398" spans="6:8">
      <c r="F4398" s="6"/>
      <c r="G4398"/>
      <c r="H4398"/>
    </row>
    <row r="4399" spans="6:8">
      <c r="F4399" s="6"/>
      <c r="G4399"/>
      <c r="H4399"/>
    </row>
    <row r="4400" spans="6:8">
      <c r="F4400" s="6"/>
      <c r="G4400"/>
      <c r="H4400"/>
    </row>
    <row r="4401" spans="6:8">
      <c r="F4401" s="6"/>
      <c r="G4401"/>
      <c r="H4401"/>
    </row>
    <row r="4402" spans="6:8">
      <c r="F4402" s="6"/>
      <c r="G4402"/>
      <c r="H4402"/>
    </row>
    <row r="4403" spans="6:8">
      <c r="F4403" s="6"/>
      <c r="G4403"/>
      <c r="H4403"/>
    </row>
    <row r="4404" spans="6:8">
      <c r="F4404" s="6"/>
      <c r="G4404"/>
      <c r="H4404"/>
    </row>
    <row r="4405" spans="6:8">
      <c r="F4405" s="6"/>
      <c r="G4405"/>
      <c r="H4405"/>
    </row>
    <row r="4406" spans="6:8">
      <c r="F4406" s="6"/>
      <c r="G4406"/>
      <c r="H4406"/>
    </row>
    <row r="4407" spans="6:8">
      <c r="F4407" s="6"/>
      <c r="G4407"/>
      <c r="H4407"/>
    </row>
    <row r="4408" spans="6:8">
      <c r="F4408" s="6"/>
      <c r="G4408"/>
      <c r="H4408"/>
    </row>
    <row r="4409" spans="6:8">
      <c r="F4409" s="6"/>
      <c r="G4409"/>
      <c r="H4409"/>
    </row>
    <row r="4410" spans="6:8">
      <c r="F4410" s="6"/>
      <c r="G4410"/>
      <c r="H4410"/>
    </row>
    <row r="4411" spans="6:8">
      <c r="F4411" s="6"/>
      <c r="G4411"/>
      <c r="H4411"/>
    </row>
    <row r="4412" spans="6:8">
      <c r="F4412" s="6"/>
      <c r="G4412"/>
      <c r="H4412"/>
    </row>
    <row r="4413" spans="6:8">
      <c r="F4413" s="6"/>
      <c r="G4413"/>
      <c r="H4413"/>
    </row>
    <row r="4414" spans="6:8">
      <c r="F4414" s="6"/>
      <c r="G4414"/>
      <c r="H4414"/>
    </row>
    <row r="4415" spans="6:8">
      <c r="F4415" s="6"/>
      <c r="G4415"/>
      <c r="H4415"/>
    </row>
    <row r="4416" spans="6:8">
      <c r="F4416" s="6"/>
      <c r="G4416"/>
      <c r="H4416"/>
    </row>
    <row r="4417" spans="6:8">
      <c r="F4417" s="6"/>
      <c r="G4417"/>
      <c r="H4417"/>
    </row>
    <row r="4418" spans="6:8">
      <c r="F4418" s="6"/>
      <c r="G4418"/>
      <c r="H4418"/>
    </row>
    <row r="4419" spans="6:8">
      <c r="F4419" s="6"/>
      <c r="G4419"/>
      <c r="H4419"/>
    </row>
    <row r="4420" spans="6:8">
      <c r="F4420" s="6"/>
      <c r="G4420"/>
      <c r="H4420"/>
    </row>
    <row r="4421" spans="6:8">
      <c r="F4421" s="6"/>
      <c r="G4421"/>
      <c r="H4421"/>
    </row>
    <row r="4422" spans="6:8">
      <c r="F4422" s="6"/>
      <c r="G4422"/>
      <c r="H4422"/>
    </row>
    <row r="4423" spans="6:8">
      <c r="F4423" s="6"/>
      <c r="G4423"/>
      <c r="H4423"/>
    </row>
    <row r="4424" spans="6:8">
      <c r="F4424" s="6"/>
      <c r="G4424"/>
      <c r="H4424"/>
    </row>
    <row r="4425" spans="6:8">
      <c r="F4425" s="6"/>
      <c r="G4425"/>
      <c r="H4425"/>
    </row>
    <row r="4426" spans="6:8">
      <c r="F4426" s="6"/>
      <c r="G4426"/>
      <c r="H4426"/>
    </row>
    <row r="4427" spans="6:8">
      <c r="F4427" s="6"/>
      <c r="G4427"/>
      <c r="H4427"/>
    </row>
    <row r="4428" spans="6:8">
      <c r="F4428" s="6"/>
      <c r="G4428"/>
      <c r="H4428"/>
    </row>
    <row r="4429" spans="6:8">
      <c r="F4429" s="6"/>
      <c r="G4429"/>
      <c r="H4429"/>
    </row>
    <row r="4430" spans="6:8">
      <c r="F4430" s="6"/>
      <c r="G4430"/>
      <c r="H4430"/>
    </row>
    <row r="4431" spans="6:8">
      <c r="F4431" s="6"/>
      <c r="G4431"/>
      <c r="H4431"/>
    </row>
    <row r="4432" spans="6:8">
      <c r="F4432" s="6"/>
      <c r="G4432"/>
      <c r="H4432"/>
    </row>
    <row r="4433" spans="6:8">
      <c r="F4433" s="6"/>
      <c r="G4433"/>
      <c r="H4433"/>
    </row>
    <row r="4434" spans="6:8">
      <c r="F4434" s="6"/>
      <c r="G4434"/>
      <c r="H4434"/>
    </row>
    <row r="4435" spans="6:8">
      <c r="F4435" s="6"/>
      <c r="G4435"/>
      <c r="H4435"/>
    </row>
    <row r="4436" spans="6:8">
      <c r="F4436" s="6"/>
      <c r="G4436"/>
      <c r="H4436"/>
    </row>
    <row r="4437" spans="6:8">
      <c r="F4437" s="6"/>
      <c r="G4437"/>
      <c r="H4437"/>
    </row>
    <row r="4438" spans="6:8">
      <c r="F4438" s="6"/>
      <c r="G4438"/>
      <c r="H4438"/>
    </row>
    <row r="4439" spans="6:8">
      <c r="F4439" s="6"/>
      <c r="G4439"/>
      <c r="H4439"/>
    </row>
    <row r="4440" spans="6:8">
      <c r="F4440" s="6"/>
      <c r="G4440"/>
      <c r="H4440"/>
    </row>
    <row r="4441" spans="6:8">
      <c r="F4441" s="6"/>
      <c r="G4441"/>
      <c r="H4441"/>
    </row>
    <row r="4442" spans="6:8">
      <c r="F4442" s="6"/>
      <c r="G4442"/>
      <c r="H4442"/>
    </row>
    <row r="4443" spans="6:8">
      <c r="F4443" s="6"/>
      <c r="G4443"/>
      <c r="H4443"/>
    </row>
    <row r="4444" spans="6:8">
      <c r="F4444" s="6"/>
      <c r="G4444"/>
      <c r="H4444"/>
    </row>
    <row r="4445" spans="6:8">
      <c r="F4445" s="6"/>
      <c r="G4445"/>
      <c r="H4445"/>
    </row>
    <row r="4446" spans="6:8">
      <c r="F4446" s="6"/>
      <c r="G4446"/>
      <c r="H4446"/>
    </row>
    <row r="4447" spans="6:8">
      <c r="F4447" s="6"/>
      <c r="G4447"/>
      <c r="H4447"/>
    </row>
    <row r="4448" spans="6:8">
      <c r="F4448" s="6"/>
      <c r="G4448"/>
      <c r="H4448"/>
    </row>
    <row r="4449" spans="6:8">
      <c r="F4449" s="6"/>
      <c r="G4449"/>
      <c r="H4449"/>
    </row>
    <row r="4450" spans="6:8">
      <c r="F4450" s="6"/>
      <c r="G4450"/>
      <c r="H4450"/>
    </row>
    <row r="4451" spans="6:8">
      <c r="F4451" s="6"/>
      <c r="G4451"/>
      <c r="H4451"/>
    </row>
    <row r="4452" spans="6:8">
      <c r="F4452" s="6"/>
      <c r="G4452"/>
      <c r="H4452"/>
    </row>
    <row r="4453" spans="6:8">
      <c r="F4453" s="6"/>
      <c r="G4453"/>
      <c r="H4453"/>
    </row>
    <row r="4454" spans="6:8">
      <c r="F4454" s="6"/>
      <c r="G4454"/>
      <c r="H4454"/>
    </row>
    <row r="4455" spans="6:8">
      <c r="F4455" s="6"/>
      <c r="G4455"/>
      <c r="H4455"/>
    </row>
    <row r="4456" spans="6:8">
      <c r="F4456" s="6"/>
      <c r="G4456"/>
      <c r="H4456"/>
    </row>
    <row r="4457" spans="6:8">
      <c r="F4457" s="6"/>
      <c r="G4457"/>
      <c r="H4457"/>
    </row>
    <row r="4458" spans="6:8">
      <c r="F4458" s="6"/>
      <c r="G4458"/>
      <c r="H4458"/>
    </row>
    <row r="4459" spans="6:8">
      <c r="F4459" s="6"/>
      <c r="G4459"/>
      <c r="H4459"/>
    </row>
    <row r="4460" spans="6:8">
      <c r="F4460" s="6"/>
      <c r="G4460"/>
      <c r="H4460"/>
    </row>
    <row r="4461" spans="6:8">
      <c r="F4461" s="6"/>
      <c r="G4461"/>
      <c r="H4461"/>
    </row>
    <row r="4462" spans="6:8">
      <c r="F4462" s="6"/>
      <c r="G4462"/>
      <c r="H4462"/>
    </row>
    <row r="4463" spans="6:8">
      <c r="F4463" s="6"/>
      <c r="G4463"/>
      <c r="H4463"/>
    </row>
    <row r="4464" spans="6:8">
      <c r="F4464" s="6"/>
      <c r="G4464"/>
      <c r="H4464"/>
    </row>
    <row r="4465" spans="6:8">
      <c r="F4465" s="6"/>
      <c r="G4465"/>
      <c r="H4465"/>
    </row>
    <row r="4466" spans="6:8">
      <c r="F4466" s="6"/>
      <c r="G4466"/>
      <c r="H4466"/>
    </row>
    <row r="4467" spans="6:8">
      <c r="F4467" s="6"/>
      <c r="G4467"/>
      <c r="H4467"/>
    </row>
    <row r="4468" spans="6:8">
      <c r="F4468" s="6"/>
      <c r="G4468"/>
      <c r="H4468"/>
    </row>
    <row r="4469" spans="6:8">
      <c r="F4469" s="6"/>
      <c r="G4469"/>
      <c r="H4469"/>
    </row>
    <row r="4470" spans="6:8">
      <c r="F4470" s="6"/>
      <c r="G4470"/>
      <c r="H4470"/>
    </row>
    <row r="4471" spans="6:8">
      <c r="F4471" s="6"/>
      <c r="G4471"/>
      <c r="H4471"/>
    </row>
    <row r="4472" spans="6:8">
      <c r="F4472" s="6"/>
      <c r="G4472"/>
      <c r="H4472"/>
    </row>
    <row r="4473" spans="6:8">
      <c r="F4473" s="6"/>
      <c r="G4473"/>
      <c r="H4473"/>
    </row>
    <row r="4474" spans="6:8">
      <c r="F4474" s="6"/>
      <c r="G4474"/>
      <c r="H4474"/>
    </row>
    <row r="4475" spans="6:8">
      <c r="F4475" s="6"/>
      <c r="G4475"/>
      <c r="H4475"/>
    </row>
    <row r="4476" spans="6:8">
      <c r="F4476" s="6"/>
      <c r="G4476"/>
      <c r="H4476"/>
    </row>
    <row r="4477" spans="6:8">
      <c r="F4477" s="6"/>
      <c r="G4477"/>
      <c r="H4477"/>
    </row>
    <row r="4478" spans="6:8">
      <c r="F4478" s="6"/>
      <c r="G4478"/>
      <c r="H4478"/>
    </row>
    <row r="4479" spans="6:8">
      <c r="F4479" s="6"/>
      <c r="G4479"/>
      <c r="H4479"/>
    </row>
    <row r="4480" spans="6:8">
      <c r="F4480" s="6"/>
      <c r="G4480"/>
      <c r="H4480"/>
    </row>
    <row r="4481" spans="6:8">
      <c r="F4481" s="6"/>
      <c r="G4481"/>
      <c r="H4481"/>
    </row>
    <row r="4482" spans="6:8">
      <c r="F4482" s="6"/>
      <c r="G4482"/>
      <c r="H4482"/>
    </row>
    <row r="4483" spans="6:8">
      <c r="F4483" s="6"/>
      <c r="G4483"/>
      <c r="H4483"/>
    </row>
    <row r="4484" spans="6:8">
      <c r="F4484" s="6"/>
      <c r="G4484"/>
      <c r="H4484"/>
    </row>
    <row r="4485" spans="6:8">
      <c r="F4485" s="6"/>
      <c r="G4485"/>
      <c r="H4485"/>
    </row>
    <row r="4486" spans="6:8">
      <c r="F4486" s="6"/>
      <c r="G4486"/>
      <c r="H4486"/>
    </row>
    <row r="4487" spans="6:8">
      <c r="F4487" s="6"/>
      <c r="G4487"/>
      <c r="H4487"/>
    </row>
    <row r="4488" spans="6:8">
      <c r="F4488" s="6"/>
      <c r="G4488"/>
      <c r="H4488"/>
    </row>
    <row r="4489" spans="6:8">
      <c r="F4489" s="6"/>
      <c r="G4489"/>
      <c r="H4489"/>
    </row>
    <row r="4490" spans="6:8">
      <c r="F4490" s="6"/>
      <c r="G4490"/>
      <c r="H4490"/>
    </row>
    <row r="4491" spans="6:8">
      <c r="F4491" s="6"/>
      <c r="G4491"/>
      <c r="H4491"/>
    </row>
    <row r="4492" spans="6:8">
      <c r="F4492" s="6"/>
      <c r="G4492"/>
      <c r="H4492"/>
    </row>
    <row r="4493" spans="6:8">
      <c r="F4493" s="6"/>
      <c r="G4493"/>
      <c r="H4493"/>
    </row>
    <row r="4494" spans="6:8">
      <c r="F4494" s="6"/>
      <c r="G4494"/>
      <c r="H4494"/>
    </row>
    <row r="4495" spans="6:8">
      <c r="F4495" s="6"/>
      <c r="G4495"/>
      <c r="H4495"/>
    </row>
    <row r="4496" spans="6:8">
      <c r="F4496" s="6"/>
      <c r="G4496"/>
      <c r="H4496"/>
    </row>
    <row r="4497" spans="6:8">
      <c r="F4497" s="6"/>
      <c r="G4497"/>
      <c r="H4497"/>
    </row>
    <row r="4498" spans="6:8">
      <c r="F4498" s="6"/>
      <c r="G4498"/>
      <c r="H4498"/>
    </row>
    <row r="4499" spans="6:8">
      <c r="F4499" s="6"/>
      <c r="G4499"/>
      <c r="H4499"/>
    </row>
    <row r="4500" spans="6:8">
      <c r="F4500" s="6"/>
      <c r="G4500"/>
      <c r="H4500"/>
    </row>
    <row r="4501" spans="6:8">
      <c r="F4501" s="6"/>
      <c r="G4501"/>
      <c r="H4501"/>
    </row>
    <row r="4502" spans="6:8">
      <c r="F4502" s="6"/>
      <c r="G4502"/>
      <c r="H4502"/>
    </row>
    <row r="4503" spans="6:8">
      <c r="F4503" s="6"/>
      <c r="G4503"/>
      <c r="H4503"/>
    </row>
    <row r="4504" spans="6:8">
      <c r="F4504" s="6"/>
      <c r="G4504"/>
      <c r="H4504"/>
    </row>
    <row r="4505" spans="6:8">
      <c r="F4505" s="6"/>
      <c r="G4505"/>
      <c r="H4505"/>
    </row>
    <row r="4506" spans="6:8">
      <c r="F4506" s="6"/>
      <c r="G4506"/>
      <c r="H4506"/>
    </row>
    <row r="4507" spans="6:8">
      <c r="F4507" s="6"/>
      <c r="G4507"/>
      <c r="H4507"/>
    </row>
    <row r="4508" spans="6:8">
      <c r="F4508" s="6"/>
      <c r="G4508"/>
      <c r="H4508"/>
    </row>
    <row r="4509" spans="6:8">
      <c r="F4509" s="6"/>
      <c r="G4509"/>
      <c r="H4509"/>
    </row>
    <row r="4510" spans="6:8">
      <c r="F4510" s="6"/>
      <c r="G4510"/>
      <c r="H4510"/>
    </row>
    <row r="4511" spans="6:8">
      <c r="F4511" s="6"/>
      <c r="G4511"/>
      <c r="H4511"/>
    </row>
    <row r="4512" spans="6:8">
      <c r="F4512" s="6"/>
      <c r="G4512"/>
      <c r="H4512"/>
    </row>
    <row r="4513" spans="6:8">
      <c r="F4513" s="6"/>
      <c r="G4513"/>
      <c r="H4513"/>
    </row>
    <row r="4514" spans="6:8">
      <c r="F4514" s="6"/>
      <c r="G4514"/>
      <c r="H4514"/>
    </row>
    <row r="4515" spans="6:8">
      <c r="F4515" s="6"/>
      <c r="G4515"/>
      <c r="H4515"/>
    </row>
    <row r="4516" spans="6:8">
      <c r="F4516" s="6"/>
      <c r="G4516"/>
      <c r="H4516"/>
    </row>
    <row r="4517" spans="6:8">
      <c r="F4517" s="6"/>
      <c r="G4517"/>
      <c r="H4517"/>
    </row>
    <row r="4518" spans="6:8">
      <c r="F4518" s="6"/>
      <c r="G4518"/>
      <c r="H4518"/>
    </row>
    <row r="4519" spans="6:8">
      <c r="F4519" s="6"/>
      <c r="G4519"/>
      <c r="H4519"/>
    </row>
    <row r="4520" spans="6:8">
      <c r="F4520" s="6"/>
      <c r="G4520"/>
      <c r="H4520"/>
    </row>
    <row r="4521" spans="6:8">
      <c r="F4521" s="6"/>
      <c r="G4521"/>
      <c r="H4521"/>
    </row>
    <row r="4522" spans="6:8">
      <c r="F4522" s="6"/>
      <c r="G4522"/>
      <c r="H4522"/>
    </row>
    <row r="4523" spans="6:8">
      <c r="F4523" s="6"/>
      <c r="G4523"/>
      <c r="H4523"/>
    </row>
    <row r="4524" spans="6:8">
      <c r="F4524" s="6"/>
      <c r="G4524"/>
      <c r="H4524"/>
    </row>
    <row r="4525" spans="6:8">
      <c r="F4525" s="6"/>
      <c r="G4525"/>
      <c r="H4525"/>
    </row>
    <row r="4526" spans="6:8">
      <c r="F4526" s="6"/>
      <c r="G4526"/>
      <c r="H4526"/>
    </row>
    <row r="4527" spans="6:8">
      <c r="F4527" s="6"/>
      <c r="G4527"/>
      <c r="H4527"/>
    </row>
    <row r="4528" spans="6:8">
      <c r="F4528" s="6"/>
      <c r="G4528"/>
      <c r="H4528"/>
    </row>
    <row r="4529" spans="6:8">
      <c r="F4529" s="6"/>
      <c r="G4529"/>
      <c r="H4529"/>
    </row>
    <row r="4530" spans="6:8">
      <c r="F4530" s="6"/>
      <c r="G4530"/>
      <c r="H4530"/>
    </row>
    <row r="4531" spans="6:8">
      <c r="F4531" s="6"/>
      <c r="G4531"/>
      <c r="H4531"/>
    </row>
    <row r="4532" spans="6:8">
      <c r="F4532" s="6"/>
      <c r="G4532"/>
      <c r="H4532"/>
    </row>
    <row r="4533" spans="6:8">
      <c r="F4533" s="6"/>
      <c r="G4533"/>
      <c r="H4533"/>
    </row>
    <row r="4534" spans="6:8">
      <c r="F4534" s="6"/>
      <c r="G4534"/>
      <c r="H4534"/>
    </row>
    <row r="4535" spans="6:8">
      <c r="F4535" s="6"/>
      <c r="G4535"/>
      <c r="H4535"/>
    </row>
    <row r="4536" spans="6:8">
      <c r="F4536" s="6"/>
      <c r="G4536"/>
      <c r="H4536"/>
    </row>
    <row r="4537" spans="6:8">
      <c r="F4537" s="6"/>
      <c r="G4537"/>
      <c r="H4537"/>
    </row>
    <row r="4538" spans="6:8">
      <c r="F4538" s="6"/>
      <c r="G4538"/>
      <c r="H4538"/>
    </row>
    <row r="4539" spans="6:8">
      <c r="F4539" s="6"/>
      <c r="G4539"/>
      <c r="H4539"/>
    </row>
    <row r="4540" spans="6:8">
      <c r="F4540" s="6"/>
      <c r="G4540"/>
      <c r="H4540"/>
    </row>
    <row r="4541" spans="6:8">
      <c r="F4541" s="6"/>
      <c r="G4541"/>
      <c r="H4541"/>
    </row>
    <row r="4542" spans="6:8">
      <c r="F4542" s="6"/>
      <c r="G4542"/>
      <c r="H4542"/>
    </row>
    <row r="4543" spans="6:8">
      <c r="F4543" s="6"/>
      <c r="G4543"/>
      <c r="H4543"/>
    </row>
    <row r="4544" spans="6:8">
      <c r="F4544" s="6"/>
      <c r="G4544"/>
      <c r="H4544"/>
    </row>
    <row r="4545" spans="6:8">
      <c r="F4545" s="6"/>
      <c r="G4545"/>
      <c r="H4545"/>
    </row>
    <row r="4546" spans="6:8">
      <c r="F4546" s="6"/>
      <c r="G4546"/>
      <c r="H4546"/>
    </row>
    <row r="4547" spans="6:8">
      <c r="F4547" s="6"/>
      <c r="G4547"/>
      <c r="H4547"/>
    </row>
    <row r="4548" spans="6:8">
      <c r="F4548" s="6"/>
      <c r="G4548"/>
      <c r="H4548"/>
    </row>
    <row r="4549" spans="6:8">
      <c r="F4549" s="6"/>
      <c r="G4549"/>
      <c r="H4549"/>
    </row>
    <row r="4550" spans="6:8">
      <c r="F4550" s="6"/>
      <c r="G4550"/>
      <c r="H4550"/>
    </row>
    <row r="4551" spans="6:8">
      <c r="F4551" s="6"/>
      <c r="G4551"/>
      <c r="H4551"/>
    </row>
    <row r="4552" spans="6:8">
      <c r="F4552" s="6"/>
      <c r="G4552"/>
      <c r="H4552"/>
    </row>
    <row r="4553" spans="6:8">
      <c r="F4553" s="6"/>
      <c r="G4553"/>
      <c r="H4553"/>
    </row>
    <row r="4554" spans="6:8">
      <c r="F4554" s="6"/>
      <c r="G4554"/>
      <c r="H4554"/>
    </row>
    <row r="4555" spans="6:8">
      <c r="F4555" s="6"/>
      <c r="G4555"/>
      <c r="H4555"/>
    </row>
    <row r="4556" spans="6:8">
      <c r="F4556" s="6"/>
      <c r="G4556"/>
      <c r="H4556"/>
    </row>
    <row r="4557" spans="6:8">
      <c r="F4557" s="6"/>
      <c r="G4557"/>
      <c r="H4557"/>
    </row>
    <row r="4558" spans="6:8">
      <c r="F4558" s="6"/>
      <c r="G4558"/>
      <c r="H4558"/>
    </row>
    <row r="4559" spans="6:8">
      <c r="F4559" s="6"/>
      <c r="G4559"/>
      <c r="H4559"/>
    </row>
    <row r="4560" spans="6:8">
      <c r="F4560" s="6"/>
      <c r="G4560"/>
      <c r="H4560"/>
    </row>
    <row r="4561" spans="6:8">
      <c r="F4561" s="6"/>
      <c r="G4561"/>
      <c r="H4561"/>
    </row>
    <row r="4562" spans="6:8">
      <c r="F4562" s="6"/>
      <c r="G4562"/>
      <c r="H4562"/>
    </row>
    <row r="4563" spans="6:8">
      <c r="F4563" s="6"/>
      <c r="G4563"/>
      <c r="H4563"/>
    </row>
    <row r="4564" spans="6:8">
      <c r="F4564" s="6"/>
      <c r="G4564"/>
      <c r="H4564"/>
    </row>
    <row r="4565" spans="6:8">
      <c r="F4565" s="6"/>
      <c r="G4565"/>
      <c r="H4565"/>
    </row>
    <row r="4566" spans="6:8">
      <c r="F4566" s="6"/>
      <c r="G4566"/>
      <c r="H4566"/>
    </row>
    <row r="4567" spans="6:8">
      <c r="F4567" s="6"/>
      <c r="G4567"/>
      <c r="H4567"/>
    </row>
    <row r="4568" spans="6:8">
      <c r="F4568" s="6"/>
      <c r="G4568"/>
      <c r="H4568"/>
    </row>
    <row r="4569" spans="6:8">
      <c r="F4569" s="6"/>
      <c r="G4569"/>
      <c r="H4569"/>
    </row>
    <row r="4570" spans="6:8">
      <c r="F4570" s="6"/>
      <c r="G4570"/>
      <c r="H4570"/>
    </row>
    <row r="4571" spans="6:8">
      <c r="F4571" s="6"/>
      <c r="G4571"/>
      <c r="H4571"/>
    </row>
    <row r="4572" spans="6:8">
      <c r="F4572" s="6"/>
      <c r="G4572"/>
      <c r="H4572"/>
    </row>
    <row r="4573" spans="6:8">
      <c r="F4573" s="6"/>
      <c r="G4573"/>
      <c r="H4573"/>
    </row>
    <row r="4574" spans="6:8">
      <c r="F4574" s="6"/>
      <c r="G4574"/>
      <c r="H4574"/>
    </row>
    <row r="4575" spans="6:8">
      <c r="F4575" s="6"/>
      <c r="G4575"/>
      <c r="H4575"/>
    </row>
    <row r="4576" spans="6:8">
      <c r="F4576" s="6"/>
      <c r="G4576"/>
      <c r="H4576"/>
    </row>
    <row r="4577" spans="6:8">
      <c r="F4577" s="6"/>
      <c r="G4577"/>
      <c r="H4577"/>
    </row>
    <row r="4578" spans="6:8">
      <c r="F4578" s="6"/>
      <c r="G4578"/>
      <c r="H4578"/>
    </row>
    <row r="4579" spans="6:8">
      <c r="F4579" s="6"/>
      <c r="G4579"/>
      <c r="H4579"/>
    </row>
    <row r="4580" spans="6:8">
      <c r="F4580" s="6"/>
      <c r="G4580"/>
      <c r="H4580"/>
    </row>
    <row r="4581" spans="6:8">
      <c r="F4581" s="6"/>
      <c r="G4581"/>
      <c r="H4581"/>
    </row>
    <row r="4582" spans="6:8">
      <c r="F4582" s="6"/>
      <c r="G4582"/>
      <c r="H4582"/>
    </row>
    <row r="4583" spans="6:8">
      <c r="F4583" s="6"/>
      <c r="G4583"/>
      <c r="H4583"/>
    </row>
    <row r="4584" spans="6:8">
      <c r="F4584" s="6"/>
      <c r="G4584"/>
      <c r="H4584"/>
    </row>
    <row r="4585" spans="6:8">
      <c r="F4585" s="6"/>
      <c r="G4585"/>
      <c r="H4585"/>
    </row>
    <row r="4586" spans="6:8">
      <c r="F4586" s="6"/>
      <c r="G4586"/>
      <c r="H4586"/>
    </row>
    <row r="4587" spans="6:8">
      <c r="F4587" s="6"/>
      <c r="G4587"/>
      <c r="H4587"/>
    </row>
    <row r="4588" spans="6:8">
      <c r="F4588" s="6"/>
      <c r="G4588"/>
      <c r="H4588"/>
    </row>
    <row r="4589" spans="6:8">
      <c r="F4589" s="6"/>
      <c r="G4589"/>
      <c r="H4589"/>
    </row>
    <row r="4590" spans="6:8">
      <c r="F4590" s="6"/>
      <c r="G4590"/>
      <c r="H4590"/>
    </row>
    <row r="4591" spans="6:8">
      <c r="F4591" s="6"/>
      <c r="G4591"/>
      <c r="H4591"/>
    </row>
    <row r="4592" spans="6:8">
      <c r="F4592" s="6"/>
      <c r="G4592"/>
      <c r="H4592"/>
    </row>
    <row r="4593" spans="6:8">
      <c r="F4593" s="6"/>
      <c r="G4593"/>
      <c r="H4593"/>
    </row>
    <row r="4594" spans="6:8">
      <c r="F4594" s="6"/>
      <c r="G4594"/>
      <c r="H4594"/>
    </row>
    <row r="4595" spans="6:8">
      <c r="F4595" s="6"/>
      <c r="G4595"/>
      <c r="H4595"/>
    </row>
    <row r="4596" spans="6:8">
      <c r="F4596" s="6"/>
      <c r="G4596"/>
      <c r="H4596"/>
    </row>
    <row r="4597" spans="6:8">
      <c r="F4597" s="6"/>
      <c r="G4597"/>
      <c r="H4597"/>
    </row>
    <row r="4598" spans="6:8">
      <c r="F4598" s="6"/>
      <c r="G4598"/>
      <c r="H4598"/>
    </row>
    <row r="4599" spans="6:8">
      <c r="F4599" s="6"/>
      <c r="G4599"/>
      <c r="H4599"/>
    </row>
    <row r="4600" spans="6:8">
      <c r="F4600" s="6"/>
      <c r="G4600"/>
      <c r="H4600"/>
    </row>
    <row r="4601" spans="6:8">
      <c r="F4601" s="6"/>
      <c r="G4601"/>
      <c r="H4601"/>
    </row>
    <row r="4602" spans="6:8">
      <c r="F4602" s="6"/>
      <c r="G4602"/>
      <c r="H4602"/>
    </row>
    <row r="4603" spans="6:8">
      <c r="F4603" s="6"/>
      <c r="G4603"/>
      <c r="H4603"/>
    </row>
    <row r="4604" spans="6:8">
      <c r="F4604" s="6"/>
      <c r="G4604"/>
      <c r="H4604"/>
    </row>
    <row r="4605" spans="6:8">
      <c r="F4605" s="6"/>
      <c r="G4605"/>
      <c r="H4605"/>
    </row>
    <row r="4606" spans="6:8">
      <c r="F4606" s="6"/>
      <c r="G4606"/>
      <c r="H4606"/>
    </row>
    <row r="4607" spans="6:8">
      <c r="F4607" s="6"/>
      <c r="G4607"/>
      <c r="H4607"/>
    </row>
    <row r="4608" spans="6:8">
      <c r="F4608" s="6"/>
      <c r="G4608"/>
      <c r="H4608"/>
    </row>
    <row r="4609" spans="6:8">
      <c r="F4609" s="6"/>
      <c r="G4609"/>
      <c r="H4609"/>
    </row>
    <row r="4610" spans="6:8">
      <c r="F4610" s="6"/>
      <c r="G4610"/>
      <c r="H4610"/>
    </row>
    <row r="4611" spans="6:8">
      <c r="F4611" s="6"/>
      <c r="G4611"/>
      <c r="H4611"/>
    </row>
    <row r="4612" spans="6:8">
      <c r="F4612" s="6"/>
      <c r="G4612"/>
      <c r="H4612"/>
    </row>
    <row r="4613" spans="6:8">
      <c r="F4613" s="6"/>
      <c r="G4613"/>
      <c r="H4613"/>
    </row>
    <row r="4614" spans="6:8">
      <c r="F4614" s="6"/>
      <c r="G4614"/>
      <c r="H4614"/>
    </row>
    <row r="4615" spans="6:8">
      <c r="F4615" s="6"/>
      <c r="G4615"/>
      <c r="H4615"/>
    </row>
    <row r="4616" spans="6:8">
      <c r="F4616" s="6"/>
      <c r="G4616"/>
      <c r="H4616"/>
    </row>
    <row r="4617" spans="6:8">
      <c r="F4617" s="6"/>
      <c r="G4617"/>
      <c r="H4617"/>
    </row>
    <row r="4618" spans="6:8">
      <c r="F4618" s="6"/>
      <c r="G4618"/>
      <c r="H4618"/>
    </row>
    <row r="4619" spans="6:8">
      <c r="F4619" s="6"/>
      <c r="G4619"/>
      <c r="H4619"/>
    </row>
    <row r="4620" spans="6:8">
      <c r="F4620" s="6"/>
      <c r="G4620"/>
      <c r="H4620"/>
    </row>
    <row r="4621" spans="6:8">
      <c r="F4621" s="6"/>
      <c r="G4621"/>
      <c r="H4621"/>
    </row>
    <row r="4622" spans="6:8">
      <c r="F4622" s="6"/>
      <c r="G4622"/>
      <c r="H4622"/>
    </row>
    <row r="4623" spans="6:8">
      <c r="F4623" s="6"/>
      <c r="G4623"/>
      <c r="H4623"/>
    </row>
    <row r="4624" spans="6:8">
      <c r="F4624" s="6"/>
      <c r="G4624"/>
      <c r="H4624"/>
    </row>
    <row r="4625" spans="6:8">
      <c r="F4625" s="6"/>
      <c r="G4625"/>
      <c r="H4625"/>
    </row>
    <row r="4626" spans="6:8">
      <c r="F4626" s="6"/>
      <c r="G4626"/>
      <c r="H4626"/>
    </row>
    <row r="4627" spans="6:8">
      <c r="F4627" s="6"/>
      <c r="G4627"/>
      <c r="H4627"/>
    </row>
    <row r="4628" spans="6:8">
      <c r="F4628" s="6"/>
      <c r="G4628"/>
      <c r="H4628"/>
    </row>
    <row r="4629" spans="6:8">
      <c r="F4629" s="6"/>
      <c r="G4629"/>
      <c r="H4629"/>
    </row>
    <row r="4630" spans="6:8">
      <c r="F4630" s="6"/>
      <c r="G4630"/>
      <c r="H4630"/>
    </row>
    <row r="4631" spans="6:8">
      <c r="F4631" s="6"/>
      <c r="G4631"/>
      <c r="H4631"/>
    </row>
    <row r="4632" spans="6:8">
      <c r="F4632" s="6"/>
      <c r="G4632"/>
      <c r="H4632"/>
    </row>
    <row r="4633" spans="6:8">
      <c r="F4633" s="6"/>
      <c r="G4633"/>
      <c r="H4633"/>
    </row>
    <row r="4634" spans="6:8">
      <c r="F4634" s="6"/>
      <c r="G4634"/>
      <c r="H4634"/>
    </row>
    <row r="4635" spans="6:8">
      <c r="F4635" s="6"/>
      <c r="G4635"/>
      <c r="H4635"/>
    </row>
    <row r="4636" spans="6:8">
      <c r="F4636" s="6"/>
      <c r="G4636"/>
      <c r="H4636"/>
    </row>
    <row r="4637" spans="6:8">
      <c r="F4637" s="6"/>
      <c r="G4637"/>
      <c r="H4637"/>
    </row>
    <row r="4638" spans="6:8">
      <c r="F4638" s="6"/>
      <c r="G4638"/>
      <c r="H4638"/>
    </row>
    <row r="4639" spans="6:8">
      <c r="F4639" s="6"/>
      <c r="G4639"/>
      <c r="H4639"/>
    </row>
    <row r="4640" spans="6:8">
      <c r="F4640" s="6"/>
      <c r="G4640"/>
      <c r="H4640"/>
    </row>
    <row r="4641" spans="6:8">
      <c r="F4641" s="6"/>
      <c r="G4641"/>
      <c r="H4641"/>
    </row>
    <row r="4642" spans="6:8">
      <c r="F4642" s="6"/>
      <c r="G4642"/>
      <c r="H4642"/>
    </row>
    <row r="4643" spans="6:8">
      <c r="F4643" s="6"/>
      <c r="G4643"/>
      <c r="H4643"/>
    </row>
    <row r="4644" spans="6:8">
      <c r="F4644" s="6"/>
      <c r="G4644"/>
      <c r="H4644"/>
    </row>
    <row r="4645" spans="6:8">
      <c r="F4645" s="6"/>
      <c r="G4645"/>
      <c r="H4645"/>
    </row>
    <row r="4646" spans="6:8">
      <c r="F4646" s="6"/>
      <c r="G4646"/>
      <c r="H4646"/>
    </row>
    <row r="4647" spans="6:8">
      <c r="F4647" s="6"/>
      <c r="G4647"/>
      <c r="H4647"/>
    </row>
    <row r="4648" spans="6:8">
      <c r="F4648" s="6"/>
      <c r="G4648"/>
      <c r="H4648"/>
    </row>
    <row r="4649" spans="6:8">
      <c r="F4649" s="6"/>
      <c r="G4649"/>
      <c r="H4649"/>
    </row>
    <row r="4650" spans="6:8">
      <c r="F4650" s="6"/>
      <c r="G4650"/>
      <c r="H4650"/>
    </row>
    <row r="4651" spans="6:8">
      <c r="F4651" s="6"/>
      <c r="G4651"/>
      <c r="H4651"/>
    </row>
    <row r="4652" spans="6:8">
      <c r="F4652" s="6"/>
      <c r="G4652"/>
      <c r="H4652"/>
    </row>
    <row r="4653" spans="6:8">
      <c r="F4653" s="6"/>
      <c r="G4653"/>
      <c r="H4653"/>
    </row>
    <row r="4654" spans="6:8">
      <c r="F4654" s="6"/>
      <c r="G4654"/>
      <c r="H4654"/>
    </row>
    <row r="4655" spans="6:8">
      <c r="F4655" s="6"/>
      <c r="G4655"/>
      <c r="H4655"/>
    </row>
    <row r="4656" spans="6:8">
      <c r="F4656" s="6"/>
      <c r="G4656"/>
      <c r="H4656"/>
    </row>
    <row r="4657" spans="6:8">
      <c r="F4657" s="6"/>
      <c r="G4657"/>
      <c r="H4657"/>
    </row>
    <row r="4658" spans="6:8">
      <c r="F4658" s="6"/>
      <c r="G4658"/>
      <c r="H4658"/>
    </row>
    <row r="4659" spans="6:8">
      <c r="F4659" s="6"/>
      <c r="G4659"/>
      <c r="H4659"/>
    </row>
    <row r="4660" spans="6:8">
      <c r="F4660" s="6"/>
      <c r="G4660"/>
      <c r="H4660"/>
    </row>
    <row r="4661" spans="6:8">
      <c r="F4661" s="6"/>
      <c r="G4661"/>
      <c r="H4661"/>
    </row>
    <row r="4662" spans="6:8">
      <c r="F4662" s="6"/>
      <c r="G4662"/>
      <c r="H4662"/>
    </row>
    <row r="4663" spans="6:8">
      <c r="F4663" s="6"/>
      <c r="G4663"/>
      <c r="H4663"/>
    </row>
    <row r="4664" spans="6:8">
      <c r="F4664" s="6"/>
      <c r="G4664"/>
      <c r="H4664"/>
    </row>
    <row r="4665" spans="6:8">
      <c r="F4665" s="6"/>
      <c r="G4665"/>
      <c r="H4665"/>
    </row>
    <row r="4666" spans="6:8">
      <c r="F4666" s="6"/>
      <c r="G4666"/>
      <c r="H4666"/>
    </row>
    <row r="4667" spans="6:8">
      <c r="F4667" s="6"/>
      <c r="G4667"/>
      <c r="H4667"/>
    </row>
    <row r="4668" spans="6:8">
      <c r="F4668" s="6"/>
      <c r="G4668"/>
      <c r="H4668"/>
    </row>
    <row r="4669" spans="6:8">
      <c r="F4669" s="6"/>
      <c r="G4669"/>
      <c r="H4669"/>
    </row>
    <row r="4670" spans="6:8">
      <c r="F4670" s="6"/>
      <c r="G4670"/>
      <c r="H4670"/>
    </row>
    <row r="4671" spans="6:8">
      <c r="F4671" s="6"/>
      <c r="G4671"/>
      <c r="H4671"/>
    </row>
    <row r="4672" spans="6:8">
      <c r="F4672" s="6"/>
      <c r="G4672"/>
      <c r="H4672"/>
    </row>
    <row r="4673" spans="6:8">
      <c r="F4673" s="6"/>
      <c r="G4673"/>
      <c r="H4673"/>
    </row>
    <row r="4674" spans="6:8">
      <c r="F4674" s="6"/>
      <c r="G4674"/>
      <c r="H4674"/>
    </row>
    <row r="4675" spans="6:8">
      <c r="F4675" s="6"/>
      <c r="G4675"/>
      <c r="H4675"/>
    </row>
    <row r="4676" spans="6:8">
      <c r="F4676" s="6"/>
      <c r="G4676"/>
      <c r="H4676"/>
    </row>
    <row r="4677" spans="6:8">
      <c r="F4677" s="6"/>
      <c r="G4677"/>
      <c r="H4677"/>
    </row>
    <row r="4678" spans="6:8">
      <c r="F4678" s="6"/>
      <c r="G4678"/>
      <c r="H4678"/>
    </row>
    <row r="4679" spans="6:8">
      <c r="F4679" s="6"/>
      <c r="G4679"/>
      <c r="H4679"/>
    </row>
    <row r="4680" spans="6:8">
      <c r="F4680" s="6"/>
      <c r="G4680"/>
      <c r="H4680"/>
    </row>
    <row r="4681" spans="6:8">
      <c r="F4681" s="6"/>
      <c r="G4681"/>
      <c r="H4681"/>
    </row>
    <row r="4682" spans="6:8">
      <c r="F4682" s="6"/>
      <c r="G4682"/>
      <c r="H4682"/>
    </row>
    <row r="4683" spans="6:8">
      <c r="F4683" s="6"/>
      <c r="G4683"/>
      <c r="H4683"/>
    </row>
    <row r="4684" spans="6:8">
      <c r="F4684" s="6"/>
      <c r="G4684"/>
      <c r="H4684"/>
    </row>
    <row r="4685" spans="6:8">
      <c r="F4685" s="6"/>
      <c r="G4685"/>
      <c r="H4685"/>
    </row>
    <row r="4686" spans="6:8">
      <c r="F4686" s="6"/>
      <c r="G4686"/>
      <c r="H4686"/>
    </row>
    <row r="4687" spans="6:8">
      <c r="F4687" s="6"/>
      <c r="G4687"/>
      <c r="H4687"/>
    </row>
    <row r="4688" spans="6:8">
      <c r="F4688" s="6"/>
      <c r="G4688"/>
      <c r="H4688"/>
    </row>
    <row r="4689" spans="6:8">
      <c r="F4689" s="6"/>
      <c r="G4689"/>
      <c r="H4689"/>
    </row>
    <row r="4690" spans="6:8">
      <c r="F4690" s="6"/>
      <c r="G4690"/>
      <c r="H4690"/>
    </row>
    <row r="4691" spans="6:8">
      <c r="F4691" s="6"/>
      <c r="G4691"/>
      <c r="H4691"/>
    </row>
    <row r="4692" spans="6:8">
      <c r="F4692" s="6"/>
      <c r="G4692"/>
      <c r="H4692"/>
    </row>
    <row r="4693" spans="6:8">
      <c r="F4693" s="6"/>
      <c r="G4693"/>
      <c r="H4693"/>
    </row>
    <row r="4694" spans="6:8">
      <c r="F4694" s="6"/>
      <c r="G4694"/>
      <c r="H4694"/>
    </row>
    <row r="4695" spans="6:8">
      <c r="F4695" s="6"/>
      <c r="G4695"/>
      <c r="H4695"/>
    </row>
    <row r="4696" spans="6:8">
      <c r="F4696" s="6"/>
      <c r="G4696"/>
      <c r="H4696"/>
    </row>
    <row r="4697" spans="6:8">
      <c r="F4697" s="6"/>
      <c r="G4697"/>
      <c r="H4697"/>
    </row>
    <row r="4698" spans="6:8">
      <c r="F4698" s="6"/>
      <c r="G4698"/>
      <c r="H4698"/>
    </row>
    <row r="4699" spans="6:8">
      <c r="F4699" s="6"/>
      <c r="G4699"/>
      <c r="H4699"/>
    </row>
    <row r="4700" spans="6:8">
      <c r="F4700" s="6"/>
      <c r="G4700"/>
      <c r="H4700"/>
    </row>
    <row r="4701" spans="6:8">
      <c r="F4701" s="6"/>
      <c r="G4701"/>
      <c r="H4701"/>
    </row>
    <row r="4702" spans="6:8">
      <c r="F4702" s="6"/>
      <c r="G4702"/>
      <c r="H4702"/>
    </row>
    <row r="4703" spans="6:8">
      <c r="F4703" s="6"/>
      <c r="G4703"/>
      <c r="H4703"/>
    </row>
    <row r="4704" spans="6:8">
      <c r="F4704" s="6"/>
      <c r="G4704"/>
      <c r="H4704"/>
    </row>
    <row r="4705" spans="6:8">
      <c r="F4705" s="6"/>
      <c r="G4705"/>
      <c r="H4705"/>
    </row>
    <row r="4706" spans="6:8">
      <c r="F4706" s="6"/>
      <c r="G4706"/>
      <c r="H4706"/>
    </row>
    <row r="4707" spans="6:8">
      <c r="F4707" s="6"/>
      <c r="G4707"/>
      <c r="H4707"/>
    </row>
    <row r="4708" spans="6:8">
      <c r="F4708" s="6"/>
      <c r="G4708"/>
      <c r="H4708"/>
    </row>
    <row r="4709" spans="6:8">
      <c r="F4709" s="6"/>
      <c r="G4709"/>
      <c r="H4709"/>
    </row>
    <row r="4710" spans="6:8">
      <c r="F4710" s="6"/>
      <c r="G4710"/>
      <c r="H4710"/>
    </row>
    <row r="4711" spans="6:8">
      <c r="F4711" s="6"/>
      <c r="G4711"/>
      <c r="H4711"/>
    </row>
    <row r="4712" spans="6:8">
      <c r="F4712" s="6"/>
      <c r="G4712"/>
      <c r="H4712"/>
    </row>
    <row r="4713" spans="6:8">
      <c r="F4713" s="6"/>
      <c r="G4713"/>
      <c r="H4713"/>
    </row>
    <row r="4714" spans="6:8">
      <c r="F4714" s="6"/>
      <c r="G4714"/>
      <c r="H4714"/>
    </row>
    <row r="4715" spans="6:8">
      <c r="F4715" s="6"/>
      <c r="G4715"/>
      <c r="H4715"/>
    </row>
    <row r="4716" spans="6:8">
      <c r="F4716" s="6"/>
      <c r="G4716"/>
      <c r="H4716"/>
    </row>
    <row r="4717" spans="6:8">
      <c r="F4717" s="6"/>
      <c r="G4717"/>
      <c r="H4717"/>
    </row>
    <row r="4718" spans="6:8">
      <c r="F4718" s="6"/>
      <c r="G4718"/>
      <c r="H4718"/>
    </row>
    <row r="4719" spans="6:8">
      <c r="F4719" s="6"/>
      <c r="G4719"/>
      <c r="H4719"/>
    </row>
    <row r="4720" spans="6:8">
      <c r="F4720" s="6"/>
      <c r="G4720"/>
      <c r="H4720"/>
    </row>
    <row r="4721" spans="6:8">
      <c r="F4721" s="6"/>
      <c r="G4721"/>
      <c r="H4721"/>
    </row>
    <row r="4722" spans="6:8">
      <c r="F4722" s="6"/>
      <c r="G4722"/>
      <c r="H4722"/>
    </row>
    <row r="4723" spans="6:8">
      <c r="F4723" s="6"/>
      <c r="G4723"/>
      <c r="H4723"/>
    </row>
    <row r="4724" spans="6:8">
      <c r="F4724" s="6"/>
      <c r="G4724"/>
      <c r="H4724"/>
    </row>
    <row r="4725" spans="6:8">
      <c r="F4725" s="6"/>
      <c r="G4725"/>
      <c r="H4725"/>
    </row>
    <row r="4726" spans="6:8">
      <c r="F4726" s="6"/>
      <c r="G4726"/>
      <c r="H4726"/>
    </row>
    <row r="4727" spans="6:8">
      <c r="F4727" s="6"/>
      <c r="G4727"/>
      <c r="H4727"/>
    </row>
    <row r="4728" spans="6:8">
      <c r="F4728" s="6"/>
      <c r="G4728"/>
      <c r="H4728"/>
    </row>
    <row r="4729" spans="6:8">
      <c r="F4729" s="6"/>
      <c r="G4729"/>
      <c r="H4729"/>
    </row>
    <row r="4730" spans="6:8">
      <c r="F4730" s="6"/>
      <c r="G4730"/>
      <c r="H4730"/>
    </row>
    <row r="4731" spans="6:8">
      <c r="F4731" s="6"/>
      <c r="G4731"/>
      <c r="H4731"/>
    </row>
    <row r="4732" spans="6:8">
      <c r="F4732" s="6"/>
      <c r="G4732"/>
      <c r="H4732"/>
    </row>
    <row r="4733" spans="6:8">
      <c r="F4733" s="6"/>
      <c r="G4733"/>
      <c r="H4733"/>
    </row>
    <row r="4734" spans="6:8">
      <c r="F4734" s="6"/>
      <c r="G4734"/>
      <c r="H4734"/>
    </row>
    <row r="4735" spans="6:8">
      <c r="F4735" s="6"/>
      <c r="G4735"/>
      <c r="H4735"/>
    </row>
    <row r="4736" spans="6:8">
      <c r="F4736" s="6"/>
      <c r="G4736"/>
      <c r="H4736"/>
    </row>
    <row r="4737" spans="6:8">
      <c r="F4737" s="6"/>
      <c r="G4737"/>
      <c r="H4737"/>
    </row>
    <row r="4738" spans="6:8">
      <c r="F4738" s="6"/>
      <c r="G4738"/>
      <c r="H4738"/>
    </row>
    <row r="4739" spans="6:8">
      <c r="F4739" s="6"/>
      <c r="G4739"/>
      <c r="H4739"/>
    </row>
    <row r="4740" spans="6:8">
      <c r="F4740" s="6"/>
      <c r="G4740"/>
      <c r="H4740"/>
    </row>
    <row r="4741" spans="6:8">
      <c r="F4741" s="6"/>
      <c r="G4741"/>
      <c r="H4741"/>
    </row>
    <row r="4742" spans="6:8">
      <c r="F4742" s="6"/>
      <c r="G4742"/>
      <c r="H4742"/>
    </row>
    <row r="4743" spans="6:8">
      <c r="F4743" s="6"/>
      <c r="G4743"/>
      <c r="H4743"/>
    </row>
    <row r="4744" spans="6:8">
      <c r="F4744" s="6"/>
      <c r="G4744"/>
      <c r="H4744"/>
    </row>
    <row r="4745" spans="6:8">
      <c r="F4745" s="6"/>
      <c r="G4745"/>
      <c r="H4745"/>
    </row>
    <row r="4746" spans="6:8">
      <c r="F4746" s="6"/>
      <c r="G4746"/>
      <c r="H4746"/>
    </row>
    <row r="4747" spans="6:8">
      <c r="F4747" s="6"/>
      <c r="G4747"/>
      <c r="H4747"/>
    </row>
    <row r="4748" spans="6:8">
      <c r="F4748" s="6"/>
      <c r="G4748"/>
      <c r="H4748"/>
    </row>
    <row r="4749" spans="6:8">
      <c r="F4749" s="6"/>
      <c r="G4749"/>
      <c r="H4749"/>
    </row>
    <row r="4750" spans="6:8">
      <c r="F4750" s="6"/>
      <c r="G4750"/>
      <c r="H4750"/>
    </row>
    <row r="4751" spans="6:8">
      <c r="F4751" s="6"/>
      <c r="G4751"/>
      <c r="H4751"/>
    </row>
    <row r="4752" spans="6:8">
      <c r="F4752" s="6"/>
      <c r="G4752"/>
      <c r="H4752"/>
    </row>
    <row r="4753" spans="6:8">
      <c r="F4753" s="6"/>
      <c r="G4753"/>
      <c r="H4753"/>
    </row>
    <row r="4754" spans="6:8">
      <c r="F4754" s="6"/>
      <c r="G4754"/>
      <c r="H4754"/>
    </row>
    <row r="4755" spans="6:8">
      <c r="F4755" s="6"/>
      <c r="G4755"/>
      <c r="H4755"/>
    </row>
    <row r="4756" spans="6:8">
      <c r="F4756" s="6"/>
      <c r="G4756"/>
      <c r="H4756"/>
    </row>
    <row r="4757" spans="6:8">
      <c r="F4757" s="6"/>
      <c r="G4757"/>
      <c r="H4757"/>
    </row>
    <row r="4758" spans="6:8">
      <c r="F4758" s="6"/>
      <c r="G4758"/>
      <c r="H4758"/>
    </row>
    <row r="4759" spans="6:8">
      <c r="F4759" s="6"/>
      <c r="G4759"/>
      <c r="H4759"/>
    </row>
    <row r="4760" spans="6:8">
      <c r="F4760" s="6"/>
      <c r="G4760"/>
      <c r="H4760"/>
    </row>
    <row r="4761" spans="6:8">
      <c r="F4761" s="6"/>
      <c r="G4761"/>
      <c r="H4761"/>
    </row>
    <row r="4762" spans="6:8">
      <c r="F4762" s="6"/>
      <c r="G4762"/>
      <c r="H4762"/>
    </row>
    <row r="4763" spans="6:8">
      <c r="F4763" s="6"/>
      <c r="G4763"/>
      <c r="H4763"/>
    </row>
    <row r="4764" spans="6:8">
      <c r="F4764" s="6"/>
      <c r="G4764"/>
      <c r="H4764"/>
    </row>
    <row r="4765" spans="6:8">
      <c r="F4765" s="6"/>
      <c r="G4765"/>
      <c r="H4765"/>
    </row>
    <row r="4766" spans="6:8">
      <c r="F4766" s="6"/>
      <c r="G4766"/>
      <c r="H4766"/>
    </row>
    <row r="4767" spans="6:8">
      <c r="F4767" s="6"/>
      <c r="G4767"/>
      <c r="H4767"/>
    </row>
    <row r="4768" spans="6:8">
      <c r="F4768" s="6"/>
      <c r="G4768"/>
      <c r="H4768"/>
    </row>
    <row r="4769" spans="6:8">
      <c r="F4769" s="6"/>
      <c r="G4769"/>
      <c r="H4769"/>
    </row>
    <row r="4770" spans="6:8">
      <c r="F4770" s="6"/>
      <c r="G4770"/>
      <c r="H4770"/>
    </row>
    <row r="4771" spans="6:8">
      <c r="F4771" s="6"/>
      <c r="G4771"/>
      <c r="H4771"/>
    </row>
    <row r="4772" spans="6:8">
      <c r="F4772" s="6"/>
      <c r="G4772"/>
      <c r="H4772"/>
    </row>
    <row r="4773" spans="6:8">
      <c r="F4773" s="6"/>
      <c r="G4773"/>
      <c r="H4773"/>
    </row>
    <row r="4774" spans="6:8">
      <c r="F4774" s="6"/>
      <c r="G4774"/>
      <c r="H4774"/>
    </row>
    <row r="4775" spans="6:8">
      <c r="F4775" s="6"/>
      <c r="G4775"/>
      <c r="H4775"/>
    </row>
    <row r="4776" spans="6:8">
      <c r="F4776" s="6"/>
      <c r="G4776"/>
      <c r="H4776"/>
    </row>
    <row r="4777" spans="6:8">
      <c r="F4777" s="6"/>
      <c r="G4777"/>
      <c r="H4777"/>
    </row>
    <row r="4778" spans="6:8">
      <c r="F4778" s="6"/>
      <c r="G4778"/>
      <c r="H4778"/>
    </row>
    <row r="4779" spans="6:8">
      <c r="F4779" s="6"/>
      <c r="G4779"/>
      <c r="H4779"/>
    </row>
    <row r="4780" spans="6:8">
      <c r="F4780" s="6"/>
      <c r="G4780"/>
      <c r="H4780"/>
    </row>
    <row r="4781" spans="6:8">
      <c r="F4781" s="6"/>
      <c r="G4781"/>
      <c r="H4781"/>
    </row>
    <row r="4782" spans="6:8">
      <c r="F4782" s="6"/>
      <c r="G4782"/>
      <c r="H4782"/>
    </row>
    <row r="4783" spans="6:8">
      <c r="F4783" s="6"/>
      <c r="G4783"/>
      <c r="H4783"/>
    </row>
    <row r="4784" spans="6:8">
      <c r="F4784" s="6"/>
      <c r="G4784"/>
      <c r="H4784"/>
    </row>
    <row r="4785" spans="6:8">
      <c r="F4785" s="6"/>
      <c r="G4785"/>
      <c r="H4785"/>
    </row>
    <row r="4786" spans="6:8">
      <c r="F4786" s="6"/>
      <c r="G4786"/>
      <c r="H4786"/>
    </row>
    <row r="4787" spans="6:8">
      <c r="F4787" s="6"/>
      <c r="G4787"/>
      <c r="H4787"/>
    </row>
    <row r="4788" spans="6:8">
      <c r="F4788" s="6"/>
      <c r="G4788"/>
      <c r="H4788"/>
    </row>
    <row r="4789" spans="6:8">
      <c r="F4789" s="6"/>
      <c r="G4789"/>
      <c r="H4789"/>
    </row>
    <row r="4790" spans="6:8">
      <c r="F4790" s="6"/>
      <c r="G4790"/>
      <c r="H4790"/>
    </row>
    <row r="4791" spans="6:8">
      <c r="F4791" s="6"/>
      <c r="G4791"/>
      <c r="H4791"/>
    </row>
    <row r="4792" spans="6:8">
      <c r="F4792" s="6"/>
      <c r="G4792"/>
      <c r="H4792"/>
    </row>
    <row r="4793" spans="6:8">
      <c r="F4793" s="6"/>
      <c r="G4793"/>
      <c r="H4793"/>
    </row>
    <row r="4794" spans="6:8">
      <c r="F4794" s="6"/>
      <c r="G4794"/>
      <c r="H4794"/>
    </row>
    <row r="4795" spans="6:8">
      <c r="F4795" s="6"/>
      <c r="G4795"/>
      <c r="H4795"/>
    </row>
    <row r="4796" spans="6:8">
      <c r="F4796" s="6"/>
      <c r="G4796"/>
      <c r="H4796"/>
    </row>
    <row r="4797" spans="6:8">
      <c r="F4797" s="6"/>
      <c r="G4797"/>
      <c r="H4797"/>
    </row>
    <row r="4798" spans="6:8">
      <c r="F4798" s="6"/>
      <c r="G4798"/>
      <c r="H4798"/>
    </row>
    <row r="4799" spans="6:8">
      <c r="F4799" s="6"/>
      <c r="G4799"/>
      <c r="H4799"/>
    </row>
    <row r="4800" spans="6:8">
      <c r="F4800" s="6"/>
      <c r="G4800"/>
      <c r="H4800"/>
    </row>
    <row r="4801" spans="6:8">
      <c r="F4801" s="6"/>
      <c r="G4801"/>
      <c r="H4801"/>
    </row>
    <row r="4802" spans="6:8">
      <c r="F4802" s="6"/>
      <c r="G4802"/>
      <c r="H4802"/>
    </row>
    <row r="4803" spans="6:8">
      <c r="F4803" s="6"/>
      <c r="G4803"/>
      <c r="H4803"/>
    </row>
    <row r="4804" spans="6:8">
      <c r="F4804" s="6"/>
      <c r="G4804"/>
      <c r="H4804"/>
    </row>
    <row r="4805" spans="6:8">
      <c r="F4805" s="6"/>
      <c r="G4805"/>
      <c r="H4805"/>
    </row>
    <row r="4806" spans="6:8">
      <c r="F4806" s="6"/>
      <c r="G4806"/>
      <c r="H4806"/>
    </row>
    <row r="4807" spans="6:8">
      <c r="F4807" s="6"/>
      <c r="G4807"/>
      <c r="H4807"/>
    </row>
    <row r="4808" spans="6:8">
      <c r="F4808" s="6"/>
      <c r="G4808"/>
      <c r="H4808"/>
    </row>
    <row r="4809" spans="6:8">
      <c r="F4809" s="6"/>
      <c r="G4809"/>
      <c r="H4809"/>
    </row>
    <row r="4810" spans="6:8">
      <c r="F4810" s="6"/>
      <c r="G4810"/>
      <c r="H4810"/>
    </row>
    <row r="4811" spans="6:8">
      <c r="F4811" s="6"/>
      <c r="G4811"/>
      <c r="H4811"/>
    </row>
    <row r="4812" spans="6:8">
      <c r="F4812" s="6"/>
      <c r="G4812"/>
      <c r="H4812"/>
    </row>
    <row r="4813" spans="6:8">
      <c r="F4813" s="6"/>
      <c r="G4813"/>
      <c r="H4813"/>
    </row>
    <row r="4814" spans="6:8">
      <c r="F4814" s="6"/>
      <c r="G4814"/>
      <c r="H4814"/>
    </row>
    <row r="4815" spans="6:8">
      <c r="F4815" s="6"/>
      <c r="G4815"/>
      <c r="H4815"/>
    </row>
    <row r="4816" spans="6:8">
      <c r="F4816" s="6"/>
      <c r="G4816"/>
      <c r="H4816"/>
    </row>
    <row r="4817" spans="6:8">
      <c r="F4817" s="6"/>
      <c r="G4817"/>
      <c r="H4817"/>
    </row>
    <row r="4818" spans="6:8">
      <c r="F4818" s="6"/>
      <c r="G4818"/>
      <c r="H4818"/>
    </row>
    <row r="4819" spans="6:8">
      <c r="F4819" s="6"/>
      <c r="G4819"/>
      <c r="H4819"/>
    </row>
    <row r="4820" spans="6:8">
      <c r="F4820" s="6"/>
      <c r="G4820"/>
      <c r="H4820"/>
    </row>
    <row r="4821" spans="6:8">
      <c r="F4821" s="6"/>
      <c r="G4821"/>
      <c r="H4821"/>
    </row>
    <row r="4822" spans="6:8">
      <c r="F4822" s="6"/>
      <c r="G4822"/>
      <c r="H4822"/>
    </row>
    <row r="4823" spans="6:8">
      <c r="F4823" s="6"/>
      <c r="G4823"/>
      <c r="H4823"/>
    </row>
    <row r="4824" spans="6:8">
      <c r="F4824" s="6"/>
      <c r="G4824"/>
      <c r="H4824"/>
    </row>
    <row r="4825" spans="6:8">
      <c r="F4825" s="6"/>
      <c r="G4825"/>
      <c r="H4825"/>
    </row>
    <row r="4826" spans="6:8">
      <c r="F4826" s="6"/>
      <c r="G4826"/>
      <c r="H4826"/>
    </row>
    <row r="4827" spans="6:8">
      <c r="F4827" s="6"/>
      <c r="G4827"/>
      <c r="H4827"/>
    </row>
    <row r="4828" spans="6:8">
      <c r="F4828" s="6"/>
      <c r="G4828"/>
      <c r="H4828"/>
    </row>
    <row r="4829" spans="6:8">
      <c r="F4829" s="6"/>
      <c r="G4829"/>
      <c r="H4829"/>
    </row>
    <row r="4830" spans="6:8">
      <c r="F4830" s="6"/>
      <c r="G4830"/>
      <c r="H4830"/>
    </row>
    <row r="4831" spans="6:8">
      <c r="F4831" s="6"/>
      <c r="G4831"/>
      <c r="H4831"/>
    </row>
    <row r="4832" spans="6:8">
      <c r="F4832" s="6"/>
      <c r="G4832"/>
      <c r="H4832"/>
    </row>
    <row r="4833" spans="6:8">
      <c r="F4833" s="6"/>
      <c r="G4833"/>
      <c r="H4833"/>
    </row>
    <row r="4834" spans="6:8">
      <c r="F4834" s="6"/>
      <c r="G4834"/>
      <c r="H4834"/>
    </row>
    <row r="4835" spans="6:8">
      <c r="F4835" s="6"/>
      <c r="G4835"/>
      <c r="H4835"/>
    </row>
    <row r="4836" spans="6:8">
      <c r="F4836" s="6"/>
      <c r="G4836"/>
      <c r="H4836"/>
    </row>
    <row r="4837" spans="6:8">
      <c r="F4837" s="6"/>
      <c r="G4837"/>
      <c r="H4837"/>
    </row>
    <row r="4838" spans="6:8">
      <c r="F4838" s="6"/>
      <c r="G4838"/>
      <c r="H4838"/>
    </row>
    <row r="4839" spans="6:8">
      <c r="F4839" s="6"/>
      <c r="G4839"/>
      <c r="H4839"/>
    </row>
    <row r="4840" spans="6:8">
      <c r="F4840" s="6"/>
      <c r="G4840"/>
      <c r="H4840"/>
    </row>
    <row r="4841" spans="6:8">
      <c r="F4841" s="6"/>
      <c r="G4841"/>
      <c r="H4841"/>
    </row>
    <row r="4842" spans="6:8">
      <c r="F4842" s="6"/>
      <c r="G4842"/>
      <c r="H4842"/>
    </row>
    <row r="4843" spans="6:8">
      <c r="F4843" s="6"/>
      <c r="G4843"/>
      <c r="H4843"/>
    </row>
    <row r="4844" spans="6:8">
      <c r="F4844" s="6"/>
      <c r="G4844"/>
      <c r="H4844"/>
    </row>
    <row r="4845" spans="6:8">
      <c r="F4845" s="6"/>
      <c r="G4845"/>
      <c r="H4845"/>
    </row>
    <row r="4846" spans="6:8">
      <c r="F4846" s="6"/>
      <c r="G4846"/>
      <c r="H4846"/>
    </row>
    <row r="4847" spans="6:8">
      <c r="F4847" s="6"/>
      <c r="G4847"/>
      <c r="H4847"/>
    </row>
    <row r="4848" spans="6:8">
      <c r="F4848" s="6"/>
      <c r="G4848"/>
      <c r="H4848"/>
    </row>
    <row r="4849" spans="6:8">
      <c r="F4849" s="6"/>
      <c r="G4849"/>
      <c r="H4849"/>
    </row>
    <row r="4850" spans="6:8">
      <c r="F4850" s="6"/>
      <c r="G4850"/>
      <c r="H4850"/>
    </row>
    <row r="4851" spans="6:8">
      <c r="F4851" s="6"/>
      <c r="G4851"/>
      <c r="H4851"/>
    </row>
    <row r="4852" spans="6:8">
      <c r="F4852" s="6"/>
      <c r="G4852"/>
      <c r="H4852"/>
    </row>
    <row r="4853" spans="6:8">
      <c r="F4853" s="6"/>
      <c r="G4853"/>
      <c r="H4853"/>
    </row>
    <row r="4854" spans="6:8">
      <c r="F4854" s="6"/>
      <c r="G4854"/>
      <c r="H4854"/>
    </row>
    <row r="4855" spans="6:8">
      <c r="F4855" s="6"/>
      <c r="G4855"/>
      <c r="H4855"/>
    </row>
    <row r="4856" spans="6:8">
      <c r="F4856" s="6"/>
      <c r="G4856"/>
      <c r="H4856"/>
    </row>
    <row r="4857" spans="6:8">
      <c r="F4857" s="6"/>
      <c r="G4857"/>
      <c r="H4857"/>
    </row>
    <row r="4858" spans="6:8">
      <c r="F4858" s="6"/>
      <c r="G4858"/>
      <c r="H4858"/>
    </row>
    <row r="4859" spans="6:8">
      <c r="F4859" s="6"/>
      <c r="G4859"/>
      <c r="H4859"/>
    </row>
    <row r="4860" spans="6:8">
      <c r="F4860" s="6"/>
      <c r="G4860"/>
      <c r="H4860"/>
    </row>
    <row r="4861" spans="6:8">
      <c r="F4861" s="6"/>
      <c r="G4861"/>
      <c r="H4861"/>
    </row>
    <row r="4862" spans="6:8">
      <c r="F4862" s="6"/>
      <c r="G4862"/>
      <c r="H4862"/>
    </row>
    <row r="4863" spans="6:8">
      <c r="F4863" s="6"/>
      <c r="G4863"/>
      <c r="H4863"/>
    </row>
    <row r="4864" spans="6:8">
      <c r="F4864" s="6"/>
      <c r="G4864"/>
      <c r="H4864"/>
    </row>
    <row r="4865" spans="6:8">
      <c r="F4865" s="6"/>
      <c r="G4865"/>
      <c r="H4865"/>
    </row>
    <row r="4866" spans="6:8">
      <c r="F4866" s="6"/>
      <c r="G4866"/>
      <c r="H4866"/>
    </row>
    <row r="4867" spans="6:8">
      <c r="F4867" s="6"/>
      <c r="G4867"/>
      <c r="H4867"/>
    </row>
    <row r="4868" spans="6:8">
      <c r="F4868" s="6"/>
      <c r="G4868"/>
      <c r="H4868"/>
    </row>
    <row r="4869" spans="6:8">
      <c r="F4869" s="6"/>
      <c r="G4869"/>
      <c r="H4869"/>
    </row>
    <row r="4870" spans="6:8">
      <c r="F4870" s="6"/>
      <c r="G4870"/>
      <c r="H4870"/>
    </row>
    <row r="4871" spans="6:8">
      <c r="F4871" s="6"/>
      <c r="G4871"/>
      <c r="H4871"/>
    </row>
    <row r="4872" spans="6:8">
      <c r="F4872" s="6"/>
      <c r="G4872"/>
      <c r="H4872"/>
    </row>
    <row r="4873" spans="6:8">
      <c r="F4873" s="6"/>
      <c r="G4873"/>
      <c r="H4873"/>
    </row>
    <row r="4874" spans="6:8">
      <c r="F4874" s="6"/>
      <c r="G4874"/>
      <c r="H4874"/>
    </row>
    <row r="4875" spans="6:8">
      <c r="F4875" s="6"/>
      <c r="G4875"/>
      <c r="H4875"/>
    </row>
    <row r="4876" spans="6:8">
      <c r="F4876" s="6"/>
      <c r="G4876"/>
      <c r="H4876"/>
    </row>
    <row r="4877" spans="6:8">
      <c r="F4877" s="6"/>
      <c r="G4877"/>
      <c r="H4877"/>
    </row>
    <row r="4878" spans="6:8">
      <c r="F4878" s="6"/>
      <c r="G4878"/>
      <c r="H4878"/>
    </row>
    <row r="4879" spans="6:8">
      <c r="F4879" s="6"/>
      <c r="G4879"/>
      <c r="H4879"/>
    </row>
    <row r="4880" spans="6:8">
      <c r="F4880" s="6"/>
      <c r="G4880"/>
      <c r="H4880"/>
    </row>
    <row r="4881" spans="6:8">
      <c r="F4881" s="6"/>
      <c r="G4881"/>
      <c r="H4881"/>
    </row>
    <row r="4882" spans="6:8">
      <c r="F4882" s="6"/>
      <c r="G4882"/>
      <c r="H4882"/>
    </row>
    <row r="4883" spans="6:8">
      <c r="F4883" s="6"/>
      <c r="G4883"/>
      <c r="H4883"/>
    </row>
    <row r="4884" spans="6:8">
      <c r="F4884" s="6"/>
      <c r="G4884"/>
      <c r="H4884"/>
    </row>
    <row r="4885" spans="6:8">
      <c r="F4885" s="6"/>
      <c r="G4885"/>
      <c r="H4885"/>
    </row>
    <row r="4886" spans="6:8">
      <c r="F4886" s="6"/>
      <c r="G4886"/>
      <c r="H4886"/>
    </row>
    <row r="4887" spans="6:8">
      <c r="F4887" s="6"/>
      <c r="G4887"/>
      <c r="H4887"/>
    </row>
    <row r="4888" spans="6:8">
      <c r="F4888" s="6"/>
      <c r="G4888"/>
      <c r="H4888"/>
    </row>
    <row r="4889" spans="6:8">
      <c r="F4889" s="6"/>
      <c r="G4889"/>
      <c r="H4889"/>
    </row>
    <row r="4890" spans="6:8">
      <c r="F4890" s="6"/>
      <c r="G4890"/>
      <c r="H4890"/>
    </row>
    <row r="4891" spans="6:8">
      <c r="F4891" s="6"/>
      <c r="G4891"/>
      <c r="H4891"/>
    </row>
  </sheetData>
  <autoFilter ref="A1:P3283" xr:uid="{E43F7897-A938-43AE-B1FE-2B88E0EEBB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04E8F-0964-4FAC-B982-C02EBB83C9A0}">
  <dimension ref="B4:X567"/>
  <sheetViews>
    <sheetView topLeftCell="A142" workbookViewId="0">
      <selection activeCell="L156" sqref="L156"/>
    </sheetView>
  </sheetViews>
  <sheetFormatPr defaultRowHeight="15"/>
  <cols>
    <col min="2" max="2" width="21.140625" customWidth="1"/>
    <col min="3" max="3" width="13.42578125" customWidth="1"/>
    <col min="4" max="8" width="13.42578125" bestFit="1" customWidth="1"/>
    <col min="9" max="9" width="14.42578125" bestFit="1" customWidth="1"/>
    <col min="10" max="10" width="13.42578125" bestFit="1" customWidth="1"/>
    <col min="11" max="14" width="11.7109375" customWidth="1"/>
    <col min="15" max="15" width="14.42578125" customWidth="1"/>
    <col min="16" max="16" width="11.42578125" customWidth="1"/>
    <col min="17" max="17" width="14.85546875" customWidth="1"/>
    <col min="18" max="18" width="17" customWidth="1"/>
    <col min="19" max="24" width="14.85546875" customWidth="1"/>
    <col min="25" max="25" width="2" customWidth="1"/>
    <col min="26" max="31" width="2" bestFit="1" customWidth="1"/>
    <col min="32" max="121" width="3" bestFit="1" customWidth="1"/>
    <col min="122" max="529" width="4.140625" bestFit="1" customWidth="1"/>
    <col min="530" max="530" width="11.42578125" bestFit="1" customWidth="1"/>
    <col min="531" max="2459" width="9" bestFit="1" customWidth="1"/>
    <col min="2460" max="3027" width="10" bestFit="1" customWidth="1"/>
    <col min="3028" max="3028" width="11.42578125" bestFit="1" customWidth="1"/>
  </cols>
  <sheetData>
    <row r="4" spans="2:18" ht="18.75">
      <c r="B4" s="11" t="s">
        <v>382</v>
      </c>
      <c r="I4" s="13" t="s">
        <v>383</v>
      </c>
      <c r="P4" s="11" t="s">
        <v>384</v>
      </c>
    </row>
    <row r="5" spans="2:18">
      <c r="B5" s="10" t="s">
        <v>1</v>
      </c>
      <c r="C5" t="s">
        <v>385</v>
      </c>
      <c r="I5" s="10" t="s">
        <v>0</v>
      </c>
      <c r="J5" t="s">
        <v>386</v>
      </c>
      <c r="P5" s="10" t="s">
        <v>370</v>
      </c>
      <c r="Q5" t="s">
        <v>385</v>
      </c>
      <c r="R5" s="18" t="s">
        <v>387</v>
      </c>
    </row>
    <row r="6" spans="2:18">
      <c r="B6" t="s">
        <v>15</v>
      </c>
      <c r="C6" s="6">
        <v>3646444.3499999978</v>
      </c>
      <c r="I6" t="s">
        <v>67</v>
      </c>
      <c r="J6" s="14">
        <v>117</v>
      </c>
      <c r="P6" t="s">
        <v>388</v>
      </c>
      <c r="Q6" s="6">
        <v>2560168.0799999977</v>
      </c>
      <c r="R6" s="16">
        <v>0</v>
      </c>
    </row>
    <row r="7" spans="2:18">
      <c r="B7" t="s">
        <v>35</v>
      </c>
      <c r="C7" s="6">
        <v>3078495.649999999</v>
      </c>
      <c r="I7" t="s">
        <v>31</v>
      </c>
      <c r="J7" s="14">
        <v>129</v>
      </c>
      <c r="P7" t="s">
        <v>389</v>
      </c>
      <c r="Q7" s="6">
        <v>2007663.860000002</v>
      </c>
      <c r="R7" s="16">
        <f>(Q7-Q6) / Q6</f>
        <v>-0.21580779180716769</v>
      </c>
    </row>
    <row r="8" spans="2:18">
      <c r="B8" t="s">
        <v>10</v>
      </c>
      <c r="C8" s="6">
        <v>3343730.8299999996</v>
      </c>
      <c r="I8" t="s">
        <v>41</v>
      </c>
      <c r="J8" s="14">
        <v>150</v>
      </c>
      <c r="P8" t="s">
        <v>390</v>
      </c>
      <c r="Q8" s="6">
        <v>1875715.5699999998</v>
      </c>
      <c r="R8" s="16">
        <f>(Q8-Q7) / Q7</f>
        <v>-6.5722301740293324E-2</v>
      </c>
    </row>
    <row r="9" spans="2:18">
      <c r="B9" t="s">
        <v>25</v>
      </c>
      <c r="C9" s="6">
        <v>3043654.04</v>
      </c>
      <c r="I9" t="s">
        <v>28</v>
      </c>
      <c r="J9" s="14">
        <v>159</v>
      </c>
      <c r="P9" t="s">
        <v>391</v>
      </c>
      <c r="Q9" s="6">
        <v>2374770.7399999993</v>
      </c>
      <c r="R9" s="16">
        <f t="shared" ref="R9:R17" si="0">(Q9-Q8) / Q8</f>
        <v>0.26606121843942443</v>
      </c>
    </row>
    <row r="10" spans="2:18">
      <c r="B10" t="s">
        <v>7</v>
      </c>
      <c r="C10" s="6">
        <v>3365388.9000000008</v>
      </c>
      <c r="I10" t="s">
        <v>71</v>
      </c>
      <c r="J10" s="14">
        <v>96</v>
      </c>
      <c r="P10" t="s">
        <v>392</v>
      </c>
      <c r="Q10" s="6">
        <v>2209469.810000001</v>
      </c>
      <c r="R10" s="16">
        <f t="shared" si="0"/>
        <v>-6.9607110789986548E-2</v>
      </c>
    </row>
    <row r="11" spans="2:18">
      <c r="B11" t="s">
        <v>32</v>
      </c>
      <c r="C11" s="6">
        <v>3313858.0899999989</v>
      </c>
      <c r="I11" t="s">
        <v>83</v>
      </c>
      <c r="J11" s="14">
        <v>144</v>
      </c>
      <c r="P11" t="s">
        <v>393</v>
      </c>
      <c r="Q11" s="6">
        <v>2380040.98</v>
      </c>
      <c r="R11" s="16">
        <f t="shared" si="0"/>
        <v>7.7200045562061295E-2</v>
      </c>
    </row>
    <row r="12" spans="2:18">
      <c r="B12" t="s">
        <v>394</v>
      </c>
      <c r="C12" s="6">
        <v>19791571.859999996</v>
      </c>
      <c r="I12" t="s">
        <v>48</v>
      </c>
      <c r="J12" s="14">
        <v>138</v>
      </c>
      <c r="P12" t="s">
        <v>395</v>
      </c>
      <c r="Q12" s="6">
        <v>2142430.8900000006</v>
      </c>
      <c r="R12" s="16">
        <f t="shared" si="0"/>
        <v>-9.9834453270632076E-2</v>
      </c>
    </row>
    <row r="13" spans="2:18">
      <c r="I13" t="s">
        <v>58</v>
      </c>
      <c r="J13" s="14">
        <v>147</v>
      </c>
      <c r="P13" t="s">
        <v>396</v>
      </c>
      <c r="Q13" s="6">
        <v>1663545.3200000003</v>
      </c>
      <c r="R13" s="16">
        <f t="shared" si="0"/>
        <v>-0.22352439569240909</v>
      </c>
    </row>
    <row r="14" spans="2:18">
      <c r="I14" t="s">
        <v>79</v>
      </c>
      <c r="J14" s="14">
        <v>108</v>
      </c>
      <c r="P14" t="s">
        <v>397</v>
      </c>
      <c r="Q14" s="6">
        <v>461734.83999999997</v>
      </c>
      <c r="R14" s="16">
        <f t="shared" si="0"/>
        <v>-0.72243927805946417</v>
      </c>
    </row>
    <row r="15" spans="2:18" ht="18.75">
      <c r="B15" s="11" t="s">
        <v>398</v>
      </c>
      <c r="I15" t="s">
        <v>12</v>
      </c>
      <c r="J15" s="14">
        <v>141</v>
      </c>
      <c r="P15" t="s">
        <v>399</v>
      </c>
      <c r="Q15" s="6">
        <v>594688.29000000027</v>
      </c>
      <c r="R15" s="16">
        <f t="shared" si="0"/>
        <v>0.28794329230170351</v>
      </c>
    </row>
    <row r="16" spans="2:18">
      <c r="B16" s="10" t="s">
        <v>2</v>
      </c>
      <c r="C16" t="s">
        <v>385</v>
      </c>
      <c r="I16" t="s">
        <v>22</v>
      </c>
      <c r="J16" s="14">
        <v>129</v>
      </c>
      <c r="P16" t="s">
        <v>400</v>
      </c>
      <c r="Q16" s="6">
        <v>900795.40000000037</v>
      </c>
      <c r="R16" s="16">
        <f t="shared" si="0"/>
        <v>0.51473539188067741</v>
      </c>
    </row>
    <row r="17" spans="2:18">
      <c r="B17" t="s">
        <v>18</v>
      </c>
      <c r="C17" s="6">
        <v>1120201.0899999999</v>
      </c>
      <c r="I17" t="s">
        <v>53</v>
      </c>
      <c r="J17" s="14">
        <v>114</v>
      </c>
      <c r="P17" t="s">
        <v>401</v>
      </c>
      <c r="Q17" s="6">
        <v>620548.08000000007</v>
      </c>
      <c r="R17" s="16">
        <f t="shared" si="0"/>
        <v>-0.31111095815986645</v>
      </c>
    </row>
    <row r="18" spans="2:18">
      <c r="B18" t="s">
        <v>26</v>
      </c>
      <c r="C18" s="6">
        <v>1087659.3499999992</v>
      </c>
      <c r="I18" t="s">
        <v>14</v>
      </c>
      <c r="J18" s="14">
        <v>117</v>
      </c>
      <c r="P18" t="s">
        <v>394</v>
      </c>
      <c r="Q18" s="6">
        <v>19791571.859999999</v>
      </c>
      <c r="R18" s="16"/>
    </row>
    <row r="19" spans="2:18">
      <c r="B19" t="s">
        <v>59</v>
      </c>
      <c r="C19" s="6">
        <v>1054257.0000000002</v>
      </c>
      <c r="I19" t="s">
        <v>6</v>
      </c>
      <c r="J19" s="14">
        <v>129</v>
      </c>
    </row>
    <row r="20" spans="2:18">
      <c r="B20" t="s">
        <v>13</v>
      </c>
      <c r="C20" s="6">
        <v>1036591.0900000002</v>
      </c>
      <c r="I20" t="s">
        <v>55</v>
      </c>
      <c r="J20" s="14">
        <v>135</v>
      </c>
    </row>
    <row r="21" spans="2:18" ht="18.75">
      <c r="B21" t="s">
        <v>36</v>
      </c>
      <c r="C21" s="6">
        <v>996947.96000000043</v>
      </c>
      <c r="I21" t="s">
        <v>37</v>
      </c>
      <c r="J21" s="14">
        <v>141</v>
      </c>
      <c r="P21" s="11" t="s">
        <v>402</v>
      </c>
    </row>
    <row r="22" spans="2:18">
      <c r="B22" t="s">
        <v>20</v>
      </c>
      <c r="C22" s="6">
        <v>960033.45</v>
      </c>
      <c r="I22" t="s">
        <v>70</v>
      </c>
      <c r="J22" s="14">
        <v>162</v>
      </c>
      <c r="P22" s="10" t="s">
        <v>370</v>
      </c>
      <c r="Q22" t="s">
        <v>385</v>
      </c>
      <c r="R22" s="18" t="s">
        <v>403</v>
      </c>
    </row>
    <row r="23" spans="2:18">
      <c r="B23" t="s">
        <v>11</v>
      </c>
      <c r="C23" s="6">
        <v>955268.24000000081</v>
      </c>
      <c r="I23" t="s">
        <v>77</v>
      </c>
      <c r="J23" s="14">
        <v>135</v>
      </c>
      <c r="P23" t="s">
        <v>388</v>
      </c>
      <c r="Q23" s="6">
        <v>2560168.0799999977</v>
      </c>
      <c r="R23" s="6">
        <f>AVERAGE(Q23,Q23)</f>
        <v>2560168.0799999977</v>
      </c>
    </row>
    <row r="24" spans="2:18">
      <c r="B24" t="s">
        <v>42</v>
      </c>
      <c r="C24" s="6">
        <v>945345.72999999975</v>
      </c>
      <c r="I24" t="s">
        <v>34</v>
      </c>
      <c r="J24" s="14">
        <v>123</v>
      </c>
      <c r="P24" t="s">
        <v>389</v>
      </c>
      <c r="Q24" s="6">
        <v>2007663.860000002</v>
      </c>
      <c r="R24" s="6">
        <f>AVERAGE(Q24,Q23)</f>
        <v>2283915.9699999997</v>
      </c>
    </row>
    <row r="25" spans="2:18">
      <c r="B25" t="s">
        <v>50</v>
      </c>
      <c r="C25" s="6">
        <v>938131.69</v>
      </c>
      <c r="I25" t="s">
        <v>40</v>
      </c>
      <c r="J25" s="14">
        <v>135</v>
      </c>
      <c r="P25" t="s">
        <v>390</v>
      </c>
      <c r="Q25" s="6">
        <v>1875715.5699999998</v>
      </c>
      <c r="R25" s="6">
        <f>AVERAGE(Q23,Q24,Q25)</f>
        <v>2147849.17</v>
      </c>
    </row>
    <row r="26" spans="2:18">
      <c r="B26" t="s">
        <v>8</v>
      </c>
      <c r="C26" s="6">
        <v>904989.55</v>
      </c>
      <c r="I26" t="s">
        <v>19</v>
      </c>
      <c r="J26" s="14">
        <v>147</v>
      </c>
      <c r="P26" t="s">
        <v>391</v>
      </c>
      <c r="Q26" s="6">
        <v>2374770.7399999993</v>
      </c>
      <c r="R26" s="6">
        <f>AVERAGE(Q24,Q25,Q26)</f>
        <v>2086050.0566666669</v>
      </c>
    </row>
    <row r="27" spans="2:18">
      <c r="B27" t="s">
        <v>65</v>
      </c>
      <c r="C27" s="6">
        <v>890454.65</v>
      </c>
      <c r="I27" t="s">
        <v>29</v>
      </c>
      <c r="J27" s="14">
        <v>102</v>
      </c>
      <c r="P27" t="s">
        <v>392</v>
      </c>
      <c r="Q27" s="6">
        <v>2209469.810000001</v>
      </c>
      <c r="R27" s="6">
        <f>AVERAGE(Q25,Q26,Q27)</f>
        <v>2153318.7066666665</v>
      </c>
    </row>
    <row r="28" spans="2:18">
      <c r="B28" t="s">
        <v>60</v>
      </c>
      <c r="C28" s="6">
        <v>885208.02999999991</v>
      </c>
      <c r="I28" t="s">
        <v>45</v>
      </c>
      <c r="J28" s="14">
        <v>129</v>
      </c>
      <c r="P28" t="s">
        <v>393</v>
      </c>
      <c r="Q28" s="6">
        <v>2380040.98</v>
      </c>
      <c r="R28" s="6">
        <f>AVERAGE(Q26,Q27,Q28)</f>
        <v>2321427.1766666672</v>
      </c>
    </row>
    <row r="29" spans="2:18">
      <c r="B29" t="s">
        <v>46</v>
      </c>
      <c r="C29" s="6">
        <v>866273.62000000034</v>
      </c>
      <c r="I29" t="s">
        <v>9</v>
      </c>
      <c r="J29" s="14">
        <v>153</v>
      </c>
      <c r="P29" t="s">
        <v>395</v>
      </c>
      <c r="Q29" s="6">
        <v>2142430.8900000006</v>
      </c>
      <c r="R29" s="6">
        <f t="shared" ref="R26:R34" si="1">AVERAGE(Q27,Q28,Q29)</f>
        <v>2243980.5600000005</v>
      </c>
    </row>
    <row r="30" spans="2:18">
      <c r="B30" t="s">
        <v>73</v>
      </c>
      <c r="C30" s="6">
        <v>845388.40999999968</v>
      </c>
      <c r="I30" t="s">
        <v>64</v>
      </c>
      <c r="J30" s="14">
        <v>102</v>
      </c>
      <c r="P30" t="s">
        <v>396</v>
      </c>
      <c r="Q30" s="6">
        <v>1663545.3200000003</v>
      </c>
      <c r="R30" s="6">
        <f t="shared" si="1"/>
        <v>2062005.7300000004</v>
      </c>
    </row>
    <row r="31" spans="2:18">
      <c r="B31" t="s">
        <v>23</v>
      </c>
      <c r="C31" s="6">
        <v>837215.67000000016</v>
      </c>
      <c r="I31" t="s">
        <v>394</v>
      </c>
      <c r="J31" s="14">
        <v>3282</v>
      </c>
      <c r="P31" t="s">
        <v>397</v>
      </c>
      <c r="Q31" s="6">
        <v>461734.83999999997</v>
      </c>
      <c r="R31" s="6">
        <f t="shared" si="1"/>
        <v>1422570.3500000003</v>
      </c>
    </row>
    <row r="32" spans="2:18">
      <c r="B32" t="s">
        <v>57</v>
      </c>
      <c r="C32" s="6">
        <v>829278.96</v>
      </c>
      <c r="P32" t="s">
        <v>399</v>
      </c>
      <c r="Q32" s="6">
        <v>594688.29000000027</v>
      </c>
      <c r="R32" s="6">
        <f t="shared" si="1"/>
        <v>906656.15</v>
      </c>
    </row>
    <row r="33" spans="2:18">
      <c r="B33" t="s">
        <v>33</v>
      </c>
      <c r="C33" s="6">
        <v>824070.85</v>
      </c>
      <c r="P33" t="s">
        <v>400</v>
      </c>
      <c r="Q33" s="6">
        <v>900795.40000000037</v>
      </c>
      <c r="R33" s="6">
        <f t="shared" si="1"/>
        <v>652406.17666666687</v>
      </c>
    </row>
    <row r="34" spans="2:18" ht="18.75">
      <c r="B34" t="s">
        <v>38</v>
      </c>
      <c r="C34" s="6">
        <v>822245.5700000003</v>
      </c>
      <c r="I34" s="11" t="s">
        <v>404</v>
      </c>
      <c r="P34" t="s">
        <v>401</v>
      </c>
      <c r="Q34" s="6">
        <v>620548.08000000007</v>
      </c>
      <c r="R34" s="6">
        <f t="shared" si="1"/>
        <v>705343.92333333346</v>
      </c>
    </row>
    <row r="35" spans="2:18">
      <c r="B35" t="s">
        <v>87</v>
      </c>
      <c r="C35" s="6">
        <v>799085.66999999958</v>
      </c>
      <c r="I35" s="10" t="s">
        <v>0</v>
      </c>
      <c r="J35" t="s">
        <v>385</v>
      </c>
      <c r="P35" t="s">
        <v>394</v>
      </c>
      <c r="Q35" s="6">
        <v>19791571.859999999</v>
      </c>
    </row>
    <row r="36" spans="2:18">
      <c r="B36" t="s">
        <v>75</v>
      </c>
      <c r="C36" s="6">
        <v>773062.90999999957</v>
      </c>
      <c r="I36" t="s">
        <v>83</v>
      </c>
      <c r="J36" s="6">
        <v>1022599.9599999997</v>
      </c>
    </row>
    <row r="37" spans="2:18">
      <c r="B37" t="s">
        <v>90</v>
      </c>
      <c r="C37" s="6">
        <v>742516.15000000014</v>
      </c>
      <c r="I37" t="s">
        <v>19</v>
      </c>
      <c r="J37" s="6">
        <v>1017204.12</v>
      </c>
    </row>
    <row r="38" spans="2:18" ht="18.75">
      <c r="B38" t="s">
        <v>100</v>
      </c>
      <c r="C38" s="6">
        <v>677346.21999999986</v>
      </c>
      <c r="I38" t="s">
        <v>77</v>
      </c>
      <c r="J38" s="6">
        <v>1010028.7199999996</v>
      </c>
      <c r="P38" s="11" t="s">
        <v>405</v>
      </c>
    </row>
    <row r="39" spans="2:18">
      <c r="B39" t="s">
        <v>394</v>
      </c>
      <c r="C39" s="6">
        <v>19791571.860000003</v>
      </c>
      <c r="I39" t="s">
        <v>70</v>
      </c>
      <c r="J39" s="6">
        <v>1002929.0999999999</v>
      </c>
      <c r="P39" s="10" t="s">
        <v>370</v>
      </c>
      <c r="Q39" t="s">
        <v>385</v>
      </c>
      <c r="R39" s="18" t="s">
        <v>406</v>
      </c>
    </row>
    <row r="40" spans="2:18" ht="18.75">
      <c r="I40" t="s">
        <v>28</v>
      </c>
      <c r="J40" s="6">
        <v>997326.48000000033</v>
      </c>
      <c r="P40" t="s">
        <v>388</v>
      </c>
      <c r="Q40" s="6">
        <v>2560168.0799999977</v>
      </c>
      <c r="R40" s="13" t="s">
        <v>407</v>
      </c>
    </row>
    <row r="41" spans="2:18">
      <c r="I41" t="s">
        <v>394</v>
      </c>
      <c r="J41" s="6">
        <v>5050088.38</v>
      </c>
      <c r="P41" t="s">
        <v>389</v>
      </c>
      <c r="Q41" s="6">
        <v>2007663.860000002</v>
      </c>
    </row>
    <row r="42" spans="2:18" ht="18.75">
      <c r="B42" s="11" t="s">
        <v>408</v>
      </c>
      <c r="P42" t="s">
        <v>390</v>
      </c>
      <c r="Q42" s="6">
        <v>1875715.5699999998</v>
      </c>
      <c r="R42" s="20">
        <f>SUM(Q40,Q41,Q42)</f>
        <v>6443547.5099999998</v>
      </c>
    </row>
    <row r="43" spans="2:18" ht="18.75">
      <c r="B43" s="10" t="s">
        <v>1</v>
      </c>
      <c r="C43" t="s">
        <v>409</v>
      </c>
      <c r="P43" t="s">
        <v>391</v>
      </c>
      <c r="Q43" s="6">
        <v>2374770.7399999993</v>
      </c>
      <c r="R43" s="19" t="s">
        <v>410</v>
      </c>
    </row>
    <row r="44" spans="2:18" ht="18.75">
      <c r="B44" t="s">
        <v>7</v>
      </c>
      <c r="C44" s="6">
        <v>6302.226404494384</v>
      </c>
      <c r="I44" s="11" t="s">
        <v>411</v>
      </c>
      <c r="P44" t="s">
        <v>392</v>
      </c>
      <c r="Q44" s="6">
        <v>2209469.810000001</v>
      </c>
      <c r="R44" s="11"/>
    </row>
    <row r="45" spans="2:18">
      <c r="B45" t="s">
        <v>32</v>
      </c>
      <c r="C45" s="6">
        <v>6171.0578957169437</v>
      </c>
      <c r="I45" s="10" t="s">
        <v>370</v>
      </c>
      <c r="J45" t="s">
        <v>385</v>
      </c>
      <c r="K45" s="18"/>
      <c r="P45" t="s">
        <v>393</v>
      </c>
      <c r="Q45" s="6">
        <v>2380040.98</v>
      </c>
      <c r="R45" s="6">
        <f>SUM(Q43,Q44,Q45)</f>
        <v>6964281.5300000012</v>
      </c>
    </row>
    <row r="46" spans="2:18" ht="18.75">
      <c r="B46" t="s">
        <v>10</v>
      </c>
      <c r="C46" s="6">
        <v>6057.483387681159</v>
      </c>
      <c r="I46" t="s">
        <v>388</v>
      </c>
      <c r="J46" s="6">
        <v>2560168.0799999977</v>
      </c>
      <c r="P46" t="s">
        <v>395</v>
      </c>
      <c r="Q46" s="6">
        <v>2142430.8900000006</v>
      </c>
      <c r="R46" s="11" t="s">
        <v>412</v>
      </c>
    </row>
    <row r="47" spans="2:18">
      <c r="B47" t="s">
        <v>15</v>
      </c>
      <c r="C47" s="6">
        <v>5929.1778048780452</v>
      </c>
      <c r="I47" t="s">
        <v>389</v>
      </c>
      <c r="J47" s="6">
        <v>2007663.860000002</v>
      </c>
      <c r="K47" s="16"/>
      <c r="P47" t="s">
        <v>396</v>
      </c>
      <c r="Q47" s="6">
        <v>1663545.3200000003</v>
      </c>
    </row>
    <row r="48" spans="2:18">
      <c r="B48" t="s">
        <v>25</v>
      </c>
      <c r="C48" s="6">
        <v>5864.4586512524083</v>
      </c>
      <c r="I48" t="s">
        <v>390</v>
      </c>
      <c r="J48" s="6">
        <v>1875715.5699999998</v>
      </c>
      <c r="K48" s="16"/>
      <c r="P48" t="s">
        <v>397</v>
      </c>
      <c r="Q48" s="6">
        <v>461734.83999999997</v>
      </c>
      <c r="R48" s="6">
        <f>SUM(Q46,Q47,Q48)</f>
        <v>4267711.0500000007</v>
      </c>
    </row>
    <row r="49" spans="2:24" ht="18.75">
      <c r="B49" t="s">
        <v>35</v>
      </c>
      <c r="C49" s="6">
        <v>5863.8012380952359</v>
      </c>
      <c r="I49" t="s">
        <v>391</v>
      </c>
      <c r="J49" s="6">
        <v>2374770.7399999993</v>
      </c>
      <c r="K49" s="16"/>
      <c r="P49" t="s">
        <v>399</v>
      </c>
      <c r="Q49" s="6">
        <v>594688.29000000027</v>
      </c>
      <c r="R49" s="11" t="s">
        <v>413</v>
      </c>
    </row>
    <row r="50" spans="2:24">
      <c r="B50" t="s">
        <v>394</v>
      </c>
      <c r="C50" s="6">
        <v>6030.3387751371201</v>
      </c>
      <c r="I50" t="s">
        <v>392</v>
      </c>
      <c r="J50" s="6">
        <v>2209469.810000001</v>
      </c>
      <c r="K50" s="16"/>
      <c r="P50" t="s">
        <v>400</v>
      </c>
      <c r="Q50" s="6">
        <v>900795.40000000037</v>
      </c>
    </row>
    <row r="51" spans="2:24">
      <c r="I51" t="s">
        <v>393</v>
      </c>
      <c r="J51" s="6">
        <v>2380040.98</v>
      </c>
      <c r="K51" s="16"/>
      <c r="P51" t="s">
        <v>401</v>
      </c>
      <c r="Q51" s="6">
        <v>620548.08000000007</v>
      </c>
      <c r="R51" s="6">
        <f>SUM(Q49,Q50,Q51)</f>
        <v>2116031.7700000005</v>
      </c>
    </row>
    <row r="52" spans="2:24">
      <c r="I52" t="s">
        <v>395</v>
      </c>
      <c r="J52" s="6">
        <v>2142430.8900000006</v>
      </c>
      <c r="K52" s="16"/>
      <c r="P52" t="s">
        <v>394</v>
      </c>
      <c r="Q52" s="6">
        <v>19791571.859999999</v>
      </c>
    </row>
    <row r="53" spans="2:24" ht="18.75">
      <c r="B53" s="11" t="s">
        <v>414</v>
      </c>
      <c r="I53" t="s">
        <v>396</v>
      </c>
      <c r="J53" s="6">
        <v>1663545.3200000003</v>
      </c>
      <c r="K53" s="16"/>
    </row>
    <row r="54" spans="2:24">
      <c r="B54" s="10" t="s">
        <v>2</v>
      </c>
      <c r="C54" t="s">
        <v>415</v>
      </c>
      <c r="I54" t="s">
        <v>397</v>
      </c>
      <c r="J54" s="6">
        <v>461734.83999999997</v>
      </c>
      <c r="K54" s="16"/>
    </row>
    <row r="55" spans="2:24">
      <c r="B55" t="s">
        <v>26</v>
      </c>
      <c r="C55" s="14">
        <v>165.61111111111111</v>
      </c>
      <c r="I55" t="s">
        <v>399</v>
      </c>
      <c r="J55" s="6">
        <v>594688.29000000027</v>
      </c>
      <c r="K55" s="16"/>
    </row>
    <row r="56" spans="2:24">
      <c r="B56" t="s">
        <v>100</v>
      </c>
      <c r="C56" s="14">
        <v>194.63492063492063</v>
      </c>
      <c r="I56" t="s">
        <v>400</v>
      </c>
      <c r="J56" s="6">
        <v>900795.40000000037</v>
      </c>
      <c r="K56" s="16"/>
    </row>
    <row r="57" spans="2:24">
      <c r="B57" t="s">
        <v>11</v>
      </c>
      <c r="C57" s="14">
        <v>158.85333333333332</v>
      </c>
      <c r="I57" t="s">
        <v>401</v>
      </c>
      <c r="J57" s="6">
        <v>620548.08000000007</v>
      </c>
      <c r="K57" s="16"/>
    </row>
    <row r="58" spans="2:24" ht="18.75">
      <c r="B58" t="s">
        <v>20</v>
      </c>
      <c r="C58" s="14">
        <v>168.82993197278913</v>
      </c>
      <c r="I58" t="s">
        <v>394</v>
      </c>
      <c r="J58" s="6">
        <v>19791571.859999999</v>
      </c>
      <c r="K58" s="16"/>
      <c r="R58" s="11" t="s">
        <v>416</v>
      </c>
    </row>
    <row r="59" spans="2:24">
      <c r="B59" t="s">
        <v>23</v>
      </c>
      <c r="C59" s="14">
        <v>167.70666666666668</v>
      </c>
      <c r="R59" s="10" t="s">
        <v>5</v>
      </c>
      <c r="S59" t="s">
        <v>385</v>
      </c>
    </row>
    <row r="60" spans="2:24">
      <c r="B60" t="s">
        <v>65</v>
      </c>
      <c r="C60" s="14">
        <v>142.76388888888889</v>
      </c>
      <c r="R60">
        <v>1</v>
      </c>
      <c r="S60" s="6">
        <v>13573.82</v>
      </c>
      <c r="T60" s="6"/>
      <c r="U60" s="6"/>
      <c r="V60" s="6"/>
      <c r="W60" s="6"/>
      <c r="X60" s="6"/>
    </row>
    <row r="61" spans="2:24" ht="18.75">
      <c r="B61" t="s">
        <v>87</v>
      </c>
      <c r="C61" s="14">
        <v>174.3739837398374</v>
      </c>
      <c r="I61" s="11" t="s">
        <v>417</v>
      </c>
      <c r="R61">
        <v>2</v>
      </c>
      <c r="S61" s="6">
        <v>39244.51</v>
      </c>
      <c r="T61" s="6"/>
      <c r="U61" s="6"/>
      <c r="V61" s="6"/>
      <c r="W61" s="6"/>
      <c r="X61" s="6"/>
    </row>
    <row r="62" spans="2:24">
      <c r="B62" t="s">
        <v>90</v>
      </c>
      <c r="C62" s="14">
        <v>206.01550387596899</v>
      </c>
      <c r="I62" s="10" t="s">
        <v>1</v>
      </c>
      <c r="J62" t="s">
        <v>385</v>
      </c>
      <c r="R62">
        <v>3</v>
      </c>
      <c r="S62" s="6">
        <v>35578.679999999993</v>
      </c>
      <c r="T62" s="6"/>
      <c r="U62" s="6"/>
      <c r="V62" s="6"/>
      <c r="W62" s="6"/>
      <c r="X62" s="6"/>
    </row>
    <row r="63" spans="2:24">
      <c r="B63" t="s">
        <v>75</v>
      </c>
      <c r="C63" s="14">
        <v>168.17948717948718</v>
      </c>
      <c r="I63" t="s">
        <v>15</v>
      </c>
      <c r="J63" s="16">
        <v>0.18424228130003609</v>
      </c>
      <c r="R63">
        <v>4</v>
      </c>
      <c r="S63" s="6">
        <v>93950.849999999991</v>
      </c>
      <c r="T63" s="6"/>
      <c r="U63" s="6"/>
      <c r="V63" s="6"/>
      <c r="W63" s="6"/>
      <c r="X63" s="6"/>
    </row>
    <row r="64" spans="2:24">
      <c r="B64" t="s">
        <v>38</v>
      </c>
      <c r="C64" s="14">
        <v>157.1547619047619</v>
      </c>
      <c r="I64" t="s">
        <v>35</v>
      </c>
      <c r="J64" s="16">
        <v>0.15554578846876893</v>
      </c>
      <c r="R64">
        <v>5</v>
      </c>
      <c r="S64" s="6">
        <v>33794.239999999998</v>
      </c>
      <c r="T64" s="6"/>
      <c r="U64" s="6"/>
      <c r="V64" s="6"/>
      <c r="W64" s="6"/>
      <c r="X64" s="6"/>
    </row>
    <row r="65" spans="2:24">
      <c r="B65" t="s">
        <v>36</v>
      </c>
      <c r="C65" s="14">
        <v>148.21111111111111</v>
      </c>
      <c r="I65" t="s">
        <v>10</v>
      </c>
      <c r="J65" s="16">
        <v>0.16894720912783531</v>
      </c>
      <c r="R65">
        <v>6</v>
      </c>
      <c r="S65" s="6">
        <v>97698.159999999989</v>
      </c>
      <c r="T65" s="6"/>
      <c r="U65" s="6"/>
      <c r="V65" s="6"/>
      <c r="W65" s="6"/>
      <c r="X65" s="6"/>
    </row>
    <row r="66" spans="2:24">
      <c r="B66" t="s">
        <v>57</v>
      </c>
      <c r="C66" s="14">
        <v>157.54666666666665</v>
      </c>
      <c r="I66" t="s">
        <v>25</v>
      </c>
      <c r="J66" s="16">
        <v>0.15378536184644409</v>
      </c>
      <c r="R66">
        <v>7</v>
      </c>
      <c r="S66" s="6">
        <v>112324.5</v>
      </c>
      <c r="T66" s="6"/>
      <c r="U66" s="6"/>
      <c r="V66" s="6"/>
      <c r="W66" s="6"/>
      <c r="X66" s="6"/>
    </row>
    <row r="67" spans="2:24">
      <c r="B67" t="s">
        <v>60</v>
      </c>
      <c r="C67" s="14">
        <v>175.82222222222222</v>
      </c>
      <c r="I67" t="s">
        <v>7</v>
      </c>
      <c r="J67" s="16">
        <v>0.17004151685403332</v>
      </c>
      <c r="R67">
        <v>8</v>
      </c>
      <c r="S67" s="6">
        <v>23522.67</v>
      </c>
      <c r="T67" s="6"/>
      <c r="U67" s="6"/>
      <c r="V67" s="6"/>
      <c r="W67" s="6"/>
      <c r="X67" s="6"/>
    </row>
    <row r="68" spans="2:24">
      <c r="B68" t="s">
        <v>46</v>
      </c>
      <c r="C68" s="14">
        <v>173.03401360544217</v>
      </c>
      <c r="I68" t="s">
        <v>32</v>
      </c>
      <c r="J68" s="16">
        <v>0.16743784240288229</v>
      </c>
      <c r="R68">
        <v>9</v>
      </c>
      <c r="S68" s="6">
        <v>43398.15</v>
      </c>
      <c r="T68" s="6"/>
      <c r="U68" s="6"/>
      <c r="V68" s="6"/>
      <c r="W68" s="6"/>
      <c r="X68" s="6"/>
    </row>
    <row r="69" spans="2:24">
      <c r="B69" t="s">
        <v>8</v>
      </c>
      <c r="C69" s="14">
        <v>186.28888888888889</v>
      </c>
      <c r="I69" t="s">
        <v>394</v>
      </c>
      <c r="J69" s="16">
        <v>1</v>
      </c>
      <c r="R69">
        <v>10</v>
      </c>
      <c r="S69" s="6">
        <v>76404.150000000009</v>
      </c>
      <c r="T69" s="6"/>
      <c r="U69" s="6"/>
      <c r="V69" s="6"/>
      <c r="W69" s="6"/>
      <c r="X69" s="6"/>
    </row>
    <row r="70" spans="2:24">
      <c r="B70" t="s">
        <v>33</v>
      </c>
      <c r="C70" s="14">
        <v>167.42553191489361</v>
      </c>
      <c r="R70">
        <v>11</v>
      </c>
      <c r="S70" s="6">
        <v>142518.90000000002</v>
      </c>
      <c r="T70" s="6"/>
      <c r="U70" s="6"/>
      <c r="V70" s="6"/>
      <c r="W70" s="6"/>
      <c r="X70" s="6"/>
    </row>
    <row r="71" spans="2:24">
      <c r="B71" t="s">
        <v>42</v>
      </c>
      <c r="C71" s="14">
        <v>151.2948717948718</v>
      </c>
      <c r="R71">
        <v>12</v>
      </c>
      <c r="S71" s="6">
        <v>176671.88</v>
      </c>
      <c r="T71" s="6"/>
      <c r="U71" s="6"/>
      <c r="V71" s="6"/>
      <c r="W71" s="6"/>
      <c r="X71" s="6"/>
    </row>
    <row r="72" spans="2:24" ht="18.75">
      <c r="B72" t="s">
        <v>13</v>
      </c>
      <c r="C72" s="14">
        <v>172.37414965986395</v>
      </c>
      <c r="I72" s="11" t="s">
        <v>418</v>
      </c>
      <c r="R72">
        <v>13</v>
      </c>
      <c r="S72" s="6">
        <v>43967.63</v>
      </c>
      <c r="T72" s="6"/>
      <c r="U72" s="6"/>
      <c r="V72" s="6"/>
      <c r="W72" s="6"/>
      <c r="X72" s="6"/>
    </row>
    <row r="73" spans="2:24">
      <c r="B73" t="s">
        <v>73</v>
      </c>
      <c r="C73" s="14">
        <v>150.5</v>
      </c>
      <c r="I73" s="10" t="s">
        <v>0</v>
      </c>
      <c r="J73" t="s">
        <v>419</v>
      </c>
      <c r="R73">
        <v>14</v>
      </c>
      <c r="S73" s="6">
        <v>87551.83</v>
      </c>
      <c r="T73" s="6"/>
      <c r="U73" s="6"/>
      <c r="V73" s="6"/>
      <c r="W73" s="6"/>
      <c r="X73" s="6"/>
    </row>
    <row r="74" spans="2:24">
      <c r="B74" t="s">
        <v>18</v>
      </c>
      <c r="C74" s="14">
        <v>152.36723163841808</v>
      </c>
      <c r="I74" t="s">
        <v>67</v>
      </c>
      <c r="J74" s="14">
        <v>19730</v>
      </c>
      <c r="R74">
        <v>15</v>
      </c>
      <c r="S74" s="6">
        <v>115097.44999999998</v>
      </c>
      <c r="T74" s="6"/>
      <c r="U74" s="6"/>
      <c r="V74" s="6"/>
      <c r="W74" s="6"/>
      <c r="X74" s="6"/>
    </row>
    <row r="75" spans="2:24">
      <c r="B75" t="s">
        <v>50</v>
      </c>
      <c r="C75" s="14">
        <v>164.58024691358025</v>
      </c>
      <c r="I75" t="s">
        <v>31</v>
      </c>
      <c r="J75" s="14">
        <v>19520</v>
      </c>
      <c r="R75">
        <v>16</v>
      </c>
      <c r="S75" s="6">
        <v>47810.8</v>
      </c>
      <c r="T75" s="6"/>
      <c r="U75" s="6"/>
      <c r="V75" s="6"/>
      <c r="W75" s="6"/>
      <c r="X75" s="6"/>
    </row>
    <row r="76" spans="2:24">
      <c r="B76" t="s">
        <v>59</v>
      </c>
      <c r="C76" s="14">
        <v>144.58620689655172</v>
      </c>
      <c r="I76" t="s">
        <v>41</v>
      </c>
      <c r="J76" s="14">
        <v>28027</v>
      </c>
      <c r="R76">
        <v>17</v>
      </c>
      <c r="S76" s="6">
        <v>4992.7999999999993</v>
      </c>
      <c r="T76" s="6"/>
      <c r="U76" s="6"/>
      <c r="V76" s="6"/>
      <c r="W76" s="6"/>
      <c r="X76" s="6"/>
    </row>
    <row r="77" spans="2:24">
      <c r="B77" t="s">
        <v>394</v>
      </c>
      <c r="C77" s="14">
        <v>164.66697135892747</v>
      </c>
      <c r="I77" t="s">
        <v>28</v>
      </c>
      <c r="J77" s="14">
        <v>24738</v>
      </c>
      <c r="R77">
        <v>18</v>
      </c>
      <c r="S77" s="6">
        <v>62223.95</v>
      </c>
      <c r="T77" s="6"/>
      <c r="U77" s="6"/>
      <c r="V77" s="6"/>
      <c r="W77" s="6"/>
      <c r="X77" s="6"/>
    </row>
    <row r="78" spans="2:24">
      <c r="I78" t="s">
        <v>71</v>
      </c>
      <c r="J78" s="14">
        <v>16505</v>
      </c>
      <c r="R78">
        <v>19</v>
      </c>
      <c r="S78" s="6">
        <v>38320.740000000005</v>
      </c>
      <c r="T78" s="6"/>
      <c r="U78" s="6"/>
      <c r="V78" s="6"/>
      <c r="W78" s="6"/>
      <c r="X78" s="6"/>
    </row>
    <row r="79" spans="2:24">
      <c r="I79" t="s">
        <v>83</v>
      </c>
      <c r="J79" s="14">
        <v>23070</v>
      </c>
      <c r="R79">
        <v>20</v>
      </c>
      <c r="S79" s="6">
        <v>39446.339999999997</v>
      </c>
      <c r="T79" s="6"/>
      <c r="U79" s="6"/>
      <c r="V79" s="6"/>
      <c r="W79" s="6"/>
      <c r="X79" s="6"/>
    </row>
    <row r="80" spans="2:24" ht="18.75">
      <c r="B80" s="11" t="s">
        <v>420</v>
      </c>
      <c r="I80" t="s">
        <v>48</v>
      </c>
      <c r="J80" s="14">
        <v>21599</v>
      </c>
      <c r="R80">
        <v>21</v>
      </c>
      <c r="S80" s="6">
        <v>113312.40000000001</v>
      </c>
      <c r="T80" s="6"/>
      <c r="U80" s="6"/>
      <c r="V80" s="6"/>
      <c r="W80" s="6"/>
      <c r="X80" s="6"/>
    </row>
    <row r="81" spans="2:24">
      <c r="B81" s="10" t="s">
        <v>2</v>
      </c>
      <c r="C81" t="s">
        <v>409</v>
      </c>
      <c r="I81" t="s">
        <v>58</v>
      </c>
      <c r="J81" s="14">
        <v>26862</v>
      </c>
      <c r="R81">
        <v>22</v>
      </c>
      <c r="S81" s="6">
        <v>103713.25999999998</v>
      </c>
      <c r="T81" s="6"/>
      <c r="U81" s="6"/>
      <c r="V81" s="6"/>
      <c r="W81" s="6"/>
      <c r="X81" s="6"/>
    </row>
    <row r="82" spans="2:24">
      <c r="B82" t="s">
        <v>26</v>
      </c>
      <c r="C82" s="6">
        <v>6042.5519444444399</v>
      </c>
      <c r="I82" t="s">
        <v>79</v>
      </c>
      <c r="J82" s="14">
        <v>20927</v>
      </c>
      <c r="R82">
        <v>23</v>
      </c>
      <c r="S82" s="6">
        <v>82238.53</v>
      </c>
      <c r="T82" s="6"/>
      <c r="U82" s="6"/>
      <c r="V82" s="6"/>
      <c r="W82" s="6"/>
      <c r="X82" s="6"/>
    </row>
    <row r="83" spans="2:24">
      <c r="B83" t="s">
        <v>100</v>
      </c>
      <c r="C83" s="6">
        <v>5375.7636507936495</v>
      </c>
      <c r="I83" t="s">
        <v>12</v>
      </c>
      <c r="J83" s="14">
        <v>19237</v>
      </c>
      <c r="R83">
        <v>24</v>
      </c>
      <c r="S83" s="6">
        <v>136440.46000000002</v>
      </c>
      <c r="T83" s="6"/>
      <c r="U83" s="6"/>
      <c r="V83" s="6"/>
      <c r="W83" s="6"/>
      <c r="X83" s="6"/>
    </row>
    <row r="84" spans="2:24">
      <c r="B84" t="s">
        <v>11</v>
      </c>
      <c r="C84" s="6">
        <v>6368.4549333333389</v>
      </c>
      <c r="I84" t="s">
        <v>22</v>
      </c>
      <c r="J84" s="14">
        <v>20299</v>
      </c>
      <c r="R84">
        <v>25</v>
      </c>
      <c r="S84" s="6">
        <v>48295.56</v>
      </c>
      <c r="T84" s="6"/>
      <c r="U84" s="6"/>
      <c r="V84" s="6"/>
      <c r="W84" s="6"/>
      <c r="X84" s="6"/>
    </row>
    <row r="85" spans="2:24">
      <c r="B85" t="s">
        <v>20</v>
      </c>
      <c r="C85" s="6">
        <v>6530.8397959183667</v>
      </c>
      <c r="I85" t="s">
        <v>53</v>
      </c>
      <c r="J85" s="14">
        <v>17683</v>
      </c>
      <c r="R85">
        <v>26</v>
      </c>
      <c r="S85" s="6">
        <v>140760.68</v>
      </c>
      <c r="T85" s="6"/>
      <c r="U85" s="6"/>
      <c r="V85" s="6"/>
      <c r="W85" s="6"/>
      <c r="X85" s="6"/>
    </row>
    <row r="86" spans="2:24">
      <c r="B86" t="s">
        <v>23</v>
      </c>
      <c r="C86" s="6">
        <v>5581.4378000000006</v>
      </c>
      <c r="I86" t="s">
        <v>14</v>
      </c>
      <c r="J86" s="14">
        <v>23360</v>
      </c>
      <c r="R86">
        <v>27</v>
      </c>
      <c r="S86" s="6">
        <v>77241.37</v>
      </c>
      <c r="T86" s="6"/>
      <c r="U86" s="6"/>
      <c r="V86" s="6"/>
      <c r="W86" s="6"/>
      <c r="X86" s="6"/>
    </row>
    <row r="87" spans="2:24">
      <c r="B87" t="s">
        <v>65</v>
      </c>
      <c r="C87" s="6">
        <v>6183.7128472222221</v>
      </c>
      <c r="I87" t="s">
        <v>6</v>
      </c>
      <c r="J87" s="14">
        <v>22104</v>
      </c>
      <c r="R87">
        <v>28</v>
      </c>
      <c r="S87" s="6">
        <v>79507.450000000012</v>
      </c>
      <c r="T87" s="6"/>
      <c r="U87" s="6"/>
      <c r="V87" s="6"/>
      <c r="W87" s="6"/>
      <c r="X87" s="6"/>
    </row>
    <row r="88" spans="2:24">
      <c r="B88" t="s">
        <v>87</v>
      </c>
      <c r="C88" s="6">
        <v>6496.6314634146311</v>
      </c>
      <c r="I88" t="s">
        <v>55</v>
      </c>
      <c r="J88" s="14">
        <v>22134</v>
      </c>
      <c r="R88">
        <v>29</v>
      </c>
      <c r="S88" s="6">
        <v>50117.34</v>
      </c>
      <c r="T88" s="6"/>
      <c r="U88" s="6"/>
      <c r="V88" s="6"/>
      <c r="W88" s="6"/>
      <c r="X88" s="6"/>
    </row>
    <row r="89" spans="2:24">
      <c r="B89" t="s">
        <v>90</v>
      </c>
      <c r="C89" s="6">
        <v>5755.9391472868228</v>
      </c>
      <c r="I89" t="s">
        <v>37</v>
      </c>
      <c r="J89" s="14">
        <v>29553</v>
      </c>
      <c r="R89">
        <v>30</v>
      </c>
      <c r="S89" s="6">
        <v>57803.329999999994</v>
      </c>
      <c r="T89" s="6"/>
      <c r="U89" s="6"/>
      <c r="V89" s="6"/>
      <c r="W89" s="6"/>
      <c r="X89" s="6"/>
    </row>
    <row r="90" spans="2:24">
      <c r="B90" t="s">
        <v>75</v>
      </c>
      <c r="C90" s="6">
        <v>6607.3752991452957</v>
      </c>
      <c r="I90" t="s">
        <v>70</v>
      </c>
      <c r="J90" s="14">
        <v>26605</v>
      </c>
      <c r="R90">
        <v>31</v>
      </c>
      <c r="S90" s="6">
        <v>99488.18</v>
      </c>
      <c r="T90" s="6"/>
      <c r="U90" s="6"/>
      <c r="V90" s="6"/>
      <c r="W90" s="6"/>
      <c r="X90" s="6"/>
    </row>
    <row r="91" spans="2:24">
      <c r="B91" t="s">
        <v>38</v>
      </c>
      <c r="C91" s="6">
        <v>4894.3188690476209</v>
      </c>
      <c r="I91" t="s">
        <v>77</v>
      </c>
      <c r="J91" s="14">
        <v>22199</v>
      </c>
      <c r="R91">
        <v>32</v>
      </c>
      <c r="S91" s="6">
        <v>62136</v>
      </c>
      <c r="T91" s="6"/>
      <c r="U91" s="6"/>
      <c r="V91" s="6"/>
      <c r="W91" s="6"/>
      <c r="X91" s="6"/>
    </row>
    <row r="92" spans="2:24">
      <c r="B92" t="s">
        <v>36</v>
      </c>
      <c r="C92" s="6">
        <v>5538.5997777777802</v>
      </c>
      <c r="I92" t="s">
        <v>34</v>
      </c>
      <c r="J92" s="14">
        <v>18219</v>
      </c>
      <c r="R92">
        <v>33</v>
      </c>
      <c r="S92" s="6">
        <v>45323.17</v>
      </c>
      <c r="T92" s="6"/>
      <c r="U92" s="6"/>
      <c r="V92" s="6"/>
      <c r="W92" s="6"/>
      <c r="X92" s="6"/>
    </row>
    <row r="93" spans="2:24">
      <c r="B93" t="s">
        <v>57</v>
      </c>
      <c r="C93" s="6">
        <v>5528.5263999999997</v>
      </c>
      <c r="I93" t="s">
        <v>40</v>
      </c>
      <c r="J93" s="14">
        <v>24595</v>
      </c>
      <c r="R93">
        <v>34</v>
      </c>
      <c r="S93" s="6">
        <v>15248.67</v>
      </c>
      <c r="T93" s="6"/>
      <c r="U93" s="6"/>
      <c r="V93" s="6"/>
      <c r="W93" s="6"/>
      <c r="X93" s="6"/>
    </row>
    <row r="94" spans="2:24">
      <c r="B94" t="s">
        <v>60</v>
      </c>
      <c r="C94" s="6">
        <v>6557.0965185185178</v>
      </c>
      <c r="I94" t="s">
        <v>19</v>
      </c>
      <c r="J94" s="14">
        <v>26390</v>
      </c>
      <c r="R94">
        <v>35</v>
      </c>
      <c r="S94" s="6">
        <v>5622.28</v>
      </c>
      <c r="T94" s="6"/>
      <c r="U94" s="6"/>
      <c r="V94" s="6"/>
      <c r="W94" s="6"/>
      <c r="X94" s="6"/>
    </row>
    <row r="95" spans="2:24">
      <c r="B95" t="s">
        <v>46</v>
      </c>
      <c r="C95" s="6">
        <v>5893.0178231292539</v>
      </c>
      <c r="I95" t="s">
        <v>29</v>
      </c>
      <c r="J95" s="14">
        <v>13091</v>
      </c>
      <c r="R95">
        <v>36</v>
      </c>
      <c r="S95" s="6">
        <v>3794.1</v>
      </c>
      <c r="T95" s="6"/>
      <c r="U95" s="6"/>
      <c r="V95" s="6"/>
      <c r="W95" s="6"/>
      <c r="X95" s="6"/>
    </row>
    <row r="96" spans="2:24">
      <c r="B96" t="s">
        <v>8</v>
      </c>
      <c r="C96" s="6">
        <v>6703.6262962962965</v>
      </c>
      <c r="I96" t="s">
        <v>45</v>
      </c>
      <c r="J96" s="14">
        <v>21130</v>
      </c>
      <c r="R96">
        <v>37</v>
      </c>
      <c r="S96" s="6">
        <v>30711.43</v>
      </c>
      <c r="T96" s="6"/>
      <c r="U96" s="6"/>
      <c r="V96" s="6"/>
      <c r="W96" s="6"/>
      <c r="X96" s="6"/>
    </row>
    <row r="97" spans="2:24">
      <c r="B97" t="s">
        <v>33</v>
      </c>
      <c r="C97" s="6">
        <v>5844.4741134751775</v>
      </c>
      <c r="I97" t="s">
        <v>9</v>
      </c>
      <c r="J97" s="14">
        <v>20627</v>
      </c>
      <c r="R97">
        <v>38</v>
      </c>
      <c r="S97" s="6">
        <v>64545.29</v>
      </c>
      <c r="T97" s="6"/>
      <c r="U97" s="6"/>
      <c r="V97" s="6"/>
      <c r="W97" s="6"/>
      <c r="X97" s="6"/>
    </row>
    <row r="98" spans="2:24">
      <c r="B98" t="s">
        <v>42</v>
      </c>
      <c r="C98" s="6">
        <v>6059.9085256410244</v>
      </c>
      <c r="I98" t="s">
        <v>64</v>
      </c>
      <c r="J98" s="14">
        <v>12233</v>
      </c>
      <c r="R98">
        <v>39</v>
      </c>
      <c r="S98" s="6">
        <v>23161.799999999996</v>
      </c>
      <c r="T98" s="6"/>
      <c r="U98" s="6"/>
      <c r="V98" s="6"/>
      <c r="W98" s="6"/>
      <c r="X98" s="6"/>
    </row>
    <row r="99" spans="2:24">
      <c r="B99" t="s">
        <v>13</v>
      </c>
      <c r="C99" s="6">
        <v>7051.6400680272127</v>
      </c>
      <c r="I99" t="s">
        <v>394</v>
      </c>
      <c r="J99" s="14">
        <v>540437</v>
      </c>
      <c r="R99">
        <v>40</v>
      </c>
      <c r="S99" s="6">
        <v>52481.53</v>
      </c>
      <c r="T99" s="6"/>
      <c r="U99" s="6"/>
      <c r="V99" s="6"/>
      <c r="W99" s="6"/>
      <c r="X99" s="6"/>
    </row>
    <row r="100" spans="2:24">
      <c r="B100" t="s">
        <v>73</v>
      </c>
      <c r="C100" s="6">
        <v>5870.7528472222202</v>
      </c>
      <c r="R100">
        <v>41</v>
      </c>
      <c r="S100" s="6">
        <v>82095.540000000008</v>
      </c>
      <c r="T100" s="6"/>
      <c r="U100" s="6"/>
      <c r="V100" s="6"/>
      <c r="W100" s="6"/>
      <c r="X100" s="6"/>
    </row>
    <row r="101" spans="2:24">
      <c r="B101" t="s">
        <v>18</v>
      </c>
      <c r="C101" s="6">
        <v>6328.8197175141231</v>
      </c>
      <c r="R101">
        <v>42</v>
      </c>
      <c r="S101" s="6">
        <v>78921.549999999988</v>
      </c>
      <c r="T101" s="6"/>
      <c r="U101" s="6"/>
      <c r="V101" s="6"/>
      <c r="W101" s="6"/>
      <c r="X101" s="6"/>
    </row>
    <row r="102" spans="2:24" ht="18.75">
      <c r="B102" t="s">
        <v>50</v>
      </c>
      <c r="C102" s="6">
        <v>5790.9363580246909</v>
      </c>
      <c r="I102" s="11" t="s">
        <v>421</v>
      </c>
      <c r="R102">
        <v>43</v>
      </c>
      <c r="S102" s="6">
        <v>67989.710000000006</v>
      </c>
      <c r="T102" s="6"/>
      <c r="U102" s="6"/>
      <c r="V102" s="6"/>
      <c r="W102" s="6"/>
      <c r="X102" s="6"/>
    </row>
    <row r="103" spans="2:24">
      <c r="B103" t="s">
        <v>59</v>
      </c>
      <c r="C103" s="6">
        <v>6058.9482758620707</v>
      </c>
      <c r="I103" s="10" t="s">
        <v>370</v>
      </c>
      <c r="J103" t="s">
        <v>385</v>
      </c>
      <c r="R103">
        <v>44</v>
      </c>
      <c r="S103" s="6">
        <v>117121.98</v>
      </c>
      <c r="T103" s="6"/>
      <c r="U103" s="6"/>
      <c r="V103" s="6"/>
      <c r="W103" s="6"/>
      <c r="X103" s="6"/>
    </row>
    <row r="104" spans="2:24">
      <c r="B104" t="s">
        <v>394</v>
      </c>
      <c r="C104" s="6">
        <v>6030.3387751371083</v>
      </c>
      <c r="I104" t="s">
        <v>388</v>
      </c>
      <c r="J104" s="6">
        <v>2560168.0799999977</v>
      </c>
      <c r="R104">
        <v>45</v>
      </c>
      <c r="S104" s="6">
        <v>117939.81000000001</v>
      </c>
      <c r="T104" s="6"/>
      <c r="U104" s="6"/>
      <c r="V104" s="6"/>
      <c r="W104" s="6"/>
      <c r="X104" s="6"/>
    </row>
    <row r="105" spans="2:24">
      <c r="I105" t="s">
        <v>389</v>
      </c>
      <c r="J105" s="6">
        <v>2007663.860000002</v>
      </c>
      <c r="R105">
        <v>46</v>
      </c>
      <c r="S105" s="6">
        <v>129108.66999999997</v>
      </c>
      <c r="T105" s="6"/>
      <c r="U105" s="6"/>
      <c r="V105" s="6"/>
      <c r="W105" s="6"/>
      <c r="X105" s="6"/>
    </row>
    <row r="106" spans="2:24">
      <c r="I106" t="s">
        <v>390</v>
      </c>
      <c r="J106" s="6">
        <v>1875715.5699999998</v>
      </c>
      <c r="R106">
        <v>47</v>
      </c>
      <c r="S106" s="6">
        <v>106888.74</v>
      </c>
      <c r="T106" s="6"/>
      <c r="U106" s="6"/>
      <c r="V106" s="6"/>
      <c r="W106" s="6"/>
      <c r="X106" s="6"/>
    </row>
    <row r="107" spans="2:24" ht="18.75">
      <c r="B107" s="13" t="s">
        <v>422</v>
      </c>
      <c r="C107" s="12"/>
      <c r="I107" t="s">
        <v>391</v>
      </c>
      <c r="J107" s="6">
        <v>2374770.7399999993</v>
      </c>
      <c r="R107">
        <v>48</v>
      </c>
      <c r="S107" s="6">
        <v>77420.680000000008</v>
      </c>
      <c r="T107" s="6"/>
      <c r="U107" s="6"/>
      <c r="V107" s="6"/>
      <c r="W107" s="6"/>
      <c r="X107" s="6"/>
    </row>
    <row r="108" spans="2:24">
      <c r="B108" s="10" t="s">
        <v>2</v>
      </c>
      <c r="C108" t="s">
        <v>385</v>
      </c>
      <c r="D108" t="s">
        <v>423</v>
      </c>
      <c r="I108" t="s">
        <v>392</v>
      </c>
      <c r="J108" s="6">
        <v>2209469.810000001</v>
      </c>
      <c r="R108">
        <v>49</v>
      </c>
      <c r="S108" s="6">
        <v>121303.54</v>
      </c>
      <c r="T108" s="6"/>
      <c r="U108" s="6"/>
      <c r="V108" s="6"/>
      <c r="W108" s="6"/>
      <c r="X108" s="6"/>
    </row>
    <row r="109" spans="2:24">
      <c r="B109" t="s">
        <v>18</v>
      </c>
      <c r="C109" s="6">
        <v>1120201.0899999999</v>
      </c>
      <c r="D109" s="14">
        <v>1</v>
      </c>
      <c r="I109" t="s">
        <v>393</v>
      </c>
      <c r="J109" s="6">
        <v>2380040.98</v>
      </c>
      <c r="R109">
        <v>50</v>
      </c>
      <c r="S109" s="6">
        <v>45134.57</v>
      </c>
      <c r="T109" s="6"/>
      <c r="U109" s="6"/>
      <c r="V109" s="6"/>
      <c r="W109" s="6"/>
      <c r="X109" s="6"/>
    </row>
    <row r="110" spans="2:24">
      <c r="B110" t="s">
        <v>26</v>
      </c>
      <c r="C110" s="6">
        <v>1087659.3499999992</v>
      </c>
      <c r="D110" s="14">
        <v>2</v>
      </c>
      <c r="I110" t="s">
        <v>395</v>
      </c>
      <c r="J110" s="6">
        <v>2142430.8900000006</v>
      </c>
      <c r="R110">
        <v>51</v>
      </c>
      <c r="S110" s="6">
        <v>133510.65000000002</v>
      </c>
      <c r="T110" s="6"/>
      <c r="U110" s="6"/>
      <c r="V110" s="6"/>
      <c r="W110" s="6"/>
      <c r="X110" s="6"/>
    </row>
    <row r="111" spans="2:24">
      <c r="B111" t="s">
        <v>59</v>
      </c>
      <c r="C111" s="6">
        <v>1054257.0000000002</v>
      </c>
      <c r="D111" s="14">
        <v>3</v>
      </c>
      <c r="I111" t="s">
        <v>396</v>
      </c>
      <c r="J111" s="6">
        <v>1663545.3200000003</v>
      </c>
      <c r="R111">
        <v>52</v>
      </c>
      <c r="S111" s="6">
        <v>70578.23</v>
      </c>
      <c r="T111" s="6"/>
      <c r="U111" s="6"/>
      <c r="V111" s="6"/>
      <c r="W111" s="6"/>
      <c r="X111" s="6"/>
    </row>
    <row r="112" spans="2:24">
      <c r="B112" t="s">
        <v>13</v>
      </c>
      <c r="C112" s="6">
        <v>1036591.0900000002</v>
      </c>
      <c r="D112" s="14">
        <v>4</v>
      </c>
      <c r="I112" t="s">
        <v>397</v>
      </c>
      <c r="J112" s="6">
        <v>461734.83999999997</v>
      </c>
      <c r="R112">
        <v>53</v>
      </c>
      <c r="S112" s="6">
        <v>74233.52</v>
      </c>
      <c r="T112" s="6"/>
      <c r="U112" s="6"/>
      <c r="V112" s="6"/>
      <c r="W112" s="6"/>
      <c r="X112" s="6"/>
    </row>
    <row r="113" spans="2:24">
      <c r="B113" t="s">
        <v>36</v>
      </c>
      <c r="C113" s="6">
        <v>996947.96000000043</v>
      </c>
      <c r="D113" s="14">
        <v>5</v>
      </c>
      <c r="I113" t="s">
        <v>399</v>
      </c>
      <c r="J113" s="6">
        <v>594688.29000000027</v>
      </c>
      <c r="R113">
        <v>54</v>
      </c>
      <c r="S113" s="6">
        <v>137839.25999999998</v>
      </c>
      <c r="T113" s="6"/>
      <c r="U113" s="6"/>
      <c r="V113" s="6"/>
      <c r="W113" s="6"/>
      <c r="X113" s="6"/>
    </row>
    <row r="114" spans="2:24">
      <c r="B114" t="s">
        <v>20</v>
      </c>
      <c r="C114" s="6">
        <v>960033.45</v>
      </c>
      <c r="D114" s="14">
        <v>6</v>
      </c>
      <c r="I114" t="s">
        <v>400</v>
      </c>
      <c r="J114" s="6">
        <v>900795.40000000037</v>
      </c>
      <c r="R114">
        <v>55</v>
      </c>
      <c r="S114" s="6">
        <v>81028.680000000008</v>
      </c>
      <c r="T114" s="6"/>
      <c r="U114" s="6"/>
      <c r="V114" s="6"/>
      <c r="W114" s="6"/>
      <c r="X114" s="6"/>
    </row>
    <row r="115" spans="2:24">
      <c r="B115" t="s">
        <v>11</v>
      </c>
      <c r="C115" s="6">
        <v>955268.24000000081</v>
      </c>
      <c r="D115" s="14">
        <v>7</v>
      </c>
      <c r="I115" t="s">
        <v>401</v>
      </c>
      <c r="J115" s="6">
        <v>620548.08000000007</v>
      </c>
      <c r="R115">
        <v>56</v>
      </c>
      <c r="S115" s="6">
        <v>63262.77</v>
      </c>
      <c r="T115" s="6"/>
      <c r="U115" s="6"/>
      <c r="V115" s="6"/>
      <c r="W115" s="6"/>
      <c r="X115" s="6"/>
    </row>
    <row r="116" spans="2:24">
      <c r="B116" t="s">
        <v>42</v>
      </c>
      <c r="C116" s="6">
        <v>945345.72999999975</v>
      </c>
      <c r="D116" s="14">
        <v>8</v>
      </c>
      <c r="I116" t="s">
        <v>394</v>
      </c>
      <c r="J116" s="6">
        <v>19791571.859999999</v>
      </c>
      <c r="R116">
        <v>57</v>
      </c>
      <c r="S116" s="6">
        <v>90170.489999999991</v>
      </c>
      <c r="T116" s="6"/>
      <c r="U116" s="6"/>
      <c r="V116" s="6"/>
      <c r="W116" s="6"/>
      <c r="X116" s="6"/>
    </row>
    <row r="117" spans="2:24">
      <c r="B117" t="s">
        <v>50</v>
      </c>
      <c r="C117" s="6">
        <v>938131.69</v>
      </c>
      <c r="D117" s="14">
        <v>9</v>
      </c>
      <c r="R117">
        <v>58</v>
      </c>
      <c r="S117" s="6">
        <v>169813.85000000003</v>
      </c>
      <c r="T117" s="6"/>
      <c r="U117" s="6"/>
      <c r="V117" s="6"/>
      <c r="W117" s="6"/>
      <c r="X117" s="6"/>
    </row>
    <row r="118" spans="2:24">
      <c r="B118" t="s">
        <v>8</v>
      </c>
      <c r="C118" s="6">
        <v>904989.55</v>
      </c>
      <c r="D118" s="14">
        <v>10</v>
      </c>
      <c r="R118">
        <v>59</v>
      </c>
      <c r="S118" s="6">
        <v>44385.560000000005</v>
      </c>
      <c r="T118" s="6"/>
      <c r="U118" s="6"/>
      <c r="V118" s="6"/>
      <c r="W118" s="6"/>
      <c r="X118" s="6"/>
    </row>
    <row r="119" spans="2:24">
      <c r="B119" t="s">
        <v>65</v>
      </c>
      <c r="C119" s="6">
        <v>890454.65</v>
      </c>
      <c r="D119" s="14">
        <v>11</v>
      </c>
      <c r="R119">
        <v>60</v>
      </c>
      <c r="S119" s="6">
        <v>67535.05</v>
      </c>
      <c r="T119" s="6"/>
      <c r="U119" s="6"/>
      <c r="V119" s="6"/>
      <c r="W119" s="6"/>
      <c r="X119" s="6"/>
    </row>
    <row r="120" spans="2:24">
      <c r="B120" t="s">
        <v>60</v>
      </c>
      <c r="C120" s="6">
        <v>885208.02999999991</v>
      </c>
      <c r="D120" s="14">
        <v>12</v>
      </c>
      <c r="R120">
        <v>61</v>
      </c>
      <c r="S120" s="6">
        <v>34279.050000000003</v>
      </c>
      <c r="T120" s="6"/>
      <c r="U120" s="6"/>
      <c r="V120" s="6"/>
      <c r="W120" s="6"/>
      <c r="X120" s="6"/>
    </row>
    <row r="121" spans="2:24">
      <c r="B121" t="s">
        <v>46</v>
      </c>
      <c r="C121" s="6">
        <v>866273.62000000034</v>
      </c>
      <c r="D121" s="14">
        <v>13</v>
      </c>
      <c r="R121">
        <v>62</v>
      </c>
      <c r="S121" s="6">
        <v>65916.2</v>
      </c>
      <c r="T121" s="6"/>
      <c r="U121" s="6"/>
      <c r="V121" s="6"/>
      <c r="W121" s="6"/>
      <c r="X121" s="6"/>
    </row>
    <row r="122" spans="2:24">
      <c r="B122" t="s">
        <v>73</v>
      </c>
      <c r="C122" s="6">
        <v>845388.40999999968</v>
      </c>
      <c r="D122" s="14">
        <v>14</v>
      </c>
      <c r="R122">
        <v>63</v>
      </c>
      <c r="S122" s="6">
        <v>39179.950000000004</v>
      </c>
      <c r="T122" s="6"/>
      <c r="U122" s="6"/>
      <c r="V122" s="6"/>
      <c r="W122" s="6"/>
      <c r="X122" s="6"/>
    </row>
    <row r="123" spans="2:24">
      <c r="B123" t="s">
        <v>23</v>
      </c>
      <c r="C123" s="6">
        <v>837215.67000000016</v>
      </c>
      <c r="D123" s="14">
        <v>15</v>
      </c>
      <c r="R123">
        <v>64</v>
      </c>
      <c r="S123" s="6">
        <v>46953.43</v>
      </c>
      <c r="T123" s="6"/>
      <c r="U123" s="6"/>
      <c r="V123" s="6"/>
      <c r="W123" s="6"/>
      <c r="X123" s="6"/>
    </row>
    <row r="124" spans="2:24">
      <c r="B124" t="s">
        <v>57</v>
      </c>
      <c r="C124" s="6">
        <v>829278.96</v>
      </c>
      <c r="D124" s="14">
        <v>16</v>
      </c>
      <c r="R124">
        <v>65</v>
      </c>
      <c r="S124" s="6">
        <v>43683.46</v>
      </c>
      <c r="T124" s="6"/>
      <c r="U124" s="6"/>
      <c r="V124" s="6"/>
      <c r="W124" s="6"/>
      <c r="X124" s="6"/>
    </row>
    <row r="125" spans="2:24">
      <c r="B125" t="s">
        <v>33</v>
      </c>
      <c r="C125" s="6">
        <v>824070.85</v>
      </c>
      <c r="D125" s="14">
        <v>17</v>
      </c>
      <c r="R125">
        <v>66</v>
      </c>
      <c r="S125" s="6">
        <v>31261.01</v>
      </c>
      <c r="T125" s="6"/>
      <c r="U125" s="6"/>
      <c r="V125" s="6"/>
      <c r="W125" s="6"/>
      <c r="X125" s="6"/>
    </row>
    <row r="126" spans="2:24">
      <c r="B126" t="s">
        <v>38</v>
      </c>
      <c r="C126" s="6">
        <v>822245.5700000003</v>
      </c>
      <c r="D126" s="14">
        <v>18</v>
      </c>
      <c r="R126">
        <v>67</v>
      </c>
      <c r="S126" s="6">
        <v>63037.429999999993</v>
      </c>
      <c r="T126" s="6"/>
      <c r="U126" s="6"/>
      <c r="V126" s="6"/>
      <c r="W126" s="6"/>
      <c r="X126" s="6"/>
    </row>
    <row r="127" spans="2:24">
      <c r="B127" t="s">
        <v>87</v>
      </c>
      <c r="C127" s="6">
        <v>799085.66999999958</v>
      </c>
      <c r="D127" s="14">
        <v>19</v>
      </c>
      <c r="R127">
        <v>68</v>
      </c>
      <c r="S127" s="6">
        <v>62937.159999999996</v>
      </c>
      <c r="T127" s="6"/>
      <c r="U127" s="6"/>
      <c r="V127" s="6"/>
      <c r="W127" s="6"/>
      <c r="X127" s="6"/>
    </row>
    <row r="128" spans="2:24">
      <c r="B128" t="s">
        <v>75</v>
      </c>
      <c r="C128" s="6">
        <v>773062.90999999957</v>
      </c>
      <c r="D128" s="14">
        <v>20</v>
      </c>
      <c r="R128">
        <v>69</v>
      </c>
      <c r="S128" s="6">
        <v>37647.119999999995</v>
      </c>
      <c r="T128" s="6"/>
      <c r="U128" s="6"/>
      <c r="V128" s="6"/>
      <c r="W128" s="6"/>
      <c r="X128" s="6"/>
    </row>
    <row r="129" spans="2:24">
      <c r="B129" t="s">
        <v>90</v>
      </c>
      <c r="C129" s="6">
        <v>742516.15000000014</v>
      </c>
      <c r="D129" s="14">
        <v>21</v>
      </c>
      <c r="R129">
        <v>70</v>
      </c>
      <c r="S129" s="6">
        <v>37099.22</v>
      </c>
      <c r="T129" s="6"/>
      <c r="U129" s="6"/>
      <c r="V129" s="6"/>
      <c r="W129" s="6"/>
      <c r="X129" s="6"/>
    </row>
    <row r="130" spans="2:24">
      <c r="B130" t="s">
        <v>100</v>
      </c>
      <c r="C130" s="6">
        <v>677346.21999999986</v>
      </c>
      <c r="D130" s="14">
        <v>22</v>
      </c>
      <c r="R130">
        <v>71</v>
      </c>
      <c r="S130" s="6">
        <v>62112.65</v>
      </c>
      <c r="T130" s="6"/>
      <c r="U130" s="6"/>
      <c r="V130" s="6"/>
      <c r="W130" s="6"/>
      <c r="X130" s="6"/>
    </row>
    <row r="131" spans="2:24">
      <c r="B131" t="s">
        <v>394</v>
      </c>
      <c r="C131" s="6">
        <v>19791571.860000003</v>
      </c>
      <c r="D131" s="14"/>
      <c r="R131">
        <v>72</v>
      </c>
      <c r="S131" s="6">
        <v>43288.97</v>
      </c>
      <c r="T131" s="6"/>
      <c r="U131" s="6"/>
      <c r="V131" s="6"/>
      <c r="W131" s="6"/>
      <c r="X131" s="6"/>
    </row>
    <row r="132" spans="2:24">
      <c r="R132">
        <v>73</v>
      </c>
      <c r="S132" s="6">
        <v>100176.92</v>
      </c>
      <c r="T132" s="6"/>
      <c r="U132" s="6"/>
      <c r="V132" s="6"/>
      <c r="W132" s="6"/>
      <c r="X132" s="6"/>
    </row>
    <row r="133" spans="2:24" ht="15.75">
      <c r="B133" s="21" t="s">
        <v>424</v>
      </c>
      <c r="R133">
        <v>74</v>
      </c>
      <c r="S133" s="6">
        <v>31032.329999999994</v>
      </c>
      <c r="T133" s="6"/>
      <c r="U133" s="6"/>
      <c r="V133" s="6"/>
      <c r="W133" s="6"/>
      <c r="X133" s="6"/>
    </row>
    <row r="134" spans="2:24">
      <c r="B134" s="10" t="s">
        <v>385</v>
      </c>
      <c r="C134" s="10" t="s">
        <v>370</v>
      </c>
      <c r="R134">
        <v>75</v>
      </c>
      <c r="S134" s="6">
        <v>36210.200000000004</v>
      </c>
      <c r="T134" s="6"/>
      <c r="U134" s="6"/>
      <c r="V134" s="6"/>
      <c r="W134" s="6"/>
      <c r="X134" s="6"/>
    </row>
    <row r="135" spans="2:24">
      <c r="B135" s="10" t="s">
        <v>1</v>
      </c>
      <c r="C135" t="s">
        <v>388</v>
      </c>
      <c r="D135" t="s">
        <v>389</v>
      </c>
      <c r="E135" t="s">
        <v>390</v>
      </c>
      <c r="F135" t="s">
        <v>391</v>
      </c>
      <c r="G135" t="s">
        <v>392</v>
      </c>
      <c r="H135" t="s">
        <v>393</v>
      </c>
      <c r="I135" t="s">
        <v>395</v>
      </c>
      <c r="J135" t="s">
        <v>396</v>
      </c>
      <c r="K135" t="s">
        <v>397</v>
      </c>
      <c r="L135" t="s">
        <v>399</v>
      </c>
      <c r="M135" t="s">
        <v>400</v>
      </c>
      <c r="N135" t="s">
        <v>401</v>
      </c>
      <c r="O135" t="s">
        <v>394</v>
      </c>
      <c r="R135">
        <v>76</v>
      </c>
      <c r="S135" s="6">
        <v>60135.26</v>
      </c>
      <c r="T135" s="6"/>
      <c r="U135" s="6"/>
      <c r="V135" s="6"/>
      <c r="W135" s="6"/>
      <c r="X135" s="6"/>
    </row>
    <row r="136" spans="2:24">
      <c r="B136" t="s">
        <v>15</v>
      </c>
      <c r="C136" s="6">
        <v>472506.23000000004</v>
      </c>
      <c r="D136" s="6">
        <v>445376.9</v>
      </c>
      <c r="E136" s="6">
        <v>436701.73</v>
      </c>
      <c r="F136" s="6">
        <v>399642.47999999992</v>
      </c>
      <c r="G136" s="6">
        <v>375991.72000000009</v>
      </c>
      <c r="H136" s="6">
        <v>400383.75000000017</v>
      </c>
      <c r="I136" s="6">
        <v>329987.67999999988</v>
      </c>
      <c r="J136" s="6">
        <v>340229.8</v>
      </c>
      <c r="K136" s="6">
        <v>68219.67</v>
      </c>
      <c r="L136" s="6">
        <v>133511.18999999997</v>
      </c>
      <c r="M136" s="6">
        <v>149228.17000000001</v>
      </c>
      <c r="N136" s="6">
        <v>94665.03</v>
      </c>
      <c r="O136" s="6">
        <v>3646444.3499999992</v>
      </c>
      <c r="R136">
        <v>77</v>
      </c>
      <c r="S136" s="6">
        <v>33935.579999999994</v>
      </c>
      <c r="T136" s="6"/>
      <c r="U136" s="6"/>
      <c r="V136" s="6"/>
      <c r="W136" s="6"/>
      <c r="X136" s="6"/>
    </row>
    <row r="137" spans="2:24">
      <c r="B137" t="s">
        <v>7</v>
      </c>
      <c r="C137" s="6">
        <v>454173.74999999994</v>
      </c>
      <c r="D137" s="6">
        <v>232186.91</v>
      </c>
      <c r="E137" s="6">
        <v>365706.64999999991</v>
      </c>
      <c r="F137" s="6">
        <v>377614.76</v>
      </c>
      <c r="G137" s="6">
        <v>439148.07</v>
      </c>
      <c r="H137" s="6">
        <v>604918.41999999993</v>
      </c>
      <c r="I137" s="6">
        <v>302368.62000000005</v>
      </c>
      <c r="J137" s="6">
        <v>177407.00999999995</v>
      </c>
      <c r="K137" s="6">
        <v>7951</v>
      </c>
      <c r="L137" s="6">
        <v>142369.28</v>
      </c>
      <c r="M137" s="6">
        <v>142391.34000000003</v>
      </c>
      <c r="N137" s="6">
        <v>119153.09</v>
      </c>
      <c r="O137" s="6">
        <v>3365388.899999999</v>
      </c>
      <c r="R137">
        <v>78</v>
      </c>
      <c r="S137" s="6">
        <v>68037.59</v>
      </c>
      <c r="T137" s="6"/>
      <c r="U137" s="6"/>
      <c r="V137" s="6"/>
      <c r="W137" s="6"/>
      <c r="X137" s="6"/>
    </row>
    <row r="138" spans="2:24">
      <c r="B138" t="s">
        <v>10</v>
      </c>
      <c r="C138" s="6">
        <v>404972.12000000011</v>
      </c>
      <c r="D138" s="6">
        <v>209790.91999999995</v>
      </c>
      <c r="E138" s="6">
        <v>280366.64</v>
      </c>
      <c r="F138" s="6">
        <v>511227.44</v>
      </c>
      <c r="G138" s="6">
        <v>416740.73999999982</v>
      </c>
      <c r="H138" s="6">
        <v>402607.23000000004</v>
      </c>
      <c r="I138" s="6">
        <v>424375.45999999985</v>
      </c>
      <c r="J138" s="6">
        <v>282418.79000000004</v>
      </c>
      <c r="K138" s="6">
        <v>183192.64</v>
      </c>
      <c r="L138" s="6">
        <v>51147.240000000005</v>
      </c>
      <c r="M138" s="6">
        <v>86573</v>
      </c>
      <c r="N138" s="6">
        <v>90318.609999999986</v>
      </c>
      <c r="O138" s="6">
        <v>3343730.83</v>
      </c>
      <c r="R138">
        <v>79</v>
      </c>
      <c r="S138" s="6">
        <v>84227.079999999973</v>
      </c>
      <c r="T138" s="6"/>
      <c r="U138" s="6"/>
      <c r="V138" s="6"/>
      <c r="W138" s="6"/>
      <c r="X138" s="6"/>
    </row>
    <row r="139" spans="2:24">
      <c r="B139" t="s">
        <v>32</v>
      </c>
      <c r="C139" s="6">
        <v>312851.08000000007</v>
      </c>
      <c r="D139" s="6">
        <v>336092.80999999988</v>
      </c>
      <c r="E139" s="6">
        <v>216595.95000000004</v>
      </c>
      <c r="F139" s="6">
        <v>479064.18000000005</v>
      </c>
      <c r="G139" s="6">
        <v>335898.36999999988</v>
      </c>
      <c r="H139" s="6">
        <v>299163.5799999999</v>
      </c>
      <c r="I139" s="6">
        <v>567167.12</v>
      </c>
      <c r="J139" s="6">
        <v>328918.69000000012</v>
      </c>
      <c r="K139" s="6">
        <v>53451.92</v>
      </c>
      <c r="L139" s="6">
        <v>47239.799999999996</v>
      </c>
      <c r="M139" s="6">
        <v>194123.1</v>
      </c>
      <c r="N139" s="6">
        <v>143291.49000000002</v>
      </c>
      <c r="O139" s="6">
        <v>3313858.09</v>
      </c>
      <c r="R139">
        <v>80</v>
      </c>
      <c r="S139" s="6">
        <v>106762.31000000003</v>
      </c>
      <c r="T139" s="6"/>
      <c r="U139" s="6"/>
      <c r="V139" s="6"/>
      <c r="W139" s="6"/>
      <c r="X139" s="6"/>
    </row>
    <row r="140" spans="2:24">
      <c r="B140" t="s">
        <v>35</v>
      </c>
      <c r="C140" s="6">
        <v>457738.07999999984</v>
      </c>
      <c r="D140" s="6">
        <v>438974.37999999995</v>
      </c>
      <c r="E140" s="6">
        <v>335477.99</v>
      </c>
      <c r="F140" s="6">
        <v>288790.98</v>
      </c>
      <c r="G140" s="6">
        <v>293823.69</v>
      </c>
      <c r="H140" s="6">
        <v>197735.27999999997</v>
      </c>
      <c r="I140" s="6">
        <v>359617.14999999997</v>
      </c>
      <c r="J140" s="6">
        <v>292189.18999999994</v>
      </c>
      <c r="K140" s="6">
        <v>55858.729999999996</v>
      </c>
      <c r="L140" s="6">
        <v>91885.67</v>
      </c>
      <c r="M140" s="6">
        <v>147259.91</v>
      </c>
      <c r="N140" s="6">
        <v>119144.6</v>
      </c>
      <c r="O140" s="6">
        <v>3078495.65</v>
      </c>
      <c r="R140">
        <v>81</v>
      </c>
      <c r="S140" s="6">
        <v>46048.639999999999</v>
      </c>
      <c r="T140" s="6"/>
      <c r="U140" s="6"/>
      <c r="V140" s="6"/>
      <c r="W140" s="6"/>
      <c r="X140" s="6"/>
    </row>
    <row r="141" spans="2:24">
      <c r="B141" t="s">
        <v>25</v>
      </c>
      <c r="C141" s="6">
        <v>457926.81999999983</v>
      </c>
      <c r="D141" s="6">
        <v>345241.94000000018</v>
      </c>
      <c r="E141" s="6">
        <v>240866.61000000002</v>
      </c>
      <c r="F141" s="6">
        <v>318430.90000000002</v>
      </c>
      <c r="G141" s="6">
        <v>347867.22</v>
      </c>
      <c r="H141" s="6">
        <v>475232.71999999991</v>
      </c>
      <c r="I141" s="6">
        <v>158914.86000000004</v>
      </c>
      <c r="J141" s="6">
        <v>242381.84000000003</v>
      </c>
      <c r="K141" s="6">
        <v>93060.87999999999</v>
      </c>
      <c r="L141" s="6">
        <v>128535.11000000002</v>
      </c>
      <c r="M141" s="6">
        <v>181219.88</v>
      </c>
      <c r="N141" s="6">
        <v>53975.260000000009</v>
      </c>
      <c r="O141" s="6">
        <v>3043654.0399999991</v>
      </c>
      <c r="R141">
        <v>82</v>
      </c>
      <c r="S141" s="6">
        <v>76203.87000000001</v>
      </c>
      <c r="T141" s="6"/>
      <c r="U141" s="6"/>
      <c r="V141" s="6"/>
      <c r="W141" s="6"/>
      <c r="X141" s="6"/>
    </row>
    <row r="142" spans="2:24">
      <c r="B142" t="s">
        <v>394</v>
      </c>
      <c r="C142" s="6">
        <v>2560168.0799999996</v>
      </c>
      <c r="D142" s="6">
        <v>2007663.8599999999</v>
      </c>
      <c r="E142" s="6">
        <v>1875715.5699999998</v>
      </c>
      <c r="F142" s="6">
        <v>2374770.7399999998</v>
      </c>
      <c r="G142" s="6">
        <v>2209469.8099999996</v>
      </c>
      <c r="H142" s="6">
        <v>2380040.98</v>
      </c>
      <c r="I142" s="6">
        <v>2142430.8899999997</v>
      </c>
      <c r="J142" s="6">
        <v>1663545.3200000003</v>
      </c>
      <c r="K142" s="6">
        <v>461734.84</v>
      </c>
      <c r="L142" s="6">
        <v>594688.29</v>
      </c>
      <c r="M142" s="6">
        <v>900795.4</v>
      </c>
      <c r="N142" s="6">
        <v>620548.07999999996</v>
      </c>
      <c r="O142" s="6">
        <v>19791571.859999996</v>
      </c>
      <c r="R142">
        <v>83</v>
      </c>
      <c r="S142" s="6">
        <v>109552.71999999999</v>
      </c>
      <c r="T142" s="6"/>
      <c r="U142" s="6"/>
      <c r="V142" s="6"/>
      <c r="W142" s="6"/>
      <c r="X142" s="6"/>
    </row>
    <row r="143" spans="2:24">
      <c r="R143">
        <v>84</v>
      </c>
      <c r="S143" s="6">
        <v>126258.54</v>
      </c>
      <c r="T143" s="6"/>
      <c r="U143" s="6"/>
      <c r="V143" s="6"/>
      <c r="W143" s="6"/>
      <c r="X143" s="6"/>
    </row>
    <row r="144" spans="2:24" ht="15.75">
      <c r="B144" s="21" t="s">
        <v>425</v>
      </c>
      <c r="R144">
        <v>85</v>
      </c>
      <c r="S144" s="6">
        <v>140740.57</v>
      </c>
      <c r="T144" s="6"/>
      <c r="U144" s="6"/>
      <c r="V144" s="6"/>
      <c r="W144" s="6"/>
      <c r="X144" s="6"/>
    </row>
    <row r="145" spans="2:24">
      <c r="B145" s="10" t="s">
        <v>385</v>
      </c>
      <c r="C145" s="10" t="s">
        <v>1</v>
      </c>
      <c r="R145">
        <v>86</v>
      </c>
      <c r="S145" s="6">
        <v>46979.71</v>
      </c>
      <c r="T145" s="6"/>
      <c r="U145" s="6"/>
      <c r="V145" s="6"/>
      <c r="W145" s="6"/>
      <c r="X145" s="6"/>
    </row>
    <row r="146" spans="2:24">
      <c r="B146" s="10" t="s">
        <v>2</v>
      </c>
      <c r="C146" t="s">
        <v>15</v>
      </c>
      <c r="D146" t="s">
        <v>35</v>
      </c>
      <c r="E146" t="s">
        <v>10</v>
      </c>
      <c r="F146" t="s">
        <v>25</v>
      </c>
      <c r="G146" t="s">
        <v>7</v>
      </c>
      <c r="H146" t="s">
        <v>32</v>
      </c>
      <c r="I146" t="s">
        <v>394</v>
      </c>
      <c r="R146">
        <v>87</v>
      </c>
      <c r="S146" s="6">
        <v>111572.14</v>
      </c>
      <c r="T146" s="6"/>
      <c r="U146" s="6"/>
      <c r="V146" s="6"/>
      <c r="W146" s="6"/>
      <c r="X146" s="6"/>
    </row>
    <row r="147" spans="2:24">
      <c r="B147" t="s">
        <v>18</v>
      </c>
      <c r="C147" s="6">
        <v>145313.03999999998</v>
      </c>
      <c r="D147" s="6">
        <v>218122.4</v>
      </c>
      <c r="E147" s="6">
        <v>241770.37</v>
      </c>
      <c r="F147" s="6">
        <v>125698.28999999996</v>
      </c>
      <c r="G147" s="6">
        <v>244456.77000000002</v>
      </c>
      <c r="H147" s="6">
        <v>144840.22</v>
      </c>
      <c r="I147" s="6">
        <v>1120201.0899999999</v>
      </c>
      <c r="R147">
        <v>88</v>
      </c>
      <c r="S147" s="6">
        <v>133141.30000000002</v>
      </c>
      <c r="T147" s="6"/>
      <c r="U147" s="6"/>
      <c r="V147" s="6"/>
      <c r="W147" s="6"/>
      <c r="X147" s="6"/>
    </row>
    <row r="148" spans="2:24">
      <c r="B148" t="s">
        <v>26</v>
      </c>
      <c r="C148" s="6">
        <v>280066.82</v>
      </c>
      <c r="D148" s="6">
        <v>141804.26999999996</v>
      </c>
      <c r="E148" s="6">
        <v>206943.76</v>
      </c>
      <c r="F148" s="6">
        <v>114195.93999999999</v>
      </c>
      <c r="G148" s="6">
        <v>160112.11999999997</v>
      </c>
      <c r="H148" s="6">
        <v>184536.44000000006</v>
      </c>
      <c r="I148" s="6">
        <v>1087659.3500000001</v>
      </c>
      <c r="R148">
        <v>89</v>
      </c>
      <c r="S148" s="6">
        <v>70069.430000000008</v>
      </c>
      <c r="T148" s="6"/>
      <c r="U148" s="6"/>
      <c r="V148" s="6"/>
      <c r="W148" s="6"/>
      <c r="X148" s="6"/>
    </row>
    <row r="149" spans="2:24">
      <c r="B149" t="s">
        <v>59</v>
      </c>
      <c r="C149" s="6">
        <v>184774.16</v>
      </c>
      <c r="D149" s="6">
        <v>146589.87</v>
      </c>
      <c r="E149" s="6">
        <v>103484.24999999999</v>
      </c>
      <c r="F149" s="6">
        <v>185052.11999999997</v>
      </c>
      <c r="G149" s="6">
        <v>216962.86</v>
      </c>
      <c r="H149" s="6">
        <v>217393.74000000005</v>
      </c>
      <c r="I149" s="6">
        <v>1054257</v>
      </c>
      <c r="R149">
        <v>90</v>
      </c>
      <c r="S149" s="6">
        <v>87377.48000000001</v>
      </c>
      <c r="T149" s="6"/>
      <c r="U149" s="6"/>
      <c r="V149" s="6"/>
      <c r="W149" s="6"/>
      <c r="X149" s="6"/>
    </row>
    <row r="150" spans="2:24">
      <c r="B150" t="s">
        <v>13</v>
      </c>
      <c r="C150" s="6">
        <v>131349.85</v>
      </c>
      <c r="D150" s="6">
        <v>199711.91999999998</v>
      </c>
      <c r="E150" s="6">
        <v>247607.77999999994</v>
      </c>
      <c r="F150" s="6">
        <v>99434.599999999991</v>
      </c>
      <c r="G150" s="6">
        <v>252099.20000000001</v>
      </c>
      <c r="H150" s="6">
        <v>106387.74</v>
      </c>
      <c r="I150" s="6">
        <v>1036591.0899999999</v>
      </c>
      <c r="R150">
        <v>91</v>
      </c>
      <c r="S150" s="6">
        <v>128750.52</v>
      </c>
      <c r="T150" s="6"/>
      <c r="U150" s="6"/>
      <c r="V150" s="6"/>
      <c r="W150" s="6"/>
      <c r="X150" s="6"/>
    </row>
    <row r="151" spans="2:24">
      <c r="B151" t="s">
        <v>36</v>
      </c>
      <c r="C151" s="6">
        <v>208469.73</v>
      </c>
      <c r="D151" s="6">
        <v>77787.02</v>
      </c>
      <c r="E151" s="6">
        <v>252107.53999999995</v>
      </c>
      <c r="F151" s="6">
        <v>190830.28000000003</v>
      </c>
      <c r="G151" s="6">
        <v>124547.98999999999</v>
      </c>
      <c r="H151" s="6">
        <v>143205.4</v>
      </c>
      <c r="I151" s="6">
        <v>996947.96</v>
      </c>
      <c r="R151">
        <v>92</v>
      </c>
      <c r="S151" s="6">
        <v>90451.37</v>
      </c>
      <c r="T151" s="6"/>
      <c r="U151" s="6"/>
      <c r="V151" s="6"/>
      <c r="W151" s="6"/>
      <c r="X151" s="6"/>
    </row>
    <row r="152" spans="2:24">
      <c r="B152" t="s">
        <v>20</v>
      </c>
      <c r="C152" s="6">
        <v>176247.62</v>
      </c>
      <c r="D152" s="6">
        <v>140413.72</v>
      </c>
      <c r="E152" s="6">
        <v>135933.68</v>
      </c>
      <c r="F152" s="6">
        <v>104141.19</v>
      </c>
      <c r="G152" s="6">
        <v>251626.82000000007</v>
      </c>
      <c r="H152" s="6">
        <v>151670.41999999998</v>
      </c>
      <c r="I152" s="6">
        <v>960033.45</v>
      </c>
      <c r="R152">
        <v>93</v>
      </c>
      <c r="S152" s="6">
        <v>73556.84</v>
      </c>
      <c r="T152" s="6"/>
      <c r="U152" s="6"/>
      <c r="V152" s="6"/>
      <c r="W152" s="6"/>
      <c r="X152" s="6"/>
    </row>
    <row r="153" spans="2:24">
      <c r="B153" t="s">
        <v>11</v>
      </c>
      <c r="C153" s="6">
        <v>123398.33000000002</v>
      </c>
      <c r="D153" s="6">
        <v>120293.78</v>
      </c>
      <c r="E153" s="6">
        <v>179605.93999999997</v>
      </c>
      <c r="F153" s="6">
        <v>215881.58000000002</v>
      </c>
      <c r="G153" s="6">
        <v>132181.76000000001</v>
      </c>
      <c r="H153" s="6">
        <v>183906.85</v>
      </c>
      <c r="I153" s="6">
        <v>955268.24</v>
      </c>
      <c r="R153">
        <v>94</v>
      </c>
      <c r="S153" s="6">
        <v>143000.12000000002</v>
      </c>
      <c r="T153" s="6"/>
      <c r="U153" s="6"/>
      <c r="V153" s="6"/>
      <c r="W153" s="6"/>
      <c r="X153" s="6"/>
    </row>
    <row r="154" spans="2:24">
      <c r="B154" t="s">
        <v>42</v>
      </c>
      <c r="C154" s="6">
        <v>196655.35</v>
      </c>
      <c r="D154" s="6">
        <v>117843.72000000003</v>
      </c>
      <c r="E154" s="6">
        <v>217251.03</v>
      </c>
      <c r="F154" s="6">
        <v>169172.80000000002</v>
      </c>
      <c r="G154" s="6">
        <v>80994.860000000015</v>
      </c>
      <c r="H154" s="6">
        <v>163427.96999999994</v>
      </c>
      <c r="I154" s="6">
        <v>945345.7300000001</v>
      </c>
      <c r="R154">
        <v>95</v>
      </c>
      <c r="S154" s="6">
        <v>99076.74</v>
      </c>
      <c r="T154" s="6"/>
      <c r="U154" s="6"/>
      <c r="V154" s="6"/>
      <c r="W154" s="6"/>
      <c r="X154" s="6"/>
    </row>
    <row r="155" spans="2:24">
      <c r="B155" t="s">
        <v>50</v>
      </c>
      <c r="C155" s="6">
        <v>196749.39999999997</v>
      </c>
      <c r="D155" s="6">
        <v>185301.81</v>
      </c>
      <c r="E155" s="6">
        <v>240993.15999999992</v>
      </c>
      <c r="F155" s="6">
        <v>115175.04000000001</v>
      </c>
      <c r="G155" s="6">
        <v>118162.52999999998</v>
      </c>
      <c r="H155" s="6">
        <v>81749.75</v>
      </c>
      <c r="I155" s="6">
        <v>938131.69</v>
      </c>
      <c r="R155">
        <v>96</v>
      </c>
      <c r="S155" s="6">
        <v>81968.550000000017</v>
      </c>
      <c r="T155" s="6"/>
      <c r="U155" s="6"/>
      <c r="V155" s="6"/>
      <c r="W155" s="6"/>
      <c r="X155" s="6"/>
    </row>
    <row r="156" spans="2:24">
      <c r="B156" t="s">
        <v>8</v>
      </c>
      <c r="C156" s="6">
        <v>160465.4</v>
      </c>
      <c r="D156" s="6">
        <v>49971.85</v>
      </c>
      <c r="E156" s="6">
        <v>217420.06000000006</v>
      </c>
      <c r="F156" s="6">
        <v>277979.24999999994</v>
      </c>
      <c r="G156" s="6">
        <v>81764.819999999992</v>
      </c>
      <c r="H156" s="6">
        <v>117388.16999999998</v>
      </c>
      <c r="I156" s="6">
        <v>904989.55</v>
      </c>
      <c r="R156">
        <v>97</v>
      </c>
      <c r="S156" s="6">
        <v>44708.429999999993</v>
      </c>
      <c r="T156" s="6"/>
      <c r="U156" s="6"/>
      <c r="V156" s="6"/>
      <c r="W156" s="6"/>
      <c r="X156" s="6"/>
    </row>
    <row r="157" spans="2:24">
      <c r="B157" t="s">
        <v>65</v>
      </c>
      <c r="C157" s="6">
        <v>150814</v>
      </c>
      <c r="D157" s="6">
        <v>135514.43000000002</v>
      </c>
      <c r="E157" s="6">
        <v>163100.6</v>
      </c>
      <c r="F157" s="6">
        <v>93512.63</v>
      </c>
      <c r="G157" s="6">
        <v>190853.25000000006</v>
      </c>
      <c r="H157" s="6">
        <v>156659.74000000002</v>
      </c>
      <c r="I157" s="6">
        <v>890454.65000000014</v>
      </c>
      <c r="R157">
        <v>98</v>
      </c>
      <c r="S157" s="6">
        <v>43904.240000000005</v>
      </c>
      <c r="T157" s="6"/>
      <c r="U157" s="6"/>
      <c r="V157" s="6"/>
      <c r="W157" s="6"/>
      <c r="X157" s="6"/>
    </row>
    <row r="158" spans="2:24">
      <c r="B158" t="s">
        <v>60</v>
      </c>
      <c r="C158" s="6">
        <v>149820.03</v>
      </c>
      <c r="D158" s="6">
        <v>161162.28</v>
      </c>
      <c r="E158" s="6">
        <v>60325.229999999996</v>
      </c>
      <c r="F158" s="6">
        <v>161257.90999999997</v>
      </c>
      <c r="G158" s="6">
        <v>136823.15999999997</v>
      </c>
      <c r="H158" s="6">
        <v>215819.42000000004</v>
      </c>
      <c r="I158" s="6">
        <v>885208.02999999991</v>
      </c>
      <c r="R158">
        <v>99</v>
      </c>
      <c r="S158" s="6">
        <v>96485.71</v>
      </c>
      <c r="T158" s="6"/>
      <c r="U158" s="6"/>
      <c r="V158" s="6"/>
      <c r="W158" s="6"/>
      <c r="X158" s="6"/>
    </row>
    <row r="159" spans="2:24">
      <c r="B159" t="s">
        <v>46</v>
      </c>
      <c r="C159" s="6">
        <v>197947.30000000005</v>
      </c>
      <c r="D159" s="6">
        <v>134345.75</v>
      </c>
      <c r="E159" s="6">
        <v>77299.400000000009</v>
      </c>
      <c r="F159" s="6">
        <v>117687.41999999998</v>
      </c>
      <c r="G159" s="6">
        <v>185300.82999999996</v>
      </c>
      <c r="H159" s="6">
        <v>153692.91999999998</v>
      </c>
      <c r="I159" s="6">
        <v>866273.62000000011</v>
      </c>
      <c r="R159">
        <v>100</v>
      </c>
      <c r="S159" s="6">
        <v>129170.52</v>
      </c>
      <c r="T159" s="6"/>
      <c r="U159" s="6"/>
      <c r="V159" s="6"/>
      <c r="W159" s="6"/>
      <c r="X159" s="6"/>
    </row>
    <row r="160" spans="2:24">
      <c r="B160" t="s">
        <v>73</v>
      </c>
      <c r="C160" s="6">
        <v>169015.14</v>
      </c>
      <c r="D160" s="6">
        <v>41308.060000000005</v>
      </c>
      <c r="E160" s="6">
        <v>126311.03000000001</v>
      </c>
      <c r="F160" s="6">
        <v>104449.00000000001</v>
      </c>
      <c r="G160" s="6">
        <v>139177.54999999999</v>
      </c>
      <c r="H160" s="6">
        <v>265127.63</v>
      </c>
      <c r="I160" s="6">
        <v>845388.41</v>
      </c>
      <c r="R160">
        <v>101</v>
      </c>
      <c r="S160" s="6">
        <v>90444.470000000016</v>
      </c>
      <c r="T160" s="6"/>
      <c r="U160" s="6"/>
      <c r="V160" s="6"/>
      <c r="W160" s="6"/>
      <c r="X160" s="6"/>
    </row>
    <row r="161" spans="2:24">
      <c r="B161" t="s">
        <v>23</v>
      </c>
      <c r="C161" s="6">
        <v>89658.710000000021</v>
      </c>
      <c r="D161" s="6">
        <v>134870.95000000001</v>
      </c>
      <c r="E161" s="6">
        <v>187638.02</v>
      </c>
      <c r="F161" s="6">
        <v>177409.92999999996</v>
      </c>
      <c r="G161" s="6">
        <v>109266.08</v>
      </c>
      <c r="H161" s="6">
        <v>138371.97999999998</v>
      </c>
      <c r="I161" s="6">
        <v>837215.66999999993</v>
      </c>
      <c r="R161">
        <v>102</v>
      </c>
      <c r="S161" s="6">
        <v>126062.42000000001</v>
      </c>
      <c r="T161" s="6"/>
      <c r="U161" s="6"/>
      <c r="V161" s="6"/>
      <c r="W161" s="6"/>
      <c r="X161" s="6"/>
    </row>
    <row r="162" spans="2:24">
      <c r="B162" t="s">
        <v>57</v>
      </c>
      <c r="C162" s="6">
        <v>167568.73999999996</v>
      </c>
      <c r="D162" s="6">
        <v>159492.52999999997</v>
      </c>
      <c r="E162" s="6">
        <v>58842.21</v>
      </c>
      <c r="F162" s="6">
        <v>150992.70000000001</v>
      </c>
      <c r="G162" s="6">
        <v>137068.31</v>
      </c>
      <c r="H162" s="6">
        <v>155314.47000000003</v>
      </c>
      <c r="I162" s="6">
        <v>829278.96</v>
      </c>
      <c r="R162">
        <v>103</v>
      </c>
      <c r="S162" s="6">
        <v>100388.65999999999</v>
      </c>
      <c r="T162" s="6"/>
      <c r="U162" s="6"/>
      <c r="V162" s="6"/>
      <c r="W162" s="6"/>
      <c r="X162" s="6"/>
    </row>
    <row r="163" spans="2:24">
      <c r="B163" t="s">
        <v>33</v>
      </c>
      <c r="C163" s="6">
        <v>191433.98999999996</v>
      </c>
      <c r="D163" s="6">
        <v>164970.88999999998</v>
      </c>
      <c r="E163" s="6">
        <v>75316.74000000002</v>
      </c>
      <c r="F163" s="6">
        <v>100236.41000000002</v>
      </c>
      <c r="G163" s="6">
        <v>134820.93000000002</v>
      </c>
      <c r="H163" s="6">
        <v>157291.89000000001</v>
      </c>
      <c r="I163" s="6">
        <v>824070.85000000009</v>
      </c>
      <c r="R163">
        <v>104</v>
      </c>
      <c r="S163" s="6">
        <v>64285</v>
      </c>
      <c r="T163" s="6"/>
      <c r="U163" s="6"/>
      <c r="V163" s="6"/>
      <c r="W163" s="6"/>
      <c r="X163" s="6"/>
    </row>
    <row r="164" spans="2:24">
      <c r="B164" t="s">
        <v>38</v>
      </c>
      <c r="C164" s="6">
        <v>165478.55999999997</v>
      </c>
      <c r="D164" s="6">
        <v>153041.34000000003</v>
      </c>
      <c r="E164" s="6">
        <v>148303.51</v>
      </c>
      <c r="F164" s="6">
        <v>101281.46999999999</v>
      </c>
      <c r="G164" s="6">
        <v>131735.22</v>
      </c>
      <c r="H164" s="6">
        <v>122405.47</v>
      </c>
      <c r="I164" s="6">
        <v>822245.57</v>
      </c>
      <c r="R164">
        <v>105</v>
      </c>
      <c r="S164" s="6">
        <v>61525.84</v>
      </c>
      <c r="T164" s="6"/>
      <c r="U164" s="6"/>
      <c r="V164" s="6"/>
      <c r="W164" s="6"/>
      <c r="X164" s="6"/>
    </row>
    <row r="165" spans="2:24">
      <c r="B165" t="s">
        <v>87</v>
      </c>
      <c r="C165" s="6">
        <v>185739.43999999994</v>
      </c>
      <c r="D165" s="6">
        <v>116561.38</v>
      </c>
      <c r="E165" s="6">
        <v>88893.04</v>
      </c>
      <c r="F165" s="6">
        <v>146569.54</v>
      </c>
      <c r="G165" s="6">
        <v>125906.45999999996</v>
      </c>
      <c r="H165" s="6">
        <v>135415.81</v>
      </c>
      <c r="I165" s="6">
        <v>799085.66999999993</v>
      </c>
      <c r="R165">
        <v>106</v>
      </c>
      <c r="S165" s="6">
        <v>75703.87</v>
      </c>
      <c r="T165" s="6"/>
      <c r="U165" s="6"/>
      <c r="V165" s="6"/>
      <c r="W165" s="6"/>
      <c r="X165" s="6"/>
    </row>
    <row r="166" spans="2:24">
      <c r="B166" t="s">
        <v>75</v>
      </c>
      <c r="C166" s="6">
        <v>119163.18999999999</v>
      </c>
      <c r="D166" s="6">
        <v>183459.19</v>
      </c>
      <c r="E166" s="6">
        <v>89730.06</v>
      </c>
      <c r="F166" s="6">
        <v>66397.55</v>
      </c>
      <c r="G166" s="6">
        <v>181114.14</v>
      </c>
      <c r="H166" s="6">
        <v>133198.78000000003</v>
      </c>
      <c r="I166" s="6">
        <v>773062.91</v>
      </c>
      <c r="R166">
        <v>107</v>
      </c>
      <c r="S166" s="6">
        <v>80308.91</v>
      </c>
      <c r="T166" s="6"/>
      <c r="U166" s="6"/>
      <c r="V166" s="6"/>
      <c r="W166" s="6"/>
      <c r="X166" s="6"/>
    </row>
    <row r="167" spans="2:24">
      <c r="B167" t="s">
        <v>90</v>
      </c>
      <c r="C167" s="6">
        <v>128775.09000000001</v>
      </c>
      <c r="D167" s="6">
        <v>106229.98</v>
      </c>
      <c r="E167" s="6">
        <v>114265.09999999999</v>
      </c>
      <c r="F167" s="6">
        <v>109660.73000000001</v>
      </c>
      <c r="G167" s="6">
        <v>163661.34999999998</v>
      </c>
      <c r="H167" s="6">
        <v>119923.9</v>
      </c>
      <c r="I167" s="6">
        <v>742516.15</v>
      </c>
      <c r="R167">
        <v>108</v>
      </c>
      <c r="S167" s="6">
        <v>48330.71</v>
      </c>
      <c r="T167" s="6"/>
      <c r="U167" s="6"/>
      <c r="V167" s="6"/>
      <c r="W167" s="6"/>
      <c r="X167" s="6"/>
    </row>
    <row r="168" spans="2:24">
      <c r="B168" t="s">
        <v>100</v>
      </c>
      <c r="C168" s="6">
        <v>127540.45999999998</v>
      </c>
      <c r="D168" s="6">
        <v>189698.50999999995</v>
      </c>
      <c r="E168" s="6">
        <v>110588.32</v>
      </c>
      <c r="F168" s="6">
        <v>116637.66000000002</v>
      </c>
      <c r="G168" s="6">
        <v>66751.89</v>
      </c>
      <c r="H168" s="6">
        <v>66129.38</v>
      </c>
      <c r="I168" s="6">
        <v>677346.22</v>
      </c>
      <c r="R168">
        <v>109</v>
      </c>
      <c r="S168" s="6">
        <v>83210.77</v>
      </c>
      <c r="T168" s="6"/>
      <c r="U168" s="6"/>
      <c r="V168" s="6"/>
      <c r="W168" s="6"/>
      <c r="X168" s="6"/>
    </row>
    <row r="169" spans="2:24">
      <c r="B169" t="s">
        <v>394</v>
      </c>
      <c r="C169" s="6">
        <v>3646444.3499999996</v>
      </c>
      <c r="D169" s="6">
        <v>3078495.6500000004</v>
      </c>
      <c r="E169" s="6">
        <v>3343730.83</v>
      </c>
      <c r="F169" s="6">
        <v>3043654.04</v>
      </c>
      <c r="G169" s="6">
        <v>3365388.9</v>
      </c>
      <c r="H169" s="6">
        <v>3313858.0899999994</v>
      </c>
      <c r="I169" s="6">
        <v>19791571.859999999</v>
      </c>
      <c r="R169">
        <v>110</v>
      </c>
      <c r="S169" s="6">
        <v>44653.91</v>
      </c>
      <c r="T169" s="6"/>
      <c r="U169" s="6"/>
      <c r="V169" s="6"/>
      <c r="W169" s="6"/>
      <c r="X169" s="6"/>
    </row>
    <row r="170" spans="2:24">
      <c r="R170">
        <v>111</v>
      </c>
      <c r="S170" s="6">
        <v>122970.89000000001</v>
      </c>
      <c r="T170" s="6"/>
      <c r="U170" s="6"/>
      <c r="V170" s="6"/>
      <c r="W170" s="6"/>
      <c r="X170" s="6"/>
    </row>
    <row r="171" spans="2:24">
      <c r="R171">
        <v>112</v>
      </c>
      <c r="S171" s="6">
        <v>47915.38</v>
      </c>
      <c r="T171" s="6"/>
      <c r="U171" s="6"/>
      <c r="V171" s="6"/>
      <c r="W171" s="6"/>
      <c r="X171" s="6"/>
    </row>
    <row r="172" spans="2:24">
      <c r="R172">
        <v>113</v>
      </c>
      <c r="S172" s="6">
        <v>81759.010000000009</v>
      </c>
      <c r="T172" s="6"/>
      <c r="U172" s="6"/>
      <c r="V172" s="6"/>
      <c r="W172" s="6"/>
      <c r="X172" s="6"/>
    </row>
    <row r="173" spans="2:24">
      <c r="R173">
        <v>114</v>
      </c>
      <c r="S173" s="6">
        <v>49647.590000000004</v>
      </c>
      <c r="T173" s="6"/>
      <c r="U173" s="6"/>
      <c r="V173" s="6"/>
      <c r="W173" s="6"/>
      <c r="X173" s="6"/>
    </row>
    <row r="174" spans="2:24">
      <c r="R174">
        <v>115</v>
      </c>
      <c r="S174" s="6">
        <v>55216.27</v>
      </c>
      <c r="T174" s="6"/>
      <c r="U174" s="6"/>
      <c r="V174" s="6"/>
      <c r="W174" s="6"/>
      <c r="X174" s="6"/>
    </row>
    <row r="175" spans="2:24">
      <c r="R175">
        <v>116</v>
      </c>
      <c r="S175" s="6">
        <v>59665.289999999994</v>
      </c>
      <c r="T175" s="6"/>
      <c r="U175" s="6"/>
      <c r="V175" s="6"/>
      <c r="W175" s="6"/>
      <c r="X175" s="6"/>
    </row>
    <row r="176" spans="2:24">
      <c r="R176">
        <v>117</v>
      </c>
      <c r="S176" s="6">
        <v>58798.2</v>
      </c>
      <c r="T176" s="6"/>
      <c r="U176" s="6"/>
      <c r="V176" s="6"/>
      <c r="W176" s="6"/>
      <c r="X176" s="6"/>
    </row>
    <row r="177" spans="18:24">
      <c r="R177">
        <v>118</v>
      </c>
      <c r="S177" s="6">
        <v>72318.69</v>
      </c>
      <c r="T177" s="6"/>
      <c r="U177" s="6"/>
      <c r="V177" s="6"/>
      <c r="W177" s="6"/>
      <c r="X177" s="6"/>
    </row>
    <row r="178" spans="18:24">
      <c r="R178">
        <v>119</v>
      </c>
      <c r="S178" s="6">
        <v>35738.78</v>
      </c>
      <c r="T178" s="6"/>
      <c r="U178" s="6"/>
      <c r="V178" s="6"/>
      <c r="W178" s="6"/>
      <c r="X178" s="6"/>
    </row>
    <row r="179" spans="18:24">
      <c r="R179">
        <v>120</v>
      </c>
      <c r="S179" s="6">
        <v>70405.320000000007</v>
      </c>
      <c r="T179" s="6"/>
      <c r="U179" s="6"/>
      <c r="V179" s="6"/>
      <c r="W179" s="6"/>
      <c r="X179" s="6"/>
    </row>
    <row r="180" spans="18:24">
      <c r="R180">
        <v>121</v>
      </c>
      <c r="S180" s="6">
        <v>78742.48000000001</v>
      </c>
      <c r="T180" s="6"/>
      <c r="U180" s="6"/>
      <c r="V180" s="6"/>
      <c r="W180" s="6"/>
      <c r="X180" s="6"/>
    </row>
    <row r="181" spans="18:24">
      <c r="R181">
        <v>122</v>
      </c>
      <c r="S181" s="6">
        <v>35865.730000000003</v>
      </c>
      <c r="T181" s="6"/>
      <c r="U181" s="6"/>
      <c r="V181" s="6"/>
      <c r="W181" s="6"/>
      <c r="X181" s="6"/>
    </row>
    <row r="182" spans="18:24">
      <c r="R182">
        <v>123</v>
      </c>
      <c r="S182" s="6">
        <v>57491.13</v>
      </c>
      <c r="T182" s="6"/>
      <c r="U182" s="6"/>
      <c r="V182" s="6"/>
      <c r="W182" s="6"/>
      <c r="X182" s="6"/>
    </row>
    <row r="183" spans="18:24">
      <c r="R183">
        <v>124</v>
      </c>
      <c r="S183" s="6">
        <v>72621.339999999982</v>
      </c>
      <c r="T183" s="6"/>
      <c r="U183" s="6"/>
      <c r="V183" s="6"/>
      <c r="W183" s="6"/>
      <c r="X183" s="6"/>
    </row>
    <row r="184" spans="18:24">
      <c r="R184">
        <v>125</v>
      </c>
      <c r="S184" s="6">
        <v>71372.05</v>
      </c>
      <c r="T184" s="6"/>
      <c r="U184" s="6"/>
      <c r="V184" s="6"/>
      <c r="W184" s="6"/>
      <c r="X184" s="6"/>
    </row>
    <row r="185" spans="18:24">
      <c r="R185">
        <v>126</v>
      </c>
      <c r="S185" s="6">
        <v>52871.549999999996</v>
      </c>
      <c r="T185" s="6"/>
      <c r="U185" s="6"/>
      <c r="V185" s="6"/>
      <c r="W185" s="6"/>
      <c r="X185" s="6"/>
    </row>
    <row r="186" spans="18:24">
      <c r="R186">
        <v>127</v>
      </c>
      <c r="S186" s="6">
        <v>32334.159999999996</v>
      </c>
      <c r="T186" s="6"/>
      <c r="U186" s="6"/>
      <c r="V186" s="6"/>
      <c r="W186" s="6"/>
      <c r="X186" s="6"/>
    </row>
    <row r="187" spans="18:24">
      <c r="R187">
        <v>128</v>
      </c>
      <c r="S187" s="6">
        <v>63746.009999999995</v>
      </c>
      <c r="T187" s="6"/>
      <c r="U187" s="6"/>
      <c r="V187" s="6"/>
      <c r="W187" s="6"/>
      <c r="X187" s="6"/>
    </row>
    <row r="188" spans="18:24">
      <c r="R188">
        <v>129</v>
      </c>
      <c r="S188" s="6">
        <v>62083.22</v>
      </c>
      <c r="T188" s="6"/>
      <c r="U188" s="6"/>
      <c r="V188" s="6"/>
      <c r="W188" s="6"/>
      <c r="X188" s="6"/>
    </row>
    <row r="189" spans="18:24">
      <c r="R189">
        <v>130</v>
      </c>
      <c r="S189" s="6">
        <v>70610.59</v>
      </c>
      <c r="T189" s="6"/>
      <c r="U189" s="6"/>
      <c r="V189" s="6"/>
      <c r="W189" s="6"/>
      <c r="X189" s="6"/>
    </row>
    <row r="190" spans="18:24">
      <c r="R190">
        <v>131</v>
      </c>
      <c r="S190" s="6">
        <v>49737.33</v>
      </c>
      <c r="T190" s="6"/>
      <c r="U190" s="6"/>
      <c r="V190" s="6"/>
      <c r="W190" s="6"/>
      <c r="X190" s="6"/>
    </row>
    <row r="191" spans="18:24">
      <c r="R191">
        <v>132</v>
      </c>
      <c r="S191" s="6">
        <v>79409.649999999994</v>
      </c>
      <c r="T191" s="6"/>
      <c r="U191" s="6"/>
      <c r="V191" s="6"/>
      <c r="W191" s="6"/>
      <c r="X191" s="6"/>
    </row>
    <row r="192" spans="18:24">
      <c r="R192">
        <v>133</v>
      </c>
      <c r="S192" s="6">
        <v>74346.16</v>
      </c>
      <c r="T192" s="6"/>
      <c r="U192" s="6"/>
      <c r="V192" s="6"/>
      <c r="W192" s="6"/>
      <c r="X192" s="6"/>
    </row>
    <row r="193" spans="18:24">
      <c r="R193">
        <v>134</v>
      </c>
      <c r="S193" s="6">
        <v>96813.39999999998</v>
      </c>
      <c r="T193" s="6"/>
      <c r="U193" s="6"/>
      <c r="V193" s="6"/>
      <c r="W193" s="6"/>
      <c r="X193" s="6"/>
    </row>
    <row r="194" spans="18:24">
      <c r="R194">
        <v>135</v>
      </c>
      <c r="S194" s="6">
        <v>64071.28</v>
      </c>
      <c r="T194" s="6"/>
      <c r="U194" s="6"/>
      <c r="V194" s="6"/>
      <c r="W194" s="6"/>
      <c r="X194" s="6"/>
    </row>
    <row r="195" spans="18:24">
      <c r="R195">
        <v>136</v>
      </c>
      <c r="S195" s="6">
        <v>78735.22</v>
      </c>
      <c r="T195" s="6"/>
      <c r="U195" s="6"/>
      <c r="V195" s="6"/>
      <c r="W195" s="6"/>
      <c r="X195" s="6"/>
    </row>
    <row r="196" spans="18:24">
      <c r="R196">
        <v>137</v>
      </c>
      <c r="S196" s="6">
        <v>66212.790000000008</v>
      </c>
      <c r="T196" s="6"/>
      <c r="U196" s="6"/>
      <c r="V196" s="6"/>
      <c r="W196" s="6"/>
      <c r="X196" s="6"/>
    </row>
    <row r="197" spans="18:24">
      <c r="R197">
        <v>138</v>
      </c>
      <c r="S197" s="6">
        <v>88103.56</v>
      </c>
      <c r="T197" s="6"/>
      <c r="U197" s="6"/>
      <c r="V197" s="6"/>
      <c r="W197" s="6"/>
      <c r="X197" s="6"/>
    </row>
    <row r="198" spans="18:24">
      <c r="R198">
        <v>139</v>
      </c>
      <c r="S198" s="6">
        <v>76336.86</v>
      </c>
      <c r="T198" s="6"/>
      <c r="U198" s="6"/>
      <c r="V198" s="6"/>
      <c r="W198" s="6"/>
      <c r="X198" s="6"/>
    </row>
    <row r="199" spans="18:24">
      <c r="R199">
        <v>140</v>
      </c>
      <c r="S199" s="6">
        <v>72598.329999999987</v>
      </c>
      <c r="T199" s="6"/>
      <c r="U199" s="6"/>
      <c r="V199" s="6"/>
      <c r="W199" s="6"/>
      <c r="X199" s="6"/>
    </row>
    <row r="200" spans="18:24">
      <c r="R200">
        <v>141</v>
      </c>
      <c r="S200" s="6">
        <v>77286.100000000006</v>
      </c>
      <c r="T200" s="6"/>
      <c r="U200" s="6"/>
      <c r="V200" s="6"/>
      <c r="W200" s="6"/>
      <c r="X200" s="6"/>
    </row>
    <row r="201" spans="18:24">
      <c r="R201">
        <v>142</v>
      </c>
      <c r="S201" s="6">
        <v>102137.98999999999</v>
      </c>
      <c r="T201" s="6"/>
      <c r="U201" s="6"/>
      <c r="V201" s="6"/>
      <c r="W201" s="6"/>
      <c r="X201" s="6"/>
    </row>
    <row r="202" spans="18:24">
      <c r="R202">
        <v>143</v>
      </c>
      <c r="S202" s="6">
        <v>93629.25</v>
      </c>
      <c r="T202" s="6"/>
      <c r="U202" s="6"/>
      <c r="V202" s="6"/>
      <c r="W202" s="6"/>
      <c r="X202" s="6"/>
    </row>
    <row r="203" spans="18:24">
      <c r="R203">
        <v>144</v>
      </c>
      <c r="S203" s="6">
        <v>90572.3</v>
      </c>
      <c r="T203" s="6"/>
      <c r="U203" s="6"/>
      <c r="V203" s="6"/>
      <c r="W203" s="6"/>
      <c r="X203" s="6"/>
    </row>
    <row r="204" spans="18:24">
      <c r="R204">
        <v>145</v>
      </c>
      <c r="S204" s="6">
        <v>79860.41</v>
      </c>
      <c r="T204" s="6"/>
      <c r="U204" s="6"/>
      <c r="V204" s="6"/>
      <c r="W204" s="6"/>
      <c r="X204" s="6"/>
    </row>
    <row r="205" spans="18:24">
      <c r="R205">
        <v>146</v>
      </c>
      <c r="S205" s="6">
        <v>43527.830000000009</v>
      </c>
      <c r="T205" s="6"/>
      <c r="U205" s="6"/>
      <c r="V205" s="6"/>
      <c r="W205" s="6"/>
      <c r="X205" s="6"/>
    </row>
    <row r="206" spans="18:24">
      <c r="R206">
        <v>147</v>
      </c>
      <c r="S206" s="6">
        <v>61604.790000000008</v>
      </c>
      <c r="T206" s="6"/>
      <c r="U206" s="6"/>
      <c r="V206" s="6"/>
      <c r="W206" s="6"/>
      <c r="X206" s="6"/>
    </row>
    <row r="207" spans="18:24">
      <c r="R207">
        <v>148</v>
      </c>
      <c r="S207" s="6">
        <v>56805.819999999992</v>
      </c>
      <c r="T207" s="6"/>
      <c r="U207" s="6"/>
      <c r="V207" s="6"/>
      <c r="W207" s="6"/>
      <c r="X207" s="6"/>
    </row>
    <row r="208" spans="18:24">
      <c r="R208">
        <v>149</v>
      </c>
      <c r="S208" s="6">
        <v>39808.159999999996</v>
      </c>
      <c r="T208" s="6"/>
      <c r="U208" s="6"/>
      <c r="V208" s="6"/>
      <c r="W208" s="6"/>
      <c r="X208" s="6"/>
    </row>
    <row r="209" spans="18:24">
      <c r="R209">
        <v>150</v>
      </c>
      <c r="S209" s="6">
        <v>79513.17</v>
      </c>
      <c r="T209" s="6"/>
      <c r="U209" s="6"/>
      <c r="V209" s="6"/>
      <c r="W209" s="6"/>
      <c r="X209" s="6"/>
    </row>
    <row r="210" spans="18:24">
      <c r="R210">
        <v>151</v>
      </c>
      <c r="S210" s="6">
        <v>88266.87999999999</v>
      </c>
      <c r="T210" s="6"/>
      <c r="U210" s="6"/>
      <c r="V210" s="6"/>
      <c r="W210" s="6"/>
      <c r="X210" s="6"/>
    </row>
    <row r="211" spans="18:24">
      <c r="R211">
        <v>152</v>
      </c>
      <c r="S211" s="6">
        <v>41095.679999999993</v>
      </c>
      <c r="T211" s="6"/>
      <c r="U211" s="6"/>
      <c r="V211" s="6"/>
      <c r="W211" s="6"/>
      <c r="X211" s="6"/>
    </row>
    <row r="212" spans="18:24">
      <c r="R212">
        <v>153</v>
      </c>
      <c r="S212" s="6">
        <v>40342.47</v>
      </c>
      <c r="T212" s="6"/>
      <c r="U212" s="6"/>
      <c r="V212" s="6"/>
      <c r="W212" s="6"/>
      <c r="X212" s="6"/>
    </row>
    <row r="213" spans="18:24">
      <c r="R213">
        <v>154</v>
      </c>
      <c r="S213" s="6">
        <v>84244.37000000001</v>
      </c>
      <c r="T213" s="6"/>
      <c r="U213" s="6"/>
      <c r="V213" s="6"/>
      <c r="W213" s="6"/>
      <c r="X213" s="6"/>
    </row>
    <row r="214" spans="18:24">
      <c r="R214">
        <v>155</v>
      </c>
      <c r="S214" s="6">
        <v>71628.260000000009</v>
      </c>
      <c r="T214" s="6"/>
      <c r="U214" s="6"/>
      <c r="V214" s="6"/>
      <c r="W214" s="6"/>
      <c r="X214" s="6"/>
    </row>
    <row r="215" spans="18:24">
      <c r="R215">
        <v>156</v>
      </c>
      <c r="S215" s="6">
        <v>44489.46</v>
      </c>
      <c r="T215" s="6"/>
      <c r="U215" s="6"/>
      <c r="V215" s="6"/>
      <c r="W215" s="6"/>
      <c r="X215" s="6"/>
    </row>
    <row r="216" spans="18:24">
      <c r="R216">
        <v>157</v>
      </c>
      <c r="S216" s="6">
        <v>82927.14</v>
      </c>
      <c r="T216" s="6"/>
      <c r="U216" s="6"/>
      <c r="V216" s="6"/>
      <c r="W216" s="6"/>
      <c r="X216" s="6"/>
    </row>
    <row r="217" spans="18:24">
      <c r="R217">
        <v>158</v>
      </c>
      <c r="S217" s="6">
        <v>66060.72</v>
      </c>
      <c r="T217" s="6"/>
      <c r="U217" s="6"/>
      <c r="V217" s="6"/>
      <c r="W217" s="6"/>
      <c r="X217" s="6"/>
    </row>
    <row r="218" spans="18:24">
      <c r="R218">
        <v>159</v>
      </c>
      <c r="S218" s="6">
        <v>72226.13</v>
      </c>
      <c r="T218" s="6"/>
      <c r="U218" s="6"/>
      <c r="V218" s="6"/>
      <c r="W218" s="6"/>
      <c r="X218" s="6"/>
    </row>
    <row r="219" spans="18:24">
      <c r="R219">
        <v>160</v>
      </c>
      <c r="S219" s="6">
        <v>41565.82</v>
      </c>
      <c r="T219" s="6"/>
      <c r="U219" s="6"/>
      <c r="V219" s="6"/>
      <c r="W219" s="6"/>
      <c r="X219" s="6"/>
    </row>
    <row r="220" spans="18:24">
      <c r="R220">
        <v>161</v>
      </c>
      <c r="S220" s="6">
        <v>25994.340000000004</v>
      </c>
      <c r="T220" s="6"/>
      <c r="U220" s="6"/>
      <c r="V220" s="6"/>
      <c r="W220" s="6"/>
      <c r="X220" s="6"/>
    </row>
    <row r="221" spans="18:24">
      <c r="R221">
        <v>162</v>
      </c>
      <c r="S221" s="6">
        <v>63975.74</v>
      </c>
      <c r="T221" s="6"/>
      <c r="U221" s="6"/>
      <c r="V221" s="6"/>
      <c r="W221" s="6"/>
      <c r="X221" s="6"/>
    </row>
    <row r="222" spans="18:24">
      <c r="R222">
        <v>163</v>
      </c>
      <c r="S222" s="6">
        <v>58667.219999999994</v>
      </c>
      <c r="T222" s="6"/>
      <c r="U222" s="6"/>
      <c r="V222" s="6"/>
      <c r="W222" s="6"/>
      <c r="X222" s="6"/>
    </row>
    <row r="223" spans="18:24">
      <c r="R223">
        <v>164</v>
      </c>
      <c r="S223" s="6">
        <v>27308.769999999997</v>
      </c>
      <c r="T223" s="6"/>
      <c r="U223" s="6"/>
      <c r="V223" s="6"/>
      <c r="W223" s="6"/>
      <c r="X223" s="6"/>
    </row>
    <row r="224" spans="18:24">
      <c r="R224">
        <v>165</v>
      </c>
      <c r="S224" s="6">
        <v>46730.820000000007</v>
      </c>
      <c r="T224" s="6"/>
      <c r="U224" s="6"/>
      <c r="V224" s="6"/>
      <c r="W224" s="6"/>
      <c r="X224" s="6"/>
    </row>
    <row r="225" spans="18:24">
      <c r="R225">
        <v>166</v>
      </c>
      <c r="S225" s="6">
        <v>45515.18</v>
      </c>
      <c r="T225" s="6"/>
      <c r="U225" s="6"/>
      <c r="V225" s="6"/>
      <c r="W225" s="6"/>
      <c r="X225" s="6"/>
    </row>
    <row r="226" spans="18:24">
      <c r="R226">
        <v>167</v>
      </c>
      <c r="S226" s="6">
        <v>60916.689999999995</v>
      </c>
      <c r="T226" s="6"/>
      <c r="U226" s="6"/>
      <c r="V226" s="6"/>
      <c r="W226" s="6"/>
      <c r="X226" s="6"/>
    </row>
    <row r="227" spans="18:24">
      <c r="R227">
        <v>168</v>
      </c>
      <c r="S227" s="6">
        <v>70514.62999999999</v>
      </c>
      <c r="T227" s="6"/>
      <c r="U227" s="6"/>
      <c r="V227" s="6"/>
      <c r="W227" s="6"/>
      <c r="X227" s="6"/>
    </row>
    <row r="228" spans="18:24">
      <c r="R228">
        <v>169</v>
      </c>
      <c r="S228" s="6">
        <v>48739.73</v>
      </c>
      <c r="T228" s="6"/>
      <c r="U228" s="6"/>
      <c r="V228" s="6"/>
      <c r="W228" s="6"/>
      <c r="X228" s="6"/>
    </row>
    <row r="229" spans="18:24">
      <c r="R229">
        <v>170</v>
      </c>
      <c r="S229" s="6">
        <v>58713.600000000006</v>
      </c>
      <c r="T229" s="6"/>
      <c r="U229" s="6"/>
      <c r="V229" s="6"/>
      <c r="W229" s="6"/>
      <c r="X229" s="6"/>
    </row>
    <row r="230" spans="18:24">
      <c r="R230">
        <v>171</v>
      </c>
      <c r="S230" s="6">
        <v>66515.489999999991</v>
      </c>
      <c r="T230" s="6"/>
      <c r="U230" s="6"/>
      <c r="V230" s="6"/>
      <c r="W230" s="6"/>
      <c r="X230" s="6"/>
    </row>
    <row r="231" spans="18:24">
      <c r="R231">
        <v>172</v>
      </c>
      <c r="S231" s="6">
        <v>66118.649999999994</v>
      </c>
      <c r="T231" s="6"/>
      <c r="U231" s="6"/>
      <c r="V231" s="6"/>
      <c r="W231" s="6"/>
      <c r="X231" s="6"/>
    </row>
    <row r="232" spans="18:24">
      <c r="R232">
        <v>173</v>
      </c>
      <c r="S232" s="6">
        <v>60041.439999999995</v>
      </c>
      <c r="T232" s="6"/>
      <c r="U232" s="6"/>
      <c r="V232" s="6"/>
      <c r="W232" s="6"/>
      <c r="X232" s="6"/>
    </row>
    <row r="233" spans="18:24">
      <c r="R233">
        <v>174</v>
      </c>
      <c r="S233" s="6">
        <v>56147.25</v>
      </c>
      <c r="T233" s="6"/>
      <c r="U233" s="6"/>
      <c r="V233" s="6"/>
      <c r="W233" s="6"/>
      <c r="X233" s="6"/>
    </row>
    <row r="234" spans="18:24">
      <c r="R234">
        <v>175</v>
      </c>
      <c r="S234" s="6">
        <v>92913.62</v>
      </c>
      <c r="T234" s="6"/>
      <c r="U234" s="6"/>
      <c r="V234" s="6"/>
      <c r="W234" s="6"/>
      <c r="X234" s="6"/>
    </row>
    <row r="235" spans="18:24">
      <c r="R235">
        <v>176</v>
      </c>
      <c r="S235" s="6">
        <v>52930.630000000005</v>
      </c>
      <c r="T235" s="6"/>
      <c r="U235" s="6"/>
      <c r="V235" s="6"/>
      <c r="W235" s="6"/>
      <c r="X235" s="6"/>
    </row>
    <row r="236" spans="18:24">
      <c r="R236">
        <v>177</v>
      </c>
      <c r="S236" s="6">
        <v>48606.259999999995</v>
      </c>
      <c r="T236" s="6"/>
      <c r="U236" s="6"/>
      <c r="V236" s="6"/>
      <c r="W236" s="6"/>
      <c r="X236" s="6"/>
    </row>
    <row r="237" spans="18:24">
      <c r="R237">
        <v>178</v>
      </c>
      <c r="S237" s="6">
        <v>80034.520000000019</v>
      </c>
      <c r="T237" s="6"/>
      <c r="U237" s="6"/>
      <c r="V237" s="6"/>
      <c r="W237" s="6"/>
      <c r="X237" s="6"/>
    </row>
    <row r="238" spans="18:24">
      <c r="R238">
        <v>179</v>
      </c>
      <c r="S238" s="6">
        <v>127599.96</v>
      </c>
      <c r="T238" s="6"/>
      <c r="U238" s="6"/>
      <c r="V238" s="6"/>
      <c r="W238" s="6"/>
      <c r="X238" s="6"/>
    </row>
    <row r="239" spans="18:24">
      <c r="R239">
        <v>180</v>
      </c>
      <c r="S239" s="6">
        <v>85356.75</v>
      </c>
      <c r="T239" s="6"/>
      <c r="U239" s="6"/>
      <c r="V239" s="6"/>
      <c r="W239" s="6"/>
      <c r="X239" s="6"/>
    </row>
    <row r="240" spans="18:24">
      <c r="R240">
        <v>181</v>
      </c>
      <c r="S240" s="6">
        <v>24782.710000000003</v>
      </c>
      <c r="T240" s="6"/>
      <c r="U240" s="6"/>
      <c r="V240" s="6"/>
      <c r="W240" s="6"/>
      <c r="X240" s="6"/>
    </row>
    <row r="241" spans="18:24">
      <c r="R241">
        <v>182</v>
      </c>
      <c r="S241" s="6">
        <v>96046.590000000026</v>
      </c>
      <c r="T241" s="6"/>
      <c r="U241" s="6"/>
      <c r="V241" s="6"/>
      <c r="W241" s="6"/>
      <c r="X241" s="6"/>
    </row>
    <row r="242" spans="18:24">
      <c r="R242">
        <v>183</v>
      </c>
      <c r="S242" s="6">
        <v>48924.59</v>
      </c>
      <c r="T242" s="6"/>
      <c r="U242" s="6"/>
      <c r="V242" s="6"/>
      <c r="W242" s="6"/>
      <c r="X242" s="6"/>
    </row>
    <row r="243" spans="18:24">
      <c r="R243">
        <v>184</v>
      </c>
      <c r="S243" s="6">
        <v>74412.06</v>
      </c>
      <c r="T243" s="6"/>
      <c r="U243" s="6"/>
      <c r="V243" s="6"/>
      <c r="W243" s="6"/>
      <c r="X243" s="6"/>
    </row>
    <row r="244" spans="18:24">
      <c r="R244">
        <v>185</v>
      </c>
      <c r="S244" s="6">
        <v>36819.26</v>
      </c>
      <c r="T244" s="6"/>
      <c r="U244" s="6"/>
      <c r="V244" s="6"/>
      <c r="W244" s="6"/>
      <c r="X244" s="6"/>
    </row>
    <row r="245" spans="18:24">
      <c r="R245">
        <v>186</v>
      </c>
      <c r="S245" s="6">
        <v>16036.21</v>
      </c>
      <c r="T245" s="6"/>
      <c r="U245" s="6"/>
      <c r="V245" s="6"/>
      <c r="W245" s="6"/>
      <c r="X245" s="6"/>
    </row>
    <row r="246" spans="18:24">
      <c r="R246">
        <v>187</v>
      </c>
      <c r="S246" s="6">
        <v>53936.65</v>
      </c>
      <c r="T246" s="6"/>
      <c r="U246" s="6"/>
      <c r="V246" s="6"/>
      <c r="W246" s="6"/>
      <c r="X246" s="6"/>
    </row>
    <row r="247" spans="18:24">
      <c r="R247">
        <v>188</v>
      </c>
      <c r="S247" s="6">
        <v>62385.479999999996</v>
      </c>
      <c r="T247" s="6"/>
      <c r="U247" s="6"/>
      <c r="V247" s="6"/>
      <c r="W247" s="6"/>
      <c r="X247" s="6"/>
    </row>
    <row r="248" spans="18:24">
      <c r="R248">
        <v>189</v>
      </c>
      <c r="S248" s="6">
        <v>46623.830000000009</v>
      </c>
      <c r="T248" s="6"/>
      <c r="U248" s="6"/>
      <c r="V248" s="6"/>
      <c r="W248" s="6"/>
      <c r="X248" s="6"/>
    </row>
    <row r="249" spans="18:24">
      <c r="R249">
        <v>190</v>
      </c>
      <c r="S249" s="6">
        <v>9768.7799999999988</v>
      </c>
      <c r="T249" s="6"/>
      <c r="U249" s="6"/>
      <c r="V249" s="6"/>
      <c r="W249" s="6"/>
      <c r="X249" s="6"/>
    </row>
    <row r="250" spans="18:24">
      <c r="R250">
        <v>191</v>
      </c>
      <c r="S250" s="6">
        <v>17377.16</v>
      </c>
      <c r="T250" s="6"/>
      <c r="U250" s="6"/>
      <c r="V250" s="6"/>
      <c r="W250" s="6"/>
      <c r="X250" s="6"/>
    </row>
    <row r="251" spans="18:24">
      <c r="R251">
        <v>192</v>
      </c>
      <c r="S251" s="6">
        <v>63111.17</v>
      </c>
      <c r="T251" s="6"/>
      <c r="U251" s="6"/>
      <c r="V251" s="6"/>
      <c r="W251" s="6"/>
      <c r="X251" s="6"/>
    </row>
    <row r="252" spans="18:24">
      <c r="R252">
        <v>193</v>
      </c>
      <c r="S252" s="6">
        <v>43239.14</v>
      </c>
      <c r="T252" s="6"/>
      <c r="U252" s="6"/>
      <c r="V252" s="6"/>
      <c r="W252" s="6"/>
      <c r="X252" s="6"/>
    </row>
    <row r="253" spans="18:24">
      <c r="R253">
        <v>194</v>
      </c>
      <c r="S253" s="6">
        <v>51209.360000000008</v>
      </c>
      <c r="T253" s="6"/>
      <c r="U253" s="6"/>
      <c r="V253" s="6"/>
      <c r="W253" s="6"/>
      <c r="X253" s="6"/>
    </row>
    <row r="254" spans="18:24">
      <c r="R254">
        <v>195</v>
      </c>
      <c r="S254" s="6">
        <v>15747.54</v>
      </c>
      <c r="T254" s="6"/>
      <c r="U254" s="6"/>
      <c r="V254" s="6"/>
      <c r="W254" s="6"/>
      <c r="X254" s="6"/>
    </row>
    <row r="255" spans="18:24">
      <c r="R255">
        <v>196</v>
      </c>
      <c r="S255" s="6">
        <v>51967.840000000011</v>
      </c>
      <c r="T255" s="6"/>
      <c r="U255" s="6"/>
      <c r="V255" s="6"/>
      <c r="W255" s="6"/>
      <c r="X255" s="6"/>
    </row>
    <row r="256" spans="18:24">
      <c r="R256">
        <v>197</v>
      </c>
      <c r="S256" s="6">
        <v>21323.3</v>
      </c>
      <c r="T256" s="6"/>
      <c r="U256" s="6"/>
      <c r="V256" s="6"/>
      <c r="W256" s="6"/>
      <c r="X256" s="6"/>
    </row>
    <row r="257" spans="18:24">
      <c r="R257">
        <v>198</v>
      </c>
      <c r="S257" s="6">
        <v>56237.950000000004</v>
      </c>
      <c r="T257" s="6"/>
      <c r="U257" s="6"/>
      <c r="V257" s="6"/>
      <c r="W257" s="6"/>
      <c r="X257" s="6"/>
    </row>
    <row r="258" spans="18:24">
      <c r="R258">
        <v>199</v>
      </c>
      <c r="S258" s="6">
        <v>32286.910000000003</v>
      </c>
      <c r="T258" s="6"/>
      <c r="U258" s="6"/>
      <c r="V258" s="6"/>
      <c r="W258" s="6"/>
      <c r="X258" s="6"/>
    </row>
    <row r="259" spans="18:24">
      <c r="R259">
        <v>200</v>
      </c>
      <c r="S259" s="6">
        <v>57212.21</v>
      </c>
      <c r="T259" s="6"/>
      <c r="U259" s="6"/>
      <c r="V259" s="6"/>
      <c r="W259" s="6"/>
      <c r="X259" s="6"/>
    </row>
    <row r="260" spans="18:24">
      <c r="R260">
        <v>201</v>
      </c>
      <c r="S260" s="6">
        <v>83229.67</v>
      </c>
      <c r="T260" s="6"/>
      <c r="U260" s="6"/>
      <c r="V260" s="6"/>
      <c r="W260" s="6"/>
      <c r="X260" s="6"/>
    </row>
    <row r="261" spans="18:24">
      <c r="R261">
        <v>202</v>
      </c>
      <c r="S261" s="6">
        <v>11896.11</v>
      </c>
      <c r="T261" s="6"/>
      <c r="U261" s="6"/>
      <c r="V261" s="6"/>
      <c r="W261" s="6"/>
      <c r="X261" s="6"/>
    </row>
    <row r="262" spans="18:24">
      <c r="R262">
        <v>203</v>
      </c>
      <c r="S262" s="6">
        <v>43233.61</v>
      </c>
      <c r="T262" s="6"/>
      <c r="U262" s="6"/>
      <c r="V262" s="6"/>
      <c r="W262" s="6"/>
      <c r="X262" s="6"/>
    </row>
    <row r="263" spans="18:24">
      <c r="R263">
        <v>204</v>
      </c>
      <c r="S263" s="6">
        <v>70252.789999999994</v>
      </c>
      <c r="T263" s="6"/>
      <c r="U263" s="6"/>
      <c r="V263" s="6"/>
      <c r="W263" s="6"/>
      <c r="X263" s="6"/>
    </row>
    <row r="264" spans="18:24">
      <c r="R264">
        <v>205</v>
      </c>
      <c r="S264" s="6">
        <v>20214.07</v>
      </c>
      <c r="T264" s="6"/>
      <c r="U264" s="6"/>
      <c r="V264" s="6"/>
      <c r="W264" s="6"/>
      <c r="X264" s="6"/>
    </row>
    <row r="265" spans="18:24">
      <c r="R265">
        <v>206</v>
      </c>
      <c r="S265" s="6">
        <v>29501.879999999997</v>
      </c>
      <c r="T265" s="6"/>
      <c r="U265" s="6"/>
      <c r="V265" s="6"/>
      <c r="W265" s="6"/>
      <c r="X265" s="6"/>
    </row>
    <row r="266" spans="18:24">
      <c r="R266">
        <v>207</v>
      </c>
      <c r="S266" s="6">
        <v>25991.87</v>
      </c>
      <c r="T266" s="6"/>
      <c r="U266" s="6"/>
      <c r="V266" s="6"/>
      <c r="W266" s="6"/>
      <c r="X266" s="6"/>
    </row>
    <row r="267" spans="18:24">
      <c r="R267">
        <v>208</v>
      </c>
      <c r="S267" s="6">
        <v>47319.91</v>
      </c>
      <c r="T267" s="6"/>
      <c r="U267" s="6"/>
      <c r="V267" s="6"/>
      <c r="W267" s="6"/>
      <c r="X267" s="6"/>
    </row>
    <row r="268" spans="18:24">
      <c r="R268">
        <v>209</v>
      </c>
      <c r="S268" s="6">
        <v>35005.72</v>
      </c>
      <c r="T268" s="6"/>
      <c r="U268" s="6"/>
      <c r="V268" s="6"/>
      <c r="W268" s="6"/>
      <c r="X268" s="6"/>
    </row>
    <row r="269" spans="18:24">
      <c r="R269">
        <v>210</v>
      </c>
      <c r="S269" s="6">
        <v>63529.79</v>
      </c>
      <c r="T269" s="6"/>
      <c r="U269" s="6"/>
      <c r="V269" s="6"/>
      <c r="W269" s="6"/>
      <c r="X269" s="6"/>
    </row>
    <row r="270" spans="18:24">
      <c r="R270">
        <v>211</v>
      </c>
      <c r="S270" s="6">
        <v>48256.35</v>
      </c>
      <c r="T270" s="6"/>
      <c r="U270" s="6"/>
      <c r="V270" s="6"/>
      <c r="W270" s="6"/>
      <c r="X270" s="6"/>
    </row>
    <row r="271" spans="18:24">
      <c r="R271">
        <v>212</v>
      </c>
      <c r="S271" s="6">
        <v>51697.4</v>
      </c>
      <c r="T271" s="6"/>
      <c r="U271" s="6"/>
      <c r="V271" s="6"/>
      <c r="W271" s="6"/>
      <c r="X271" s="6"/>
    </row>
    <row r="272" spans="18:24">
      <c r="R272">
        <v>213</v>
      </c>
      <c r="S272" s="6">
        <v>38263.65</v>
      </c>
      <c r="T272" s="6"/>
      <c r="U272" s="6"/>
      <c r="V272" s="6"/>
      <c r="W272" s="6"/>
      <c r="X272" s="6"/>
    </row>
    <row r="273" spans="18:24">
      <c r="R273">
        <v>214</v>
      </c>
      <c r="S273" s="6">
        <v>21561.040000000001</v>
      </c>
      <c r="T273" s="6"/>
      <c r="U273" s="6"/>
      <c r="V273" s="6"/>
      <c r="W273" s="6"/>
      <c r="X273" s="6"/>
    </row>
    <row r="274" spans="18:24">
      <c r="R274">
        <v>215</v>
      </c>
      <c r="S274" s="6">
        <v>22897.68</v>
      </c>
      <c r="T274" s="6"/>
      <c r="U274" s="6"/>
      <c r="V274" s="6"/>
      <c r="W274" s="6"/>
      <c r="X274" s="6"/>
    </row>
    <row r="275" spans="18:24">
      <c r="R275">
        <v>216</v>
      </c>
      <c r="S275" s="6">
        <v>38645.379999999997</v>
      </c>
      <c r="T275" s="6"/>
      <c r="U275" s="6"/>
      <c r="V275" s="6"/>
      <c r="W275" s="6"/>
      <c r="X275" s="6"/>
    </row>
    <row r="276" spans="18:24">
      <c r="R276">
        <v>217</v>
      </c>
      <c r="S276" s="6">
        <v>49275.76</v>
      </c>
      <c r="T276" s="6"/>
      <c r="U276" s="6"/>
      <c r="V276" s="6"/>
      <c r="W276" s="6"/>
      <c r="X276" s="6"/>
    </row>
    <row r="277" spans="18:24">
      <c r="R277">
        <v>218</v>
      </c>
      <c r="S277" s="6">
        <v>33604.410000000003</v>
      </c>
      <c r="T277" s="6"/>
      <c r="U277" s="6"/>
      <c r="V277" s="6"/>
      <c r="W277" s="6"/>
      <c r="X277" s="6"/>
    </row>
    <row r="278" spans="18:24">
      <c r="R278">
        <v>219</v>
      </c>
      <c r="S278" s="6">
        <v>39981.71</v>
      </c>
      <c r="T278" s="6"/>
      <c r="U278" s="6"/>
      <c r="V278" s="6"/>
      <c r="W278" s="6"/>
      <c r="X278" s="6"/>
    </row>
    <row r="279" spans="18:24">
      <c r="R279">
        <v>220</v>
      </c>
      <c r="S279" s="6">
        <v>24460.710000000003</v>
      </c>
      <c r="T279" s="6"/>
      <c r="U279" s="6"/>
      <c r="V279" s="6"/>
      <c r="W279" s="6"/>
      <c r="X279" s="6"/>
    </row>
    <row r="280" spans="18:24">
      <c r="R280">
        <v>221</v>
      </c>
      <c r="S280" s="6">
        <v>21775.160000000003</v>
      </c>
      <c r="T280" s="6"/>
      <c r="U280" s="6"/>
      <c r="V280" s="6"/>
      <c r="W280" s="6"/>
      <c r="X280" s="6"/>
    </row>
    <row r="281" spans="18:24">
      <c r="R281">
        <v>222</v>
      </c>
      <c r="S281" s="6">
        <v>37480.99</v>
      </c>
      <c r="T281" s="6"/>
      <c r="U281" s="6"/>
      <c r="V281" s="6"/>
      <c r="W281" s="6"/>
      <c r="X281" s="6"/>
    </row>
    <row r="282" spans="18:24">
      <c r="R282">
        <v>223</v>
      </c>
      <c r="S282" s="6">
        <v>40535.07</v>
      </c>
      <c r="T282" s="6"/>
      <c r="U282" s="6"/>
      <c r="V282" s="6"/>
      <c r="W282" s="6"/>
      <c r="X282" s="6"/>
    </row>
    <row r="283" spans="18:24">
      <c r="R283">
        <v>224</v>
      </c>
      <c r="S283" s="6">
        <v>31632.27</v>
      </c>
      <c r="T283" s="6"/>
      <c r="U283" s="6"/>
      <c r="V283" s="6"/>
      <c r="W283" s="6"/>
      <c r="X283" s="6"/>
    </row>
    <row r="284" spans="18:24">
      <c r="R284">
        <v>225</v>
      </c>
      <c r="S284" s="6">
        <v>28470.06</v>
      </c>
      <c r="T284" s="6"/>
      <c r="U284" s="6"/>
      <c r="V284" s="6"/>
      <c r="W284" s="6"/>
      <c r="X284" s="6"/>
    </row>
    <row r="285" spans="18:24">
      <c r="R285">
        <v>226</v>
      </c>
      <c r="S285" s="6">
        <v>43244.03</v>
      </c>
      <c r="T285" s="6"/>
      <c r="U285" s="6"/>
      <c r="V285" s="6"/>
      <c r="W285" s="6"/>
      <c r="X285" s="6"/>
    </row>
    <row r="286" spans="18:24">
      <c r="R286">
        <v>227</v>
      </c>
      <c r="S286" s="6">
        <v>58174.400000000009</v>
      </c>
      <c r="T286" s="6"/>
      <c r="U286" s="6"/>
      <c r="V286" s="6"/>
      <c r="W286" s="6"/>
      <c r="X286" s="6"/>
    </row>
    <row r="287" spans="18:24">
      <c r="R287">
        <v>228</v>
      </c>
      <c r="S287" s="6">
        <v>12730.03</v>
      </c>
      <c r="T287" s="6"/>
      <c r="U287" s="6"/>
      <c r="V287" s="6"/>
      <c r="W287" s="6"/>
      <c r="X287" s="6"/>
    </row>
    <row r="288" spans="18:24">
      <c r="R288">
        <v>229</v>
      </c>
      <c r="S288" s="6">
        <v>29468.18</v>
      </c>
      <c r="T288" s="6"/>
      <c r="U288" s="6"/>
      <c r="V288" s="6"/>
      <c r="W288" s="6"/>
      <c r="X288" s="6"/>
    </row>
    <row r="289" spans="18:24">
      <c r="R289">
        <v>230</v>
      </c>
      <c r="S289" s="6">
        <v>28642.14</v>
      </c>
      <c r="T289" s="6"/>
      <c r="U289" s="6"/>
      <c r="V289" s="6"/>
      <c r="W289" s="6"/>
      <c r="X289" s="6"/>
    </row>
    <row r="290" spans="18:24">
      <c r="R290">
        <v>231</v>
      </c>
      <c r="S290" s="6">
        <v>32063.75</v>
      </c>
      <c r="T290" s="6"/>
      <c r="U290" s="6"/>
      <c r="V290" s="6"/>
      <c r="W290" s="6"/>
      <c r="X290" s="6"/>
    </row>
    <row r="291" spans="18:24">
      <c r="R291">
        <v>232</v>
      </c>
      <c r="S291" s="6">
        <v>63485.180000000008</v>
      </c>
      <c r="T291" s="6"/>
      <c r="U291" s="6"/>
      <c r="V291" s="6"/>
      <c r="W291" s="6"/>
      <c r="X291" s="6"/>
    </row>
    <row r="292" spans="18:24">
      <c r="R292">
        <v>233</v>
      </c>
      <c r="S292" s="6">
        <v>46735.11</v>
      </c>
      <c r="T292" s="6"/>
      <c r="U292" s="6"/>
      <c r="V292" s="6"/>
      <c r="W292" s="6"/>
      <c r="X292" s="6"/>
    </row>
    <row r="293" spans="18:24">
      <c r="R293">
        <v>234</v>
      </c>
      <c r="S293" s="6">
        <v>26519.010000000002</v>
      </c>
      <c r="T293" s="6"/>
      <c r="U293" s="6"/>
      <c r="V293" s="6"/>
      <c r="W293" s="6"/>
      <c r="X293" s="6"/>
    </row>
    <row r="294" spans="18:24">
      <c r="R294">
        <v>235</v>
      </c>
      <c r="S294" s="6">
        <v>42621.95</v>
      </c>
      <c r="T294" s="6"/>
      <c r="U294" s="6"/>
      <c r="V294" s="6"/>
      <c r="W294" s="6"/>
      <c r="X294" s="6"/>
    </row>
    <row r="295" spans="18:24">
      <c r="R295">
        <v>236</v>
      </c>
      <c r="S295" s="6">
        <v>29969.99</v>
      </c>
      <c r="T295" s="6"/>
      <c r="U295" s="6"/>
      <c r="V295" s="6"/>
      <c r="W295" s="6"/>
      <c r="X295" s="6"/>
    </row>
    <row r="296" spans="18:24">
      <c r="R296">
        <v>237</v>
      </c>
      <c r="S296" s="6">
        <v>26703.8</v>
      </c>
      <c r="T296" s="6"/>
      <c r="U296" s="6"/>
      <c r="V296" s="6"/>
      <c r="W296" s="6"/>
      <c r="X296" s="6"/>
    </row>
    <row r="297" spans="18:24">
      <c r="R297">
        <v>238</v>
      </c>
      <c r="S297" s="6">
        <v>52090.289999999994</v>
      </c>
      <c r="T297" s="6"/>
      <c r="U297" s="6"/>
      <c r="V297" s="6"/>
      <c r="W297" s="6"/>
      <c r="X297" s="6"/>
    </row>
    <row r="298" spans="18:24">
      <c r="R298">
        <v>239</v>
      </c>
      <c r="S298" s="6">
        <v>14936.829999999998</v>
      </c>
      <c r="T298" s="6"/>
      <c r="U298" s="6"/>
      <c r="V298" s="6"/>
      <c r="W298" s="6"/>
      <c r="X298" s="6"/>
    </row>
    <row r="299" spans="18:24">
      <c r="R299">
        <v>240</v>
      </c>
      <c r="S299" s="6">
        <v>13234.029999999999</v>
      </c>
      <c r="T299" s="6"/>
      <c r="U299" s="6"/>
      <c r="V299" s="6"/>
      <c r="W299" s="6"/>
      <c r="X299" s="6"/>
    </row>
    <row r="300" spans="18:24">
      <c r="R300">
        <v>241</v>
      </c>
      <c r="S300" s="6">
        <v>33567.15</v>
      </c>
      <c r="T300" s="6"/>
      <c r="U300" s="6"/>
      <c r="V300" s="6"/>
      <c r="W300" s="6"/>
      <c r="X300" s="6"/>
    </row>
    <row r="301" spans="18:24">
      <c r="R301">
        <v>242</v>
      </c>
      <c r="S301" s="6">
        <v>24848.06</v>
      </c>
      <c r="T301" s="6"/>
      <c r="U301" s="6"/>
      <c r="V301" s="6"/>
      <c r="W301" s="6"/>
      <c r="X301" s="6"/>
    </row>
    <row r="302" spans="18:24">
      <c r="R302">
        <v>243</v>
      </c>
      <c r="S302" s="6">
        <v>18907.66</v>
      </c>
      <c r="T302" s="6"/>
      <c r="U302" s="6"/>
      <c r="V302" s="6"/>
      <c r="W302" s="6"/>
      <c r="X302" s="6"/>
    </row>
    <row r="303" spans="18:24">
      <c r="R303">
        <v>244</v>
      </c>
      <c r="S303" s="6">
        <v>10025.869999999999</v>
      </c>
      <c r="T303" s="6"/>
      <c r="U303" s="6"/>
      <c r="V303" s="6"/>
      <c r="W303" s="6"/>
      <c r="X303" s="6"/>
    </row>
    <row r="304" spans="18:24">
      <c r="R304">
        <v>245</v>
      </c>
      <c r="S304" s="6">
        <v>21939.81</v>
      </c>
      <c r="T304" s="6"/>
      <c r="U304" s="6"/>
      <c r="V304" s="6"/>
      <c r="W304" s="6"/>
      <c r="X304" s="6"/>
    </row>
    <row r="305" spans="18:24">
      <c r="R305">
        <v>246</v>
      </c>
      <c r="S305" s="6">
        <v>4077.85</v>
      </c>
      <c r="T305" s="6"/>
      <c r="U305" s="6"/>
      <c r="V305" s="6"/>
      <c r="W305" s="6"/>
      <c r="X305" s="6"/>
    </row>
    <row r="306" spans="18:24">
      <c r="R306">
        <v>247</v>
      </c>
      <c r="S306" s="6">
        <v>31213.910000000003</v>
      </c>
      <c r="T306" s="6"/>
      <c r="U306" s="6"/>
      <c r="V306" s="6"/>
      <c r="W306" s="6"/>
      <c r="X306" s="6"/>
    </row>
    <row r="307" spans="18:24">
      <c r="R307">
        <v>248</v>
      </c>
      <c r="S307" s="6">
        <v>63716.98</v>
      </c>
      <c r="T307" s="6"/>
      <c r="U307" s="6"/>
      <c r="V307" s="6"/>
      <c r="W307" s="6"/>
      <c r="X307" s="6"/>
    </row>
    <row r="308" spans="18:24">
      <c r="R308">
        <v>249</v>
      </c>
      <c r="S308" s="6">
        <v>17061.43</v>
      </c>
      <c r="T308" s="6"/>
      <c r="U308" s="6"/>
      <c r="V308" s="6"/>
      <c r="W308" s="6"/>
      <c r="X308" s="6"/>
    </row>
    <row r="309" spans="18:24">
      <c r="R309">
        <v>250</v>
      </c>
      <c r="S309" s="6">
        <v>26237.570000000003</v>
      </c>
      <c r="T309" s="6"/>
      <c r="U309" s="6"/>
      <c r="V309" s="6"/>
      <c r="W309" s="6"/>
      <c r="X309" s="6"/>
    </row>
    <row r="310" spans="18:24">
      <c r="R310">
        <v>251</v>
      </c>
      <c r="S310" s="6">
        <v>53434.9</v>
      </c>
      <c r="T310" s="6"/>
      <c r="U310" s="6"/>
      <c r="V310" s="6"/>
      <c r="W310" s="6"/>
      <c r="X310" s="6"/>
    </row>
    <row r="311" spans="18:24">
      <c r="R311">
        <v>252</v>
      </c>
      <c r="S311" s="6">
        <v>45530.77</v>
      </c>
      <c r="T311" s="6"/>
      <c r="U311" s="6"/>
      <c r="V311" s="6"/>
      <c r="W311" s="6"/>
      <c r="X311" s="6"/>
    </row>
    <row r="312" spans="18:24">
      <c r="R312">
        <v>253</v>
      </c>
      <c r="S312" s="6">
        <v>28607.26</v>
      </c>
      <c r="T312" s="6"/>
      <c r="U312" s="6"/>
      <c r="V312" s="6"/>
      <c r="W312" s="6"/>
      <c r="X312" s="6"/>
    </row>
    <row r="313" spans="18:24">
      <c r="R313">
        <v>254</v>
      </c>
      <c r="S313" s="6">
        <v>28840.41</v>
      </c>
      <c r="T313" s="6"/>
      <c r="U313" s="6"/>
      <c r="V313" s="6"/>
      <c r="W313" s="6"/>
      <c r="X313" s="6"/>
    </row>
    <row r="314" spans="18:24">
      <c r="R314">
        <v>255</v>
      </c>
      <c r="S314" s="6">
        <v>20825.21</v>
      </c>
      <c r="T314" s="6"/>
      <c r="U314" s="6"/>
      <c r="V314" s="6"/>
      <c r="W314" s="6"/>
      <c r="X314" s="6"/>
    </row>
    <row r="315" spans="18:24">
      <c r="R315">
        <v>256</v>
      </c>
      <c r="S315" s="6">
        <v>36336.89</v>
      </c>
      <c r="T315" s="6"/>
      <c r="U315" s="6"/>
      <c r="V315" s="6"/>
      <c r="W315" s="6"/>
      <c r="X315" s="6"/>
    </row>
    <row r="316" spans="18:24">
      <c r="R316">
        <v>257</v>
      </c>
      <c r="S316" s="6">
        <v>14740.56</v>
      </c>
      <c r="T316" s="6"/>
      <c r="U316" s="6"/>
      <c r="V316" s="6"/>
      <c r="W316" s="6"/>
      <c r="X316" s="6"/>
    </row>
    <row r="317" spans="18:24">
      <c r="R317">
        <v>258</v>
      </c>
      <c r="S317" s="6">
        <v>23281.45</v>
      </c>
      <c r="T317" s="6"/>
      <c r="U317" s="6"/>
      <c r="V317" s="6"/>
      <c r="W317" s="6"/>
      <c r="X317" s="6"/>
    </row>
    <row r="318" spans="18:24">
      <c r="R318">
        <v>259</v>
      </c>
      <c r="S318" s="6">
        <v>39024.479999999996</v>
      </c>
      <c r="T318" s="6"/>
      <c r="U318" s="6"/>
      <c r="V318" s="6"/>
      <c r="W318" s="6"/>
      <c r="X318" s="6"/>
    </row>
    <row r="319" spans="18:24">
      <c r="R319">
        <v>260</v>
      </c>
      <c r="S319" s="6">
        <v>12313.25</v>
      </c>
      <c r="T319" s="6"/>
      <c r="U319" s="6"/>
      <c r="V319" s="6"/>
      <c r="W319" s="6"/>
      <c r="X319" s="6"/>
    </row>
    <row r="320" spans="18:24">
      <c r="R320">
        <v>261</v>
      </c>
      <c r="S320" s="6">
        <v>44927.679999999993</v>
      </c>
      <c r="T320" s="6"/>
      <c r="U320" s="6"/>
      <c r="V320" s="6"/>
      <c r="W320" s="6"/>
      <c r="X320" s="6"/>
    </row>
    <row r="321" spans="18:24">
      <c r="R321">
        <v>262</v>
      </c>
      <c r="S321" s="6">
        <v>19215.760000000002</v>
      </c>
      <c r="T321" s="6"/>
      <c r="U321" s="6"/>
      <c r="V321" s="6"/>
      <c r="W321" s="6"/>
      <c r="X321" s="6"/>
    </row>
    <row r="322" spans="18:24">
      <c r="R322">
        <v>263</v>
      </c>
      <c r="S322" s="6">
        <v>709.25</v>
      </c>
      <c r="T322" s="6"/>
      <c r="U322" s="6"/>
      <c r="V322" s="6"/>
      <c r="W322" s="6"/>
      <c r="X322" s="6"/>
    </row>
    <row r="323" spans="18:24">
      <c r="R323">
        <v>264</v>
      </c>
      <c r="S323" s="6">
        <v>41355.29</v>
      </c>
      <c r="T323" s="6"/>
      <c r="U323" s="6"/>
      <c r="V323" s="6"/>
      <c r="W323" s="6"/>
      <c r="X323" s="6"/>
    </row>
    <row r="324" spans="18:24">
      <c r="R324">
        <v>265</v>
      </c>
      <c r="S324" s="6">
        <v>14781.28</v>
      </c>
      <c r="T324" s="6"/>
      <c r="U324" s="6"/>
      <c r="V324" s="6"/>
      <c r="W324" s="6"/>
      <c r="X324" s="6"/>
    </row>
    <row r="325" spans="18:24">
      <c r="R325">
        <v>266</v>
      </c>
      <c r="S325" s="6">
        <v>12048.619999999999</v>
      </c>
      <c r="T325" s="6"/>
      <c r="U325" s="6"/>
      <c r="V325" s="6"/>
      <c r="W325" s="6"/>
      <c r="X325" s="6"/>
    </row>
    <row r="326" spans="18:24">
      <c r="R326">
        <v>267</v>
      </c>
      <c r="S326" s="6">
        <v>22323.77</v>
      </c>
      <c r="T326" s="6"/>
      <c r="U326" s="6"/>
      <c r="V326" s="6"/>
      <c r="W326" s="6"/>
      <c r="X326" s="6"/>
    </row>
    <row r="327" spans="18:24">
      <c r="R327">
        <v>268</v>
      </c>
      <c r="S327" s="6">
        <v>68699.569999999992</v>
      </c>
      <c r="T327" s="6"/>
      <c r="U327" s="6"/>
      <c r="V327" s="6"/>
      <c r="W327" s="6"/>
      <c r="X327" s="6"/>
    </row>
    <row r="328" spans="18:24">
      <c r="R328">
        <v>269</v>
      </c>
      <c r="S328" s="6">
        <v>37990.770000000004</v>
      </c>
      <c r="T328" s="6"/>
      <c r="U328" s="6"/>
      <c r="V328" s="6"/>
      <c r="W328" s="6"/>
      <c r="X328" s="6"/>
    </row>
    <row r="329" spans="18:24">
      <c r="R329">
        <v>270</v>
      </c>
      <c r="S329" s="6">
        <v>61193.939999999995</v>
      </c>
      <c r="T329" s="6"/>
      <c r="U329" s="6"/>
      <c r="V329" s="6"/>
      <c r="W329" s="6"/>
      <c r="X329" s="6"/>
    </row>
    <row r="330" spans="18:24">
      <c r="R330">
        <v>271</v>
      </c>
      <c r="S330" s="6">
        <v>36972.92</v>
      </c>
      <c r="T330" s="6"/>
      <c r="U330" s="6"/>
      <c r="V330" s="6"/>
      <c r="W330" s="6"/>
      <c r="X330" s="6"/>
    </row>
    <row r="331" spans="18:24">
      <c r="R331">
        <v>272</v>
      </c>
      <c r="S331" s="6">
        <v>24910.6</v>
      </c>
      <c r="T331" s="6"/>
      <c r="U331" s="6"/>
      <c r="V331" s="6"/>
      <c r="W331" s="6"/>
      <c r="X331" s="6"/>
    </row>
    <row r="332" spans="18:24">
      <c r="R332">
        <v>273</v>
      </c>
      <c r="S332" s="6">
        <v>25453.85</v>
      </c>
      <c r="T332" s="6"/>
      <c r="U332" s="6"/>
      <c r="V332" s="6"/>
      <c r="W332" s="6"/>
      <c r="X332" s="6"/>
    </row>
    <row r="333" spans="18:24">
      <c r="R333">
        <v>274</v>
      </c>
      <c r="S333" s="6">
        <v>19266.95</v>
      </c>
      <c r="T333" s="6"/>
      <c r="U333" s="6"/>
      <c r="V333" s="6"/>
      <c r="W333" s="6"/>
      <c r="X333" s="6"/>
    </row>
    <row r="334" spans="18:24">
      <c r="R334">
        <v>275</v>
      </c>
      <c r="S334" s="6">
        <v>42826</v>
      </c>
      <c r="T334" s="6"/>
      <c r="U334" s="6"/>
      <c r="V334" s="6"/>
      <c r="W334" s="6"/>
      <c r="X334" s="6"/>
    </row>
    <row r="335" spans="18:24">
      <c r="R335">
        <v>276</v>
      </c>
      <c r="S335" s="6">
        <v>27430.18</v>
      </c>
      <c r="T335" s="6"/>
      <c r="U335" s="6"/>
      <c r="V335" s="6"/>
      <c r="W335" s="6"/>
      <c r="X335" s="6"/>
    </row>
    <row r="336" spans="18:24">
      <c r="R336">
        <v>277</v>
      </c>
      <c r="S336" s="6">
        <v>48842.950000000004</v>
      </c>
      <c r="T336" s="6"/>
      <c r="U336" s="6"/>
      <c r="V336" s="6"/>
      <c r="W336" s="6"/>
      <c r="X336" s="6"/>
    </row>
    <row r="337" spans="18:24">
      <c r="R337">
        <v>278</v>
      </c>
      <c r="S337" s="6">
        <v>10643.91</v>
      </c>
      <c r="T337" s="6"/>
      <c r="U337" s="6"/>
      <c r="V337" s="6"/>
      <c r="W337" s="6"/>
      <c r="X337" s="6"/>
    </row>
    <row r="338" spans="18:24">
      <c r="R338">
        <v>279</v>
      </c>
      <c r="S338" s="6">
        <v>21239.040000000001</v>
      </c>
      <c r="T338" s="6"/>
      <c r="U338" s="6"/>
      <c r="V338" s="6"/>
      <c r="W338" s="6"/>
      <c r="X338" s="6"/>
    </row>
    <row r="339" spans="18:24">
      <c r="R339">
        <v>280</v>
      </c>
      <c r="S339" s="6">
        <v>17428.52</v>
      </c>
      <c r="T339" s="6"/>
      <c r="U339" s="6"/>
      <c r="V339" s="6"/>
      <c r="W339" s="6"/>
      <c r="X339" s="6"/>
    </row>
    <row r="340" spans="18:24">
      <c r="R340">
        <v>281</v>
      </c>
      <c r="S340" s="6">
        <v>33605.78</v>
      </c>
      <c r="T340" s="6"/>
      <c r="U340" s="6"/>
      <c r="V340" s="6"/>
      <c r="W340" s="6"/>
      <c r="X340" s="6"/>
    </row>
    <row r="341" spans="18:24">
      <c r="R341">
        <v>282</v>
      </c>
      <c r="S341" s="6">
        <v>51195.56</v>
      </c>
      <c r="T341" s="6"/>
      <c r="U341" s="6"/>
      <c r="V341" s="6"/>
      <c r="W341" s="6"/>
      <c r="X341" s="6"/>
    </row>
    <row r="342" spans="18:24">
      <c r="R342">
        <v>283</v>
      </c>
      <c r="S342" s="6">
        <v>5194.18</v>
      </c>
      <c r="T342" s="6"/>
      <c r="U342" s="6"/>
      <c r="V342" s="6"/>
      <c r="W342" s="6"/>
      <c r="X342" s="6"/>
    </row>
    <row r="343" spans="18:24">
      <c r="R343">
        <v>284</v>
      </c>
      <c r="S343" s="6">
        <v>51054.42</v>
      </c>
      <c r="T343" s="6"/>
      <c r="U343" s="6"/>
      <c r="V343" s="6"/>
      <c r="W343" s="6"/>
      <c r="X343" s="6"/>
    </row>
    <row r="344" spans="18:24">
      <c r="R344">
        <v>285</v>
      </c>
      <c r="S344" s="6">
        <v>37140.17</v>
      </c>
      <c r="T344" s="6"/>
      <c r="U344" s="6"/>
      <c r="V344" s="6"/>
      <c r="W344" s="6"/>
      <c r="X344" s="6"/>
    </row>
    <row r="345" spans="18:24">
      <c r="R345">
        <v>286</v>
      </c>
      <c r="S345" s="6">
        <v>25406.160000000003</v>
      </c>
      <c r="T345" s="6"/>
      <c r="U345" s="6"/>
      <c r="V345" s="6"/>
      <c r="W345" s="6"/>
      <c r="X345" s="6"/>
    </row>
    <row r="346" spans="18:24">
      <c r="R346">
        <v>287</v>
      </c>
      <c r="S346" s="6">
        <v>31161.57</v>
      </c>
      <c r="T346" s="6"/>
      <c r="U346" s="6"/>
      <c r="V346" s="6"/>
      <c r="W346" s="6"/>
      <c r="X346" s="6"/>
    </row>
    <row r="347" spans="18:24">
      <c r="R347">
        <v>288</v>
      </c>
      <c r="S347" s="6">
        <v>26884.269999999997</v>
      </c>
      <c r="T347" s="6"/>
      <c r="U347" s="6"/>
      <c r="V347" s="6"/>
      <c r="W347" s="6"/>
      <c r="X347" s="6"/>
    </row>
    <row r="348" spans="18:24">
      <c r="R348">
        <v>289</v>
      </c>
      <c r="S348" s="6">
        <v>22106.260000000002</v>
      </c>
      <c r="T348" s="6"/>
      <c r="U348" s="6"/>
      <c r="V348" s="6"/>
      <c r="W348" s="6"/>
      <c r="X348" s="6"/>
    </row>
    <row r="349" spans="18:24">
      <c r="R349">
        <v>290</v>
      </c>
      <c r="S349" s="6">
        <v>11896.07</v>
      </c>
      <c r="T349" s="6"/>
      <c r="U349" s="6"/>
      <c r="V349" s="6"/>
      <c r="W349" s="6"/>
      <c r="X349" s="6"/>
    </row>
    <row r="350" spans="18:24">
      <c r="R350">
        <v>291</v>
      </c>
      <c r="S350" s="6">
        <v>16109.84</v>
      </c>
      <c r="T350" s="6"/>
      <c r="U350" s="6"/>
      <c r="V350" s="6"/>
      <c r="W350" s="6"/>
      <c r="X350" s="6"/>
    </row>
    <row r="351" spans="18:24">
      <c r="R351">
        <v>292</v>
      </c>
      <c r="S351" s="6">
        <v>6948.79</v>
      </c>
      <c r="T351" s="6"/>
      <c r="U351" s="6"/>
      <c r="V351" s="6"/>
      <c r="W351" s="6"/>
      <c r="X351" s="6"/>
    </row>
    <row r="352" spans="18:24">
      <c r="R352">
        <v>293</v>
      </c>
      <c r="S352" s="6">
        <v>56069.74</v>
      </c>
      <c r="T352" s="6"/>
      <c r="U352" s="6"/>
      <c r="V352" s="6"/>
      <c r="W352" s="6"/>
      <c r="X352" s="6"/>
    </row>
    <row r="353" spans="18:24">
      <c r="R353">
        <v>294</v>
      </c>
      <c r="S353" s="6">
        <v>11692.5</v>
      </c>
      <c r="T353" s="6"/>
      <c r="U353" s="6"/>
      <c r="V353" s="6"/>
      <c r="W353" s="6"/>
      <c r="X353" s="6"/>
    </row>
    <row r="354" spans="18:24">
      <c r="R354">
        <v>295</v>
      </c>
      <c r="S354" s="6">
        <v>27922.799999999999</v>
      </c>
      <c r="T354" s="6"/>
      <c r="U354" s="6"/>
      <c r="V354" s="6"/>
      <c r="W354" s="6"/>
      <c r="X354" s="6"/>
    </row>
    <row r="355" spans="18:24">
      <c r="R355">
        <v>296</v>
      </c>
      <c r="S355" s="6">
        <v>52217.649999999994</v>
      </c>
      <c r="T355" s="6"/>
      <c r="U355" s="6"/>
      <c r="V355" s="6"/>
      <c r="W355" s="6"/>
      <c r="X355" s="6"/>
    </row>
    <row r="356" spans="18:24">
      <c r="R356">
        <v>297</v>
      </c>
      <c r="S356" s="6">
        <v>26775.78</v>
      </c>
      <c r="T356" s="6"/>
      <c r="U356" s="6"/>
      <c r="V356" s="6"/>
      <c r="W356" s="6"/>
      <c r="X356" s="6"/>
    </row>
    <row r="357" spans="18:24">
      <c r="R357">
        <v>298</v>
      </c>
      <c r="S357" s="6">
        <v>32261.8</v>
      </c>
      <c r="T357" s="6"/>
      <c r="U357" s="6"/>
      <c r="V357" s="6"/>
      <c r="W357" s="6"/>
      <c r="X357" s="6"/>
    </row>
    <row r="358" spans="18:24">
      <c r="R358">
        <v>299</v>
      </c>
      <c r="S358" s="6">
        <v>21111.59</v>
      </c>
      <c r="T358" s="6"/>
      <c r="U358" s="6"/>
      <c r="V358" s="6"/>
      <c r="W358" s="6"/>
      <c r="X358" s="6"/>
    </row>
    <row r="359" spans="18:24">
      <c r="R359">
        <v>300</v>
      </c>
      <c r="S359" s="6">
        <v>27825.78</v>
      </c>
      <c r="T359" s="6"/>
      <c r="U359" s="6"/>
      <c r="V359" s="6"/>
      <c r="W359" s="6"/>
      <c r="X359" s="6"/>
    </row>
    <row r="360" spans="18:24">
      <c r="R360">
        <v>301</v>
      </c>
      <c r="S360" s="6">
        <v>84220.99</v>
      </c>
      <c r="T360" s="6"/>
      <c r="U360" s="6"/>
      <c r="V360" s="6"/>
      <c r="W360" s="6"/>
      <c r="X360" s="6"/>
    </row>
    <row r="361" spans="18:24">
      <c r="R361">
        <v>302</v>
      </c>
      <c r="S361" s="6">
        <v>41913.22</v>
      </c>
      <c r="T361" s="6"/>
      <c r="U361" s="6"/>
      <c r="V361" s="6"/>
      <c r="W361" s="6"/>
      <c r="X361" s="6"/>
    </row>
    <row r="362" spans="18:24">
      <c r="R362">
        <v>303</v>
      </c>
      <c r="S362" s="6">
        <v>39842.92</v>
      </c>
      <c r="T362" s="6"/>
      <c r="U362" s="6"/>
      <c r="V362" s="6"/>
      <c r="W362" s="6"/>
      <c r="X362" s="6"/>
    </row>
    <row r="363" spans="18:24">
      <c r="R363">
        <v>304</v>
      </c>
      <c r="S363" s="6">
        <v>18662.530000000002</v>
      </c>
      <c r="T363" s="6"/>
      <c r="U363" s="6"/>
      <c r="V363" s="6"/>
      <c r="W363" s="6"/>
      <c r="X363" s="6"/>
    </row>
    <row r="364" spans="18:24">
      <c r="R364">
        <v>305</v>
      </c>
      <c r="S364" s="6">
        <v>7500.49</v>
      </c>
      <c r="T364" s="6"/>
      <c r="U364" s="6"/>
      <c r="V364" s="6"/>
      <c r="W364" s="6"/>
      <c r="X364" s="6"/>
    </row>
    <row r="365" spans="18:24">
      <c r="R365">
        <v>306</v>
      </c>
      <c r="S365" s="6">
        <v>35893.980000000003</v>
      </c>
      <c r="T365" s="6"/>
      <c r="U365" s="6"/>
      <c r="V365" s="6"/>
      <c r="W365" s="6"/>
      <c r="X365" s="6"/>
    </row>
    <row r="366" spans="18:24">
      <c r="R366">
        <v>307</v>
      </c>
      <c r="S366" s="6">
        <v>34950.369999999995</v>
      </c>
      <c r="T366" s="6"/>
      <c r="U366" s="6"/>
      <c r="V366" s="6"/>
      <c r="W366" s="6"/>
      <c r="X366" s="6"/>
    </row>
    <row r="367" spans="18:24">
      <c r="R367">
        <v>308</v>
      </c>
      <c r="S367" s="6">
        <v>7914.3</v>
      </c>
      <c r="T367" s="6"/>
      <c r="U367" s="6"/>
      <c r="V367" s="6"/>
      <c r="W367" s="6"/>
      <c r="X367" s="6"/>
    </row>
    <row r="368" spans="18:24">
      <c r="R368">
        <v>309</v>
      </c>
      <c r="S368" s="6">
        <v>4902.59</v>
      </c>
      <c r="T368" s="6"/>
      <c r="U368" s="6"/>
      <c r="V368" s="6"/>
      <c r="W368" s="6"/>
      <c r="X368" s="6"/>
    </row>
    <row r="369" spans="18:24">
      <c r="R369">
        <v>310</v>
      </c>
      <c r="S369" s="6">
        <v>10632.52</v>
      </c>
      <c r="T369" s="6"/>
      <c r="U369" s="6"/>
      <c r="V369" s="6"/>
      <c r="W369" s="6"/>
      <c r="X369" s="6"/>
    </row>
    <row r="370" spans="18:24">
      <c r="R370">
        <v>311</v>
      </c>
      <c r="S370" s="6">
        <v>38405.15</v>
      </c>
      <c r="T370" s="6"/>
      <c r="U370" s="6"/>
      <c r="V370" s="6"/>
      <c r="W370" s="6"/>
      <c r="X370" s="6"/>
    </row>
    <row r="371" spans="18:24">
      <c r="R371">
        <v>312</v>
      </c>
      <c r="S371" s="6">
        <v>20944.66</v>
      </c>
      <c r="T371" s="6"/>
      <c r="U371" s="6"/>
      <c r="V371" s="6"/>
      <c r="W371" s="6"/>
      <c r="X371" s="6"/>
    </row>
    <row r="372" spans="18:24">
      <c r="R372">
        <v>313</v>
      </c>
      <c r="S372" s="6">
        <v>32288.76</v>
      </c>
      <c r="T372" s="6"/>
      <c r="U372" s="6"/>
      <c r="V372" s="6"/>
      <c r="W372" s="6"/>
      <c r="X372" s="6"/>
    </row>
    <row r="373" spans="18:24">
      <c r="R373">
        <v>314</v>
      </c>
      <c r="S373" s="6">
        <v>22810.55</v>
      </c>
      <c r="T373" s="6"/>
      <c r="U373" s="6"/>
      <c r="V373" s="6"/>
      <c r="W373" s="6"/>
      <c r="X373" s="6"/>
    </row>
    <row r="374" spans="18:24">
      <c r="R374">
        <v>315</v>
      </c>
      <c r="S374" s="6">
        <v>23941.559999999998</v>
      </c>
      <c r="T374" s="6"/>
      <c r="U374" s="6"/>
      <c r="V374" s="6"/>
      <c r="W374" s="6"/>
      <c r="X374" s="6"/>
    </row>
    <row r="375" spans="18:24">
      <c r="R375">
        <v>316</v>
      </c>
      <c r="S375" s="6">
        <v>17589.61</v>
      </c>
      <c r="T375" s="6"/>
      <c r="U375" s="6"/>
      <c r="V375" s="6"/>
      <c r="W375" s="6"/>
      <c r="X375" s="6"/>
    </row>
    <row r="376" spans="18:24">
      <c r="R376">
        <v>317</v>
      </c>
      <c r="S376" s="6">
        <v>25533.25</v>
      </c>
      <c r="T376" s="6"/>
      <c r="U376" s="6"/>
      <c r="V376" s="6"/>
      <c r="W376" s="6"/>
      <c r="X376" s="6"/>
    </row>
    <row r="377" spans="18:24">
      <c r="R377">
        <v>318</v>
      </c>
      <c r="S377" s="6">
        <v>9822.1200000000008</v>
      </c>
      <c r="T377" s="6"/>
      <c r="U377" s="6"/>
      <c r="V377" s="6"/>
      <c r="W377" s="6"/>
      <c r="X377" s="6"/>
    </row>
    <row r="378" spans="18:24">
      <c r="R378">
        <v>319</v>
      </c>
      <c r="S378" s="6">
        <v>1127</v>
      </c>
      <c r="T378" s="6"/>
      <c r="U378" s="6"/>
      <c r="V378" s="6"/>
      <c r="W378" s="6"/>
      <c r="X378" s="6"/>
    </row>
    <row r="379" spans="18:24">
      <c r="R379">
        <v>320</v>
      </c>
      <c r="S379" s="6">
        <v>3822</v>
      </c>
      <c r="T379" s="6"/>
      <c r="U379" s="6"/>
      <c r="V379" s="6"/>
      <c r="W379" s="6"/>
      <c r="X379" s="6"/>
    </row>
    <row r="380" spans="18:24">
      <c r="R380">
        <v>321</v>
      </c>
      <c r="S380" s="6">
        <v>14824.310000000001</v>
      </c>
      <c r="T380" s="6"/>
      <c r="U380" s="6"/>
      <c r="V380" s="6"/>
      <c r="W380" s="6"/>
      <c r="X380" s="6"/>
    </row>
    <row r="381" spans="18:24">
      <c r="R381">
        <v>322</v>
      </c>
      <c r="S381" s="6">
        <v>13991.72</v>
      </c>
      <c r="T381" s="6"/>
      <c r="U381" s="6"/>
      <c r="V381" s="6"/>
      <c r="W381" s="6"/>
      <c r="X381" s="6"/>
    </row>
    <row r="382" spans="18:24">
      <c r="R382">
        <v>323</v>
      </c>
      <c r="S382" s="6">
        <v>16148.33</v>
      </c>
      <c r="T382" s="6"/>
      <c r="U382" s="6"/>
      <c r="V382" s="6"/>
      <c r="W382" s="6"/>
      <c r="X382" s="6"/>
    </row>
    <row r="383" spans="18:24">
      <c r="R383">
        <v>324</v>
      </c>
      <c r="S383" s="6">
        <v>35045.79</v>
      </c>
      <c r="T383" s="6"/>
      <c r="U383" s="6"/>
      <c r="V383" s="6"/>
      <c r="W383" s="6"/>
      <c r="X383" s="6"/>
    </row>
    <row r="384" spans="18:24">
      <c r="R384">
        <v>325</v>
      </c>
      <c r="S384" s="6">
        <v>35709.339999999997</v>
      </c>
      <c r="T384" s="6"/>
      <c r="U384" s="6"/>
      <c r="V384" s="6"/>
      <c r="W384" s="6"/>
      <c r="X384" s="6"/>
    </row>
    <row r="385" spans="18:24">
      <c r="R385">
        <v>327</v>
      </c>
      <c r="S385" s="6">
        <v>12659.509999999998</v>
      </c>
      <c r="T385" s="6"/>
      <c r="U385" s="6"/>
      <c r="V385" s="6"/>
      <c r="W385" s="6"/>
      <c r="X385" s="6"/>
    </row>
    <row r="386" spans="18:24">
      <c r="R386">
        <v>328</v>
      </c>
      <c r="S386" s="6">
        <v>31063.279999999999</v>
      </c>
      <c r="T386" s="6"/>
      <c r="U386" s="6"/>
      <c r="V386" s="6"/>
      <c r="W386" s="6"/>
      <c r="X386" s="6"/>
    </row>
    <row r="387" spans="18:24">
      <c r="R387">
        <v>329</v>
      </c>
      <c r="S387" s="6">
        <v>27529.94</v>
      </c>
      <c r="T387" s="6"/>
      <c r="U387" s="6"/>
      <c r="V387" s="6"/>
      <c r="W387" s="6"/>
      <c r="X387" s="6"/>
    </row>
    <row r="388" spans="18:24">
      <c r="R388">
        <v>330</v>
      </c>
      <c r="S388" s="6">
        <v>30079.920000000002</v>
      </c>
      <c r="T388" s="6"/>
      <c r="U388" s="6"/>
      <c r="V388" s="6"/>
      <c r="W388" s="6"/>
      <c r="X388" s="6"/>
    </row>
    <row r="389" spans="18:24">
      <c r="R389">
        <v>331</v>
      </c>
      <c r="S389" s="6">
        <v>689.4</v>
      </c>
      <c r="T389" s="6"/>
      <c r="U389" s="6"/>
      <c r="V389" s="6"/>
      <c r="W389" s="6"/>
      <c r="X389" s="6"/>
    </row>
    <row r="390" spans="18:24">
      <c r="R390">
        <v>332</v>
      </c>
      <c r="S390" s="6">
        <v>5756.8099999999995</v>
      </c>
      <c r="T390" s="6"/>
      <c r="U390" s="6"/>
      <c r="V390" s="6"/>
      <c r="W390" s="6"/>
      <c r="X390" s="6"/>
    </row>
    <row r="391" spans="18:24">
      <c r="R391">
        <v>333</v>
      </c>
      <c r="S391" s="6">
        <v>5152</v>
      </c>
      <c r="T391" s="6"/>
      <c r="U391" s="6"/>
      <c r="V391" s="6"/>
      <c r="W391" s="6"/>
      <c r="X391" s="6"/>
    </row>
    <row r="392" spans="18:24">
      <c r="R392">
        <v>334</v>
      </c>
      <c r="S392" s="6">
        <v>31542.880000000001</v>
      </c>
      <c r="T392" s="6"/>
      <c r="U392" s="6"/>
      <c r="V392" s="6"/>
      <c r="W392" s="6"/>
      <c r="X392" s="6"/>
    </row>
    <row r="393" spans="18:24">
      <c r="R393">
        <v>335</v>
      </c>
      <c r="S393" s="6">
        <v>12678.349999999999</v>
      </c>
      <c r="T393" s="6"/>
      <c r="U393" s="6"/>
      <c r="V393" s="6"/>
      <c r="W393" s="6"/>
      <c r="X393" s="6"/>
    </row>
    <row r="394" spans="18:24">
      <c r="R394">
        <v>336</v>
      </c>
      <c r="S394" s="6">
        <v>11088.619999999999</v>
      </c>
      <c r="T394" s="6"/>
      <c r="U394" s="6"/>
      <c r="V394" s="6"/>
      <c r="W394" s="6"/>
      <c r="X394" s="6"/>
    </row>
    <row r="395" spans="18:24">
      <c r="R395">
        <v>337</v>
      </c>
      <c r="S395" s="6">
        <v>21476.800000000003</v>
      </c>
      <c r="T395" s="6"/>
      <c r="U395" s="6"/>
      <c r="V395" s="6"/>
      <c r="W395" s="6"/>
      <c r="X395" s="6"/>
    </row>
    <row r="396" spans="18:24">
      <c r="R396">
        <v>338</v>
      </c>
      <c r="S396" s="6">
        <v>19330.5</v>
      </c>
      <c r="T396" s="6"/>
      <c r="U396" s="6"/>
      <c r="V396" s="6"/>
      <c r="W396" s="6"/>
      <c r="X396" s="6"/>
    </row>
    <row r="397" spans="18:24">
      <c r="R397">
        <v>339</v>
      </c>
      <c r="S397" s="6">
        <v>21253.82</v>
      </c>
      <c r="T397" s="6"/>
      <c r="U397" s="6"/>
      <c r="V397" s="6"/>
      <c r="W397" s="6"/>
      <c r="X397" s="6"/>
    </row>
    <row r="398" spans="18:24">
      <c r="R398">
        <v>340</v>
      </c>
      <c r="S398" s="6">
        <v>33729.71</v>
      </c>
      <c r="T398" s="6"/>
      <c r="U398" s="6"/>
      <c r="V398" s="6"/>
      <c r="W398" s="6"/>
      <c r="X398" s="6"/>
    </row>
    <row r="399" spans="18:24">
      <c r="R399">
        <v>341</v>
      </c>
      <c r="S399" s="6">
        <v>23614.550000000003</v>
      </c>
      <c r="T399" s="6"/>
      <c r="U399" s="6"/>
      <c r="V399" s="6"/>
      <c r="W399" s="6"/>
      <c r="X399" s="6"/>
    </row>
    <row r="400" spans="18:24">
      <c r="R400">
        <v>342</v>
      </c>
      <c r="S400" s="6">
        <v>30256.13</v>
      </c>
      <c r="T400" s="6"/>
      <c r="U400" s="6"/>
      <c r="V400" s="6"/>
      <c r="W400" s="6"/>
      <c r="X400" s="6"/>
    </row>
    <row r="401" spans="18:24">
      <c r="R401">
        <v>343</v>
      </c>
      <c r="S401" s="6">
        <v>7990.91</v>
      </c>
      <c r="T401" s="6"/>
      <c r="U401" s="6"/>
      <c r="V401" s="6"/>
      <c r="W401" s="6"/>
      <c r="X401" s="6"/>
    </row>
    <row r="402" spans="18:24">
      <c r="R402">
        <v>344</v>
      </c>
      <c r="S402" s="6">
        <v>53909.64</v>
      </c>
      <c r="T402" s="6"/>
      <c r="U402" s="6"/>
      <c r="V402" s="6"/>
      <c r="W402" s="6"/>
      <c r="X402" s="6"/>
    </row>
    <row r="403" spans="18:24">
      <c r="R403">
        <v>347</v>
      </c>
      <c r="S403" s="6">
        <v>37282.9</v>
      </c>
      <c r="T403" s="6"/>
      <c r="U403" s="6"/>
      <c r="V403" s="6"/>
      <c r="W403" s="6"/>
      <c r="X403" s="6"/>
    </row>
    <row r="404" spans="18:24">
      <c r="R404">
        <v>348</v>
      </c>
      <c r="S404" s="6">
        <v>13669.24</v>
      </c>
      <c r="T404" s="6"/>
      <c r="U404" s="6"/>
      <c r="V404" s="6"/>
      <c r="W404" s="6"/>
      <c r="X404" s="6"/>
    </row>
    <row r="405" spans="18:24">
      <c r="R405">
        <v>349</v>
      </c>
      <c r="S405" s="6">
        <v>35956.36</v>
      </c>
      <c r="T405" s="6"/>
      <c r="U405" s="6"/>
      <c r="V405" s="6"/>
      <c r="W405" s="6"/>
      <c r="X405" s="6"/>
    </row>
    <row r="406" spans="18:24">
      <c r="R406">
        <v>350</v>
      </c>
      <c r="S406" s="6">
        <v>31130.45</v>
      </c>
      <c r="T406" s="6"/>
      <c r="U406" s="6"/>
      <c r="V406" s="6"/>
      <c r="W406" s="6"/>
      <c r="X406" s="6"/>
    </row>
    <row r="407" spans="18:24">
      <c r="R407">
        <v>351</v>
      </c>
      <c r="S407" s="6">
        <v>35780.74</v>
      </c>
      <c r="T407" s="6"/>
      <c r="U407" s="6"/>
      <c r="V407" s="6"/>
      <c r="W407" s="6"/>
      <c r="X407" s="6"/>
    </row>
    <row r="408" spans="18:24">
      <c r="R408">
        <v>352</v>
      </c>
      <c r="S408" s="6">
        <v>34179.229999999996</v>
      </c>
      <c r="T408" s="6"/>
      <c r="U408" s="6"/>
      <c r="V408" s="6"/>
      <c r="W408" s="6"/>
      <c r="X408" s="6"/>
    </row>
    <row r="409" spans="18:24">
      <c r="R409">
        <v>353</v>
      </c>
      <c r="S409" s="6">
        <v>22139.059999999998</v>
      </c>
      <c r="T409" s="6"/>
      <c r="U409" s="6"/>
      <c r="V409" s="6"/>
      <c r="W409" s="6"/>
      <c r="X409" s="6"/>
    </row>
    <row r="410" spans="18:24">
      <c r="R410">
        <v>354</v>
      </c>
      <c r="S410" s="6">
        <v>31687.990000000005</v>
      </c>
      <c r="T410" s="6"/>
      <c r="U410" s="6"/>
      <c r="V410" s="6"/>
      <c r="W410" s="6"/>
      <c r="X410" s="6"/>
    </row>
    <row r="411" spans="18:24">
      <c r="R411">
        <v>355</v>
      </c>
      <c r="S411" s="6">
        <v>22633.359999999997</v>
      </c>
      <c r="T411" s="6"/>
      <c r="U411" s="6"/>
      <c r="V411" s="6"/>
      <c r="W411" s="6"/>
      <c r="X411" s="6"/>
    </row>
    <row r="412" spans="18:24">
      <c r="R412">
        <v>356</v>
      </c>
      <c r="S412" s="6">
        <v>13800.439999999999</v>
      </c>
      <c r="T412" s="6"/>
      <c r="U412" s="6"/>
      <c r="V412" s="6"/>
      <c r="W412" s="6"/>
      <c r="X412" s="6"/>
    </row>
    <row r="413" spans="18:24">
      <c r="R413">
        <v>358</v>
      </c>
      <c r="S413" s="6">
        <v>11129.76</v>
      </c>
      <c r="T413" s="6"/>
      <c r="U413" s="6"/>
      <c r="V413" s="6"/>
      <c r="W413" s="6"/>
      <c r="X413" s="6"/>
    </row>
    <row r="414" spans="18:24">
      <c r="R414">
        <v>359</v>
      </c>
      <c r="S414" s="6">
        <v>1456</v>
      </c>
      <c r="T414" s="6"/>
      <c r="U414" s="6"/>
      <c r="V414" s="6"/>
      <c r="W414" s="6"/>
      <c r="X414" s="6"/>
    </row>
    <row r="415" spans="18:24">
      <c r="R415">
        <v>360</v>
      </c>
      <c r="S415" s="6">
        <v>25071.190000000002</v>
      </c>
      <c r="T415" s="6"/>
      <c r="U415" s="6"/>
      <c r="V415" s="6"/>
      <c r="W415" s="6"/>
      <c r="X415" s="6"/>
    </row>
    <row r="416" spans="18:24">
      <c r="R416">
        <v>361</v>
      </c>
      <c r="S416" s="6">
        <v>4382</v>
      </c>
      <c r="T416" s="6"/>
      <c r="U416" s="6"/>
      <c r="V416" s="6"/>
      <c r="W416" s="6"/>
      <c r="X416" s="6"/>
    </row>
    <row r="417" spans="18:24">
      <c r="R417">
        <v>363</v>
      </c>
      <c r="S417" s="6">
        <v>744.96</v>
      </c>
      <c r="T417" s="6"/>
      <c r="U417" s="6"/>
      <c r="V417" s="6"/>
      <c r="W417" s="6"/>
      <c r="X417" s="6"/>
    </row>
    <row r="418" spans="18:24">
      <c r="R418">
        <v>364</v>
      </c>
      <c r="S418" s="6">
        <v>4400.28</v>
      </c>
      <c r="T418" s="6"/>
      <c r="U418" s="6"/>
      <c r="V418" s="6"/>
      <c r="W418" s="6"/>
      <c r="X418" s="6"/>
    </row>
    <row r="419" spans="18:24">
      <c r="R419">
        <v>365</v>
      </c>
      <c r="S419" s="6">
        <v>3939.95</v>
      </c>
      <c r="T419" s="6"/>
      <c r="U419" s="6"/>
      <c r="V419" s="6"/>
      <c r="W419" s="6"/>
      <c r="X419" s="6"/>
    </row>
    <row r="420" spans="18:24">
      <c r="R420">
        <v>366</v>
      </c>
      <c r="S420" s="6">
        <v>6310.98</v>
      </c>
      <c r="T420" s="6"/>
      <c r="U420" s="6"/>
      <c r="V420" s="6"/>
      <c r="W420" s="6"/>
      <c r="X420" s="6"/>
    </row>
    <row r="421" spans="18:24">
      <c r="R421">
        <v>368</v>
      </c>
      <c r="S421" s="6">
        <v>12069.07</v>
      </c>
      <c r="T421" s="6"/>
      <c r="U421" s="6"/>
      <c r="V421" s="6"/>
      <c r="W421" s="6"/>
      <c r="X421" s="6"/>
    </row>
    <row r="422" spans="18:24">
      <c r="R422">
        <v>369</v>
      </c>
      <c r="S422" s="6">
        <v>6524.65</v>
      </c>
      <c r="T422" s="6"/>
      <c r="U422" s="6"/>
      <c r="V422" s="6"/>
      <c r="W422" s="6"/>
      <c r="X422" s="6"/>
    </row>
    <row r="423" spans="18:24">
      <c r="R423">
        <v>370</v>
      </c>
      <c r="S423" s="6">
        <v>30013.37</v>
      </c>
      <c r="T423" s="6"/>
      <c r="U423" s="6"/>
      <c r="V423" s="6"/>
      <c r="W423" s="6"/>
      <c r="X423" s="6"/>
    </row>
    <row r="424" spans="18:24">
      <c r="R424">
        <v>371</v>
      </c>
      <c r="S424" s="6">
        <v>7515.31</v>
      </c>
      <c r="T424" s="6"/>
      <c r="U424" s="6"/>
      <c r="V424" s="6"/>
      <c r="W424" s="6"/>
      <c r="X424" s="6"/>
    </row>
    <row r="425" spans="18:24">
      <c r="R425">
        <v>372</v>
      </c>
      <c r="S425" s="6">
        <v>12988.31</v>
      </c>
      <c r="T425" s="6"/>
      <c r="U425" s="6"/>
      <c r="V425" s="6"/>
      <c r="W425" s="6"/>
      <c r="X425" s="6"/>
    </row>
    <row r="426" spans="18:24">
      <c r="R426">
        <v>373</v>
      </c>
      <c r="S426" s="6">
        <v>13062.71</v>
      </c>
      <c r="T426" s="6"/>
      <c r="U426" s="6"/>
      <c r="V426" s="6"/>
      <c r="W426" s="6"/>
      <c r="X426" s="6"/>
    </row>
    <row r="427" spans="18:24">
      <c r="R427">
        <v>375</v>
      </c>
      <c r="S427" s="6">
        <v>7045.24</v>
      </c>
      <c r="T427" s="6"/>
      <c r="U427" s="6"/>
      <c r="V427" s="6"/>
      <c r="W427" s="6"/>
      <c r="X427" s="6"/>
    </row>
    <row r="428" spans="18:24">
      <c r="R428">
        <v>377</v>
      </c>
      <c r="S428" s="6">
        <v>25431.690000000002</v>
      </c>
      <c r="T428" s="6"/>
      <c r="U428" s="6"/>
      <c r="V428" s="6"/>
      <c r="W428" s="6"/>
      <c r="X428" s="6"/>
    </row>
    <row r="429" spans="18:24">
      <c r="R429">
        <v>378</v>
      </c>
      <c r="S429" s="6">
        <v>15925.17</v>
      </c>
      <c r="T429" s="6"/>
      <c r="U429" s="6"/>
      <c r="V429" s="6"/>
      <c r="W429" s="6"/>
      <c r="X429" s="6"/>
    </row>
    <row r="430" spans="18:24">
      <c r="R430">
        <v>380</v>
      </c>
      <c r="S430" s="6">
        <v>13319.54</v>
      </c>
      <c r="T430" s="6"/>
      <c r="U430" s="6"/>
      <c r="V430" s="6"/>
      <c r="W430" s="6"/>
      <c r="X430" s="6"/>
    </row>
    <row r="431" spans="18:24">
      <c r="R431">
        <v>381</v>
      </c>
      <c r="S431" s="6">
        <v>7166.62</v>
      </c>
      <c r="T431" s="6"/>
      <c r="U431" s="6"/>
      <c r="V431" s="6"/>
      <c r="W431" s="6"/>
      <c r="X431" s="6"/>
    </row>
    <row r="432" spans="18:24">
      <c r="R432">
        <v>382</v>
      </c>
      <c r="S432" s="6">
        <v>5187.72</v>
      </c>
      <c r="T432" s="6"/>
      <c r="U432" s="6"/>
      <c r="V432" s="6"/>
      <c r="W432" s="6"/>
      <c r="X432" s="6"/>
    </row>
    <row r="433" spans="18:24">
      <c r="R433">
        <v>383</v>
      </c>
      <c r="S433" s="6">
        <v>14855.24</v>
      </c>
      <c r="T433" s="6"/>
      <c r="U433" s="6"/>
      <c r="V433" s="6"/>
      <c r="W433" s="6"/>
      <c r="X433" s="6"/>
    </row>
    <row r="434" spans="18:24">
      <c r="R434">
        <v>384</v>
      </c>
      <c r="S434" s="6">
        <v>13687.24</v>
      </c>
      <c r="T434" s="6"/>
      <c r="U434" s="6"/>
      <c r="V434" s="6"/>
      <c r="W434" s="6"/>
      <c r="X434" s="6"/>
    </row>
    <row r="435" spans="18:24">
      <c r="R435">
        <v>385</v>
      </c>
      <c r="S435" s="6">
        <v>7271.76</v>
      </c>
      <c r="T435" s="6"/>
      <c r="U435" s="6"/>
      <c r="V435" s="6"/>
      <c r="W435" s="6"/>
      <c r="X435" s="6"/>
    </row>
    <row r="436" spans="18:24">
      <c r="R436">
        <v>386</v>
      </c>
      <c r="S436" s="6">
        <v>10464.449999999999</v>
      </c>
      <c r="T436" s="6"/>
      <c r="U436" s="6"/>
      <c r="V436" s="6"/>
      <c r="W436" s="6"/>
      <c r="X436" s="6"/>
    </row>
    <row r="437" spans="18:24">
      <c r="R437">
        <v>387</v>
      </c>
      <c r="S437" s="6">
        <v>2464</v>
      </c>
      <c r="T437" s="6"/>
      <c r="U437" s="6"/>
      <c r="V437" s="6"/>
      <c r="W437" s="6"/>
      <c r="X437" s="6"/>
    </row>
    <row r="438" spans="18:24">
      <c r="R438">
        <v>388</v>
      </c>
      <c r="S438" s="6">
        <v>30587.85</v>
      </c>
      <c r="T438" s="6"/>
      <c r="U438" s="6"/>
      <c r="V438" s="6"/>
      <c r="W438" s="6"/>
      <c r="X438" s="6"/>
    </row>
    <row r="439" spans="18:24">
      <c r="R439">
        <v>389</v>
      </c>
      <c r="S439" s="6">
        <v>27476.780000000002</v>
      </c>
      <c r="T439" s="6"/>
      <c r="U439" s="6"/>
      <c r="V439" s="6"/>
      <c r="W439" s="6"/>
      <c r="X439" s="6"/>
    </row>
    <row r="440" spans="18:24">
      <c r="R440">
        <v>390</v>
      </c>
      <c r="S440" s="6">
        <v>7161</v>
      </c>
      <c r="T440" s="6"/>
      <c r="U440" s="6"/>
      <c r="V440" s="6"/>
      <c r="W440" s="6"/>
      <c r="X440" s="6"/>
    </row>
    <row r="441" spans="18:24">
      <c r="R441">
        <v>392</v>
      </c>
      <c r="S441" s="6">
        <v>19940.650000000001</v>
      </c>
      <c r="T441" s="6"/>
      <c r="U441" s="6"/>
      <c r="V441" s="6"/>
      <c r="W441" s="6"/>
      <c r="X441" s="6"/>
    </row>
    <row r="442" spans="18:24">
      <c r="R442">
        <v>394</v>
      </c>
      <c r="S442" s="6">
        <v>10883.13</v>
      </c>
      <c r="T442" s="6"/>
      <c r="U442" s="6"/>
      <c r="V442" s="6"/>
      <c r="W442" s="6"/>
      <c r="X442" s="6"/>
    </row>
    <row r="443" spans="18:24">
      <c r="R443">
        <v>395</v>
      </c>
      <c r="S443" s="6">
        <v>8080.95</v>
      </c>
      <c r="T443" s="6"/>
      <c r="U443" s="6"/>
      <c r="V443" s="6"/>
      <c r="W443" s="6"/>
      <c r="X443" s="6"/>
    </row>
    <row r="444" spans="18:24">
      <c r="R444">
        <v>396</v>
      </c>
      <c r="S444" s="6">
        <v>17474.439999999999</v>
      </c>
      <c r="T444" s="6"/>
      <c r="U444" s="6"/>
      <c r="V444" s="6"/>
      <c r="W444" s="6"/>
      <c r="X444" s="6"/>
    </row>
    <row r="445" spans="18:24">
      <c r="R445">
        <v>397</v>
      </c>
      <c r="S445" s="6">
        <v>2504.62</v>
      </c>
      <c r="T445" s="6"/>
      <c r="U445" s="6"/>
      <c r="V445" s="6"/>
      <c r="W445" s="6"/>
      <c r="X445" s="6"/>
    </row>
    <row r="446" spans="18:24">
      <c r="R446">
        <v>398</v>
      </c>
      <c r="S446" s="6">
        <v>23567.68</v>
      </c>
      <c r="T446" s="6"/>
      <c r="U446" s="6"/>
      <c r="V446" s="6"/>
      <c r="W446" s="6"/>
      <c r="X446" s="6"/>
    </row>
    <row r="447" spans="18:24">
      <c r="R447">
        <v>399</v>
      </c>
      <c r="S447" s="6">
        <v>352.19</v>
      </c>
      <c r="T447" s="6"/>
      <c r="U447" s="6"/>
      <c r="V447" s="6"/>
      <c r="W447" s="6"/>
      <c r="X447" s="6"/>
    </row>
    <row r="448" spans="18:24">
      <c r="R448">
        <v>400</v>
      </c>
      <c r="S448" s="6">
        <v>10449.73</v>
      </c>
      <c r="T448" s="6"/>
      <c r="U448" s="6"/>
      <c r="V448" s="6"/>
      <c r="W448" s="6"/>
      <c r="X448" s="6"/>
    </row>
    <row r="449" spans="18:24">
      <c r="R449">
        <v>401</v>
      </c>
      <c r="S449" s="6">
        <v>25528.66</v>
      </c>
      <c r="T449" s="6"/>
      <c r="U449" s="6"/>
      <c r="V449" s="6"/>
      <c r="W449" s="6"/>
      <c r="X449" s="6"/>
    </row>
    <row r="450" spans="18:24">
      <c r="R450">
        <v>402</v>
      </c>
      <c r="S450" s="6">
        <v>21615.49</v>
      </c>
      <c r="T450" s="6"/>
      <c r="U450" s="6"/>
      <c r="V450" s="6"/>
      <c r="W450" s="6"/>
      <c r="X450" s="6"/>
    </row>
    <row r="451" spans="18:24">
      <c r="R451">
        <v>403</v>
      </c>
      <c r="S451" s="6">
        <v>16163</v>
      </c>
      <c r="T451" s="6"/>
      <c r="U451" s="6"/>
      <c r="V451" s="6"/>
      <c r="W451" s="6"/>
      <c r="X451" s="6"/>
    </row>
    <row r="452" spans="18:24">
      <c r="R452">
        <v>404</v>
      </c>
      <c r="S452" s="6">
        <v>7556.55</v>
      </c>
      <c r="T452" s="6"/>
      <c r="U452" s="6"/>
      <c r="V452" s="6"/>
      <c r="W452" s="6"/>
      <c r="X452" s="6"/>
    </row>
    <row r="453" spans="18:24">
      <c r="R453">
        <v>406</v>
      </c>
      <c r="S453" s="6">
        <v>9746.33</v>
      </c>
      <c r="T453" s="6"/>
      <c r="U453" s="6"/>
      <c r="V453" s="6"/>
      <c r="W453" s="6"/>
      <c r="X453" s="6"/>
    </row>
    <row r="454" spans="18:24">
      <c r="R454">
        <v>407</v>
      </c>
      <c r="S454" s="6">
        <v>10808</v>
      </c>
      <c r="T454" s="6"/>
      <c r="U454" s="6"/>
      <c r="V454" s="6"/>
      <c r="W454" s="6"/>
      <c r="X454" s="6"/>
    </row>
    <row r="455" spans="18:24">
      <c r="R455">
        <v>408</v>
      </c>
      <c r="S455" s="6">
        <v>10563</v>
      </c>
      <c r="T455" s="6"/>
      <c r="U455" s="6"/>
      <c r="V455" s="6"/>
      <c r="W455" s="6"/>
      <c r="X455" s="6"/>
    </row>
    <row r="456" spans="18:24">
      <c r="R456">
        <v>409</v>
      </c>
      <c r="S456" s="6">
        <v>15656.27</v>
      </c>
      <c r="T456" s="6"/>
      <c r="U456" s="6"/>
      <c r="V456" s="6"/>
      <c r="W456" s="6"/>
      <c r="X456" s="6"/>
    </row>
    <row r="457" spans="18:24">
      <c r="R457">
        <v>410</v>
      </c>
      <c r="S457" s="6">
        <v>7756</v>
      </c>
      <c r="T457" s="6"/>
      <c r="U457" s="6"/>
      <c r="V457" s="6"/>
      <c r="W457" s="6"/>
      <c r="X457" s="6"/>
    </row>
    <row r="458" spans="18:24">
      <c r="R458">
        <v>411</v>
      </c>
      <c r="S458" s="6">
        <v>27798.899999999998</v>
      </c>
      <c r="T458" s="6"/>
      <c r="U458" s="6"/>
      <c r="V458" s="6"/>
      <c r="W458" s="6"/>
      <c r="X458" s="6"/>
    </row>
    <row r="459" spans="18:24">
      <c r="R459">
        <v>413</v>
      </c>
      <c r="S459" s="6">
        <v>16200.52</v>
      </c>
      <c r="T459" s="6"/>
      <c r="U459" s="6"/>
      <c r="V459" s="6"/>
      <c r="W459" s="6"/>
      <c r="X459" s="6"/>
    </row>
    <row r="460" spans="18:24">
      <c r="R460">
        <v>415</v>
      </c>
      <c r="S460" s="6">
        <v>14478.8</v>
      </c>
      <c r="T460" s="6"/>
      <c r="U460" s="6"/>
      <c r="V460" s="6"/>
      <c r="W460" s="6"/>
      <c r="X460" s="6"/>
    </row>
    <row r="461" spans="18:24">
      <c r="R461">
        <v>416</v>
      </c>
      <c r="S461" s="6">
        <v>16793</v>
      </c>
      <c r="T461" s="6"/>
      <c r="U461" s="6"/>
      <c r="V461" s="6"/>
      <c r="W461" s="6"/>
      <c r="X461" s="6"/>
    </row>
    <row r="462" spans="18:24">
      <c r="R462">
        <v>417</v>
      </c>
      <c r="S462" s="6">
        <v>15844.19</v>
      </c>
      <c r="T462" s="6"/>
      <c r="U462" s="6"/>
      <c r="V462" s="6"/>
      <c r="W462" s="6"/>
      <c r="X462" s="6"/>
    </row>
    <row r="463" spans="18:24">
      <c r="R463">
        <v>418</v>
      </c>
      <c r="S463" s="6">
        <v>16614.689999999999</v>
      </c>
      <c r="T463" s="6"/>
      <c r="U463" s="6"/>
      <c r="V463" s="6"/>
      <c r="W463" s="6"/>
      <c r="X463" s="6"/>
    </row>
    <row r="464" spans="18:24">
      <c r="R464">
        <v>419</v>
      </c>
      <c r="S464" s="6">
        <v>25365.23</v>
      </c>
      <c r="T464" s="6"/>
      <c r="U464" s="6"/>
      <c r="V464" s="6"/>
      <c r="W464" s="6"/>
      <c r="X464" s="6"/>
    </row>
    <row r="465" spans="18:24">
      <c r="R465">
        <v>420</v>
      </c>
      <c r="S465" s="6">
        <v>6881</v>
      </c>
      <c r="T465" s="6"/>
      <c r="U465" s="6"/>
      <c r="V465" s="6"/>
      <c r="W465" s="6"/>
      <c r="X465" s="6"/>
    </row>
    <row r="466" spans="18:24">
      <c r="R466">
        <v>421</v>
      </c>
      <c r="S466" s="6">
        <v>14147</v>
      </c>
      <c r="T466" s="6"/>
      <c r="U466" s="6"/>
      <c r="V466" s="6"/>
      <c r="W466" s="6"/>
      <c r="X466" s="6"/>
    </row>
    <row r="467" spans="18:24">
      <c r="R467">
        <v>422</v>
      </c>
      <c r="S467" s="6">
        <v>19419.37</v>
      </c>
      <c r="T467" s="6"/>
      <c r="U467" s="6"/>
      <c r="V467" s="6"/>
      <c r="W467" s="6"/>
      <c r="X467" s="6"/>
    </row>
    <row r="468" spans="18:24">
      <c r="R468">
        <v>423</v>
      </c>
      <c r="S468" s="6">
        <v>6756.57</v>
      </c>
      <c r="T468" s="6"/>
      <c r="U468" s="6"/>
      <c r="V468" s="6"/>
      <c r="W468" s="6"/>
      <c r="X468" s="6"/>
    </row>
    <row r="469" spans="18:24">
      <c r="R469">
        <v>424</v>
      </c>
      <c r="S469" s="6">
        <v>19091.230000000003</v>
      </c>
      <c r="T469" s="6"/>
      <c r="U469" s="6"/>
      <c r="V469" s="6"/>
      <c r="W469" s="6"/>
      <c r="X469" s="6"/>
    </row>
    <row r="470" spans="18:24">
      <c r="R470">
        <v>425</v>
      </c>
      <c r="S470" s="6">
        <v>34954.119999999995</v>
      </c>
      <c r="T470" s="6"/>
      <c r="U470" s="6"/>
      <c r="V470" s="6"/>
      <c r="W470" s="6"/>
      <c r="X470" s="6"/>
    </row>
    <row r="471" spans="18:24">
      <c r="R471">
        <v>426</v>
      </c>
      <c r="S471" s="6">
        <v>6606.82</v>
      </c>
      <c r="T471" s="6"/>
      <c r="U471" s="6"/>
      <c r="V471" s="6"/>
      <c r="W471" s="6"/>
      <c r="X471" s="6"/>
    </row>
    <row r="472" spans="18:24">
      <c r="R472">
        <v>427</v>
      </c>
      <c r="S472" s="6">
        <v>4879.55</v>
      </c>
      <c r="T472" s="6"/>
      <c r="U472" s="6"/>
      <c r="V472" s="6"/>
      <c r="W472" s="6"/>
      <c r="X472" s="6"/>
    </row>
    <row r="473" spans="18:24">
      <c r="R473">
        <v>430</v>
      </c>
      <c r="S473" s="6">
        <v>42416.4</v>
      </c>
      <c r="T473" s="6"/>
      <c r="U473" s="6"/>
      <c r="V473" s="6"/>
      <c r="W473" s="6"/>
      <c r="X473" s="6"/>
    </row>
    <row r="474" spans="18:24">
      <c r="R474">
        <v>431</v>
      </c>
      <c r="S474" s="6">
        <v>11630.38</v>
      </c>
      <c r="T474" s="6"/>
      <c r="U474" s="6"/>
      <c r="V474" s="6"/>
      <c r="W474" s="6"/>
      <c r="X474" s="6"/>
    </row>
    <row r="475" spans="18:24">
      <c r="R475">
        <v>432</v>
      </c>
      <c r="S475" s="6">
        <v>11116</v>
      </c>
      <c r="T475" s="6"/>
      <c r="U475" s="6"/>
      <c r="V475" s="6"/>
      <c r="W475" s="6"/>
      <c r="X475" s="6"/>
    </row>
    <row r="476" spans="18:24">
      <c r="R476">
        <v>433</v>
      </c>
      <c r="S476" s="6">
        <v>33800.479999999996</v>
      </c>
      <c r="T476" s="6"/>
      <c r="U476" s="6"/>
      <c r="V476" s="6"/>
      <c r="W476" s="6"/>
      <c r="X476" s="6"/>
    </row>
    <row r="477" spans="18:24">
      <c r="R477">
        <v>434</v>
      </c>
      <c r="S477" s="6">
        <v>25528.76</v>
      </c>
      <c r="T477" s="6"/>
      <c r="U477" s="6"/>
      <c r="V477" s="6"/>
      <c r="W477" s="6"/>
      <c r="X477" s="6"/>
    </row>
    <row r="478" spans="18:24">
      <c r="R478">
        <v>435</v>
      </c>
      <c r="S478" s="6">
        <v>7679.09</v>
      </c>
      <c r="T478" s="6"/>
      <c r="U478" s="6"/>
      <c r="V478" s="6"/>
      <c r="W478" s="6"/>
      <c r="X478" s="6"/>
    </row>
    <row r="479" spans="18:24">
      <c r="R479">
        <v>436</v>
      </c>
      <c r="S479" s="6">
        <v>19564.91</v>
      </c>
      <c r="T479" s="6"/>
      <c r="U479" s="6"/>
      <c r="V479" s="6"/>
      <c r="W479" s="6"/>
      <c r="X479" s="6"/>
    </row>
    <row r="480" spans="18:24">
      <c r="R480">
        <v>438</v>
      </c>
      <c r="S480" s="6">
        <v>7140</v>
      </c>
      <c r="T480" s="6"/>
      <c r="U480" s="6"/>
      <c r="V480" s="6"/>
      <c r="W480" s="6"/>
      <c r="X480" s="6"/>
    </row>
    <row r="481" spans="18:24">
      <c r="R481">
        <v>439</v>
      </c>
      <c r="S481" s="6">
        <v>5071.49</v>
      </c>
      <c r="T481" s="6"/>
      <c r="U481" s="6"/>
      <c r="V481" s="6"/>
      <c r="W481" s="6"/>
      <c r="X481" s="6"/>
    </row>
    <row r="482" spans="18:24">
      <c r="R482">
        <v>440</v>
      </c>
      <c r="S482" s="6">
        <v>4676.32</v>
      </c>
      <c r="T482" s="6"/>
      <c r="U482" s="6"/>
      <c r="V482" s="6"/>
      <c r="W482" s="6"/>
      <c r="X482" s="6"/>
    </row>
    <row r="483" spans="18:24">
      <c r="R483">
        <v>441</v>
      </c>
      <c r="S483" s="6">
        <v>764.63</v>
      </c>
      <c r="T483" s="6"/>
      <c r="U483" s="6"/>
      <c r="V483" s="6"/>
      <c r="W483" s="6"/>
      <c r="X483" s="6"/>
    </row>
    <row r="484" spans="18:24">
      <c r="R484">
        <v>442</v>
      </c>
      <c r="S484" s="6">
        <v>25394.19</v>
      </c>
      <c r="T484" s="6"/>
      <c r="U484" s="6"/>
      <c r="V484" s="6"/>
      <c r="W484" s="6"/>
      <c r="X484" s="6"/>
    </row>
    <row r="485" spans="18:24">
      <c r="R485">
        <v>443</v>
      </c>
      <c r="S485" s="6">
        <v>21851.54</v>
      </c>
      <c r="T485" s="6"/>
      <c r="U485" s="6"/>
      <c r="V485" s="6"/>
      <c r="W485" s="6"/>
      <c r="X485" s="6"/>
    </row>
    <row r="486" spans="18:24">
      <c r="R486">
        <v>445</v>
      </c>
      <c r="S486" s="6">
        <v>8829.77</v>
      </c>
      <c r="T486" s="6"/>
      <c r="U486" s="6"/>
      <c r="V486" s="6"/>
      <c r="W486" s="6"/>
      <c r="X486" s="6"/>
    </row>
    <row r="487" spans="18:24">
      <c r="R487">
        <v>446</v>
      </c>
      <c r="S487" s="6">
        <v>34666.71</v>
      </c>
      <c r="T487" s="6"/>
      <c r="U487" s="6"/>
      <c r="V487" s="6"/>
      <c r="W487" s="6"/>
      <c r="X487" s="6"/>
    </row>
    <row r="488" spans="18:24">
      <c r="R488">
        <v>447</v>
      </c>
      <c r="S488" s="6">
        <v>3052</v>
      </c>
      <c r="T488" s="6"/>
      <c r="U488" s="6"/>
      <c r="V488" s="6"/>
      <c r="W488" s="6"/>
      <c r="X488" s="6"/>
    </row>
    <row r="489" spans="18:24">
      <c r="R489">
        <v>449</v>
      </c>
      <c r="S489" s="6">
        <v>25840.080000000002</v>
      </c>
      <c r="T489" s="6"/>
      <c r="U489" s="6"/>
      <c r="V489" s="6"/>
      <c r="W489" s="6"/>
      <c r="X489" s="6"/>
    </row>
    <row r="490" spans="18:24">
      <c r="R490">
        <v>450</v>
      </c>
      <c r="S490" s="6">
        <v>5432.84</v>
      </c>
      <c r="T490" s="6"/>
      <c r="U490" s="6"/>
      <c r="V490" s="6"/>
      <c r="W490" s="6"/>
      <c r="X490" s="6"/>
    </row>
    <row r="491" spans="18:24">
      <c r="R491">
        <v>451</v>
      </c>
      <c r="S491" s="6">
        <v>10889.359999999999</v>
      </c>
      <c r="T491" s="6"/>
      <c r="U491" s="6"/>
      <c r="V491" s="6"/>
      <c r="W491" s="6"/>
      <c r="X491" s="6"/>
    </row>
    <row r="492" spans="18:24">
      <c r="R492">
        <v>452</v>
      </c>
      <c r="S492" s="6">
        <v>3771.94</v>
      </c>
      <c r="T492" s="6"/>
      <c r="U492" s="6"/>
      <c r="V492" s="6"/>
      <c r="W492" s="6"/>
      <c r="X492" s="6"/>
    </row>
    <row r="493" spans="18:24">
      <c r="R493">
        <v>453</v>
      </c>
      <c r="S493" s="6">
        <v>9004.02</v>
      </c>
      <c r="T493" s="6"/>
      <c r="U493" s="6"/>
      <c r="V493" s="6"/>
      <c r="W493" s="6"/>
      <c r="X493" s="6"/>
    </row>
    <row r="494" spans="18:24">
      <c r="R494">
        <v>454</v>
      </c>
      <c r="S494" s="6">
        <v>1637.72</v>
      </c>
      <c r="T494" s="6"/>
      <c r="U494" s="6"/>
      <c r="V494" s="6"/>
      <c r="W494" s="6"/>
      <c r="X494" s="6"/>
    </row>
    <row r="495" spans="18:24">
      <c r="R495">
        <v>456</v>
      </c>
      <c r="S495" s="6">
        <v>25418.09</v>
      </c>
      <c r="T495" s="6"/>
      <c r="U495" s="6"/>
      <c r="V495" s="6"/>
      <c r="W495" s="6"/>
      <c r="X495" s="6"/>
    </row>
    <row r="496" spans="18:24">
      <c r="R496">
        <v>457</v>
      </c>
      <c r="S496" s="6">
        <v>700</v>
      </c>
      <c r="T496" s="6"/>
      <c r="U496" s="6"/>
      <c r="V496" s="6"/>
      <c r="W496" s="6"/>
      <c r="X496" s="6"/>
    </row>
    <row r="497" spans="18:24">
      <c r="R497">
        <v>461</v>
      </c>
      <c r="S497" s="6">
        <v>8494.17</v>
      </c>
      <c r="T497" s="6"/>
      <c r="U497" s="6"/>
      <c r="V497" s="6"/>
      <c r="W497" s="6"/>
      <c r="X497" s="6"/>
    </row>
    <row r="498" spans="18:24">
      <c r="R498">
        <v>462</v>
      </c>
      <c r="S498" s="6">
        <v>11597.46</v>
      </c>
      <c r="T498" s="6"/>
      <c r="U498" s="6"/>
      <c r="V498" s="6"/>
      <c r="W498" s="6"/>
      <c r="X498" s="6"/>
    </row>
    <row r="499" spans="18:24">
      <c r="R499">
        <v>463</v>
      </c>
      <c r="S499" s="6">
        <v>2757.16</v>
      </c>
      <c r="T499" s="6"/>
      <c r="U499" s="6"/>
      <c r="V499" s="6"/>
      <c r="W499" s="6"/>
      <c r="X499" s="6"/>
    </row>
    <row r="500" spans="18:24">
      <c r="R500">
        <v>464</v>
      </c>
      <c r="S500" s="6">
        <v>6815.05</v>
      </c>
      <c r="T500" s="6"/>
      <c r="U500" s="6"/>
      <c r="V500" s="6"/>
      <c r="W500" s="6"/>
      <c r="X500" s="6"/>
    </row>
    <row r="501" spans="18:24">
      <c r="R501">
        <v>465</v>
      </c>
      <c r="S501" s="6">
        <v>9077.68</v>
      </c>
      <c r="T501" s="6"/>
      <c r="U501" s="6"/>
      <c r="V501" s="6"/>
      <c r="W501" s="6"/>
      <c r="X501" s="6"/>
    </row>
    <row r="502" spans="18:24">
      <c r="R502">
        <v>467</v>
      </c>
      <c r="S502" s="6">
        <v>14989.33</v>
      </c>
      <c r="T502" s="6"/>
      <c r="U502" s="6"/>
      <c r="V502" s="6"/>
      <c r="W502" s="6"/>
      <c r="X502" s="6"/>
    </row>
    <row r="503" spans="18:24">
      <c r="R503">
        <v>468</v>
      </c>
      <c r="S503" s="6">
        <v>3094</v>
      </c>
      <c r="T503" s="6"/>
      <c r="U503" s="6"/>
      <c r="V503" s="6"/>
      <c r="W503" s="6"/>
      <c r="X503" s="6"/>
    </row>
    <row r="504" spans="18:24">
      <c r="R504">
        <v>469</v>
      </c>
      <c r="S504" s="6">
        <v>4074</v>
      </c>
      <c r="T504" s="6"/>
      <c r="U504" s="6"/>
      <c r="V504" s="6"/>
      <c r="W504" s="6"/>
      <c r="X504" s="6"/>
    </row>
    <row r="505" spans="18:24">
      <c r="R505">
        <v>475</v>
      </c>
      <c r="S505" s="6">
        <v>497</v>
      </c>
      <c r="T505" s="6"/>
      <c r="U505" s="6"/>
      <c r="V505" s="6"/>
      <c r="W505" s="6"/>
      <c r="X505" s="6"/>
    </row>
    <row r="506" spans="18:24">
      <c r="R506">
        <v>477</v>
      </c>
      <c r="S506" s="6">
        <v>6048</v>
      </c>
      <c r="T506" s="6"/>
      <c r="U506" s="6"/>
      <c r="V506" s="6"/>
      <c r="W506" s="6"/>
      <c r="X506" s="6"/>
    </row>
    <row r="507" spans="18:24">
      <c r="R507">
        <v>479</v>
      </c>
      <c r="S507" s="6">
        <v>4883.42</v>
      </c>
      <c r="T507" s="6"/>
      <c r="U507" s="6"/>
      <c r="V507" s="6"/>
      <c r="W507" s="6"/>
      <c r="X507" s="6"/>
    </row>
    <row r="508" spans="18:24">
      <c r="R508">
        <v>482</v>
      </c>
      <c r="S508" s="6">
        <v>13006</v>
      </c>
      <c r="T508" s="6"/>
      <c r="U508" s="6"/>
      <c r="V508" s="6"/>
      <c r="W508" s="6"/>
      <c r="X508" s="6"/>
    </row>
    <row r="509" spans="18:24">
      <c r="R509">
        <v>485</v>
      </c>
      <c r="S509" s="6">
        <v>2055.4</v>
      </c>
      <c r="T509" s="6"/>
      <c r="U509" s="6"/>
      <c r="V509" s="6"/>
      <c r="W509" s="6"/>
      <c r="X509" s="6"/>
    </row>
    <row r="510" spans="18:24">
      <c r="R510">
        <v>487</v>
      </c>
      <c r="S510" s="6">
        <v>33.68</v>
      </c>
      <c r="T510" s="6"/>
      <c r="U510" s="6"/>
      <c r="V510" s="6"/>
      <c r="W510" s="6"/>
      <c r="X510" s="6"/>
    </row>
    <row r="511" spans="18:24">
      <c r="R511">
        <v>488</v>
      </c>
      <c r="S511" s="6">
        <v>6745.1900000000005</v>
      </c>
      <c r="T511" s="6"/>
      <c r="U511" s="6"/>
      <c r="V511" s="6"/>
      <c r="W511" s="6"/>
      <c r="X511" s="6"/>
    </row>
    <row r="512" spans="18:24">
      <c r="R512">
        <v>489</v>
      </c>
      <c r="S512" s="6">
        <v>571.52</v>
      </c>
      <c r="T512" s="6"/>
      <c r="U512" s="6"/>
      <c r="V512" s="6"/>
      <c r="W512" s="6"/>
      <c r="X512" s="6"/>
    </row>
    <row r="513" spans="18:24">
      <c r="R513">
        <v>490</v>
      </c>
      <c r="S513" s="6">
        <v>6051.65</v>
      </c>
      <c r="T513" s="6"/>
      <c r="U513" s="6"/>
      <c r="V513" s="6"/>
      <c r="W513" s="6"/>
      <c r="X513" s="6"/>
    </row>
    <row r="514" spans="18:24">
      <c r="R514">
        <v>491</v>
      </c>
      <c r="S514" s="6">
        <v>11533.35</v>
      </c>
      <c r="T514" s="6"/>
      <c r="U514" s="6"/>
      <c r="V514" s="6"/>
      <c r="W514" s="6"/>
      <c r="X514" s="6"/>
    </row>
    <row r="515" spans="18:24">
      <c r="R515">
        <v>492</v>
      </c>
      <c r="S515" s="6">
        <v>5538.85</v>
      </c>
      <c r="T515" s="6"/>
      <c r="U515" s="6"/>
      <c r="V515" s="6"/>
      <c r="W515" s="6"/>
      <c r="X515" s="6"/>
    </row>
    <row r="516" spans="18:24">
      <c r="R516">
        <v>493</v>
      </c>
      <c r="S516" s="6">
        <v>8313.09</v>
      </c>
      <c r="T516" s="6"/>
      <c r="U516" s="6"/>
      <c r="V516" s="6"/>
      <c r="W516" s="6"/>
      <c r="X516" s="6"/>
    </row>
    <row r="517" spans="18:24">
      <c r="R517">
        <v>494</v>
      </c>
      <c r="S517" s="6">
        <v>8192.76</v>
      </c>
      <c r="T517" s="6"/>
      <c r="U517" s="6"/>
      <c r="V517" s="6"/>
      <c r="W517" s="6"/>
      <c r="X517" s="6"/>
    </row>
    <row r="518" spans="18:24">
      <c r="R518">
        <v>495</v>
      </c>
      <c r="S518" s="6">
        <v>12878.56</v>
      </c>
      <c r="T518" s="6"/>
      <c r="U518" s="6"/>
      <c r="V518" s="6"/>
      <c r="W518" s="6"/>
      <c r="X518" s="6"/>
    </row>
    <row r="519" spans="18:24">
      <c r="R519">
        <v>497</v>
      </c>
      <c r="S519" s="6">
        <v>7686.6100000000006</v>
      </c>
      <c r="T519" s="6"/>
      <c r="U519" s="6"/>
      <c r="V519" s="6"/>
      <c r="W519" s="6"/>
      <c r="X519" s="6"/>
    </row>
    <row r="520" spans="18:24">
      <c r="R520">
        <v>500</v>
      </c>
      <c r="S520" s="6">
        <v>6999.62</v>
      </c>
      <c r="T520" s="6"/>
      <c r="U520" s="6"/>
      <c r="V520" s="6"/>
      <c r="W520" s="6"/>
      <c r="X520" s="6"/>
    </row>
    <row r="521" spans="18:24">
      <c r="R521">
        <v>501</v>
      </c>
      <c r="S521" s="6">
        <v>2583.0300000000002</v>
      </c>
      <c r="T521" s="6"/>
      <c r="U521" s="6"/>
      <c r="V521" s="6"/>
      <c r="W521" s="6"/>
      <c r="X521" s="6"/>
    </row>
    <row r="522" spans="18:24">
      <c r="R522">
        <v>506</v>
      </c>
      <c r="S522" s="6">
        <v>13730.960000000001</v>
      </c>
      <c r="T522" s="6"/>
      <c r="U522" s="6"/>
      <c r="V522" s="6"/>
      <c r="W522" s="6"/>
      <c r="X522" s="6"/>
    </row>
    <row r="523" spans="18:24">
      <c r="R523">
        <v>507</v>
      </c>
      <c r="S523" s="6">
        <v>3175.62</v>
      </c>
      <c r="T523" s="6"/>
      <c r="U523" s="6"/>
      <c r="V523" s="6"/>
      <c r="W523" s="6"/>
      <c r="X523" s="6"/>
    </row>
    <row r="524" spans="18:24">
      <c r="R524">
        <v>508</v>
      </c>
      <c r="S524" s="6">
        <v>10220</v>
      </c>
      <c r="T524" s="6"/>
      <c r="U524" s="6"/>
      <c r="V524" s="6"/>
      <c r="W524" s="6"/>
      <c r="X524" s="6"/>
    </row>
    <row r="525" spans="18:24">
      <c r="R525">
        <v>509</v>
      </c>
      <c r="S525" s="6">
        <v>20841.420000000002</v>
      </c>
      <c r="T525" s="6"/>
      <c r="U525" s="6"/>
      <c r="V525" s="6"/>
      <c r="W525" s="6"/>
      <c r="X525" s="6"/>
    </row>
    <row r="526" spans="18:24">
      <c r="R526">
        <v>512</v>
      </c>
      <c r="S526" s="6">
        <v>3857</v>
      </c>
      <c r="T526" s="6"/>
      <c r="U526" s="6"/>
      <c r="V526" s="6"/>
      <c r="W526" s="6"/>
      <c r="X526" s="6"/>
    </row>
    <row r="527" spans="18:24">
      <c r="R527">
        <v>513</v>
      </c>
      <c r="S527" s="6">
        <v>4161.6500000000005</v>
      </c>
      <c r="T527" s="6"/>
      <c r="U527" s="6"/>
      <c r="V527" s="6"/>
      <c r="W527" s="6"/>
      <c r="X527" s="6"/>
    </row>
    <row r="528" spans="18:24">
      <c r="R528">
        <v>518</v>
      </c>
      <c r="S528" s="6">
        <v>1148</v>
      </c>
      <c r="T528" s="6"/>
      <c r="U528" s="6"/>
      <c r="V528" s="6"/>
      <c r="W528" s="6"/>
      <c r="X528" s="6"/>
    </row>
    <row r="529" spans="18:24">
      <c r="R529">
        <v>520</v>
      </c>
      <c r="S529" s="6">
        <v>19166.41</v>
      </c>
      <c r="T529" s="6"/>
      <c r="U529" s="6"/>
      <c r="V529" s="6"/>
      <c r="W529" s="6"/>
      <c r="X529" s="6"/>
    </row>
    <row r="530" spans="18:24">
      <c r="R530">
        <v>523</v>
      </c>
      <c r="S530" s="6">
        <v>8727.09</v>
      </c>
      <c r="T530" s="6"/>
      <c r="U530" s="6"/>
      <c r="V530" s="6"/>
      <c r="W530" s="6"/>
      <c r="X530" s="6"/>
    </row>
    <row r="531" spans="18:24">
      <c r="R531">
        <v>524</v>
      </c>
      <c r="S531" s="6">
        <v>7284.92</v>
      </c>
      <c r="T531" s="6"/>
      <c r="U531" s="6"/>
      <c r="V531" s="6"/>
      <c r="W531" s="6"/>
      <c r="X531" s="6"/>
    </row>
    <row r="532" spans="18:24">
      <c r="R532">
        <v>529</v>
      </c>
      <c r="S532" s="6">
        <v>4334.75</v>
      </c>
      <c r="T532" s="6"/>
      <c r="U532" s="6"/>
      <c r="V532" s="6"/>
      <c r="W532" s="6"/>
      <c r="X532" s="6"/>
    </row>
    <row r="533" spans="18:24">
      <c r="R533">
        <v>531</v>
      </c>
      <c r="S533" s="6">
        <v>1732.04</v>
      </c>
      <c r="T533" s="6"/>
      <c r="U533" s="6"/>
      <c r="V533" s="6"/>
      <c r="W533" s="6"/>
      <c r="X533" s="6"/>
    </row>
    <row r="534" spans="18:24">
      <c r="R534">
        <v>535</v>
      </c>
      <c r="S534" s="6">
        <v>2432.75</v>
      </c>
      <c r="T534" s="6"/>
      <c r="U534" s="6"/>
      <c r="V534" s="6"/>
      <c r="W534" s="6"/>
      <c r="X534" s="6"/>
    </row>
    <row r="535" spans="18:24">
      <c r="R535">
        <v>536</v>
      </c>
      <c r="S535" s="6">
        <v>11644.92</v>
      </c>
      <c r="T535" s="6"/>
      <c r="U535" s="6"/>
      <c r="V535" s="6"/>
      <c r="W535" s="6"/>
      <c r="X535" s="6"/>
    </row>
    <row r="536" spans="18:24">
      <c r="R536">
        <v>538</v>
      </c>
      <c r="S536" s="6">
        <v>11149.46</v>
      </c>
      <c r="T536" s="6"/>
      <c r="U536" s="6"/>
      <c r="V536" s="6"/>
      <c r="W536" s="6"/>
      <c r="X536" s="6"/>
    </row>
    <row r="537" spans="18:24">
      <c r="R537">
        <v>539</v>
      </c>
      <c r="S537" s="6">
        <v>4844</v>
      </c>
      <c r="T537" s="6"/>
      <c r="U537" s="6"/>
      <c r="V537" s="6"/>
      <c r="W537" s="6"/>
      <c r="X537" s="6"/>
    </row>
    <row r="538" spans="18:24">
      <c r="R538">
        <v>540</v>
      </c>
      <c r="S538" s="6">
        <v>2385.4</v>
      </c>
      <c r="T538" s="6"/>
      <c r="U538" s="6"/>
      <c r="V538" s="6"/>
      <c r="W538" s="6"/>
      <c r="X538" s="6"/>
    </row>
    <row r="539" spans="18:24">
      <c r="R539">
        <v>543</v>
      </c>
      <c r="S539" s="6">
        <v>8911</v>
      </c>
      <c r="T539" s="6"/>
      <c r="U539" s="6"/>
      <c r="V539" s="6"/>
      <c r="W539" s="6"/>
      <c r="X539" s="6"/>
    </row>
    <row r="540" spans="18:24">
      <c r="R540">
        <v>547</v>
      </c>
      <c r="S540" s="6">
        <v>12467.279999999999</v>
      </c>
      <c r="T540" s="6"/>
      <c r="U540" s="6"/>
      <c r="V540" s="6"/>
      <c r="W540" s="6"/>
      <c r="X540" s="6"/>
    </row>
    <row r="541" spans="18:24">
      <c r="R541">
        <v>548</v>
      </c>
      <c r="S541" s="6">
        <v>4237.46</v>
      </c>
      <c r="T541" s="6"/>
      <c r="U541" s="6"/>
      <c r="V541" s="6"/>
      <c r="W541" s="6"/>
      <c r="X541" s="6"/>
    </row>
    <row r="542" spans="18:24">
      <c r="R542">
        <v>552</v>
      </c>
      <c r="S542" s="6">
        <v>10139.68</v>
      </c>
      <c r="T542" s="6"/>
      <c r="U542" s="6"/>
      <c r="V542" s="6"/>
      <c r="W542" s="6"/>
      <c r="X542" s="6"/>
    </row>
    <row r="543" spans="18:24">
      <c r="R543">
        <v>554</v>
      </c>
      <c r="S543" s="6">
        <v>9016</v>
      </c>
      <c r="T543" s="6"/>
      <c r="U543" s="6"/>
      <c r="V543" s="6"/>
      <c r="W543" s="6"/>
      <c r="X543" s="6"/>
    </row>
    <row r="544" spans="18:24">
      <c r="R544">
        <v>560</v>
      </c>
      <c r="S544" s="6">
        <v>1284.3699999999999</v>
      </c>
      <c r="T544" s="6"/>
      <c r="U544" s="6"/>
      <c r="V544" s="6"/>
      <c r="W544" s="6"/>
      <c r="X544" s="6"/>
    </row>
    <row r="545" spans="18:24">
      <c r="R545">
        <v>561</v>
      </c>
      <c r="S545" s="6">
        <v>6211.75</v>
      </c>
      <c r="T545" s="6"/>
      <c r="U545" s="6"/>
      <c r="V545" s="6"/>
      <c r="W545" s="6"/>
      <c r="X545" s="6"/>
    </row>
    <row r="546" spans="18:24">
      <c r="R546">
        <v>562</v>
      </c>
      <c r="S546" s="6">
        <v>9588.0300000000007</v>
      </c>
      <c r="T546" s="6"/>
      <c r="U546" s="6"/>
      <c r="V546" s="6"/>
      <c r="W546" s="6"/>
      <c r="X546" s="6"/>
    </row>
    <row r="547" spans="18:24">
      <c r="R547">
        <v>563</v>
      </c>
      <c r="S547" s="6">
        <v>1855.03</v>
      </c>
      <c r="T547" s="6"/>
      <c r="U547" s="6"/>
      <c r="V547" s="6"/>
      <c r="W547" s="6"/>
      <c r="X547" s="6"/>
    </row>
    <row r="548" spans="18:24">
      <c r="R548">
        <v>570</v>
      </c>
      <c r="S548" s="6">
        <v>8168.86</v>
      </c>
      <c r="T548" s="6"/>
      <c r="U548" s="6"/>
      <c r="V548" s="6"/>
      <c r="W548" s="6"/>
      <c r="X548" s="6"/>
    </row>
    <row r="549" spans="18:24">
      <c r="R549">
        <v>581</v>
      </c>
      <c r="S549" s="6">
        <v>2443</v>
      </c>
      <c r="T549" s="6"/>
      <c r="U549" s="6"/>
      <c r="V549" s="6"/>
      <c r="W549" s="6"/>
      <c r="X549" s="6"/>
    </row>
    <row r="550" spans="18:24">
      <c r="R550">
        <v>583</v>
      </c>
      <c r="S550" s="6">
        <v>2487.19</v>
      </c>
      <c r="T550" s="6"/>
      <c r="U550" s="6"/>
      <c r="V550" s="6"/>
      <c r="W550" s="6"/>
      <c r="X550" s="6"/>
    </row>
    <row r="551" spans="18:24">
      <c r="R551">
        <v>591</v>
      </c>
      <c r="S551" s="6">
        <v>6111</v>
      </c>
      <c r="T551" s="6"/>
      <c r="U551" s="6"/>
      <c r="V551" s="6"/>
      <c r="W551" s="6"/>
      <c r="X551" s="6"/>
    </row>
    <row r="552" spans="18:24">
      <c r="R552">
        <v>594</v>
      </c>
      <c r="S552" s="6">
        <v>9571.2999999999993</v>
      </c>
      <c r="T552" s="6"/>
      <c r="U552" s="6"/>
      <c r="V552" s="6"/>
      <c r="W552" s="6"/>
      <c r="X552" s="6"/>
    </row>
    <row r="553" spans="18:24">
      <c r="R553">
        <v>597</v>
      </c>
      <c r="S553" s="6">
        <v>7714</v>
      </c>
      <c r="T553" s="6"/>
      <c r="U553" s="6"/>
      <c r="V553" s="6"/>
      <c r="W553" s="6"/>
      <c r="X553" s="6"/>
    </row>
    <row r="554" spans="18:24">
      <c r="R554">
        <v>599</v>
      </c>
      <c r="S554" s="6">
        <v>9928.1</v>
      </c>
      <c r="T554" s="6"/>
      <c r="U554" s="6"/>
      <c r="V554" s="6"/>
      <c r="W554" s="6"/>
      <c r="X554" s="6"/>
    </row>
    <row r="555" spans="18:24">
      <c r="R555">
        <v>602</v>
      </c>
      <c r="S555" s="6">
        <v>10599.789999999999</v>
      </c>
      <c r="T555" s="6"/>
      <c r="U555" s="6"/>
      <c r="V555" s="6"/>
      <c r="W555" s="6"/>
      <c r="X555" s="6"/>
    </row>
    <row r="556" spans="18:24">
      <c r="R556">
        <v>605</v>
      </c>
      <c r="S556" s="6">
        <v>2696.1</v>
      </c>
      <c r="T556" s="6"/>
      <c r="U556" s="6"/>
      <c r="V556" s="6"/>
      <c r="W556" s="6"/>
      <c r="X556" s="6"/>
    </row>
    <row r="557" spans="18:24">
      <c r="R557">
        <v>614</v>
      </c>
      <c r="S557" s="6">
        <v>1372</v>
      </c>
      <c r="T557" s="6"/>
      <c r="U557" s="6"/>
      <c r="V557" s="6"/>
      <c r="W557" s="6"/>
      <c r="X557" s="6"/>
    </row>
    <row r="558" spans="18:24">
      <c r="R558">
        <v>621</v>
      </c>
      <c r="S558" s="6">
        <v>6409.31</v>
      </c>
      <c r="T558" s="6"/>
      <c r="U558" s="6"/>
      <c r="V558" s="6"/>
      <c r="W558" s="6"/>
      <c r="X558" s="6"/>
    </row>
    <row r="559" spans="18:24">
      <c r="R559">
        <v>646</v>
      </c>
      <c r="S559" s="6">
        <v>8376.69</v>
      </c>
      <c r="T559" s="6"/>
      <c r="U559" s="6"/>
      <c r="V559" s="6"/>
      <c r="W559" s="6"/>
      <c r="X559" s="6"/>
    </row>
    <row r="560" spans="18:24">
      <c r="R560">
        <v>674</v>
      </c>
      <c r="S560" s="6">
        <v>1543.77</v>
      </c>
      <c r="T560" s="6"/>
      <c r="U560" s="6"/>
      <c r="V560" s="6"/>
      <c r="W560" s="6"/>
      <c r="X560" s="6"/>
    </row>
    <row r="561" spans="18:24">
      <c r="R561">
        <v>679</v>
      </c>
      <c r="S561" s="6">
        <v>5294.88</v>
      </c>
      <c r="T561" s="6"/>
      <c r="U561" s="6"/>
      <c r="V561" s="6"/>
      <c r="W561" s="6"/>
      <c r="X561" s="6"/>
    </row>
    <row r="562" spans="18:24">
      <c r="R562">
        <v>708</v>
      </c>
      <c r="S562" s="6">
        <v>6678</v>
      </c>
      <c r="T562" s="6"/>
      <c r="U562" s="6"/>
      <c r="V562" s="6"/>
      <c r="W562" s="6"/>
      <c r="X562" s="6"/>
    </row>
    <row r="563" spans="18:24">
      <c r="R563">
        <v>709</v>
      </c>
      <c r="S563" s="6">
        <v>4900</v>
      </c>
      <c r="T563" s="6"/>
      <c r="U563" s="6"/>
      <c r="V563" s="6"/>
      <c r="W563" s="6"/>
      <c r="X563" s="6"/>
    </row>
    <row r="564" spans="18:24">
      <c r="R564">
        <v>746</v>
      </c>
      <c r="S564" s="6">
        <v>4919.25</v>
      </c>
      <c r="T564" s="6"/>
      <c r="U564" s="6"/>
      <c r="V564" s="6"/>
      <c r="W564" s="6"/>
      <c r="X564" s="6"/>
    </row>
    <row r="565" spans="18:24">
      <c r="R565">
        <v>772</v>
      </c>
      <c r="S565" s="6">
        <v>7355.77</v>
      </c>
      <c r="T565" s="6"/>
      <c r="U565" s="6"/>
      <c r="V565" s="6"/>
      <c r="W565" s="6"/>
      <c r="X565" s="6"/>
    </row>
    <row r="566" spans="18:24">
      <c r="R566">
        <v>778</v>
      </c>
      <c r="S566" s="6">
        <v>7642.94</v>
      </c>
      <c r="T566" s="6"/>
      <c r="U566" s="6"/>
      <c r="V566" s="6"/>
      <c r="W566" s="6"/>
      <c r="X566" s="6"/>
    </row>
    <row r="567" spans="18:24">
      <c r="R567" t="s">
        <v>394</v>
      </c>
      <c r="S567" s="6">
        <v>19791571.860000011</v>
      </c>
      <c r="T567" s="6"/>
      <c r="U567" s="6"/>
      <c r="V567" s="6"/>
      <c r="W567" s="6"/>
      <c r="X567" s="6"/>
    </row>
  </sheetData>
  <pageMargins left="0.7" right="0.7" top="0.75" bottom="0.75" header="0.3" footer="0.3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5158-30B2-4295-BE29-AD325EEEA20A}">
  <dimension ref="A1:T68"/>
  <sheetViews>
    <sheetView showGridLines="0" tabSelected="1" topLeftCell="A35" workbookViewId="0">
      <selection activeCell="U35" sqref="U35"/>
    </sheetView>
  </sheetViews>
  <sheetFormatPr defaultRowHeight="15"/>
  <cols>
    <col min="1" max="1" width="19.140625" bestFit="1" customWidth="1"/>
    <col min="2" max="2" width="14.85546875" bestFit="1" customWidth="1"/>
    <col min="19" max="19" width="21.28515625" customWidth="1"/>
    <col min="20" max="20" width="17.42578125" customWidth="1"/>
  </cols>
  <sheetData>
    <row r="1" spans="1:20" ht="15" customHeight="1">
      <c r="A1" s="22" t="s">
        <v>426</v>
      </c>
      <c r="B1" s="22"/>
      <c r="C1" s="22"/>
      <c r="D1" s="22"/>
      <c r="E1" s="22"/>
      <c r="F1" s="22"/>
      <c r="G1" s="22"/>
      <c r="H1" s="22"/>
      <c r="I1" s="22"/>
      <c r="J1" s="22"/>
    </row>
    <row r="2" spans="1:20" ht="15" customHeight="1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20" ht="15" customHeight="1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20" ht="1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S4" t="s">
        <v>427</v>
      </c>
      <c r="T4" t="s">
        <v>428</v>
      </c>
    </row>
    <row r="5" spans="1:20">
      <c r="S5" t="s">
        <v>429</v>
      </c>
      <c r="T5">
        <f>SUM('Working Sheet'!H2:H3283)</f>
        <v>19791571.859999992</v>
      </c>
    </row>
    <row r="6" spans="1:20">
      <c r="A6" s="10" t="s">
        <v>2</v>
      </c>
      <c r="B6" t="s">
        <v>385</v>
      </c>
      <c r="S6" t="s">
        <v>430</v>
      </c>
      <c r="T6">
        <f>SUM('Working Sheet'!I2:I3283)</f>
        <v>540437</v>
      </c>
    </row>
    <row r="7" spans="1:20">
      <c r="A7" t="s">
        <v>18</v>
      </c>
      <c r="B7" s="6">
        <v>1120201.0899999999</v>
      </c>
      <c r="S7" t="s">
        <v>431</v>
      </c>
      <c r="T7" s="17" t="str">
        <f>_xlfn.XLOOKUP(B33,B33:B38,A33:A38)</f>
        <v>Australia</v>
      </c>
    </row>
    <row r="8" spans="1:20">
      <c r="A8" t="s">
        <v>26</v>
      </c>
      <c r="B8" s="6">
        <v>1087659.3499999992</v>
      </c>
      <c r="S8" t="s">
        <v>432</v>
      </c>
      <c r="T8" s="17" t="str">
        <f>_xlfn.XLOOKUP(B7,B7:B28,A7:A28)</f>
        <v>Smooth Sliky Salty</v>
      </c>
    </row>
    <row r="9" spans="1:20">
      <c r="A9" t="s">
        <v>59</v>
      </c>
      <c r="B9" s="6">
        <v>1054257.0000000002</v>
      </c>
      <c r="S9" t="s">
        <v>433</v>
      </c>
      <c r="T9" s="17" t="str">
        <f>_xlfn.XLOOKUP(B43,B43:B67,A43:A67)</f>
        <v>Ches Bonnell</v>
      </c>
    </row>
    <row r="10" spans="1:20">
      <c r="A10" t="s">
        <v>13</v>
      </c>
      <c r="B10" s="6">
        <v>1036591.0900000002</v>
      </c>
      <c r="T10" s="14"/>
    </row>
    <row r="11" spans="1:20">
      <c r="A11" t="s">
        <v>36</v>
      </c>
      <c r="B11" s="6">
        <v>996947.96000000043</v>
      </c>
      <c r="T11" s="14"/>
    </row>
    <row r="12" spans="1:20">
      <c r="A12" t="s">
        <v>20</v>
      </c>
      <c r="B12" s="6">
        <v>960033.45</v>
      </c>
      <c r="T12" s="14"/>
    </row>
    <row r="13" spans="1:20">
      <c r="A13" t="s">
        <v>11</v>
      </c>
      <c r="B13" s="6">
        <v>955268.24000000081</v>
      </c>
    </row>
    <row r="14" spans="1:20">
      <c r="A14" t="s">
        <v>42</v>
      </c>
      <c r="B14" s="6">
        <v>945345.72999999975</v>
      </c>
    </row>
    <row r="15" spans="1:20">
      <c r="A15" t="s">
        <v>50</v>
      </c>
      <c r="B15" s="6">
        <v>938131.69</v>
      </c>
    </row>
    <row r="16" spans="1:20">
      <c r="A16" t="s">
        <v>8</v>
      </c>
      <c r="B16" s="6">
        <v>904989.55</v>
      </c>
    </row>
    <row r="17" spans="1:2">
      <c r="A17" t="s">
        <v>65</v>
      </c>
      <c r="B17" s="6">
        <v>890454.65</v>
      </c>
    </row>
    <row r="18" spans="1:2">
      <c r="A18" t="s">
        <v>60</v>
      </c>
      <c r="B18" s="6">
        <v>885208.02999999991</v>
      </c>
    </row>
    <row r="19" spans="1:2">
      <c r="A19" t="s">
        <v>46</v>
      </c>
      <c r="B19" s="6">
        <v>866273.62000000034</v>
      </c>
    </row>
    <row r="20" spans="1:2">
      <c r="A20" t="s">
        <v>73</v>
      </c>
      <c r="B20" s="6">
        <v>845388.40999999968</v>
      </c>
    </row>
    <row r="21" spans="1:2">
      <c r="A21" t="s">
        <v>23</v>
      </c>
      <c r="B21" s="6">
        <v>837215.67000000016</v>
      </c>
    </row>
    <row r="22" spans="1:2">
      <c r="A22" t="s">
        <v>57</v>
      </c>
      <c r="B22" s="6">
        <v>829278.96</v>
      </c>
    </row>
    <row r="23" spans="1:2">
      <c r="A23" t="s">
        <v>33</v>
      </c>
      <c r="B23" s="6">
        <v>824070.85</v>
      </c>
    </row>
    <row r="24" spans="1:2">
      <c r="A24" t="s">
        <v>38</v>
      </c>
      <c r="B24" s="6">
        <v>822245.5700000003</v>
      </c>
    </row>
    <row r="25" spans="1:2">
      <c r="A25" t="s">
        <v>87</v>
      </c>
      <c r="B25" s="6">
        <v>799085.66999999958</v>
      </c>
    </row>
    <row r="26" spans="1:2">
      <c r="A26" t="s">
        <v>75</v>
      </c>
      <c r="B26" s="6">
        <v>773062.90999999957</v>
      </c>
    </row>
    <row r="27" spans="1:2">
      <c r="A27" t="s">
        <v>90</v>
      </c>
      <c r="B27" s="6">
        <v>742516.15000000014</v>
      </c>
    </row>
    <row r="28" spans="1:2">
      <c r="A28" t="s">
        <v>100</v>
      </c>
      <c r="B28" s="6">
        <v>677346.21999999986</v>
      </c>
    </row>
    <row r="29" spans="1:2">
      <c r="A29" t="s">
        <v>394</v>
      </c>
      <c r="B29" s="6">
        <v>19791571.860000003</v>
      </c>
    </row>
    <row r="32" spans="1:2">
      <c r="A32" s="10" t="s">
        <v>1</v>
      </c>
      <c r="B32" t="s">
        <v>385</v>
      </c>
    </row>
    <row r="33" spans="1:2">
      <c r="A33" t="s">
        <v>15</v>
      </c>
      <c r="B33" s="6">
        <v>3646444.3499999978</v>
      </c>
    </row>
    <row r="34" spans="1:2">
      <c r="A34" t="s">
        <v>7</v>
      </c>
      <c r="B34" s="6">
        <v>3365388.9000000008</v>
      </c>
    </row>
    <row r="35" spans="1:2">
      <c r="A35" t="s">
        <v>10</v>
      </c>
      <c r="B35" s="6">
        <v>3343730.8299999996</v>
      </c>
    </row>
    <row r="36" spans="1:2">
      <c r="A36" t="s">
        <v>32</v>
      </c>
      <c r="B36" s="6">
        <v>3313858.0899999989</v>
      </c>
    </row>
    <row r="37" spans="1:2">
      <c r="A37" t="s">
        <v>35</v>
      </c>
      <c r="B37" s="6">
        <v>3078495.649999999</v>
      </c>
    </row>
    <row r="38" spans="1:2">
      <c r="A38" t="s">
        <v>25</v>
      </c>
      <c r="B38" s="6">
        <v>3043654.04</v>
      </c>
    </row>
    <row r="39" spans="1:2">
      <c r="A39" t="s">
        <v>394</v>
      </c>
      <c r="B39" s="6">
        <v>19791571.859999996</v>
      </c>
    </row>
    <row r="42" spans="1:2">
      <c r="A42" s="10" t="s">
        <v>0</v>
      </c>
      <c r="B42" t="s">
        <v>385</v>
      </c>
    </row>
    <row r="43" spans="1:2">
      <c r="A43" t="s">
        <v>83</v>
      </c>
      <c r="B43" s="6">
        <v>1022599.9599999997</v>
      </c>
    </row>
    <row r="44" spans="1:2">
      <c r="A44" t="s">
        <v>19</v>
      </c>
      <c r="B44" s="6">
        <v>1017204.12</v>
      </c>
    </row>
    <row r="45" spans="1:2">
      <c r="A45" t="s">
        <v>77</v>
      </c>
      <c r="B45" s="6">
        <v>1010028.7199999996</v>
      </c>
    </row>
    <row r="46" spans="1:2">
      <c r="A46" t="s">
        <v>70</v>
      </c>
      <c r="B46" s="6">
        <v>1002929.0999999999</v>
      </c>
    </row>
    <row r="47" spans="1:2">
      <c r="A47" t="s">
        <v>28</v>
      </c>
      <c r="B47" s="6">
        <v>997326.48000000033</v>
      </c>
    </row>
    <row r="48" spans="1:2">
      <c r="A48" t="s">
        <v>9</v>
      </c>
      <c r="B48" s="6">
        <v>974425.09</v>
      </c>
    </row>
    <row r="49" spans="1:2">
      <c r="A49" t="s">
        <v>58</v>
      </c>
      <c r="B49" s="6">
        <v>931849.57000000041</v>
      </c>
    </row>
    <row r="50" spans="1:2">
      <c r="A50" t="s">
        <v>41</v>
      </c>
      <c r="B50" s="6">
        <v>892421.36999999988</v>
      </c>
    </row>
    <row r="51" spans="1:2">
      <c r="A51" t="s">
        <v>55</v>
      </c>
      <c r="B51" s="6">
        <v>849062.76000000013</v>
      </c>
    </row>
    <row r="52" spans="1:2">
      <c r="A52" t="s">
        <v>40</v>
      </c>
      <c r="B52" s="6">
        <v>836427.62999999989</v>
      </c>
    </row>
    <row r="53" spans="1:2">
      <c r="A53" t="s">
        <v>31</v>
      </c>
      <c r="B53" s="6">
        <v>830826.91</v>
      </c>
    </row>
    <row r="54" spans="1:2">
      <c r="A54" t="s">
        <v>45</v>
      </c>
      <c r="B54" s="6">
        <v>808359.58000000019</v>
      </c>
    </row>
    <row r="55" spans="1:2">
      <c r="A55" t="s">
        <v>22</v>
      </c>
      <c r="B55" s="6">
        <v>762283.43000000028</v>
      </c>
    </row>
    <row r="56" spans="1:2">
      <c r="A56" t="s">
        <v>12</v>
      </c>
      <c r="B56" s="6">
        <v>742296.50999999989</v>
      </c>
    </row>
    <row r="57" spans="1:2">
      <c r="A57" t="s">
        <v>37</v>
      </c>
      <c r="B57" s="6">
        <v>713832.64000000025</v>
      </c>
    </row>
    <row r="58" spans="1:2">
      <c r="A58" t="s">
        <v>6</v>
      </c>
      <c r="B58" s="6">
        <v>708505.03</v>
      </c>
    </row>
    <row r="59" spans="1:2">
      <c r="A59" t="s">
        <v>14</v>
      </c>
      <c r="B59" s="6">
        <v>706585.5</v>
      </c>
    </row>
    <row r="60" spans="1:2">
      <c r="A60" t="s">
        <v>48</v>
      </c>
      <c r="B60" s="6">
        <v>691797.92</v>
      </c>
    </row>
    <row r="61" spans="1:2">
      <c r="A61" t="s">
        <v>29</v>
      </c>
      <c r="B61" s="6">
        <v>668865.45000000007</v>
      </c>
    </row>
    <row r="62" spans="1:2">
      <c r="A62" t="s">
        <v>53</v>
      </c>
      <c r="B62" s="6">
        <v>656149.7300000001</v>
      </c>
    </row>
    <row r="63" spans="1:2">
      <c r="A63" t="s">
        <v>67</v>
      </c>
      <c r="B63" s="6">
        <v>648214.81000000041</v>
      </c>
    </row>
    <row r="64" spans="1:2">
      <c r="A64" t="s">
        <v>34</v>
      </c>
      <c r="B64" s="6">
        <v>642903.32999999984</v>
      </c>
    </row>
    <row r="65" spans="1:2">
      <c r="A65" t="s">
        <v>71</v>
      </c>
      <c r="B65" s="6">
        <v>628613.13000000035</v>
      </c>
    </row>
    <row r="66" spans="1:2">
      <c r="A66" t="s">
        <v>79</v>
      </c>
      <c r="B66" s="6">
        <v>608101.16999999969</v>
      </c>
    </row>
    <row r="67" spans="1:2">
      <c r="A67" t="s">
        <v>64</v>
      </c>
      <c r="B67" s="6">
        <v>439961.91999999993</v>
      </c>
    </row>
    <row r="68" spans="1:2">
      <c r="A68" t="s">
        <v>394</v>
      </c>
      <c r="B68" s="6">
        <v>19791571.859999999</v>
      </c>
    </row>
  </sheetData>
  <mergeCells count="1">
    <mergeCell ref="A1:J4"/>
  </mergeCell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2026-05-28T08:56:53Z</dcterms:created>
  <dcterms:modified xsi:type="dcterms:W3CDTF">2026-06-02T18:55:56Z</dcterms:modified>
  <cp:category/>
  <cp:contentStatus/>
</cp:coreProperties>
</file>