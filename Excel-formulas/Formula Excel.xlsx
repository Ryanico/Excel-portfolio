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75ECC27-2CDF-4EB6-80F3-95C3A8F2DFB3}" xr6:coauthVersionLast="47" xr6:coauthVersionMax="47" xr10:uidLastSave="{00000000-0000-0000-0000-000000000000}"/>
  <bookViews>
    <workbookView xWindow="-108" yWindow="-108" windowWidth="23256" windowHeight="12456" firstSheet="1" activeTab="1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 a="1"/>
  <c r="J2" i="8"/>
  <c r="K2" i="8" a="1"/>
  <c r="K2" i="8"/>
  <c r="K2" i="4" a="1"/>
  <c r="K2" i="4"/>
  <c r="M2" i="3" a="1"/>
  <c r="M2" i="3"/>
  <c r="J2" i="3" a="1"/>
  <c r="J2" i="3"/>
  <c r="J2" i="13"/>
  <c r="L2" i="4" a="1"/>
  <c r="L2" i="4"/>
  <c r="M2" i="4" a="1"/>
  <c r="M2" i="4"/>
  <c r="L2" i="8" a="1"/>
  <c r="L2" i="8"/>
  <c r="K3" i="13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L2" i="5"/>
  <c r="K2" i="5"/>
  <c r="J2" i="5"/>
  <c r="L2" i="12"/>
  <c r="K2" i="12"/>
  <c r="J2" i="12"/>
  <c r="K2" i="7" a="1"/>
  <c r="K2" i="7"/>
  <c r="J2" i="7" a="1"/>
  <c r="J2" i="7"/>
  <c r="L2" i="7" a="1"/>
  <c r="L2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/>
  <c r="L2" i="3" a="1"/>
  <c r="J2" i="2" a="1"/>
  <c r="J2" i="2"/>
  <c r="K2" i="9"/>
  <c r="J2" i="9"/>
  <c r="H11" i="1"/>
  <c r="H12" i="1"/>
  <c r="L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<sst xmlns="http://schemas.openxmlformats.org/spreadsheetml/2006/main" count="584" uniqueCount="90">
  <si>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</si>
  <si>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</si>
  <si>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</si>
  <si>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</si>
  <si>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</si>
  <si>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</si>
  <si>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</si>
  <si>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</si>
  <si>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</si>
  <si>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</si>
  <si>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</si>
  <si>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</si>
  <si>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</si>
  <si>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</si>
  <si>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</si>
  <si>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</si>
  <si>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</si>
  <si>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</si>
  <si>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</si>
  <si>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</si>
  <si>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</si>
  <si>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</si>
  <si>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</si>
  <si>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</si>
  <si>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</si>
  <si>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</si>
  <si>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</si>
  <si>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</si>
  <si>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</si>
  <si>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</si>
  <si>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</si>
  <si>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</si>
  <si>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</si>
  <si>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</si>
  <si>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</si>
  <si>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</si>
  <si>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</si>
  <si>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</si>
  <si>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</si>
  <si>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</si>
  <si>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</si>
  <si>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</si>
  <si>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</si>
  <si>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</si>
  <si>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</si>
  <si>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</si>
  <si>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</si>
  <si>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</si>
  <si>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</si>
  <si>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</si>
  <si>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</si>
  <si>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</si>
  <si>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</si>
  <si>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</si>
  <si>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</si>
  <si>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</si>
  <si>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</si>
  <si>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</si>
  <si>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</si>
  <si>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</si>
  <si>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</si>
  <si>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</si>
  <si>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</si>
  <si>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</si>
  <si>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</si>
  <si>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</si>
  <si>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</si>
  <si>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</si>
  <si>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</si>
  <si>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</si>
  <si>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</si>
  <si>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</si>
  <si>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</si>
  <si>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</si>
  <si>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</si>
  <si>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</si>
  <si>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CONCATENATE(B2," ",C2)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</si>
  <si>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</si>
  <si>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</si>
  <si>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</si>
  <si>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</si>
  <si>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</si>
  <si>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</si>
  <si>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</si>
  <si>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</si>
  <si>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</si>
  <si>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DAYS</t>
  </si>
  <si>
    <t>NETWORKDAYS</t>
  </si>
  <si>
    <t>30/8/2017</t>
  </si>
  <si>
    <t>22/4/2015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</si>
</sst>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2" sqref="K2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s="2">
        <f>MAX(G2:G10)</f>
        <v>65000</v>
      </c>
      <c r="K2" s="2">
        <f>MIN(G2:G10)</f>
        <v>36000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s="2"/>
      <c r="K3" s="2"/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tabSelected="1" workbookViewId="0">
      <selection activeCell="O1" sqref="O1"/>
    </sheetView>
  </sheetViews>
  <sheetFormatPr defaultColWidth="13.7109375" defaultRowHeight="14.45"/>
  <cols>
    <col min="1" max="1" width="10.7109375" bestFit="1" customWidth="1"/>
    <col min="4" max="4" width="7.7109375" customWidth="1"/>
    <col min="12" max="12" width="18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  <c r="K1" t="s">
        <v>37</v>
      </c>
      <c r="L1" t="s">
        <v>38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IF(G2:G10&gt;50000,"Highly Paid","Moderate Pay")</f>
        <v>Moderate Pay</v>
      </c>
      <c r="K2" t="str" cm="1">
        <f t="array" ref="K2:K10">IF(D2:D10&gt;30,"Old","Young")</f>
        <v>Young</v>
      </c>
      <c r="L2" t="str" cm="1">
        <f t="array" ref="L2:L10">_xlfn.IFS(F2:F10="Salesman","Sales",F2:F10="HR","Fire immediately")</f>
        <v>Sales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Moderate Pay</v>
      </c>
      <c r="K3" t="str">
        <v>Young</v>
      </c>
      <c r="L3" t="e">
        <v>#N/A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Highly Paid</v>
      </c>
      <c r="K4" t="str">
        <v>Young</v>
      </c>
      <c r="L4" t="str">
        <v>Sales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Moderate Pay</v>
      </c>
      <c r="K5" t="str">
        <v>Old</v>
      </c>
      <c r="L5" t="e">
        <v>#N/A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Moderate Pay</v>
      </c>
      <c r="K6" t="str">
        <v>Old</v>
      </c>
      <c r="L6" t="str">
        <v>Fire immediately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Highly Paid</v>
      </c>
      <c r="K7" t="str">
        <v>Old</v>
      </c>
      <c r="L7" t="e">
        <v>#N/A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Moderate Pay</v>
      </c>
      <c r="K8" t="str">
        <v>Old</v>
      </c>
      <c r="L8" t="e">
        <v>#N/A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Moderate Pay</v>
      </c>
      <c r="K9" t="str">
        <v>Old</v>
      </c>
      <c r="L9" t="str">
        <v>Sales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Moderate Pay</v>
      </c>
      <c r="K10" t="str">
        <v>Old</v>
      </c>
      <c r="L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H1" workbookViewId="0">
      <selection activeCell="J3" sqref="J3"/>
    </sheetView>
  </sheetViews>
  <sheetFormatPr defaultColWidth="10.85546875" defaultRowHeight="14.45"/>
  <cols>
    <col min="1" max="1" width="10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</v>
      </c>
      <c r="L1" t="s">
        <v>40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v>3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>
        <v>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>
        <v>6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>
        <v>4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>
        <v>7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>
        <v>7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L4" sqref="L4"/>
    </sheetView>
  </sheetViews>
  <sheetFormatPr defaultColWidth="14.5703125" defaultRowHeight="14.45"/>
  <cols>
    <col min="4" max="4" width="8" customWidth="1"/>
    <col min="10" max="10" width="32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42</v>
      </c>
      <c r="L1" t="s">
        <v>43</v>
      </c>
      <c r="M1" t="s">
        <v>43</v>
      </c>
    </row>
    <row r="2" spans="1:1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 t="s">
        <v>44</v>
      </c>
      <c r="I2" s="3" t="s">
        <v>45</v>
      </c>
      <c r="J2" s="1" t="s">
        <v>46</v>
      </c>
      <c r="K2" t="str" cm="1">
        <f t="array" ref="K2:K10">LEFT(C2:C10,3)</f>
        <v>Hal</v>
      </c>
      <c r="L2" t="str" cm="1">
        <f t="array" ref="L2:L10">RIGHT(C2:C10,3)</f>
        <v>ert</v>
      </c>
      <c r="M2" t="str" cm="1">
        <f t="array" ref="M2:M10">RIGHT(H2:H10,4)</f>
        <v>2001</v>
      </c>
    </row>
    <row r="3" spans="1:1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 t="s">
        <v>47</v>
      </c>
      <c r="I3" s="3" t="s">
        <v>48</v>
      </c>
      <c r="J3" s="1" t="s">
        <v>49</v>
      </c>
      <c r="K3" t="str">
        <v>Bea</v>
      </c>
      <c r="L3" t="str">
        <v>ley</v>
      </c>
      <c r="M3" t="str">
        <v>1999</v>
      </c>
    </row>
    <row r="4" spans="1:1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 t="s">
        <v>50</v>
      </c>
      <c r="I4" s="3" t="s">
        <v>51</v>
      </c>
      <c r="J4" s="1" t="s">
        <v>52</v>
      </c>
      <c r="K4" t="str">
        <v>Sch</v>
      </c>
      <c r="L4" t="str">
        <v>ute</v>
      </c>
      <c r="M4" t="str">
        <v>2000</v>
      </c>
    </row>
    <row r="5" spans="1:1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 t="s">
        <v>53</v>
      </c>
      <c r="I5" s="3" t="s">
        <v>54</v>
      </c>
      <c r="J5" s="1" t="s">
        <v>55</v>
      </c>
      <c r="K5" t="str">
        <v>Mar</v>
      </c>
      <c r="L5" t="str">
        <v>tin</v>
      </c>
      <c r="M5" t="str">
        <v>2000</v>
      </c>
    </row>
    <row r="6" spans="1:1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 t="s">
        <v>56</v>
      </c>
      <c r="I6" s="3" t="s">
        <v>57</v>
      </c>
      <c r="J6" s="1" t="s">
        <v>58</v>
      </c>
      <c r="K6" t="str">
        <v>Fle</v>
      </c>
      <c r="L6" t="str">
        <v>son</v>
      </c>
      <c r="M6" t="str">
        <v>2001</v>
      </c>
    </row>
    <row r="7" spans="1:1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 t="s">
        <v>56</v>
      </c>
      <c r="I7" s="3" t="s">
        <v>59</v>
      </c>
      <c r="J7" s="1" t="s">
        <v>60</v>
      </c>
      <c r="K7" t="str">
        <v>Sco</v>
      </c>
      <c r="L7" t="str">
        <v>ott</v>
      </c>
      <c r="M7" t="str">
        <v>2001</v>
      </c>
    </row>
    <row r="8" spans="1:1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 t="s">
        <v>61</v>
      </c>
      <c r="I8" s="3" t="s">
        <v>59</v>
      </c>
      <c r="J8" s="1" t="s">
        <v>62</v>
      </c>
      <c r="K8" t="str">
        <v>Pal</v>
      </c>
      <c r="L8" t="str">
        <v>mer</v>
      </c>
      <c r="M8" t="str">
        <v>2003</v>
      </c>
    </row>
    <row r="9" spans="1:1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 t="s">
        <v>63</v>
      </c>
      <c r="I9" s="3" t="s">
        <v>64</v>
      </c>
      <c r="J9" s="1" t="s">
        <v>65</v>
      </c>
      <c r="K9" t="str">
        <v>Hud</v>
      </c>
      <c r="L9" t="str">
        <v>son</v>
      </c>
      <c r="M9" t="str">
        <v>2002</v>
      </c>
    </row>
    <row r="10" spans="1:1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 t="s">
        <v>66</v>
      </c>
      <c r="I10" s="3" t="s">
        <v>64</v>
      </c>
      <c r="J10" s="1" t="s">
        <v>67</v>
      </c>
      <c r="K10" t="str">
        <v>Mal</v>
      </c>
      <c r="L10" t="str">
        <v>one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E1" workbookViewId="0">
      <selection activeCell="M2" sqref="M2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68</v>
      </c>
    </row>
    <row r="2" spans="1:1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3"/>
      <c r="L2" t="str" cm="1">
        <f t="array" ref="L2:L10">TEXT(J2:J10,"dd/mm/yyyy")</f>
        <v>02/11/2001</v>
      </c>
      <c r="M2" t="str" cm="1">
        <f t="array" ref="M2:M10">RIGHT(_xlfn.ANCHORARRAY(L2),4)</f>
        <v>2001</v>
      </c>
    </row>
    <row r="3" spans="1:1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03/10/1999</v>
      </c>
      <c r="K3" s="3"/>
      <c r="L3" t="str">
        <v>03/10/1999</v>
      </c>
      <c r="M3" t="str">
        <v>1999</v>
      </c>
    </row>
    <row r="4" spans="1:1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04/07/2000</v>
      </c>
      <c r="K4" s="3"/>
      <c r="L4" t="str">
        <v>04/07/2000</v>
      </c>
      <c r="M4" t="str">
        <v>2000</v>
      </c>
    </row>
    <row r="5" spans="1:1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05/01/2000</v>
      </c>
      <c r="K5" s="3"/>
      <c r="L5" t="str">
        <v>05/01/2000</v>
      </c>
      <c r="M5" t="str">
        <v>2000</v>
      </c>
    </row>
    <row r="6" spans="1:1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06/05/2001</v>
      </c>
      <c r="K6" s="3"/>
      <c r="L6" t="str">
        <v>06/05/2001</v>
      </c>
      <c r="M6" t="str">
        <v>2001</v>
      </c>
    </row>
    <row r="7" spans="1:1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07/12/1995</v>
      </c>
      <c r="K7" s="3"/>
      <c r="L7" t="str">
        <v>07/12/1995</v>
      </c>
      <c r="M7" t="str">
        <v>1995</v>
      </c>
    </row>
    <row r="8" spans="1:1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3"/>
      <c r="L8" t="str">
        <v>08/11/2003</v>
      </c>
      <c r="M8" t="str">
        <v>2003</v>
      </c>
    </row>
    <row r="9" spans="1:1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09/06/2002</v>
      </c>
      <c r="K9" s="3"/>
      <c r="L9" t="str">
        <v>09/06/2002</v>
      </c>
      <c r="M9" t="str">
        <v>2002</v>
      </c>
    </row>
    <row r="10" spans="1:1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10/08/2003</v>
      </c>
      <c r="K10" s="3"/>
      <c r="L10" t="str">
        <v>10/08/2003</v>
      </c>
      <c r="M10" t="str">
        <v>2003</v>
      </c>
    </row>
    <row r="12" spans="1:13">
      <c r="H12" s="1"/>
    </row>
    <row r="13" spans="1:1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B1" workbookViewId="0">
      <selection activeCell="B1" sqref="B1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  <c r="K1" t="s">
        <v>70</v>
      </c>
    </row>
    <row r="2" spans="1:11">
      <c r="A2">
        <v>1001</v>
      </c>
      <c r="B2" s="3" t="s">
        <v>11</v>
      </c>
      <c r="C2" s="3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>
      <c r="A3">
        <v>1002</v>
      </c>
      <c r="B3" s="3" t="s">
        <v>15</v>
      </c>
      <c r="C3" s="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Beasley</v>
      </c>
    </row>
    <row r="4" spans="1:11">
      <c r="A4">
        <v>1003</v>
      </c>
      <c r="B4" s="3" t="s">
        <v>19</v>
      </c>
      <c r="C4" s="3" t="s">
        <v>71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Schrute</v>
      </c>
    </row>
    <row r="5" spans="1:11">
      <c r="A5">
        <v>1004</v>
      </c>
      <c r="B5" s="3" t="s">
        <v>21</v>
      </c>
      <c r="C5" s="3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Martin</v>
      </c>
    </row>
    <row r="6" spans="1:11">
      <c r="A6">
        <v>1005</v>
      </c>
      <c r="B6" s="3" t="s">
        <v>24</v>
      </c>
      <c r="C6" s="3" t="s">
        <v>72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Flenderson</v>
      </c>
    </row>
    <row r="7" spans="1:11">
      <c r="A7">
        <v>1006</v>
      </c>
      <c r="B7" s="3" t="s">
        <v>27</v>
      </c>
      <c r="C7" s="3" t="s">
        <v>73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Scott</v>
      </c>
    </row>
    <row r="8" spans="1:11">
      <c r="A8">
        <v>1007</v>
      </c>
      <c r="B8" s="3" t="s">
        <v>30</v>
      </c>
      <c r="C8" s="3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>
      <c r="A9">
        <v>1008</v>
      </c>
      <c r="B9" s="3" t="s">
        <v>33</v>
      </c>
      <c r="C9" s="3" t="s">
        <v>74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Hudson</v>
      </c>
    </row>
    <row r="10" spans="1:11">
      <c r="A10">
        <v>1009</v>
      </c>
      <c r="B10" s="3" t="s">
        <v>35</v>
      </c>
      <c r="C10" s="3" t="s">
        <v>75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/>
  </sheetViews>
  <sheetFormatPr defaultRowHeight="14.4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76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CONCATENATE(B2,C2,"@gmail.com")</f>
        <v>JimHalpert@gmail.com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CONCATENATE(B3,C3,"@gmail.com")</f>
        <v>PamBeasley@gmail.com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DwightSchrute@gmail.com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AngelaMartin@gmail.com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TobyFlenderson@gmail.com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MichaelScott@gmail.com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MeredithPalmer@gmail.com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StanleyHudson@gmail.com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KevinMalone@gmail.com</v>
      </c>
    </row>
    <row r="11" spans="1:11">
      <c r="H11" t="str">
        <f t="shared" ref="H3:H12" si="2">CONCATENATE(B11," ",C11)</f>
        <v xml:space="preserve"> </v>
      </c>
    </row>
    <row r="12" spans="1:11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D1" workbookViewId="0">
      <selection activeCell="L13" sqref="L13"/>
    </sheetView>
  </sheetViews>
  <sheetFormatPr defaultColWidth="13.7109375" defaultRowHeight="14.45"/>
  <cols>
    <col min="1" max="1" width="10.7109375" bestFit="1" customWidth="1"/>
    <col min="4" max="4" width="7.7109375" customWidth="1"/>
    <col min="7" max="7" width="13.7109375" style="2"/>
    <col min="12" max="12" width="25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77</v>
      </c>
      <c r="K1" t="s">
        <v>78</v>
      </c>
      <c r="L1" t="s">
        <v>79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44</v>
      </c>
      <c r="I2" s="3" t="s">
        <v>45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SUBSTITUTE(H2:H10,"-","/")</f>
        <v>11/2/2001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47</v>
      </c>
      <c r="I3" s="3" t="s">
        <v>48</v>
      </c>
      <c r="J3" t="str">
        <v>10-3/1999</v>
      </c>
      <c r="K3" t="str">
        <v>10/3-1999</v>
      </c>
      <c r="L3" t="str">
        <v>10/3/1999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50</v>
      </c>
      <c r="I4" s="3" t="s">
        <v>51</v>
      </c>
      <c r="J4" t="str">
        <v>7-4/2000</v>
      </c>
      <c r="K4" t="str">
        <v>7/4-2000</v>
      </c>
      <c r="L4" t="str">
        <v>7/4/2000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53</v>
      </c>
      <c r="I5" s="3" t="s">
        <v>54</v>
      </c>
      <c r="J5" t="str">
        <v>1-5/2000</v>
      </c>
      <c r="K5" t="str">
        <v>1/5-2000</v>
      </c>
      <c r="L5" t="str">
        <v>1/5/2000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56</v>
      </c>
      <c r="I6" s="3" t="s">
        <v>57</v>
      </c>
      <c r="J6" t="str">
        <v>5-6/2001</v>
      </c>
      <c r="K6" t="str">
        <v>5/6-2001</v>
      </c>
      <c r="L6" t="str">
        <v>5/6/2001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56</v>
      </c>
      <c r="I7" s="3" t="s">
        <v>59</v>
      </c>
      <c r="J7" t="str">
        <v>5-6/2001</v>
      </c>
      <c r="K7" t="str">
        <v>5/6-2001</v>
      </c>
      <c r="L7" t="str">
        <v>5/6/2001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61</v>
      </c>
      <c r="I8" s="3" t="s">
        <v>59</v>
      </c>
      <c r="J8" t="str">
        <v>11-8/2003</v>
      </c>
      <c r="K8" t="str">
        <v>11/8-2003</v>
      </c>
      <c r="L8" t="str">
        <v>11/8/2003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3" t="s">
        <v>63</v>
      </c>
      <c r="I9" s="3" t="s">
        <v>64</v>
      </c>
      <c r="J9" t="str">
        <v>6-9/2002</v>
      </c>
      <c r="K9" t="str">
        <v>6/9-2002</v>
      </c>
      <c r="L9" t="str">
        <v>6/9/2002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66</v>
      </c>
      <c r="I10" s="3" t="s">
        <v>64</v>
      </c>
      <c r="J10" t="str">
        <v>8-10/2003</v>
      </c>
      <c r="K10" t="str">
        <v>8/10-2003</v>
      </c>
      <c r="L10" t="str">
        <v>8/10/2003</v>
      </c>
    </row>
    <row r="12" spans="1:12">
      <c r="H12" s="3"/>
      <c r="I12" s="3"/>
    </row>
    <row r="13" spans="1:12">
      <c r="H13" s="3"/>
      <c r="I13" s="3"/>
    </row>
    <row r="14" spans="1:12">
      <c r="H14" s="3"/>
      <c r="I14" s="3"/>
    </row>
    <row r="15" spans="1:12">
      <c r="H15" s="3"/>
      <c r="I15" s="3"/>
    </row>
    <row r="16" spans="1:12">
      <c r="H16" s="3"/>
      <c r="I16" s="3"/>
    </row>
    <row r="17" spans="8:9">
      <c r="H17" s="3"/>
      <c r="I17" s="3"/>
    </row>
    <row r="18" spans="8:9">
      <c r="H18" s="3"/>
      <c r="I18" s="3"/>
    </row>
    <row r="19" spans="8:9">
      <c r="H19" s="3"/>
      <c r="I19" s="3"/>
    </row>
    <row r="20" spans="8:9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V1" workbookViewId="0">
      <selection activeCell="M4" sqref="M4"/>
    </sheetView>
  </sheetViews>
  <sheetFormatPr defaultColWidth="13"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80</v>
      </c>
      <c r="K1" t="s">
        <v>81</v>
      </c>
      <c r="L1" t="s">
        <v>82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SUMIF(G2:G10,"&gt;40000")</f>
        <v>401000</v>
      </c>
      <c r="L2">
        <f>SUMIFS(G2:G10,E2:E10,"Female",D2:D10,"&gt;30")</f>
        <v>88000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E1" workbookViewId="0">
      <selection activeCell="K11" sqref="K11"/>
    </sheetView>
  </sheetViews>
  <sheetFormatPr defaultColWidth="13.7109375" defaultRowHeight="14.45"/>
  <cols>
    <col min="1" max="1" width="10.7109375" bestFit="1" customWidth="1"/>
    <col min="4" max="4" width="7.7109375" customWidth="1"/>
    <col min="11" max="11" width="18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COUNTIF(D2:D10,"&gt;30")</f>
        <v>6</v>
      </c>
      <c r="L2">
        <f>COUNTIFS(G2:G10,"&gt;50000",D2:D10,"&gt;30")</f>
        <v>1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H2" sqref="H2"/>
    </sheetView>
  </sheetViews>
  <sheetFormatPr defaultRowHeight="14.45"/>
  <cols>
    <col min="8" max="8" width="14.42578125" style="3" customWidth="1"/>
    <col min="9" max="9" width="13.28515625" style="3" customWidth="1"/>
    <col min="10" max="10" width="10.140625" style="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3" t="s">
        <v>8</v>
      </c>
      <c r="J1" s="2" t="s">
        <v>86</v>
      </c>
      <c r="K1" t="s">
        <v>87</v>
      </c>
    </row>
    <row r="2" spans="1:11" ht="15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44</v>
      </c>
      <c r="I2" s="3" t="s">
        <v>45</v>
      </c>
      <c r="J2" s="2">
        <f>_xlfn.DAYS(I2,H2)</f>
        <v>5056</v>
      </c>
      <c r="K2">
        <f>NETWORKDAYS(H2,I2)</f>
        <v>3737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47</v>
      </c>
      <c r="I3" s="3" t="s">
        <v>48</v>
      </c>
      <c r="J3" s="2">
        <f t="shared" ref="J3:J10" si="0">_xlfn.DAYS(I3,H3)</f>
        <v>6058</v>
      </c>
      <c r="K3">
        <f t="shared" ref="K3:K10" si="1">NETWORKDAYS(H3,I3)</f>
        <v>4328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50</v>
      </c>
      <c r="I4" s="3" t="s">
        <v>51</v>
      </c>
      <c r="J4" s="2">
        <f t="shared" si="0"/>
        <v>6333</v>
      </c>
      <c r="K4">
        <f t="shared" si="1"/>
        <v>4524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53</v>
      </c>
      <c r="I5" s="3" t="s">
        <v>54</v>
      </c>
      <c r="J5" s="2">
        <f t="shared" si="0"/>
        <v>5428</v>
      </c>
      <c r="K5">
        <f t="shared" si="1"/>
        <v>3879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56</v>
      </c>
      <c r="I6" s="3" t="s">
        <v>88</v>
      </c>
      <c r="J6" s="2">
        <f>_xlfn.DAYS(I6,H6)</f>
        <v>5930</v>
      </c>
      <c r="K6">
        <f t="shared" si="1"/>
        <v>4237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56</v>
      </c>
      <c r="I7" s="3" t="s">
        <v>59</v>
      </c>
      <c r="J7" s="2">
        <f t="shared" si="0"/>
        <v>4540</v>
      </c>
      <c r="K7">
        <f t="shared" si="1"/>
        <v>3244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61</v>
      </c>
      <c r="I8" s="1" t="s">
        <v>59</v>
      </c>
      <c r="J8" s="2">
        <f t="shared" si="0"/>
        <v>3743</v>
      </c>
      <c r="K8">
        <f t="shared" si="1"/>
        <v>2675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1" t="s">
        <v>63</v>
      </c>
      <c r="I9" s="3" t="s">
        <v>89</v>
      </c>
      <c r="J9" s="2">
        <f t="shared" si="0"/>
        <v>4611</v>
      </c>
      <c r="K9">
        <f t="shared" si="1"/>
        <v>3294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66</v>
      </c>
      <c r="I10" s="3" t="s">
        <v>89</v>
      </c>
      <c r="J10" s="2">
        <f t="shared" si="0"/>
        <v>4214</v>
      </c>
      <c r="K10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2021-12-16T14:18:34Z</dcterms:created>
  <dcterms:modified xsi:type="dcterms:W3CDTF">2026-06-02T11:53:24Z</dcterms:modified>
  <cp:category/>
  <cp:contentStatus/>
</cp:coreProperties>
</file>